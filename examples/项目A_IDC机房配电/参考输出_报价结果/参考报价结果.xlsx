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8892" tabRatio="600" firstSheet="0" activeTab="1" autoFilterDateGrouping="1"/>
  </bookViews>
  <sheets>
    <sheet xmlns:r="http://schemas.openxmlformats.org/officeDocument/2006/relationships" name="项目信息" sheetId="1" state="visible" r:id="rId1"/>
    <sheet xmlns:r="http://schemas.openxmlformats.org/officeDocument/2006/relationships" name="低压柜" sheetId="2" state="visible" r:id="rId2"/>
  </sheets>
  <definedNames>
    <definedName name="cabinetDataaf665d98c6b94bb09334474c906d8615" hidden="1">低压柜!$A$118:$AC$141</definedName>
    <definedName name="cabinetDatacc1891da75bd43c9860898e4d662d48e" hidden="1">低压柜!$A$91:$AC$104</definedName>
    <definedName name="cabinetDataedff94fe71c44a2ca48d84a09481d9f3" hidden="1">低压柜!$A$44:$AC$77</definedName>
    <definedName name="cabinetReserveaf665d98c6b94bb09334474c906d8615" hidden="1">低压柜!$A$141:$AC$147</definedName>
    <definedName name="cabinetReservecc1891da75bd43c9860898e4d662d48e" hidden="1">低压柜!$A$104:$AC$110</definedName>
    <definedName name="cabinetReserveedff94fe71c44a2ca48d84a09481d9f3" hidden="1">低压柜!$A$77:$AC$83</definedName>
    <definedName name="cabinetTableaf665d98c6b94bb09334474c906d8615" hidden="1">低压柜!$A$114:$AC$150</definedName>
    <definedName name="cabinetTablecc1891da75bd43c9860898e4d662d48e" hidden="1">低压柜!$A$87:$AC$113</definedName>
    <definedName name="cabinetTableedff94fe71c44a2ca48d84a09481d9f3" hidden="1">低压柜!$A$40:$AC$86</definedName>
    <definedName name="folderDatae3c1f88400e840758ea680f08b7bcf4f" hidden="1">低压柜!$A$6:$Q$30</definedName>
    <definedName name="folderReservee3c1f88400e840758ea680f08b7bcf4f" hidden="1">低压柜!$A$30:$Q$34</definedName>
    <definedName name="folderTablee3c1f88400e840758ea680f08b7bcf4f" hidden="1">低压柜!$A$1:$Q$39</definedName>
    <definedName name="projectData" hidden="1">项目信息!$A$28:$Q$53</definedName>
    <definedName name="projectReserve" hidden="1">项目信息!$A$53:$Q$55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.00_ ;[Red]\-0.00\ "/>
    <numFmt numFmtId="165" formatCode="0.00_);[Red]\-0.00_)"/>
    <numFmt numFmtId="166" formatCode="0_);[Red]\(0\)"/>
    <numFmt numFmtId="167" formatCode="\¥#,##0;\¥\-#,##0"/>
    <numFmt numFmtId="168" formatCode="0_ ;[Red]\-0\ "/>
    <numFmt numFmtId="169" formatCode="&quot;备注:&quot;@"/>
    <numFmt numFmtId="170" formatCode="&quot;图号:&quot;@"/>
    <numFmt numFmtId="171" formatCode="0.00_);[Red]\(0.00\)"/>
  </numFmts>
  <fonts count="38">
    <font>
      <name val="宋体"/>
      <charset val="134"/>
      <color theme="1"/>
      <sz val="11"/>
      <scheme val="minor"/>
    </font>
    <font>
      <name val="宋体"/>
      <charset val="134"/>
      <b val="1"/>
      <color indexed="8"/>
      <sz val="16"/>
      <scheme val="minor"/>
    </font>
    <font>
      <name val="Arial"/>
      <charset val="134"/>
      <b val="1"/>
      <color indexed="8"/>
      <sz val="12"/>
    </font>
    <font>
      <name val="宋体"/>
      <charset val="134"/>
      <color indexed="8"/>
      <sz val="12"/>
      <scheme val="minor"/>
    </font>
    <font>
      <name val="宋体"/>
      <charset val="134"/>
      <sz val="12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indexed="8"/>
      <sz val="11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sz val="11"/>
      <scheme val="minor"/>
    </font>
    <font>
      <name val="宋体"/>
      <charset val="134"/>
      <color theme="10"/>
      <sz val="11"/>
      <u val="single"/>
      <scheme val="minor"/>
    </font>
    <font>
      <name val="宋体"/>
      <charset val="134"/>
      <sz val="9"/>
      <scheme val="minor"/>
    </font>
    <font>
      <name val="宋体"/>
      <charset val="134"/>
      <b val="1"/>
      <sz val="9"/>
      <scheme val="minor"/>
    </font>
    <font>
      <name val="宋体"/>
      <charset val="134"/>
      <b val="1"/>
      <sz val="11"/>
      <scheme val="minor"/>
    </font>
    <font>
      <name val="宋体"/>
      <charset val="134"/>
      <color indexed="8"/>
      <sz val="14"/>
      <scheme val="minor"/>
    </font>
    <font>
      <name val="Arial"/>
      <charset val="134"/>
      <b val="1"/>
      <sz val="12"/>
    </font>
    <font>
      <name val="宋体"/>
      <charset val="134"/>
      <b val="1"/>
      <color theme="0" tint="-0.149998474074526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indexed="8"/>
      <sz val="9"/>
      <scheme val="minor"/>
    </font>
    <font>
      <name val="宋体"/>
      <charset val="134"/>
      <color indexed="8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EAEE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6337778862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20" fillId="0" borderId="0" applyAlignment="1">
      <alignment vertical="center"/>
    </xf>
    <xf numFmtId="0" fontId="0" fillId="15" borderId="32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33" applyAlignment="1">
      <alignment vertical="center"/>
    </xf>
    <xf numFmtId="0" fontId="25" fillId="0" borderId="33" applyAlignment="1">
      <alignment vertical="center"/>
    </xf>
    <xf numFmtId="0" fontId="26" fillId="0" borderId="34" applyAlignment="1">
      <alignment vertical="center"/>
    </xf>
    <xf numFmtId="0" fontId="26" fillId="0" borderId="0" applyAlignment="1">
      <alignment vertical="center"/>
    </xf>
    <xf numFmtId="0" fontId="27" fillId="16" borderId="35" applyAlignment="1">
      <alignment vertical="center"/>
    </xf>
    <xf numFmtId="0" fontId="28" fillId="17" borderId="36" applyAlignment="1">
      <alignment vertical="center"/>
    </xf>
    <xf numFmtId="0" fontId="29" fillId="17" borderId="35" applyAlignment="1">
      <alignment vertical="center"/>
    </xf>
    <xf numFmtId="0" fontId="30" fillId="18" borderId="37" applyAlignment="1">
      <alignment vertical="center"/>
    </xf>
    <xf numFmtId="0" fontId="31" fillId="0" borderId="38" applyAlignment="1">
      <alignment vertical="center"/>
    </xf>
    <xf numFmtId="0" fontId="32" fillId="0" borderId="39" applyAlignment="1">
      <alignment vertical="center"/>
    </xf>
    <xf numFmtId="0" fontId="33" fillId="19" borderId="0" applyAlignment="1">
      <alignment vertical="center"/>
    </xf>
    <xf numFmtId="0" fontId="34" fillId="20" borderId="0" applyAlignment="1">
      <alignment vertical="center"/>
    </xf>
    <xf numFmtId="0" fontId="35" fillId="21" borderId="0" applyAlignment="1">
      <alignment vertical="center"/>
    </xf>
    <xf numFmtId="0" fontId="36" fillId="22" borderId="0" applyAlignment="1">
      <alignment vertical="center"/>
    </xf>
    <xf numFmtId="0" fontId="37" fillId="23" borderId="0" applyAlignment="1">
      <alignment vertical="center"/>
    </xf>
    <xf numFmtId="0" fontId="37" fillId="24" borderId="0" applyAlignment="1">
      <alignment vertical="center"/>
    </xf>
    <xf numFmtId="0" fontId="36" fillId="25" borderId="0" applyAlignment="1">
      <alignment vertical="center"/>
    </xf>
    <xf numFmtId="0" fontId="36" fillId="8" borderId="0" applyAlignment="1">
      <alignment vertical="center"/>
    </xf>
    <xf numFmtId="0" fontId="37" fillId="7" borderId="0" applyAlignment="1">
      <alignment vertical="center"/>
    </xf>
    <xf numFmtId="0" fontId="37" fillId="26" borderId="0" applyAlignment="1">
      <alignment vertical="center"/>
    </xf>
    <xf numFmtId="0" fontId="36" fillId="27" borderId="0" applyAlignment="1">
      <alignment vertical="center"/>
    </xf>
    <xf numFmtId="0" fontId="36" fillId="10" borderId="0" applyAlignment="1">
      <alignment vertical="center"/>
    </xf>
    <xf numFmtId="0" fontId="37" fillId="6" borderId="0" applyAlignment="1">
      <alignment vertical="center"/>
    </xf>
    <xf numFmtId="0" fontId="37" fillId="28" borderId="0" applyAlignment="1">
      <alignment vertical="center"/>
    </xf>
    <xf numFmtId="0" fontId="36" fillId="29" borderId="0" applyAlignment="1">
      <alignment vertical="center"/>
    </xf>
    <xf numFmtId="0" fontId="36" fillId="30" borderId="0" applyAlignment="1">
      <alignment vertical="center"/>
    </xf>
    <xf numFmtId="0" fontId="37" fillId="5" borderId="0" applyAlignment="1">
      <alignment vertical="center"/>
    </xf>
    <xf numFmtId="0" fontId="37" fillId="31" borderId="0" applyAlignment="1">
      <alignment vertical="center"/>
    </xf>
    <xf numFmtId="0" fontId="36" fillId="32" borderId="0" applyAlignment="1">
      <alignment vertical="center"/>
    </xf>
    <xf numFmtId="0" fontId="36" fillId="33" borderId="0" applyAlignment="1">
      <alignment vertical="center"/>
    </xf>
    <xf numFmtId="0" fontId="37" fillId="14" borderId="0" applyAlignment="1">
      <alignment vertical="center"/>
    </xf>
    <xf numFmtId="0" fontId="37" fillId="34" borderId="0" applyAlignment="1">
      <alignment vertical="center"/>
    </xf>
    <xf numFmtId="0" fontId="36" fillId="35" borderId="0" applyAlignment="1">
      <alignment vertical="center"/>
    </xf>
    <xf numFmtId="0" fontId="36" fillId="36" borderId="0" applyAlignment="1">
      <alignment vertical="center"/>
    </xf>
    <xf numFmtId="0" fontId="37" fillId="13" borderId="0" applyAlignment="1">
      <alignment vertical="center"/>
    </xf>
    <xf numFmtId="0" fontId="37" fillId="37" borderId="0" applyAlignment="1">
      <alignment vertical="center"/>
    </xf>
    <xf numFmtId="0" fontId="36" fillId="38" borderId="0" applyAlignment="1">
      <alignment vertical="center"/>
    </xf>
  </cellStyleXfs>
  <cellXfs count="30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applyProtection="1" pivotButton="0" quotePrefix="0" xfId="0">
      <alignment horizontal="right"/>
      <protection locked="0" hidden="0"/>
    </xf>
    <xf numFmtId="0" fontId="4" fillId="0" borderId="1" applyAlignment="1" pivotButton="0" quotePrefix="0" xfId="0">
      <alignment horizontal="right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1" fontId="7" fillId="2" borderId="5" applyAlignment="1" pivotButton="0" quotePrefix="0" xfId="0">
      <alignment horizontal="center" vertical="center"/>
    </xf>
    <xf numFmtId="49" fontId="7" fillId="2" borderId="5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 wrapText="1"/>
    </xf>
    <xf numFmtId="164" fontId="7" fillId="2" borderId="5" applyAlignment="1" pivotButton="0" quotePrefix="0" xfId="0">
      <alignment horizontal="center" vertical="center"/>
    </xf>
    <xf numFmtId="164" fontId="7" fillId="2" borderId="5" applyAlignment="1" pivotButton="0" quotePrefix="0" xfId="0">
      <alignment horizontal="center" vertical="center" wrapText="1"/>
    </xf>
    <xf numFmtId="1" fontId="8" fillId="0" borderId="6" applyAlignment="1" pivotButton="0" quotePrefix="0" xfId="6">
      <alignment horizontal="center" vertical="center"/>
    </xf>
    <xf numFmtId="49" fontId="9" fillId="0" borderId="7" applyAlignment="1" pivotButton="0" quotePrefix="0" xfId="0">
      <alignment horizontal="left" vertical="center"/>
    </xf>
    <xf numFmtId="0" fontId="9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right" vertical="center"/>
    </xf>
    <xf numFmtId="1" fontId="8" fillId="0" borderId="6" applyAlignment="1" pivotButton="0" quotePrefix="0" xfId="6">
      <alignment horizontal="center" vertical="center"/>
    </xf>
    <xf numFmtId="1" fontId="10" fillId="0" borderId="6" applyAlignment="1" pivotButton="0" quotePrefix="0" xfId="6">
      <alignment horizontal="center" vertical="center"/>
    </xf>
    <xf numFmtId="49" fontId="0" fillId="0" borderId="7" applyAlignment="1" pivotButton="0" quotePrefix="0" xfId="0">
      <alignment horizontal="left" vertical="center"/>
    </xf>
    <xf numFmtId="0" fontId="0" fillId="0" borderId="7" applyAlignment="1" pivotButton="0" quotePrefix="0" xfId="0">
      <alignment horizontal="center" vertical="center"/>
    </xf>
    <xf numFmtId="1" fontId="9" fillId="0" borderId="6" applyAlignment="1" pivotButton="0" quotePrefix="0" xfId="0">
      <alignment horizontal="center" vertical="center"/>
    </xf>
    <xf numFmtId="0" fontId="9" fillId="0" borderId="7" applyAlignment="1" applyProtection="1" pivotButton="0" quotePrefix="0" xfId="0">
      <alignment horizontal="center" vertical="center"/>
      <protection locked="0" hidden="0"/>
    </xf>
    <xf numFmtId="165" fontId="0" fillId="0" borderId="7" applyAlignment="1" pivotButton="0" quotePrefix="0" xfId="0">
      <alignment horizontal="right" vertical="center"/>
    </xf>
    <xf numFmtId="0" fontId="0" fillId="0" borderId="7" applyAlignment="1" applyProtection="1" pivotButton="0" quotePrefix="0" xfId="0">
      <alignment horizontal="center" vertical="center"/>
      <protection locked="0" hidden="0"/>
    </xf>
    <xf numFmtId="49" fontId="0" fillId="0" borderId="7" applyAlignment="1" pivotButton="0" quotePrefix="0" xfId="0">
      <alignment horizontal="left"/>
    </xf>
    <xf numFmtId="49" fontId="9" fillId="0" borderId="7" applyAlignment="1" pivotButton="0" quotePrefix="0" xfId="0">
      <alignment horizontal="left"/>
    </xf>
    <xf numFmtId="0" fontId="0" fillId="0" borderId="7" applyAlignment="1" pivotButton="0" quotePrefix="0" xfId="0">
      <alignment horizontal="center"/>
    </xf>
    <xf numFmtId="165" fontId="9" fillId="0" borderId="7" applyAlignment="1" pivotButton="0" quotePrefix="0" xfId="0">
      <alignment horizontal="right"/>
    </xf>
    <xf numFmtId="165" fontId="0" fillId="0" borderId="7" applyAlignment="1" pivotButton="0" quotePrefix="0" xfId="0">
      <alignment horizontal="right"/>
    </xf>
    <xf numFmtId="1" fontId="0" fillId="0" borderId="7" applyAlignment="1" pivotButton="0" quotePrefix="0" xfId="0">
      <alignment horizontal="left"/>
    </xf>
    <xf numFmtId="1" fontId="9" fillId="0" borderId="7" applyAlignment="1" pivotButton="0" quotePrefix="0" xfId="0">
      <alignment horizontal="left"/>
    </xf>
    <xf numFmtId="0" fontId="11" fillId="0" borderId="7" applyAlignment="1" pivotButton="0" quotePrefix="0" xfId="0">
      <alignment horizontal="left" shrinkToFit="1"/>
    </xf>
    <xf numFmtId="0" fontId="12" fillId="0" borderId="8" applyAlignment="1" pivotButton="0" quotePrefix="0" xfId="0">
      <alignment shrinkToFit="1"/>
    </xf>
    <xf numFmtId="0" fontId="12" fillId="0" borderId="9" applyAlignment="1" pivotButton="0" quotePrefix="0" xfId="0">
      <alignment shrinkToFit="1"/>
    </xf>
    <xf numFmtId="0" fontId="13" fillId="0" borderId="7" applyAlignment="1" pivotButton="0" quotePrefix="0" xfId="0">
      <alignment horizontal="center"/>
    </xf>
    <xf numFmtId="0" fontId="9" fillId="0" borderId="7" applyAlignment="1" pivotButton="0" quotePrefix="0" xfId="0">
      <alignment horizontal="center" shrinkToFit="1"/>
    </xf>
    <xf numFmtId="165" fontId="13" fillId="0" borderId="7" applyAlignment="1" pivotButton="0" quotePrefix="0" xfId="0">
      <alignment horizontal="right" shrinkToFit="1"/>
    </xf>
    <xf numFmtId="1" fontId="9" fillId="0" borderId="6" applyAlignment="1" pivotButton="0" quotePrefix="0" xfId="0">
      <alignment horizontal="center" vertical="center" textRotation="255"/>
    </xf>
    <xf numFmtId="0" fontId="13" fillId="0" borderId="7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165" fontId="0" fillId="0" borderId="7" applyAlignment="1" pivotButton="0" quotePrefix="0" xfId="0">
      <alignment horizontal="left" vertical="center"/>
    </xf>
    <xf numFmtId="1" fontId="9" fillId="0" borderId="10" applyAlignment="1" pivotButton="0" quotePrefix="0" xfId="0">
      <alignment horizontal="center" vertical="center" textRotation="255"/>
    </xf>
    <xf numFmtId="0" fontId="0" fillId="0" borderId="11" applyAlignment="1" pivotButton="0" quotePrefix="0" xfId="0">
      <alignment horizontal="left" vertical="center"/>
    </xf>
    <xf numFmtId="165" fontId="0" fillId="0" borderId="11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1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9" fillId="0" borderId="0" applyAlignment="1" pivotButton="0" quotePrefix="0" xfId="0">
      <alignment horizontal="right" shrinkToFit="1"/>
    </xf>
    <xf numFmtId="0" fontId="14" fillId="0" borderId="0" applyAlignment="1" applyProtection="1" pivotButton="0" quotePrefix="0" xfId="0">
      <alignment horizontal="center" vertical="center"/>
      <protection locked="0" hidden="0"/>
    </xf>
    <xf numFmtId="1" fontId="5" fillId="0" borderId="0" applyAlignment="1" pivotButton="0" quotePrefix="0" xfId="0">
      <alignment horizontal="left" vertical="center"/>
    </xf>
    <xf numFmtId="49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/>
    </xf>
    <xf numFmtId="0" fontId="7" fillId="2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1" fontId="9" fillId="0" borderId="12" applyAlignment="1" pivotButton="0" quotePrefix="0" xfId="0">
      <alignment horizontal="center" vertical="center"/>
    </xf>
    <xf numFmtId="49" fontId="9" fillId="0" borderId="13" applyAlignment="1" pivotButton="0" quotePrefix="0" xfId="0">
      <alignment horizontal="left" vertical="center"/>
    </xf>
    <xf numFmtId="0" fontId="9" fillId="0" borderId="13" applyAlignment="1" pivotButton="0" quotePrefix="0" xfId="0">
      <alignment horizontal="center" vertical="center"/>
    </xf>
    <xf numFmtId="165" fontId="9" fillId="0" borderId="13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/>
    </xf>
    <xf numFmtId="164" fontId="7" fillId="3" borderId="5" applyAlignment="1" pivotButton="0" quotePrefix="0" xfId="0">
      <alignment horizontal="center" vertical="center" wrapText="1"/>
    </xf>
    <xf numFmtId="164" fontId="7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 wrapText="1"/>
    </xf>
    <xf numFmtId="49" fontId="7" fillId="3" borderId="5" applyAlignment="1" pivotButton="0" quotePrefix="0" xfId="0">
      <alignment horizontal="center" vertical="center" wrapText="1"/>
    </xf>
    <xf numFmtId="49" fontId="16" fillId="4" borderId="5" applyAlignment="1" pivotButton="0" quotePrefix="0" xfId="0">
      <alignment horizontal="center" vertical="center" wrapText="1"/>
    </xf>
    <xf numFmtId="49" fontId="9" fillId="0" borderId="14" applyAlignment="1" pivotButton="0" quotePrefix="0" xfId="0">
      <alignment horizontal="left" vertical="center"/>
    </xf>
    <xf numFmtId="165" fontId="0" fillId="5" borderId="6" applyAlignment="1" pivotButton="0" quotePrefix="0" xfId="0">
      <alignment horizontal="right" vertical="center"/>
    </xf>
    <xf numFmtId="165" fontId="0" fillId="6" borderId="7" applyAlignment="1" pivotButton="0" quotePrefix="0" xfId="0">
      <alignment horizontal="right" vertical="center"/>
    </xf>
    <xf numFmtId="10" fontId="0" fillId="7" borderId="7" applyAlignment="1" pivotButton="0" quotePrefix="0" xfId="0">
      <alignment horizontal="right" vertical="center"/>
    </xf>
    <xf numFmtId="49" fontId="0" fillId="6" borderId="8" applyAlignment="1" pivotButton="0" quotePrefix="0" xfId="0">
      <alignment horizontal="left" vertical="center"/>
    </xf>
    <xf numFmtId="49" fontId="0" fillId="6" borderId="7" applyAlignment="1" pivotButton="0" quotePrefix="0" xfId="0">
      <alignment horizontal="left" vertical="center"/>
    </xf>
    <xf numFmtId="0" fontId="0" fillId="4" borderId="7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10" fontId="0" fillId="7" borderId="8" applyAlignment="1" pivotButton="0" quotePrefix="0" xfId="0">
      <alignment horizontal="right" vertical="center"/>
    </xf>
    <xf numFmtId="49" fontId="9" fillId="0" borderId="14" applyAlignment="1" pivotButton="0" quotePrefix="0" xfId="0">
      <alignment horizontal="left"/>
    </xf>
    <xf numFmtId="0" fontId="9" fillId="0" borderId="14" applyAlignment="1" pivotButton="0" quotePrefix="0" xfId="0">
      <alignment horizontal="left"/>
    </xf>
    <xf numFmtId="166" fontId="0" fillId="6" borderId="8" applyAlignment="1" pivotButton="0" quotePrefix="0" xfId="0">
      <alignment horizontal="left" vertical="center"/>
    </xf>
    <xf numFmtId="166" fontId="0" fillId="6" borderId="7" applyAlignment="1" pivotButton="0" quotePrefix="0" xfId="0">
      <alignment horizontal="left" vertical="center"/>
    </xf>
    <xf numFmtId="167" fontId="9" fillId="0" borderId="14" applyAlignment="1" pivotButton="0" quotePrefix="0" xfId="0">
      <alignment horizontal="left"/>
    </xf>
    <xf numFmtId="167" fontId="9" fillId="0" borderId="14" applyAlignment="1" pivotButton="0" quotePrefix="0" xfId="0">
      <alignment horizontal="left" shrinkToFit="1"/>
    </xf>
    <xf numFmtId="165" fontId="0" fillId="5" borderId="10" applyAlignment="1" pivotButton="0" quotePrefix="0" xfId="0">
      <alignment horizontal="right" vertical="center" shrinkToFit="1"/>
    </xf>
    <xf numFmtId="165" fontId="0" fillId="6" borderId="11" applyAlignment="1" pivotButton="0" quotePrefix="0" xfId="0">
      <alignment horizontal="right" vertical="center" shrinkToFit="1"/>
    </xf>
    <xf numFmtId="10" fontId="0" fillId="7" borderId="11" applyAlignment="1" pivotButton="0" quotePrefix="0" xfId="0">
      <alignment horizontal="right" vertical="center" shrinkToFit="1"/>
    </xf>
    <xf numFmtId="168" fontId="0" fillId="6" borderId="15" applyAlignment="1" pivotButton="0" quotePrefix="0" xfId="0">
      <alignment horizontal="left" vertical="center"/>
    </xf>
    <xf numFmtId="168" fontId="0" fillId="6" borderId="11" applyAlignment="1" pivotButton="0" quotePrefix="0" xfId="0">
      <alignment horizontal="left" vertical="center"/>
    </xf>
    <xf numFmtId="0" fontId="0" fillId="4" borderId="16" applyAlignment="1" pivotButton="0" quotePrefix="0" xfId="0">
      <alignment vertical="center"/>
    </xf>
    <xf numFmtId="0" fontId="0" fillId="4" borderId="17" applyAlignment="1" pivotButton="0" quotePrefix="0" xfId="0">
      <alignment vertical="center"/>
    </xf>
    <xf numFmtId="0" fontId="0" fillId="0" borderId="14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16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170" fontId="0" fillId="0" borderId="0" applyAlignment="1" pivotButton="0" quotePrefix="0" xfId="0">
      <alignment horizontal="left" vertical="center"/>
    </xf>
    <xf numFmtId="49" fontId="17" fillId="2" borderId="5" applyAlignment="1" pivotButton="0" quotePrefix="0" xfId="0">
      <alignment horizontal="center" vertical="center"/>
    </xf>
    <xf numFmtId="164" fontId="7" fillId="8" borderId="5" applyAlignment="1" pivotButton="0" quotePrefix="0" xfId="0">
      <alignment horizontal="center" vertical="center" wrapText="1"/>
    </xf>
    <xf numFmtId="0" fontId="18" fillId="8" borderId="5" applyAlignment="1" pivotButton="0" quotePrefix="0" xfId="0">
      <alignment horizontal="center" vertical="center" wrapText="1" shrinkToFit="1"/>
    </xf>
    <xf numFmtId="0" fontId="18" fillId="8" borderId="4" applyAlignment="1" pivotButton="0" quotePrefix="0" xfId="0">
      <alignment horizontal="center" vertical="center" wrapText="1" shrinkToFit="1"/>
    </xf>
    <xf numFmtId="49" fontId="0" fillId="0" borderId="19" applyAlignment="1" pivotButton="0" quotePrefix="0" xfId="0">
      <alignment horizontal="left" vertical="center"/>
    </xf>
    <xf numFmtId="165" fontId="0" fillId="9" borderId="12" applyAlignment="1" pivotButton="0" quotePrefix="0" xfId="0">
      <alignment horizontal="right" vertical="center"/>
    </xf>
    <xf numFmtId="165" fontId="0" fillId="10" borderId="13" applyAlignment="1" pivotButton="0" quotePrefix="0" xfId="0">
      <alignment horizontal="right" vertical="center"/>
    </xf>
    <xf numFmtId="0" fontId="0" fillId="11" borderId="13" applyAlignment="1" pivotButton="0" quotePrefix="0" xfId="0">
      <alignment horizontal="center" vertical="center"/>
    </xf>
    <xf numFmtId="165" fontId="0" fillId="12" borderId="13" applyAlignment="1" pivotButton="0" quotePrefix="0" xfId="0">
      <alignment horizontal="right" vertical="center"/>
    </xf>
    <xf numFmtId="0" fontId="0" fillId="5" borderId="19" applyAlignment="1" pivotButton="0" quotePrefix="0" xfId="0">
      <alignment horizontal="center" vertical="center"/>
    </xf>
    <xf numFmtId="0" fontId="0" fillId="13" borderId="20" applyAlignment="1" pivotButton="0" quotePrefix="0" xfId="0">
      <alignment horizontal="center" vertical="center"/>
    </xf>
    <xf numFmtId="165" fontId="0" fillId="14" borderId="19" applyAlignment="1" pivotButton="0" quotePrefix="0" xfId="0">
      <alignment horizontal="right" vertical="center"/>
    </xf>
    <xf numFmtId="165" fontId="0" fillId="9" borderId="6" applyAlignment="1" pivotButton="0" quotePrefix="0" xfId="0">
      <alignment horizontal="right" vertical="center"/>
    </xf>
    <xf numFmtId="165" fontId="0" fillId="10" borderId="7" applyAlignment="1" pivotButton="0" quotePrefix="0" xfId="0">
      <alignment horizontal="right" vertical="center"/>
    </xf>
    <xf numFmtId="165" fontId="0" fillId="12" borderId="7" applyAlignment="1" pivotButton="0" quotePrefix="0" xfId="0">
      <alignment horizontal="right" vertical="center"/>
    </xf>
    <xf numFmtId="165" fontId="0" fillId="14" borderId="14" applyAlignment="1" pivotButton="0" quotePrefix="0" xfId="0">
      <alignment horizontal="right" vertical="center"/>
    </xf>
    <xf numFmtId="49" fontId="0" fillId="0" borderId="14" applyAlignment="1" pivotButton="0" quotePrefix="0" xfId="0">
      <alignment horizontal="left" vertical="center"/>
    </xf>
    <xf numFmtId="49" fontId="0" fillId="6" borderId="14" applyAlignment="1" pivotButton="0" quotePrefix="0" xfId="0">
      <alignment horizontal="left" vertical="center"/>
    </xf>
    <xf numFmtId="166" fontId="0" fillId="6" borderId="14" applyAlignment="1" pivotButton="0" quotePrefix="0" xfId="0">
      <alignment horizontal="left" vertical="center"/>
    </xf>
    <xf numFmtId="168" fontId="0" fillId="6" borderId="1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" fillId="8" borderId="5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164" fontId="0" fillId="14" borderId="19" applyAlignment="1" pivotButton="0" quotePrefix="0" xfId="0">
      <alignment horizontal="center" vertical="center"/>
    </xf>
    <xf numFmtId="49" fontId="0" fillId="14" borderId="19" applyAlignment="1" pivotButton="0" quotePrefix="0" xfId="0">
      <alignment horizontal="left" vertical="center"/>
    </xf>
    <xf numFmtId="171" fontId="0" fillId="14" borderId="19" applyAlignment="1" pivotButton="0" quotePrefix="0" xfId="0">
      <alignment horizontal="right" vertical="center"/>
    </xf>
    <xf numFmtId="49" fontId="0" fillId="0" borderId="0" applyAlignment="1" pivotButton="0" quotePrefix="0" xfId="0">
      <alignment vertical="top" wrapText="1"/>
    </xf>
    <xf numFmtId="0" fontId="19" fillId="0" borderId="7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1" fontId="9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9" fillId="0" borderId="11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165" fontId="0" fillId="0" borderId="1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shrinkToFit="1"/>
    </xf>
    <xf numFmtId="0" fontId="9" fillId="0" borderId="14" applyAlignment="1" pivotButton="0" quotePrefix="0" xfId="0">
      <alignment horizontal="left" vertical="center"/>
    </xf>
    <xf numFmtId="0" fontId="0" fillId="11" borderId="7" applyAlignment="1" pivotButton="0" quotePrefix="0" xfId="0">
      <alignment horizontal="center" vertical="center"/>
    </xf>
    <xf numFmtId="0" fontId="0" fillId="5" borderId="14" applyAlignment="1" pivotButton="0" quotePrefix="0" xfId="0">
      <alignment horizontal="center" vertical="center"/>
    </xf>
    <xf numFmtId="0" fontId="0" fillId="13" borderId="9" applyAlignment="1" pivotButton="0" quotePrefix="0" xfId="0">
      <alignment horizontal="center" vertical="center"/>
    </xf>
    <xf numFmtId="0" fontId="9" fillId="0" borderId="18" applyAlignment="1" pivotButton="0" quotePrefix="0" xfId="0">
      <alignment horizontal="left" vertical="center"/>
    </xf>
    <xf numFmtId="165" fontId="0" fillId="9" borderId="10" applyAlignment="1" pivotButton="0" quotePrefix="0" xfId="0">
      <alignment horizontal="right" vertical="center"/>
    </xf>
    <xf numFmtId="165" fontId="0" fillId="10" borderId="11" applyAlignment="1" pivotButton="0" quotePrefix="0" xfId="0">
      <alignment horizontal="right" vertical="center"/>
    </xf>
    <xf numFmtId="0" fontId="0" fillId="11" borderId="16" applyAlignment="1" pivotButton="0" quotePrefix="0" xfId="0">
      <alignment horizontal="center" vertical="center"/>
    </xf>
    <xf numFmtId="165" fontId="0" fillId="12" borderId="11" applyAlignment="1" pivotButton="0" quotePrefix="0" xfId="0">
      <alignment horizontal="right" vertical="center"/>
    </xf>
    <xf numFmtId="0" fontId="0" fillId="5" borderId="21" applyAlignment="1" pivotButton="0" quotePrefix="0" xfId="0">
      <alignment horizontal="center" vertical="center"/>
    </xf>
    <xf numFmtId="0" fontId="0" fillId="13" borderId="17" applyAlignment="1" pivotButton="0" quotePrefix="0" xfId="0">
      <alignment horizontal="center" vertical="center"/>
    </xf>
    <xf numFmtId="165" fontId="0" fillId="14" borderId="18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2" borderId="5" applyAlignment="1" applyProtection="1" pivotButton="0" quotePrefix="0" xfId="0">
      <alignment horizontal="center" vertical="center"/>
      <protection locked="0" hidden="0"/>
    </xf>
    <xf numFmtId="1" fontId="6" fillId="4" borderId="5" applyAlignment="1" pivotButton="0" quotePrefix="0" xfId="0">
      <alignment horizontal="right" vertical="center"/>
    </xf>
    <xf numFmtId="49" fontId="6" fillId="0" borderId="2" applyAlignment="1" pivotButton="0" quotePrefix="0" xfId="0">
      <alignment horizontal="left" vertical="center"/>
    </xf>
    <xf numFmtId="49" fontId="6" fillId="0" borderId="3" applyAlignment="1" pivotButton="0" quotePrefix="0" xfId="0">
      <alignment horizontal="left" vertical="center"/>
    </xf>
    <xf numFmtId="49" fontId="6" fillId="0" borderId="4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7" fillId="2" borderId="2" applyAlignment="1" applyProtection="1" pivotButton="0" quotePrefix="0" xfId="0">
      <alignment horizontal="center" vertical="center"/>
      <protection locked="0" hidden="0"/>
    </xf>
    <xf numFmtId="0" fontId="7" fillId="2" borderId="3" applyAlignment="1" applyProtection="1" pivotButton="0" quotePrefix="0" xfId="0">
      <alignment horizontal="center" vertical="center"/>
      <protection locked="0" hidden="0"/>
    </xf>
    <xf numFmtId="0" fontId="7" fillId="2" borderId="4" applyAlignment="1" applyProtection="1" pivotButton="0" quotePrefix="0" xfId="0">
      <alignment horizontal="center" vertical="center"/>
      <protection locked="0" hidden="0"/>
    </xf>
    <xf numFmtId="0" fontId="7" fillId="2" borderId="22" applyAlignment="1" applyProtection="1" pivotButton="0" quotePrefix="0" xfId="0">
      <alignment horizontal="center" vertical="center"/>
      <protection locked="0" hidden="0"/>
    </xf>
    <xf numFmtId="0" fontId="7" fillId="2" borderId="26" applyAlignment="1" applyProtection="1" pivotButton="0" quotePrefix="0" xfId="0">
      <alignment horizontal="center" vertical="center"/>
      <protection locked="0" hidden="0"/>
    </xf>
    <xf numFmtId="0" fontId="7" fillId="2" borderId="23" applyAlignment="1" applyProtection="1" pivotButton="0" quotePrefix="0" xfId="0">
      <alignment horizontal="center" vertical="center"/>
      <protection locked="0" hidden="0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1" fontId="10" fillId="0" borderId="12" applyAlignment="1" pivotButton="0" quotePrefix="0" xfId="6">
      <alignment horizontal="center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29" applyAlignment="1" pivotButton="0" quotePrefix="0" xfId="0">
      <alignment horizontal="center" vertical="center" wrapText="1"/>
    </xf>
    <xf numFmtId="165" fontId="9" fillId="0" borderId="19" applyAlignment="1" pivotButton="0" quotePrefix="0" xfId="0">
      <alignment vertical="center" wrapText="1"/>
    </xf>
    <xf numFmtId="164" fontId="0" fillId="5" borderId="12" applyAlignment="1" pivotButton="0" quotePrefix="0" xfId="0">
      <alignment horizontal="right" vertical="center" wrapText="1"/>
    </xf>
    <xf numFmtId="164" fontId="0" fillId="6" borderId="13" applyAlignment="1" pivotButton="0" quotePrefix="0" xfId="0">
      <alignment horizontal="right" vertical="center" wrapText="1"/>
    </xf>
    <xf numFmtId="10" fontId="0" fillId="7" borderId="13" applyAlignment="1" pivotButton="0" quotePrefix="0" xfId="0">
      <alignment horizontal="right" vertical="center" wrapText="1"/>
    </xf>
    <xf numFmtId="164" fontId="0" fillId="6" borderId="13" applyAlignment="1" pivotButton="0" quotePrefix="0" xfId="0">
      <alignment horizontal="center" vertical="center" wrapText="1"/>
    </xf>
    <xf numFmtId="1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center" vertical="center" wrapText="1"/>
    </xf>
    <xf numFmtId="165" fontId="9" fillId="0" borderId="14" applyAlignment="1" pivotButton="0" quotePrefix="0" xfId="0">
      <alignment vertical="center" wrapText="1"/>
    </xf>
    <xf numFmtId="164" fontId="0" fillId="5" borderId="6" applyAlignment="1" pivotButton="0" quotePrefix="0" xfId="0">
      <alignment horizontal="right" vertical="center" wrapText="1"/>
    </xf>
    <xf numFmtId="164" fontId="0" fillId="6" borderId="7" applyAlignment="1" pivotButton="0" quotePrefix="0" xfId="0">
      <alignment horizontal="right" vertical="center" wrapText="1"/>
    </xf>
    <xf numFmtId="10" fontId="0" fillId="7" borderId="7" applyAlignment="1" pivotButton="0" quotePrefix="0" xfId="0">
      <alignment horizontal="right" vertical="center" wrapText="1"/>
    </xf>
    <xf numFmtId="0" fontId="0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 wrapText="1"/>
    </xf>
    <xf numFmtId="165" fontId="0" fillId="0" borderId="14" applyAlignment="1" pivotButton="0" quotePrefix="0" xfId="0">
      <alignment vertical="center" wrapText="1"/>
    </xf>
    <xf numFmtId="0" fontId="9" fillId="0" borderId="7" applyAlignment="1" pivotButton="0" quotePrefix="0" xfId="0">
      <alignment vertical="center" wrapText="1"/>
    </xf>
    <xf numFmtId="165" fontId="9" fillId="0" borderId="14" applyAlignment="1" pivotButton="0" quotePrefix="0" xfId="0">
      <alignment horizontal="right" vertical="center" wrapText="1"/>
    </xf>
    <xf numFmtId="1" fontId="0" fillId="0" borderId="7" applyAlignment="1" pivotButton="0" quotePrefix="0" xfId="0">
      <alignment horizontal="left" vertical="center" wrapText="1"/>
    </xf>
    <xf numFmtId="165" fontId="0" fillId="0" borderId="14" applyAlignment="1" pivotButton="0" quotePrefix="0" xfId="0">
      <alignment horizontal="right" vertical="center" wrapText="1"/>
    </xf>
    <xf numFmtId="164" fontId="0" fillId="6" borderId="7" applyAlignment="1" pivotButton="0" quotePrefix="0" xfId="0">
      <alignment horizontal="center" vertical="center" wrapText="1"/>
    </xf>
    <xf numFmtId="164" fontId="0" fillId="5" borderId="6" applyAlignment="1" pivotButton="0" quotePrefix="0" xfId="0">
      <alignment vertical="center" wrapText="1"/>
    </xf>
    <xf numFmtId="164" fontId="0" fillId="6" borderId="7" applyAlignment="1" pivotButton="0" quotePrefix="0" xfId="0">
      <alignment vertical="center" wrapText="1"/>
    </xf>
    <xf numFmtId="10" fontId="0" fillId="7" borderId="7" applyAlignment="1" pivotButton="0" quotePrefix="0" xfId="0">
      <alignment vertical="center" wrapText="1"/>
    </xf>
    <xf numFmtId="0" fontId="9" fillId="0" borderId="7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165" fontId="13" fillId="0" borderId="14" applyAlignment="1" pivotButton="0" quotePrefix="0" xfId="0">
      <alignment horizontal="right" vertical="center"/>
    </xf>
    <xf numFmtId="166" fontId="0" fillId="5" borderId="10" applyAlignment="1" pivotButton="0" quotePrefix="0" xfId="0">
      <alignment vertical="center"/>
    </xf>
    <xf numFmtId="166" fontId="0" fillId="6" borderId="11" applyAlignment="1" pivotButton="0" quotePrefix="0" xfId="0">
      <alignment vertical="center"/>
    </xf>
    <xf numFmtId="10" fontId="0" fillId="7" borderId="11" applyAlignment="1" pivotButton="0" quotePrefix="0" xfId="0">
      <alignment vertical="center"/>
    </xf>
    <xf numFmtId="166" fontId="0" fillId="6" borderId="11" applyAlignment="1" pivotButton="0" quotePrefix="0" xfId="0">
      <alignment horizontal="center" vertical="center"/>
    </xf>
    <xf numFmtId="0" fontId="13" fillId="0" borderId="8" applyAlignment="1" pivotButton="0" quotePrefix="0" xfId="0">
      <alignment horizontal="left" vertical="center" shrinkToFit="1"/>
    </xf>
    <xf numFmtId="0" fontId="13" fillId="0" borderId="30" applyAlignment="1" pivotButton="0" quotePrefix="0" xfId="0">
      <alignment horizontal="left" vertical="center" shrinkToFit="1"/>
    </xf>
    <xf numFmtId="1" fontId="9" fillId="0" borderId="3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left" vertical="center" wrapText="1"/>
    </xf>
    <xf numFmtId="0" fontId="13" fillId="0" borderId="8" applyAlignment="1" pivotButton="0" quotePrefix="0" xfId="0">
      <alignment horizontal="left" vertical="center" wrapText="1"/>
    </xf>
    <xf numFmtId="0" fontId="13" fillId="0" borderId="14" applyAlignment="1" pivotButton="0" quotePrefix="0" xfId="0">
      <alignment horizontal="left" vertical="center"/>
    </xf>
    <xf numFmtId="1" fontId="9" fillId="0" borderId="16" applyAlignment="1" pivotButton="0" quotePrefix="0" xfId="0">
      <alignment horizontal="center" vertical="center"/>
    </xf>
    <xf numFmtId="0" fontId="13" fillId="0" borderId="11" applyAlignment="1" pivotButton="0" quotePrefix="0" xfId="0">
      <alignment horizontal="left" vertical="center"/>
    </xf>
    <xf numFmtId="0" fontId="13" fillId="0" borderId="15" applyAlignment="1" pivotButton="0" quotePrefix="0" xfId="0">
      <alignment horizontal="left" vertical="center"/>
    </xf>
    <xf numFmtId="0" fontId="13" fillId="0" borderId="18" applyAlignment="1" pivotButton="0" quotePrefix="0" xfId="0">
      <alignment horizontal="left" vertical="center"/>
    </xf>
    <xf numFmtId="1" fontId="0" fillId="0" borderId="0" pivotButton="0" quotePrefix="0" xfId="0"/>
    <xf numFmtId="0" fontId="4" fillId="0" borderId="0" applyAlignment="1" pivotButton="0" quotePrefix="0" xfId="0">
      <alignment horizontal="right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3" pivotButton="0" quotePrefix="0" xfId="0"/>
    <xf numFmtId="0" fontId="0" fillId="0" borderId="4" pivotButton="0" quotePrefix="0" xfId="0"/>
    <xf numFmtId="0" fontId="7" fillId="2" borderId="40" applyAlignment="1" applyProtection="1" pivotButton="0" quotePrefix="0" xfId="0">
      <alignment horizontal="center" vertical="center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164" fontId="7" fillId="2" borderId="5" applyAlignment="1" pivotButton="0" quotePrefix="0" xfId="0">
      <alignment horizontal="center" vertical="center" wrapText="1"/>
    </xf>
    <xf numFmtId="164" fontId="7" fillId="3" borderId="5" applyAlignment="1" pivotButton="0" quotePrefix="0" xfId="0">
      <alignment horizontal="center" vertical="center" wrapText="1"/>
    </xf>
    <xf numFmtId="164" fontId="7" fillId="3" borderId="5" applyAlignment="1" pivotButton="0" quotePrefix="0" xfId="0">
      <alignment horizontal="center" vertical="center"/>
    </xf>
    <xf numFmtId="165" fontId="9" fillId="0" borderId="19" applyAlignment="1" pivotButton="0" quotePrefix="0" xfId="0">
      <alignment vertical="center" wrapText="1"/>
    </xf>
    <xf numFmtId="164" fontId="0" fillId="5" borderId="12" applyAlignment="1" pivotButton="0" quotePrefix="0" xfId="0">
      <alignment horizontal="right" vertical="center" wrapText="1"/>
    </xf>
    <xf numFmtId="164" fontId="0" fillId="6" borderId="13" applyAlignment="1" pivotButton="0" quotePrefix="0" xfId="0">
      <alignment horizontal="right" vertical="center" wrapText="1"/>
    </xf>
    <xf numFmtId="164" fontId="0" fillId="6" borderId="13" applyAlignment="1" pivotButton="0" quotePrefix="0" xfId="0">
      <alignment horizontal="center" vertical="center" wrapText="1"/>
    </xf>
    <xf numFmtId="165" fontId="9" fillId="0" borderId="14" applyAlignment="1" pivotButton="0" quotePrefix="0" xfId="0">
      <alignment vertical="center" wrapText="1"/>
    </xf>
    <xf numFmtId="164" fontId="0" fillId="5" borderId="6" applyAlignment="1" pivotButton="0" quotePrefix="0" xfId="0">
      <alignment horizontal="right" vertical="center" wrapText="1"/>
    </xf>
    <xf numFmtId="164" fontId="0" fillId="6" borderId="7" applyAlignment="1" pivotButton="0" quotePrefix="0" xfId="0">
      <alignment horizontal="right" vertical="center" wrapText="1"/>
    </xf>
    <xf numFmtId="165" fontId="0" fillId="0" borderId="14" applyAlignment="1" pivotButton="0" quotePrefix="0" xfId="0">
      <alignment vertical="center" wrapText="1"/>
    </xf>
    <xf numFmtId="165" fontId="9" fillId="0" borderId="14" applyAlignment="1" pivotButton="0" quotePrefix="0" xfId="0">
      <alignment horizontal="right" vertical="center" wrapText="1"/>
    </xf>
    <xf numFmtId="165" fontId="0" fillId="0" borderId="14" applyAlignment="1" pivotButton="0" quotePrefix="0" xfId="0">
      <alignment horizontal="right" vertical="center" wrapText="1"/>
    </xf>
    <xf numFmtId="164" fontId="0" fillId="6" borderId="7" applyAlignment="1" pivotButton="0" quotePrefix="0" xfId="0">
      <alignment horizontal="center" vertical="center" wrapText="1"/>
    </xf>
    <xf numFmtId="164" fontId="0" fillId="5" borderId="6" applyAlignment="1" pivotButton="0" quotePrefix="0" xfId="0">
      <alignment vertical="center" wrapText="1"/>
    </xf>
    <xf numFmtId="164" fontId="0" fillId="6" borderId="7" applyAlignment="1" pivotButton="0" quotePrefix="0" xfId="0">
      <alignment vertical="center" wrapText="1"/>
    </xf>
    <xf numFmtId="165" fontId="13" fillId="0" borderId="14" applyAlignment="1" pivotButton="0" quotePrefix="0" xfId="0">
      <alignment horizontal="right" vertical="center"/>
    </xf>
    <xf numFmtId="166" fontId="0" fillId="5" borderId="10" applyAlignment="1" pivotButton="0" quotePrefix="0" xfId="0">
      <alignment vertical="center"/>
    </xf>
    <xf numFmtId="166" fontId="0" fillId="6" borderId="11" applyAlignment="1" pivotButton="0" quotePrefix="0" xfId="0">
      <alignment vertical="center"/>
    </xf>
    <xf numFmtId="166" fontId="0" fillId="6" borderId="11" applyAlignment="1" pivotButton="0" quotePrefix="0" xfId="0">
      <alignment horizontal="center" vertical="center"/>
    </xf>
    <xf numFmtId="0" fontId="13" fillId="0" borderId="14" applyAlignment="1" pivotButton="0" quotePrefix="0" xfId="0">
      <alignment horizontal="left" vertical="center" shrinkToFit="1"/>
    </xf>
    <xf numFmtId="0" fontId="0" fillId="0" borderId="30" pivotButton="0" quotePrefix="0" xfId="0"/>
    <xf numFmtId="1" fontId="9" fillId="0" borderId="11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5" pivotButton="0" quotePrefix="0" xfId="0"/>
    <xf numFmtId="0" fontId="0" fillId="0" borderId="16" pivotButton="0" quotePrefix="0" xfId="0"/>
    <xf numFmtId="0" fontId="0" fillId="0" borderId="29" pivotButton="0" quotePrefix="0" xfId="0"/>
    <xf numFmtId="0" fontId="0" fillId="0" borderId="47" pivotButton="0" quotePrefix="0" xfId="0"/>
    <xf numFmtId="0" fontId="0" fillId="0" borderId="20" pivotButton="0" quotePrefix="0" xfId="0"/>
    <xf numFmtId="0" fontId="0" fillId="0" borderId="1" applyProtection="1" pivotButton="0" quotePrefix="0" xfId="0">
      <protection locked="0" hidden="0"/>
    </xf>
    <xf numFmtId="0" fontId="5" fillId="0" borderId="5" applyAlignment="1" pivotButton="0" quotePrefix="0" xfId="0">
      <alignment horizontal="left" vertical="center"/>
    </xf>
    <xf numFmtId="164" fontId="7" fillId="2" borderId="5" applyAlignment="1" pivotButton="0" quotePrefix="0" xfId="0">
      <alignment horizontal="center" vertical="center"/>
    </xf>
    <xf numFmtId="165" fontId="9" fillId="0" borderId="7" applyAlignment="1" pivotButton="0" quotePrefix="0" xfId="0">
      <alignment horizontal="right" vertical="center"/>
    </xf>
    <xf numFmtId="165" fontId="0" fillId="5" borderId="6" applyAlignment="1" pivotButton="0" quotePrefix="0" xfId="0">
      <alignment horizontal="right" vertical="center"/>
    </xf>
    <xf numFmtId="165" fontId="0" fillId="6" borderId="7" applyAlignment="1" pivotButton="0" quotePrefix="0" xfId="0">
      <alignment horizontal="right" vertical="center"/>
    </xf>
    <xf numFmtId="165" fontId="0" fillId="0" borderId="7" applyAlignment="1" pivotButton="0" quotePrefix="0" xfId="0">
      <alignment horizontal="right" vertical="center"/>
    </xf>
    <xf numFmtId="165" fontId="9" fillId="0" borderId="7" applyAlignment="1" pivotButton="0" quotePrefix="0" xfId="0">
      <alignment horizontal="right"/>
    </xf>
    <xf numFmtId="165" fontId="0" fillId="0" borderId="7" applyAlignment="1" pivotButton="0" quotePrefix="0" xfId="0">
      <alignment horizontal="right"/>
    </xf>
    <xf numFmtId="166" fontId="0" fillId="6" borderId="8" applyAlignment="1" pivotButton="0" quotePrefix="0" xfId="0">
      <alignment horizontal="left" vertical="center"/>
    </xf>
    <xf numFmtId="166" fontId="0" fillId="6" borderId="7" applyAlignment="1" pivotButton="0" quotePrefix="0" xfId="0">
      <alignment horizontal="left" vertical="center"/>
    </xf>
    <xf numFmtId="166" fontId="0" fillId="6" borderId="14" applyAlignment="1" pivotButton="0" quotePrefix="0" xfId="0">
      <alignment horizontal="left" vertical="center"/>
    </xf>
    <xf numFmtId="167" fontId="9" fillId="0" borderId="14" applyAlignment="1" pivotButton="0" quotePrefix="0" xfId="0">
      <alignment horizontal="left"/>
    </xf>
    <xf numFmtId="0" fontId="12" fillId="0" borderId="7" applyAlignment="1" pivotButton="0" quotePrefix="0" xfId="0">
      <alignment shrinkToFit="1"/>
    </xf>
    <xf numFmtId="0" fontId="0" fillId="0" borderId="9" pivotButton="0" quotePrefix="0" xfId="0"/>
    <xf numFmtId="165" fontId="13" fillId="0" borderId="7" applyAlignment="1" pivotButton="0" quotePrefix="0" xfId="0">
      <alignment horizontal="right" shrinkToFit="1"/>
    </xf>
    <xf numFmtId="167" fontId="9" fillId="0" borderId="14" applyAlignment="1" pivotButton="0" quotePrefix="0" xfId="0">
      <alignment horizontal="left" shrinkToFit="1"/>
    </xf>
    <xf numFmtId="165" fontId="0" fillId="5" borderId="10" applyAlignment="1" pivotButton="0" quotePrefix="0" xfId="0">
      <alignment horizontal="right" vertical="center" shrinkToFit="1"/>
    </xf>
    <xf numFmtId="165" fontId="0" fillId="6" borderId="11" applyAlignment="1" pivotButton="0" quotePrefix="0" xfId="0">
      <alignment horizontal="right" vertical="center" shrinkToFit="1"/>
    </xf>
    <xf numFmtId="168" fontId="0" fillId="6" borderId="15" applyAlignment="1" pivotButton="0" quotePrefix="0" xfId="0">
      <alignment horizontal="left" vertical="center"/>
    </xf>
    <xf numFmtId="168" fontId="0" fillId="6" borderId="11" applyAlignment="1" pivotButton="0" quotePrefix="0" xfId="0">
      <alignment horizontal="left" vertical="center"/>
    </xf>
    <xf numFmtId="168" fontId="0" fillId="6" borderId="18" applyAlignment="1" pivotButton="0" quotePrefix="0" xfId="0">
      <alignment horizontal="left" vertical="center"/>
    </xf>
    <xf numFmtId="165" fontId="0" fillId="0" borderId="0" applyAlignment="1" pivotButton="0" quotePrefix="0" xfId="0">
      <alignment vertical="center"/>
    </xf>
    <xf numFmtId="0" fontId="0" fillId="0" borderId="12" pivotButton="0" quotePrefix="0" xfId="0"/>
    <xf numFmtId="0" fontId="0" fillId="0" borderId="0" applyProtection="1" pivotButton="0" quotePrefix="0" xfId="0">
      <protection locked="0" hidden="0"/>
    </xf>
    <xf numFmtId="0" fontId="0" fillId="0" borderId="1" pivotButton="0" quotePrefix="0" xfId="0"/>
    <xf numFmtId="169" fontId="0" fillId="0" borderId="0" applyAlignment="1" pivotButton="0" quotePrefix="0" xfId="0">
      <alignment horizontal="left" vertical="center"/>
    </xf>
    <xf numFmtId="170" fontId="0" fillId="0" borderId="0" applyAlignment="1" pivotButton="0" quotePrefix="0" xfId="0">
      <alignment horizontal="left" vertical="center"/>
    </xf>
    <xf numFmtId="164" fontId="7" fillId="8" borderId="5" applyAlignment="1" pivotButton="0" quotePrefix="0" xfId="0">
      <alignment horizontal="center" vertical="center" wrapText="1"/>
    </xf>
    <xf numFmtId="165" fontId="9" fillId="0" borderId="13" applyAlignment="1" pivotButton="0" quotePrefix="0" xfId="0">
      <alignment horizontal="right" vertical="center"/>
    </xf>
    <xf numFmtId="165" fontId="0" fillId="9" borderId="12" applyAlignment="1" pivotButton="0" quotePrefix="0" xfId="0">
      <alignment horizontal="right" vertical="center"/>
    </xf>
    <xf numFmtId="165" fontId="0" fillId="10" borderId="13" applyAlignment="1" pivotButton="0" quotePrefix="0" xfId="0">
      <alignment horizontal="right" vertical="center"/>
    </xf>
    <xf numFmtId="165" fontId="0" fillId="12" borderId="13" applyAlignment="1" pivotButton="0" quotePrefix="0" xfId="0">
      <alignment horizontal="right" vertical="center"/>
    </xf>
    <xf numFmtId="165" fontId="0" fillId="14" borderId="19" applyAlignment="1" pivotButton="0" quotePrefix="0" xfId="0">
      <alignment horizontal="right" vertical="center"/>
    </xf>
    <xf numFmtId="164" fontId="0" fillId="14" borderId="19" applyAlignment="1" pivotButton="0" quotePrefix="0" xfId="0">
      <alignment horizontal="center" vertical="center"/>
    </xf>
    <xf numFmtId="171" fontId="0" fillId="14" borderId="19" applyAlignment="1" pivotButton="0" quotePrefix="0" xfId="0">
      <alignment horizontal="right" vertical="center"/>
    </xf>
    <xf numFmtId="165" fontId="0" fillId="9" borderId="6" applyAlignment="1" pivotButton="0" quotePrefix="0" xfId="0">
      <alignment horizontal="right" vertical="center"/>
    </xf>
    <xf numFmtId="165" fontId="0" fillId="10" borderId="7" applyAlignment="1" pivotButton="0" quotePrefix="0" xfId="0">
      <alignment horizontal="right" vertical="center"/>
    </xf>
    <xf numFmtId="165" fontId="0" fillId="12" borderId="7" applyAlignment="1" pivotButton="0" quotePrefix="0" xfId="0">
      <alignment horizontal="right" vertical="center"/>
    </xf>
    <xf numFmtId="165" fontId="0" fillId="14" borderId="14" applyAlignment="1" pivotButton="0" quotePrefix="0" xfId="0">
      <alignment horizontal="right" vertical="center"/>
    </xf>
    <xf numFmtId="165" fontId="0" fillId="0" borderId="11" applyAlignment="1" pivotButton="0" quotePrefix="0" xfId="0">
      <alignment horizontal="right" vertical="center"/>
    </xf>
    <xf numFmtId="165" fontId="0" fillId="9" borderId="10" applyAlignment="1" pivotButton="0" quotePrefix="0" xfId="0">
      <alignment horizontal="right" vertical="center"/>
    </xf>
    <xf numFmtId="165" fontId="0" fillId="10" borderId="11" applyAlignment="1" pivotButton="0" quotePrefix="0" xfId="0">
      <alignment horizontal="right" vertical="center"/>
    </xf>
    <xf numFmtId="165" fontId="0" fillId="12" borderId="11" applyAlignment="1" pivotButton="0" quotePrefix="0" xfId="0">
      <alignment horizontal="right" vertical="center"/>
    </xf>
    <xf numFmtId="165" fontId="0" fillId="14" borderId="18" applyAlignment="1" pivotButton="0" quotePrefix="0" xfId="0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0</colOff>
      <row>2</row>
      <rowOff>76246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65860" cy="533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815444</colOff>
      <row>2</row>
      <rowOff>76246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58240" cy="533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topLeftCell="A42" workbookViewId="0">
      <selection activeCell="D55" sqref="D55"/>
    </sheetView>
  </sheetViews>
  <sheetFormatPr baseColWidth="8" defaultColWidth="9" defaultRowHeight="18" customHeight="1"/>
  <cols>
    <col width="17" customWidth="1" style="55" min="1" max="1"/>
    <col width="36" customWidth="1" style="55" min="2" max="2"/>
    <col width="9.75" customWidth="1" style="55" min="3" max="3"/>
    <col width="20.3796296296296" customWidth="1" style="55" min="4" max="4"/>
    <col width="15" customWidth="1" style="55" min="5" max="5"/>
    <col width="16.1296296296296" customWidth="1" style="55" min="6" max="6"/>
    <col width="13.3796296296296" customWidth="1" style="55" min="7" max="8"/>
  </cols>
  <sheetData>
    <row r="1" s="55">
      <c r="A1" s="153">
        <f>T(B22)</f>
        <v/>
      </c>
      <c r="H1" s="125" t="n"/>
    </row>
    <row r="2" s="55">
      <c r="A2" s="154">
        <f>T(B23)</f>
        <v/>
      </c>
      <c r="H2" s="125" t="n"/>
    </row>
    <row r="3" s="55">
      <c r="A3" s="155" t="n"/>
      <c r="B3" s="156" t="n"/>
      <c r="C3" s="156" t="n"/>
      <c r="D3" s="156" t="n"/>
      <c r="E3" s="124" t="n"/>
      <c r="F3" s="124" t="n"/>
      <c r="G3" s="124" t="n"/>
      <c r="H3" s="125" t="n"/>
    </row>
    <row r="4" s="55">
      <c r="A4" s="157" t="inlineStr">
        <is>
          <t>工程信息</t>
        </is>
      </c>
      <c r="B4" s="222" t="n"/>
      <c r="C4" s="222" t="n"/>
      <c r="D4" s="223" t="n"/>
      <c r="E4" s="157" t="n"/>
      <c r="F4" s="223" t="n"/>
      <c r="G4" s="124" t="n"/>
      <c r="H4" s="125" t="n"/>
    </row>
    <row r="5" s="55">
      <c r="A5" s="158" t="inlineStr">
        <is>
          <t>项目名称</t>
        </is>
      </c>
      <c r="B5" s="162" t="inlineStr">
        <is>
          <t>项目A_IDC机房项目</t>
        </is>
      </c>
      <c r="C5" s="224" t="n"/>
      <c r="D5" s="225" t="n"/>
      <c r="E5" s="158" t="inlineStr">
        <is>
          <t>项目编号</t>
        </is>
      </c>
      <c r="F5" s="162" t="inlineStr"/>
      <c r="G5" s="124" t="n"/>
      <c r="H5" s="125" t="n"/>
    </row>
    <row r="6" s="55">
      <c r="A6" s="158" t="inlineStr">
        <is>
          <t>描述</t>
        </is>
      </c>
      <c r="B6" s="164" t="n"/>
      <c r="C6" s="224" t="n"/>
      <c r="D6" s="225" t="n"/>
      <c r="E6" s="158" t="inlineStr">
        <is>
          <t>报价交期</t>
        </is>
      </c>
      <c r="F6" s="164" t="n"/>
      <c r="G6" s="124" t="n"/>
      <c r="H6" s="125" t="n"/>
    </row>
    <row r="7" s="55">
      <c r="A7" s="158" t="inlineStr">
        <is>
          <t>报价单号</t>
        </is>
      </c>
      <c r="B7" s="162" t="inlineStr">
        <is>
          <t>DEMO-QUOTE</t>
        </is>
      </c>
      <c r="C7" s="224" t="n"/>
      <c r="D7" s="225" t="n"/>
      <c r="E7" s="165" t="n"/>
      <c r="F7" s="166" t="n"/>
      <c r="G7" s="124" t="n"/>
      <c r="H7" s="125" t="n"/>
    </row>
    <row r="8" s="55">
      <c r="A8" s="158" t="inlineStr">
        <is>
          <t>报价人</t>
        </is>
      </c>
      <c r="B8" s="164" t="inlineStr">
        <is>
          <t>报价员A</t>
        </is>
      </c>
      <c r="C8" s="224" t="n"/>
      <c r="D8" s="225" t="n"/>
      <c r="E8" s="167" t="n"/>
      <c r="F8" s="168" t="n"/>
      <c r="G8" s="124" t="n"/>
      <c r="H8" s="125" t="n"/>
    </row>
    <row r="9" s="55">
      <c r="A9" s="158" t="inlineStr">
        <is>
          <t>创建日期</t>
        </is>
      </c>
      <c r="B9" s="164" t="inlineStr">
        <is>
          <t>2025.12.05</t>
        </is>
      </c>
      <c r="C9" s="224" t="n"/>
      <c r="D9" s="225" t="n"/>
      <c r="E9" s="167" t="n"/>
      <c r="F9" s="168" t="n"/>
      <c r="G9" s="124" t="n"/>
      <c r="H9" s="125" t="n"/>
    </row>
    <row r="10" s="55">
      <c r="A10" s="158" t="inlineStr">
        <is>
          <t>报价审核人</t>
        </is>
      </c>
      <c r="B10" s="164" t="n"/>
      <c r="C10" s="224" t="n"/>
      <c r="D10" s="225" t="n"/>
      <c r="E10" s="167" t="n"/>
      <c r="F10" s="168" t="n"/>
      <c r="G10" s="124" t="n"/>
      <c r="H10" s="125" t="n"/>
    </row>
    <row r="11" s="55">
      <c r="A11" s="158" t="inlineStr">
        <is>
          <t>项目负责人</t>
        </is>
      </c>
      <c r="B11" s="164" t="n"/>
      <c r="C11" s="224" t="n"/>
      <c r="D11" s="225" t="n"/>
      <c r="E11" s="167" t="n"/>
      <c r="F11" s="168" t="n"/>
      <c r="G11" s="124" t="n"/>
      <c r="H11" s="125" t="n"/>
    </row>
    <row r="12" s="55">
      <c r="A12" s="158" t="inlineStr">
        <is>
          <t>项目备注</t>
        </is>
      </c>
      <c r="B12" s="164" t="n"/>
      <c r="C12" s="224" t="n"/>
      <c r="D12" s="225" t="n"/>
      <c r="E12" s="167" t="n"/>
      <c r="F12" s="168" t="n"/>
      <c r="G12" s="124" t="n"/>
      <c r="H12" s="125" t="n"/>
    </row>
    <row r="13" s="55">
      <c r="A13" s="157" t="inlineStr">
        <is>
          <t>客户信息</t>
        </is>
      </c>
      <c r="B13" s="222" t="n"/>
      <c r="C13" s="222" t="n"/>
      <c r="D13" s="223" t="n"/>
      <c r="E13" s="167" t="n"/>
      <c r="F13" s="168" t="n"/>
      <c r="G13" s="124" t="n"/>
      <c r="H13" s="125" t="n"/>
    </row>
    <row r="14" s="55">
      <c r="A14" s="158" t="inlineStr">
        <is>
          <t>客户名称</t>
        </is>
      </c>
      <c r="B14" s="164" t="n"/>
      <c r="C14" s="224" t="n"/>
      <c r="D14" s="225" t="n"/>
      <c r="E14" s="167" t="n"/>
      <c r="F14" s="168" t="n"/>
      <c r="G14" s="124" t="n"/>
      <c r="H14" s="125" t="n"/>
    </row>
    <row r="15" s="55">
      <c r="A15" s="158" t="inlineStr">
        <is>
          <t>联系人</t>
        </is>
      </c>
      <c r="B15" s="164" t="n"/>
      <c r="C15" s="224" t="n"/>
      <c r="D15" s="225" t="n"/>
      <c r="E15" s="167" t="n"/>
      <c r="F15" s="168" t="n"/>
      <c r="G15" s="124" t="n"/>
      <c r="H15" s="125" t="n"/>
    </row>
    <row r="16" s="55">
      <c r="A16" s="158" t="inlineStr">
        <is>
          <t>联系电话</t>
        </is>
      </c>
      <c r="B16" s="164" t="n"/>
      <c r="C16" s="224" t="n"/>
      <c r="D16" s="225" t="n"/>
      <c r="E16" s="167" t="n"/>
      <c r="F16" s="168" t="n"/>
      <c r="G16" s="124" t="n"/>
      <c r="H16" s="125" t="n"/>
    </row>
    <row r="17" s="55">
      <c r="A17" s="158" t="inlineStr">
        <is>
          <t>客户地址</t>
        </is>
      </c>
      <c r="B17" s="164" t="n"/>
      <c r="C17" s="224" t="n"/>
      <c r="D17" s="225" t="n"/>
      <c r="E17" s="167" t="n"/>
      <c r="F17" s="168" t="n"/>
      <c r="G17" s="124" t="n"/>
      <c r="H17" s="125" t="n"/>
    </row>
    <row r="18" s="55">
      <c r="A18" s="158" t="inlineStr">
        <is>
          <t>客户邮编</t>
        </is>
      </c>
      <c r="B18" s="164" t="n"/>
      <c r="C18" s="224" t="n"/>
      <c r="D18" s="225" t="n"/>
      <c r="E18" s="167" t="n"/>
      <c r="F18" s="168" t="n"/>
      <c r="G18" s="124" t="n"/>
      <c r="H18" s="125" t="n"/>
    </row>
    <row r="19" s="55">
      <c r="A19" s="158" t="inlineStr">
        <is>
          <t>客户网址</t>
        </is>
      </c>
      <c r="B19" s="164" t="n"/>
      <c r="C19" s="224" t="n"/>
      <c r="D19" s="225" t="n"/>
      <c r="E19" s="167" t="n"/>
      <c r="F19" s="168" t="n"/>
      <c r="G19" s="124" t="n"/>
      <c r="H19" s="125" t="n"/>
    </row>
    <row r="20" s="55">
      <c r="A20" s="158" t="inlineStr">
        <is>
          <t>客户email</t>
        </is>
      </c>
      <c r="B20" s="164" t="n"/>
      <c r="C20" s="224" t="n"/>
      <c r="D20" s="225" t="n"/>
      <c r="E20" s="167" t="n"/>
      <c r="F20" s="168" t="n"/>
      <c r="G20" s="124" t="n"/>
      <c r="H20" s="125" t="n"/>
    </row>
    <row r="21" s="55">
      <c r="A21" s="157" t="inlineStr">
        <is>
          <t>本企业信息</t>
        </is>
      </c>
      <c r="B21" s="222" t="n"/>
      <c r="C21" s="222" t="n"/>
      <c r="D21" s="223" t="n"/>
      <c r="E21" s="167" t="n"/>
      <c r="F21" s="168" t="n"/>
      <c r="G21" s="124" t="n"/>
      <c r="H21" s="125" t="n"/>
    </row>
    <row r="22" s="55">
      <c r="A22" s="158" t="inlineStr">
        <is>
          <t>单位名称</t>
        </is>
      </c>
      <c r="B22" s="164" t="inlineStr">
        <is>
          <t>某成套设备有限公司</t>
        </is>
      </c>
      <c r="C22" s="224" t="n"/>
      <c r="D22" s="225" t="n"/>
      <c r="E22" s="167" t="n"/>
      <c r="F22" s="168" t="n"/>
      <c r="G22" s="124" t="n"/>
      <c r="H22" s="125" t="n"/>
    </row>
    <row r="23" s="55">
      <c r="A23" s="158" t="inlineStr">
        <is>
          <t>英文名称</t>
        </is>
      </c>
      <c r="B23" s="164" t="inlineStr">
        <is>
          <t>Anonymized Switchgear Co.,Ltd</t>
        </is>
      </c>
      <c r="C23" s="224" t="n"/>
      <c r="D23" s="225" t="n"/>
      <c r="E23" s="167" t="n"/>
      <c r="F23" s="168" t="n"/>
      <c r="G23" s="124" t="n"/>
      <c r="H23" s="125" t="n"/>
    </row>
    <row r="24" s="55">
      <c r="A24" s="158" t="inlineStr">
        <is>
          <t>联系人</t>
        </is>
      </c>
      <c r="B24" s="164" t="inlineStr">
        <is>
          <t>潘国清</t>
        </is>
      </c>
      <c r="C24" s="224" t="n"/>
      <c r="D24" s="225" t="n"/>
      <c r="E24" s="167" t="n"/>
      <c r="F24" s="168" t="n"/>
      <c r="G24" s="124" t="n"/>
      <c r="H24" s="125" t="n"/>
    </row>
    <row r="25" s="55">
      <c r="A25" s="158" t="inlineStr">
        <is>
          <t>联系电话</t>
        </is>
      </c>
      <c r="B25" s="164" t="n">
        <v>5039987561.54</v>
      </c>
      <c r="C25" s="224" t="n"/>
      <c r="D25" s="225" t="n"/>
      <c r="E25" s="167" t="n"/>
      <c r="F25" s="168" t="n"/>
      <c r="G25" s="124" t="n"/>
      <c r="H25" s="125" t="n"/>
    </row>
    <row r="26" s="55">
      <c r="A26" s="158" t="inlineStr">
        <is>
          <t>销售地区</t>
        </is>
      </c>
      <c r="B26" s="164" t="inlineStr">
        <is>
          <t>全国</t>
        </is>
      </c>
      <c r="C26" s="224" t="n"/>
      <c r="D26" s="225" t="n"/>
      <c r="E26" s="167" t="n"/>
      <c r="F26" s="168" t="n"/>
      <c r="G26" s="124" t="n"/>
      <c r="H26" s="125" t="n"/>
    </row>
    <row r="27" s="55">
      <c r="A27" s="226" t="inlineStr">
        <is>
          <t xml:space="preserve">                          分类汇总                       金额单位：人民币元</t>
        </is>
      </c>
      <c r="B27" s="227" t="n"/>
      <c r="C27" s="227" t="n"/>
      <c r="D27" s="228" t="n"/>
      <c r="E27" s="175" t="n"/>
      <c r="F27" s="176" t="n"/>
      <c r="G27" s="124" t="n"/>
      <c r="H27" s="125" t="n"/>
    </row>
    <row r="28" s="55">
      <c r="A28" s="13" t="inlineStr">
        <is>
          <t>序号</t>
        </is>
      </c>
      <c r="B28" s="62" t="inlineStr">
        <is>
          <t>分类名称</t>
        </is>
      </c>
      <c r="C28" s="62" t="inlineStr">
        <is>
          <t>箱柜数量</t>
        </is>
      </c>
      <c r="D28" s="229" t="inlineStr">
        <is>
          <t>总   价</t>
        </is>
      </c>
      <c r="E28" s="230" t="inlineStr">
        <is>
          <t>成本</t>
        </is>
      </c>
      <c r="F28" s="231" t="inlineStr">
        <is>
          <t>毛利</t>
        </is>
      </c>
      <c r="G28" s="72" t="inlineStr">
        <is>
          <t>毛利率</t>
        </is>
      </c>
      <c r="H28" s="231" t="inlineStr">
        <is>
          <t>分类属性</t>
        </is>
      </c>
    </row>
    <row r="29" s="55">
      <c r="A29" s="177">
        <f>ROW()-ROW(A$28)</f>
        <v/>
      </c>
      <c r="B29" s="178">
        <f>MID(CELL("filename",folderTablee3c1f88400e840758ea680f08b7bcf4f),SEARCH({"xlsx]",".xls]"},CELL("filename",folderTablee3c1f88400e840758ea680f08b7bcf4f))+5,31)</f>
        <v/>
      </c>
      <c r="C29" s="179">
        <f>IF(H29="箱变",低压柜!F34,低压柜!F30*IF(低压柜!F34="",1,低压柜!F34))</f>
        <v/>
      </c>
      <c r="D29" s="232">
        <f>ROUND(低压柜!H34,2)</f>
        <v/>
      </c>
      <c r="E29" s="233">
        <f>ROUND(低压柜!J34,2)</f>
        <v/>
      </c>
      <c r="F29" s="234">
        <f>ROUND((D29-E29),2)</f>
        <v/>
      </c>
      <c r="G29" s="183">
        <f>IF(D29=0,0,F29/D29)</f>
        <v/>
      </c>
      <c r="H29" s="235">
        <f>IF(OR(ISNUMBER(FIND("箱变",B29))=TRUE,ISNUMBER(FIND("欧变",B29))=TRUE,ISNUMBER(FIND("美变",B29))=TRUE,ISNUMBER(FIND("KVA",UPPER(B29)))=TRUE,ISNUMBER(FIND("箱式变电",B29))=TRUE),"箱变","常规")</f>
        <v/>
      </c>
    </row>
    <row r="30" s="55">
      <c r="A30" s="185">
        <f>ROW()-ROW(A$28)</f>
        <v/>
      </c>
      <c r="B30" s="186" t="n"/>
      <c r="C30" s="187" t="n"/>
      <c r="D30" s="236" t="n"/>
      <c r="E30" s="237" t="n"/>
      <c r="F30" s="238" t="n"/>
      <c r="G30" s="191" t="n"/>
      <c r="H30" s="235" t="n"/>
    </row>
    <row r="31" s="55">
      <c r="A31" s="185">
        <f>ROW()-ROW(A$28)</f>
        <v/>
      </c>
      <c r="B31" s="186" t="n"/>
      <c r="C31" s="187" t="n"/>
      <c r="D31" s="236" t="n"/>
      <c r="E31" s="237" t="n"/>
      <c r="F31" s="238" t="n"/>
      <c r="G31" s="191" t="n"/>
      <c r="H31" s="235" t="n"/>
    </row>
    <row r="32" s="55">
      <c r="A32" s="185">
        <f>ROW()-ROW(A$28)</f>
        <v/>
      </c>
      <c r="B32" s="192" t="n"/>
      <c r="C32" s="193" t="n"/>
      <c r="D32" s="236" t="n"/>
      <c r="E32" s="237" t="n"/>
      <c r="F32" s="238" t="n"/>
      <c r="G32" s="191" t="n"/>
      <c r="H32" s="235" t="n"/>
    </row>
    <row r="33" s="55">
      <c r="A33" s="185">
        <f>ROW()-ROW(A$28)</f>
        <v/>
      </c>
      <c r="B33" s="186" t="n"/>
      <c r="C33" s="187" t="n"/>
      <c r="D33" s="236" t="n"/>
      <c r="E33" s="237" t="n"/>
      <c r="F33" s="238" t="n"/>
      <c r="G33" s="191" t="n"/>
      <c r="H33" s="235" t="n"/>
    </row>
    <row r="34" s="55">
      <c r="A34" s="185">
        <f>ROW()-ROW(A$28)</f>
        <v/>
      </c>
      <c r="B34" s="186" t="n"/>
      <c r="C34" s="187" t="n"/>
      <c r="D34" s="236" t="n"/>
      <c r="E34" s="237" t="n"/>
      <c r="F34" s="238" t="n"/>
      <c r="G34" s="191" t="n"/>
      <c r="H34" s="235" t="n"/>
    </row>
    <row r="35" s="55">
      <c r="A35" s="185">
        <f>ROW()-ROW(A$28)</f>
        <v/>
      </c>
      <c r="B35" s="186" t="n"/>
      <c r="C35" s="187" t="n"/>
      <c r="D35" s="236" t="n"/>
      <c r="E35" s="237" t="n"/>
      <c r="F35" s="238" t="n"/>
      <c r="G35" s="191" t="n"/>
      <c r="H35" s="235" t="n"/>
    </row>
    <row r="36" s="55">
      <c r="A36" s="185">
        <f>ROW()-ROW(A$28)</f>
        <v/>
      </c>
      <c r="B36" s="186" t="n"/>
      <c r="C36" s="187" t="n"/>
      <c r="D36" s="236" t="n"/>
      <c r="E36" s="237" t="n"/>
      <c r="F36" s="238" t="n"/>
      <c r="G36" s="191" t="n"/>
      <c r="H36" s="235" t="n"/>
    </row>
    <row r="37" s="55">
      <c r="A37" s="185">
        <f>ROW()-ROW(A$28)</f>
        <v/>
      </c>
      <c r="B37" s="186" t="n"/>
      <c r="C37" s="187" t="n"/>
      <c r="D37" s="236" t="n"/>
      <c r="E37" s="237" t="n"/>
      <c r="F37" s="238" t="n"/>
      <c r="G37" s="191" t="n"/>
      <c r="H37" s="235" t="n"/>
    </row>
    <row r="38" s="55">
      <c r="A38" s="185">
        <f>ROW()-ROW(A$28)</f>
        <v/>
      </c>
      <c r="B38" s="186" t="n"/>
      <c r="C38" s="187" t="n"/>
      <c r="D38" s="236" t="n"/>
      <c r="E38" s="237" t="n"/>
      <c r="F38" s="238" t="n"/>
      <c r="G38" s="191" t="n"/>
      <c r="H38" s="235" t="n"/>
    </row>
    <row r="39" s="55">
      <c r="A39" s="185">
        <f>ROW()-ROW(A$28)</f>
        <v/>
      </c>
      <c r="B39" s="186" t="n"/>
      <c r="C39" s="187" t="n"/>
      <c r="D39" s="236" t="n"/>
      <c r="E39" s="237" t="n"/>
      <c r="F39" s="238" t="n"/>
      <c r="G39" s="191" t="n"/>
      <c r="H39" s="235" t="n"/>
    </row>
    <row r="40" s="55">
      <c r="A40" s="185">
        <f>ROW()-ROW(A$28)</f>
        <v/>
      </c>
      <c r="B40" s="186" t="n"/>
      <c r="C40" s="187" t="n"/>
      <c r="D40" s="236" t="n"/>
      <c r="E40" s="237" t="n"/>
      <c r="F40" s="238" t="n"/>
      <c r="G40" s="191" t="n"/>
      <c r="H40" s="235" t="n"/>
    </row>
    <row r="41" s="55">
      <c r="A41" s="185">
        <f>ROW()-ROW(A$28)</f>
        <v/>
      </c>
      <c r="B41" s="186" t="n"/>
      <c r="C41" s="187" t="n"/>
      <c r="D41" s="236" t="n"/>
      <c r="E41" s="237" t="n"/>
      <c r="F41" s="238" t="n"/>
      <c r="G41" s="191" t="n"/>
      <c r="H41" s="235" t="n"/>
    </row>
    <row r="42" s="55">
      <c r="A42" s="185">
        <f>ROW()-ROW(A$28)</f>
        <v/>
      </c>
      <c r="B42" s="186" t="n"/>
      <c r="C42" s="187" t="n"/>
      <c r="D42" s="236" t="n"/>
      <c r="E42" s="237" t="n"/>
      <c r="F42" s="238" t="n"/>
      <c r="G42" s="191" t="n"/>
      <c r="H42" s="235" t="n"/>
    </row>
    <row r="43" s="55">
      <c r="A43" s="185">
        <f>ROW()-ROW(A$28)</f>
        <v/>
      </c>
      <c r="B43" s="186" t="n"/>
      <c r="C43" s="187" t="n"/>
      <c r="D43" s="236" t="n"/>
      <c r="E43" s="237" t="n"/>
      <c r="F43" s="238" t="n"/>
      <c r="G43" s="191" t="n"/>
      <c r="H43" s="235" t="n"/>
    </row>
    <row r="44" s="55">
      <c r="A44" s="185">
        <f>ROW()-ROW(A$28)</f>
        <v/>
      </c>
      <c r="B44" s="186" t="n"/>
      <c r="C44" s="187" t="n"/>
      <c r="D44" s="236" t="n"/>
      <c r="E44" s="237" t="n"/>
      <c r="F44" s="238" t="n"/>
      <c r="G44" s="191" t="n"/>
      <c r="H44" s="235" t="n"/>
    </row>
    <row r="45" s="55">
      <c r="A45" s="185">
        <f>ROW()-ROW(A$28)</f>
        <v/>
      </c>
      <c r="B45" s="186" t="n"/>
      <c r="C45" s="187" t="n"/>
      <c r="D45" s="236" t="n"/>
      <c r="E45" s="237" t="n"/>
      <c r="F45" s="238" t="n"/>
      <c r="G45" s="191" t="n"/>
      <c r="H45" s="235" t="n"/>
    </row>
    <row r="46" s="55">
      <c r="A46" s="185">
        <f>ROW()-ROW(A$28)</f>
        <v/>
      </c>
      <c r="B46" s="192" t="n"/>
      <c r="C46" s="193" t="n"/>
      <c r="D46" s="239" t="n"/>
      <c r="E46" s="237" t="n"/>
      <c r="F46" s="238" t="n"/>
      <c r="G46" s="191" t="n"/>
      <c r="H46" s="235" t="n"/>
    </row>
    <row r="47" s="55">
      <c r="A47" s="185">
        <f>ROW()-ROW(A$28)</f>
        <v/>
      </c>
      <c r="B47" s="186" t="n"/>
      <c r="C47" s="187" t="n"/>
      <c r="D47" s="239" t="n"/>
      <c r="E47" s="237" t="n"/>
      <c r="F47" s="238" t="n"/>
      <c r="G47" s="191" t="n"/>
      <c r="H47" s="235" t="n"/>
    </row>
    <row r="48" s="55">
      <c r="A48" s="185">
        <f>ROW()-ROW(A$28)</f>
        <v/>
      </c>
      <c r="B48" s="186" t="n"/>
      <c r="C48" s="187" t="n"/>
      <c r="D48" s="239" t="n"/>
      <c r="E48" s="237" t="n"/>
      <c r="F48" s="238" t="n"/>
      <c r="G48" s="191" t="n"/>
      <c r="H48" s="235" t="n"/>
    </row>
    <row r="49" s="55">
      <c r="A49" s="185">
        <f>ROW()-ROW(A$28)</f>
        <v/>
      </c>
      <c r="B49" s="195" t="n"/>
      <c r="C49" s="187" t="n"/>
      <c r="D49" s="239" t="n"/>
      <c r="E49" s="237" t="n"/>
      <c r="F49" s="238" t="n"/>
      <c r="G49" s="191" t="n"/>
      <c r="H49" s="235" t="n"/>
    </row>
    <row r="50" s="55">
      <c r="A50" s="185">
        <f>ROW()-ROW(A$28)</f>
        <v/>
      </c>
      <c r="B50" s="195" t="n"/>
      <c r="C50" s="187" t="n"/>
      <c r="D50" s="240" t="n"/>
      <c r="E50" s="237" t="n"/>
      <c r="F50" s="238" t="n"/>
      <c r="G50" s="191" t="n"/>
      <c r="H50" s="235" t="n"/>
    </row>
    <row r="51" s="55">
      <c r="A51" s="185">
        <f>ROW()-ROW(A$28)</f>
        <v/>
      </c>
      <c r="B51" s="195" t="n"/>
      <c r="C51" s="187" t="n"/>
      <c r="D51" s="236" t="n"/>
      <c r="E51" s="237" t="n"/>
      <c r="F51" s="238" t="n"/>
      <c r="G51" s="191" t="n"/>
      <c r="H51" s="235" t="n"/>
    </row>
    <row r="52" s="55">
      <c r="A52" s="185">
        <f>ROW()-ROW(A$28)</f>
        <v/>
      </c>
      <c r="B52" s="195" t="n"/>
      <c r="C52" s="187" t="n"/>
      <c r="D52" s="236" t="n"/>
      <c r="E52" s="237" t="n"/>
      <c r="F52" s="238" t="n"/>
      <c r="G52" s="191" t="n"/>
      <c r="H52" s="235" t="n"/>
    </row>
    <row r="53" s="55">
      <c r="A53" s="185">
        <f>ROW()-ROW(A$28)</f>
        <v/>
      </c>
      <c r="B53" s="197" t="inlineStr">
        <is>
          <t>小计</t>
        </is>
      </c>
      <c r="C53" s="193">
        <f>ROUND(SUM(C28:INDEX(C:C,ROW()-1)),2)</f>
        <v/>
      </c>
      <c r="D53" s="241">
        <f>ROUND(SUM(D28:INDEX(D:D,ROW()-1)),2)</f>
        <v/>
      </c>
      <c r="E53" s="237">
        <f>ROUND(SUM(E28:INDEX(E:E,ROW()-1)),2)</f>
        <v/>
      </c>
      <c r="F53" s="238">
        <f>SUM(F28:INDEX(F:F,ROW()-1))</f>
        <v/>
      </c>
      <c r="G53" s="191">
        <f>IF(D53=0,0,F53/D53)</f>
        <v/>
      </c>
      <c r="H53" s="242">
        <f>SUM(H28:INDEX(H:H,ROW()-1))</f>
        <v/>
      </c>
    </row>
    <row r="54" s="55">
      <c r="A54" s="185">
        <f>ROW()-ROW(A$28)</f>
        <v/>
      </c>
      <c r="B54" s="197" t="inlineStr">
        <is>
          <t>运费</t>
        </is>
      </c>
      <c r="C54" s="193" t="n"/>
      <c r="D54" s="239" t="n">
        <v>0</v>
      </c>
      <c r="E54" s="243" t="n"/>
      <c r="F54" s="244" t="n"/>
      <c r="G54" s="202" t="n"/>
      <c r="H54" s="242" t="n"/>
    </row>
    <row r="55" s="55">
      <c r="A55" s="26">
        <f>ROW()-ROW(A$28)</f>
        <v/>
      </c>
      <c r="B55" s="203" t="inlineStr">
        <is>
          <t>合计</t>
        </is>
      </c>
      <c r="C55" s="204" t="n"/>
      <c r="D55" s="245">
        <f>ROUND(SUM(D53:D54),2)</f>
        <v/>
      </c>
      <c r="E55" s="246" t="n"/>
      <c r="F55" s="247" t="n"/>
      <c r="G55" s="208" t="n"/>
      <c r="H55" s="248" t="n"/>
    </row>
    <row r="56" s="55">
      <c r="A56" s="26">
        <f>ROW()-ROW(A$28)</f>
        <v/>
      </c>
      <c r="B56" s="203" t="inlineStr">
        <is>
          <t>人民币大写</t>
        </is>
      </c>
      <c r="C56" s="249">
        <f>TEXT(SUBSTITUTE(IF(D55="","",IF(MOD(D55,1)=0,TEXT(INT(D55),"[DBNum2][$-804]G/通用格式元整"),(TEXT(INT(D55),"[DBNum2][$-804]G/通用格式元")&amp;TEXT((INT(D55*10)-INT(D55)*10),"[DBNum2][$-804]G/通用格式角")&amp;TEXT((INT(D55*100)-INT(D55*10)*10),"[DBNum2][$-804]G/通用格式分")))),"零角","零"),)</f>
        <v/>
      </c>
      <c r="D56" s="250" t="n"/>
      <c r="E56" s="124" t="n"/>
      <c r="F56" s="124" t="n"/>
      <c r="G56" s="124" t="n"/>
      <c r="H56" s="125" t="n"/>
    </row>
    <row r="57" ht="90" customHeight="1" s="55">
      <c r="A57" s="251" t="inlineStr">
        <is>
          <t>报表说明</t>
        </is>
      </c>
      <c r="B57" s="213" t="inlineStr">
        <is>
          <t xml:space="preserve">1、包含13%增值税，有效期30天；    
2、塑壳断路器选用NSX，分断能力50KA，选用电子式；
3、微断选用施耐德IC65系列；     
4、仪表选用雅达电子；
5、浪涌选用深圳中鹏；
6、浪涌保护器选用深圳中鹏； </t>
        </is>
      </c>
      <c r="C57" s="252" t="n"/>
      <c r="D57" s="253" t="n"/>
      <c r="E57" s="124" t="n"/>
      <c r="F57" s="124" t="n"/>
      <c r="G57" s="124" t="n"/>
      <c r="H57" s="125" t="n"/>
    </row>
    <row r="58" ht="90" customHeight="1" s="55">
      <c r="A58" s="254" t="n"/>
      <c r="B58" s="255" t="n"/>
      <c r="C58" s="256" t="n"/>
      <c r="D58" s="257" t="n"/>
      <c r="E58" s="124" t="n"/>
      <c r="F58" s="124" t="n"/>
      <c r="G58" s="124" t="n"/>
      <c r="H58" s="125" t="n"/>
    </row>
    <row r="59" s="55">
      <c r="A59" s="220" t="n"/>
      <c r="B59" s="220" t="n"/>
      <c r="C59" s="220" t="n"/>
      <c r="D59" s="221" t="n"/>
      <c r="H59" s="125" t="n"/>
    </row>
  </sheetData>
  <mergeCells count="30">
    <mergeCell ref="B11:D11"/>
    <mergeCell ref="B14:D14"/>
    <mergeCell ref="B23:D23"/>
    <mergeCell ref="A4:D4"/>
    <mergeCell ref="B8:D8"/>
    <mergeCell ref="B17:D17"/>
    <mergeCell ref="A13:D13"/>
    <mergeCell ref="B10:D10"/>
    <mergeCell ref="E4:F4"/>
    <mergeCell ref="B19:D19"/>
    <mergeCell ref="B9:D9"/>
    <mergeCell ref="B15:D15"/>
    <mergeCell ref="C56:D56"/>
    <mergeCell ref="B6:D6"/>
    <mergeCell ref="B24:D24"/>
    <mergeCell ref="B20:D20"/>
    <mergeCell ref="A1:D1"/>
    <mergeCell ref="B5:D5"/>
    <mergeCell ref="A57:A58"/>
    <mergeCell ref="B57:D58"/>
    <mergeCell ref="B26:D26"/>
    <mergeCell ref="B7:D7"/>
    <mergeCell ref="B25:D25"/>
    <mergeCell ref="B16:D16"/>
    <mergeCell ref="A27:D27"/>
    <mergeCell ref="B22:D22"/>
    <mergeCell ref="A21:D21"/>
    <mergeCell ref="B18:D18"/>
    <mergeCell ref="A2:D2"/>
    <mergeCell ref="B12:D12"/>
  </mergeCells>
  <dataValidations count="1">
    <dataValidation sqref="H29:H52" showDropDown="0" showInputMessage="1" showErrorMessage="1" allowBlank="1" type="list">
      <formula1>"常规,箱变"</formula1>
    </dataValidation>
  </dataValidations>
  <hyperlinks>
    <hyperlink ref="A29" location="folderTablee3c1f88400e840758ea680f08b7bcf4f" tooltip="点击进入本分类报价清单" display="=ROW()-ROW(A$28)"/>
  </hyperlink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0"/>
  <sheetViews>
    <sheetView showGridLines="0" tabSelected="1" topLeftCell="A115" workbookViewId="0">
      <selection activeCell="E126" sqref="E126"/>
    </sheetView>
  </sheetViews>
  <sheetFormatPr baseColWidth="8" defaultColWidth="9" defaultRowHeight="18" customHeight="1"/>
  <cols>
    <col width="5" customWidth="1" style="55" min="1" max="1"/>
    <col width="13.6296296296296" customWidth="1" style="55" min="2" max="2"/>
    <col width="43.1296296296296" customWidth="1" style="55" min="3" max="3"/>
    <col width="13.5" customWidth="1" style="55" min="4" max="4"/>
    <col width="5.25" customWidth="1" style="55" min="5" max="6"/>
    <col width="12.6296296296296" customWidth="1" style="55" min="7" max="11"/>
    <col width="7.5" customWidth="1" style="55" min="12" max="12"/>
    <col width="12.6296296296296" customWidth="1" style="55" min="13" max="13"/>
    <col width="9.75" customWidth="1" style="55" min="14" max="14"/>
    <col hidden="1" width="7.5" customWidth="1" style="55" min="15" max="15"/>
    <col hidden="1" width="12.6296296296296" customWidth="1" style="55" min="16" max="16"/>
    <col width="6" customWidth="1" style="55" min="17" max="17"/>
    <col width="9.75" customWidth="1" style="55" min="18" max="19"/>
    <col hidden="1" width="9" customWidth="1" style="55" min="20" max="21"/>
    <col hidden="1" width="8.75" customWidth="1" style="55" min="22" max="23"/>
    <col hidden="1" width="9" customWidth="1" style="55" min="25" max="25"/>
    <col hidden="1" width="9" customWidth="1" style="55" min="28" max="28"/>
  </cols>
  <sheetData>
    <row r="1" s="55">
      <c r="A1" s="50" t="n"/>
      <c r="F1" s="4" t="n"/>
      <c r="I1" s="4" t="n"/>
    </row>
    <row r="2" s="55">
      <c r="A2" s="5">
        <f>T(项目信息!B22)</f>
        <v/>
      </c>
    </row>
    <row r="3" s="55">
      <c r="A3" s="6">
        <f>T(项目信息!B23)</f>
        <v/>
      </c>
    </row>
    <row r="4" s="55">
      <c r="A4" s="7" t="inlineStr">
        <is>
          <t xml:space="preserve">     成套产品报价清单                          金额单位：人民币元</t>
        </is>
      </c>
      <c r="B4" s="258" t="n"/>
      <c r="C4" s="258" t="n"/>
      <c r="D4" s="258" t="n"/>
      <c r="E4" s="258" t="n"/>
      <c r="F4" s="258" t="n"/>
      <c r="G4" s="258" t="n"/>
      <c r="H4" s="258" t="n"/>
      <c r="I4" s="258" t="n"/>
    </row>
    <row r="5" s="55">
      <c r="A5" s="259">
        <f>CONCATENATE("项目名称:",项目信息!B5)</f>
        <v/>
      </c>
      <c r="B5" s="224" t="n"/>
      <c r="C5" s="224" t="n"/>
      <c r="D5" s="224" t="n"/>
      <c r="E5" s="224" t="n"/>
      <c r="F5" s="224" t="n"/>
      <c r="G5" s="225" t="n"/>
      <c r="H5" s="164">
        <f>CONCATENATE("报价序号:",项目信息!B7)</f>
        <v/>
      </c>
      <c r="I5" s="225" t="n"/>
      <c r="J5" s="124" t="n"/>
      <c r="K5" s="124" t="n"/>
      <c r="L5" s="124" t="n"/>
      <c r="M5" s="124" t="n"/>
      <c r="N5" s="124" t="n"/>
      <c r="O5" s="124" t="n"/>
      <c r="P5" s="124" t="n"/>
      <c r="Q5" s="124" t="n"/>
    </row>
    <row r="6" s="55">
      <c r="A6" s="13" t="inlineStr">
        <is>
          <t>序号</t>
        </is>
      </c>
      <c r="B6" s="14" t="inlineStr">
        <is>
          <t>柜号</t>
        </is>
      </c>
      <c r="C6" s="14" t="inlineStr">
        <is>
          <t>箱柜名称</t>
        </is>
      </c>
      <c r="D6" s="14" t="inlineStr">
        <is>
          <t>箱柜型号</t>
        </is>
      </c>
      <c r="E6" s="15" t="inlineStr">
        <is>
          <t>单位</t>
        </is>
      </c>
      <c r="F6" s="15" t="inlineStr">
        <is>
          <t>数量</t>
        </is>
      </c>
      <c r="G6" s="260" t="inlineStr">
        <is>
          <t>单  价</t>
        </is>
      </c>
      <c r="H6" s="229" t="inlineStr">
        <is>
          <t>总   价</t>
        </is>
      </c>
      <c r="I6" s="14" t="inlineStr">
        <is>
          <t>备注</t>
        </is>
      </c>
      <c r="J6" s="230" t="inlineStr">
        <is>
          <t>成本总价</t>
        </is>
      </c>
      <c r="K6" s="231" t="inlineStr">
        <is>
          <t>毛利</t>
        </is>
      </c>
      <c r="L6" s="72" t="inlineStr">
        <is>
          <t>毛利率</t>
        </is>
      </c>
      <c r="M6" s="73" t="inlineStr">
        <is>
          <t>箱柜尺寸</t>
        </is>
      </c>
      <c r="N6" s="73" t="inlineStr">
        <is>
          <t>类别</t>
        </is>
      </c>
      <c r="O6" s="74" t="inlineStr">
        <is>
          <t>预留</t>
        </is>
      </c>
      <c r="P6" s="74" t="inlineStr">
        <is>
          <t>预留</t>
        </is>
      </c>
      <c r="Q6" s="73" t="inlineStr">
        <is>
          <t>图号</t>
        </is>
      </c>
    </row>
    <row r="7" s="55">
      <c r="A7" s="22">
        <f>ROW()-ROW(A$6)</f>
        <v/>
      </c>
      <c r="B7" s="19" t="inlineStr">
        <is>
          <t>列头柜</t>
        </is>
      </c>
      <c r="C7" s="19" t="inlineStr">
        <is>
          <t>列头柜</t>
        </is>
      </c>
      <c r="D7" s="19" t="inlineStr">
        <is>
          <t>列头柜</t>
        </is>
      </c>
      <c r="E7" s="20" t="inlineStr">
        <is>
          <t>台</t>
        </is>
      </c>
      <c r="F7" s="20" t="n">
        <v>4</v>
      </c>
      <c r="G7" s="261">
        <f>ROUND(H82,2)</f>
        <v/>
      </c>
      <c r="H7" s="261">
        <f>ROUND(F7*G7,2)</f>
        <v/>
      </c>
      <c r="I7" s="75" t="n"/>
      <c r="J7" s="262">
        <f>ROUND(K83,2)</f>
        <v/>
      </c>
      <c r="K7" s="263">
        <f>ROUND(H7-J7,2)</f>
        <v/>
      </c>
      <c r="L7" s="78">
        <f>IF(H7=0,0,K7/H7)</f>
        <v/>
      </c>
      <c r="M7" s="79" t="inlineStr">
        <is>
          <t>300mm(D)*1200mm(W)*2200mm(H)</t>
        </is>
      </c>
      <c r="N7" s="80" t="n"/>
      <c r="O7" s="81" t="n"/>
      <c r="P7" s="82" t="n"/>
      <c r="Q7" s="120" t="n"/>
    </row>
    <row r="8" s="55">
      <c r="A8" s="22">
        <f>ROW()-ROW(A$6)</f>
        <v/>
      </c>
      <c r="B8" s="19" t="inlineStr">
        <is>
          <t>空调配电柜</t>
        </is>
      </c>
      <c r="C8" s="19" t="inlineStr">
        <is>
          <t>配电柜</t>
        </is>
      </c>
      <c r="D8" s="19" t="inlineStr">
        <is>
          <t>Prisma</t>
        </is>
      </c>
      <c r="E8" s="20" t="inlineStr">
        <is>
          <t>台</t>
        </is>
      </c>
      <c r="F8" s="20" t="n">
        <v>2</v>
      </c>
      <c r="G8" s="261">
        <f>ROUND(H109,2)</f>
        <v/>
      </c>
      <c r="H8" s="261">
        <f>ROUND(F8*G8,2)</f>
        <v/>
      </c>
      <c r="I8" s="75" t="n"/>
      <c r="J8" s="262">
        <f>ROUND(K110,2)</f>
        <v/>
      </c>
      <c r="K8" s="263">
        <f>ROUND(H8-J8,2)</f>
        <v/>
      </c>
      <c r="L8" s="78">
        <f>IF(H8=0,0,K8/H8)</f>
        <v/>
      </c>
      <c r="M8" s="79" t="inlineStr">
        <is>
          <t>600D*600W*2200H</t>
        </is>
      </c>
      <c r="N8" s="80" t="n"/>
      <c r="O8" s="81" t="n"/>
      <c r="P8" s="82" t="n"/>
      <c r="Q8" s="120" t="n"/>
    </row>
    <row r="9" s="55">
      <c r="A9" s="23">
        <f>ROW()-ROW(A$6)</f>
        <v/>
      </c>
      <c r="B9" s="24" t="inlineStr">
        <is>
          <t>改造</t>
        </is>
      </c>
      <c r="C9" s="24" t="inlineStr">
        <is>
          <t>8只250A断路器</t>
        </is>
      </c>
      <c r="D9" s="24" t="n"/>
      <c r="E9" s="25" t="inlineStr">
        <is>
          <t>项</t>
        </is>
      </c>
      <c r="F9" s="20" t="n">
        <v>1</v>
      </c>
      <c r="G9" s="261">
        <f>ROUND(H146,2)</f>
        <v/>
      </c>
      <c r="H9" s="261">
        <f>ROUND(F9*G9,2)</f>
        <v/>
      </c>
      <c r="I9" s="75" t="n"/>
      <c r="J9" s="262">
        <f>ROUND(K147,2)</f>
        <v/>
      </c>
      <c r="K9" s="263">
        <f>ROUND(H9-J9,2)</f>
        <v/>
      </c>
      <c r="L9" s="83">
        <f>IF(H9=0,0,K9/H9)</f>
        <v/>
      </c>
      <c r="M9" s="79" t="n"/>
      <c r="N9" s="80" t="n"/>
      <c r="O9" s="81" t="n"/>
      <c r="P9" s="82" t="n"/>
      <c r="Q9" s="120" t="n"/>
    </row>
    <row r="10" s="55">
      <c r="A10" s="26">
        <f>ROW()-ROW(A$6)</f>
        <v/>
      </c>
      <c r="B10" s="19" t="n"/>
      <c r="C10" s="19" t="n"/>
      <c r="D10" s="19" t="n"/>
      <c r="E10" s="20" t="n"/>
      <c r="F10" s="20" t="n"/>
      <c r="G10" s="261" t="n"/>
      <c r="H10" s="261" t="n"/>
      <c r="I10" s="75" t="n"/>
      <c r="J10" s="262" t="n"/>
      <c r="K10" s="263" t="n"/>
      <c r="L10" s="78" t="n"/>
      <c r="M10" s="79" t="n"/>
      <c r="N10" s="80" t="n"/>
      <c r="O10" s="81" t="n"/>
      <c r="P10" s="82" t="n"/>
      <c r="Q10" s="120" t="n"/>
    </row>
    <row r="11" s="55">
      <c r="A11" s="26">
        <f>ROW()-ROW(A$6)</f>
        <v/>
      </c>
      <c r="B11" s="19" t="n"/>
      <c r="C11" s="19" t="n"/>
      <c r="D11" s="19" t="n"/>
      <c r="E11" s="20" t="n"/>
      <c r="F11" s="20" t="n"/>
      <c r="G11" s="261" t="n"/>
      <c r="H11" s="261" t="n"/>
      <c r="I11" s="75" t="n"/>
      <c r="J11" s="262" t="n"/>
      <c r="K11" s="263" t="n"/>
      <c r="L11" s="78" t="n"/>
      <c r="M11" s="79" t="n"/>
      <c r="N11" s="80" t="n"/>
      <c r="O11" s="81" t="n"/>
      <c r="P11" s="82" t="n"/>
      <c r="Q11" s="120" t="n"/>
    </row>
    <row r="12" s="55">
      <c r="A12" s="26">
        <f>ROW()-ROW(A$6)</f>
        <v/>
      </c>
      <c r="B12" s="19" t="n"/>
      <c r="C12" s="19" t="n"/>
      <c r="D12" s="19" t="n"/>
      <c r="E12" s="20" t="n"/>
      <c r="F12" s="20" t="n"/>
      <c r="G12" s="261" t="n"/>
      <c r="H12" s="261" t="n"/>
      <c r="I12" s="75" t="n"/>
      <c r="J12" s="262" t="n"/>
      <c r="K12" s="263" t="n"/>
      <c r="L12" s="78" t="n"/>
      <c r="M12" s="79" t="n"/>
      <c r="N12" s="80" t="n"/>
      <c r="O12" s="81" t="n"/>
      <c r="P12" s="82" t="n"/>
      <c r="Q12" s="120" t="n"/>
    </row>
    <row r="13" s="55">
      <c r="A13" s="26">
        <f>ROW()-ROW(A$6)</f>
        <v/>
      </c>
      <c r="B13" s="19" t="n"/>
      <c r="C13" s="19" t="n"/>
      <c r="D13" s="19" t="n"/>
      <c r="E13" s="20" t="n"/>
      <c r="F13" s="20" t="n"/>
      <c r="G13" s="261" t="n"/>
      <c r="H13" s="261" t="n"/>
      <c r="I13" s="75" t="n"/>
      <c r="J13" s="262" t="n"/>
      <c r="K13" s="263" t="n"/>
      <c r="L13" s="78" t="n"/>
      <c r="M13" s="79" t="n"/>
      <c r="N13" s="80" t="n"/>
      <c r="O13" s="81" t="n"/>
      <c r="P13" s="82" t="n"/>
      <c r="Q13" s="120" t="n"/>
    </row>
    <row r="14" s="55">
      <c r="A14" s="26">
        <f>ROW()-ROW(A$6)</f>
        <v/>
      </c>
      <c r="B14" s="19" t="n"/>
      <c r="C14" s="19" t="n"/>
      <c r="D14" s="19" t="n"/>
      <c r="E14" s="20" t="n"/>
      <c r="F14" s="20" t="n"/>
      <c r="G14" s="261" t="n"/>
      <c r="H14" s="261" t="n"/>
      <c r="I14" s="75" t="n"/>
      <c r="J14" s="262" t="n"/>
      <c r="K14" s="263" t="n"/>
      <c r="L14" s="78" t="n"/>
      <c r="M14" s="79" t="n"/>
      <c r="N14" s="80" t="n"/>
      <c r="O14" s="81" t="n"/>
      <c r="P14" s="82" t="n"/>
      <c r="Q14" s="120" t="n"/>
    </row>
    <row r="15" s="55">
      <c r="A15" s="26">
        <f>ROW()-ROW(A$6)</f>
        <v/>
      </c>
      <c r="B15" s="19" t="n"/>
      <c r="C15" s="19" t="n"/>
      <c r="D15" s="19" t="n"/>
      <c r="E15" s="20" t="n"/>
      <c r="F15" s="20" t="n"/>
      <c r="G15" s="261" t="n"/>
      <c r="H15" s="261" t="n"/>
      <c r="I15" s="75" t="n"/>
      <c r="J15" s="262" t="n"/>
      <c r="K15" s="263" t="n"/>
      <c r="L15" s="78" t="n"/>
      <c r="M15" s="79" t="n"/>
      <c r="N15" s="80" t="n"/>
      <c r="O15" s="81" t="n"/>
      <c r="P15" s="82" t="n"/>
      <c r="Q15" s="120" t="n"/>
    </row>
    <row r="16" s="55">
      <c r="A16" s="26">
        <f>ROW()-ROW(A$6)</f>
        <v/>
      </c>
      <c r="B16" s="19" t="n"/>
      <c r="C16" s="19" t="n"/>
      <c r="D16" s="19" t="n"/>
      <c r="E16" s="20" t="n"/>
      <c r="F16" s="20" t="n"/>
      <c r="G16" s="261" t="n"/>
      <c r="H16" s="261" t="n"/>
      <c r="I16" s="75" t="n"/>
      <c r="J16" s="262" t="n"/>
      <c r="K16" s="263" t="n"/>
      <c r="L16" s="78" t="n"/>
      <c r="M16" s="79" t="n"/>
      <c r="N16" s="80" t="n"/>
      <c r="O16" s="81" t="n"/>
      <c r="P16" s="82" t="n"/>
      <c r="Q16" s="120" t="n"/>
    </row>
    <row r="17" s="55">
      <c r="A17" s="26">
        <f>ROW()-ROW(A$6)</f>
        <v/>
      </c>
      <c r="B17" s="19" t="n"/>
      <c r="C17" s="19" t="n"/>
      <c r="D17" s="19" t="n"/>
      <c r="E17" s="20" t="n"/>
      <c r="F17" s="27" t="n"/>
      <c r="G17" s="261" t="n"/>
      <c r="H17" s="261" t="n"/>
      <c r="I17" s="75" t="n"/>
      <c r="J17" s="262" t="n"/>
      <c r="K17" s="263" t="n"/>
      <c r="L17" s="78" t="n"/>
      <c r="M17" s="79" t="n"/>
      <c r="N17" s="80" t="n"/>
      <c r="O17" s="81" t="n"/>
      <c r="P17" s="82" t="n"/>
      <c r="Q17" s="120" t="n"/>
    </row>
    <row r="18" s="55">
      <c r="A18" s="26">
        <f>ROW()-ROW(A$6)</f>
        <v/>
      </c>
      <c r="B18" s="19" t="n"/>
      <c r="C18" s="19" t="n"/>
      <c r="D18" s="19" t="n"/>
      <c r="E18" s="20" t="n"/>
      <c r="F18" s="27" t="n"/>
      <c r="G18" s="261" t="n"/>
      <c r="H18" s="261" t="n"/>
      <c r="I18" s="75" t="n"/>
      <c r="J18" s="262" t="n"/>
      <c r="K18" s="263" t="n"/>
      <c r="L18" s="78" t="n"/>
      <c r="M18" s="79" t="n"/>
      <c r="N18" s="80" t="n"/>
      <c r="O18" s="81" t="n"/>
      <c r="P18" s="82" t="n"/>
      <c r="Q18" s="120" t="n"/>
    </row>
    <row r="19" s="55">
      <c r="A19" s="26">
        <f>ROW()-ROW(A$6)</f>
        <v/>
      </c>
      <c r="B19" s="19" t="n"/>
      <c r="C19" s="19" t="n"/>
      <c r="D19" s="19" t="n"/>
      <c r="E19" s="20" t="n"/>
      <c r="F19" s="27" t="n"/>
      <c r="G19" s="261" t="n"/>
      <c r="H19" s="261" t="n"/>
      <c r="I19" s="75" t="n"/>
      <c r="J19" s="262" t="n"/>
      <c r="K19" s="263" t="n"/>
      <c r="L19" s="78" t="n"/>
      <c r="M19" s="79" t="n"/>
      <c r="N19" s="80" t="n"/>
      <c r="O19" s="81" t="n"/>
      <c r="P19" s="82" t="n"/>
      <c r="Q19" s="120" t="n"/>
    </row>
    <row r="20" s="55">
      <c r="A20" s="26">
        <f>ROW()-ROW(A$6)</f>
        <v/>
      </c>
      <c r="B20" s="19" t="n"/>
      <c r="C20" s="19" t="n"/>
      <c r="D20" s="19" t="n"/>
      <c r="E20" s="20" t="n"/>
      <c r="F20" s="27" t="n"/>
      <c r="G20" s="261" t="n"/>
      <c r="H20" s="261" t="n"/>
      <c r="I20" s="75" t="n"/>
      <c r="J20" s="262" t="n"/>
      <c r="K20" s="263" t="n"/>
      <c r="L20" s="78" t="n"/>
      <c r="M20" s="79" t="n"/>
      <c r="N20" s="80" t="n"/>
      <c r="O20" s="81" t="n"/>
      <c r="P20" s="82" t="n"/>
      <c r="Q20" s="120" t="n"/>
    </row>
    <row r="21" s="55">
      <c r="A21" s="26">
        <f>ROW()-ROW(A$6)</f>
        <v/>
      </c>
      <c r="B21" s="19" t="n"/>
      <c r="C21" s="19" t="n"/>
      <c r="D21" s="19" t="n"/>
      <c r="E21" s="20" t="n"/>
      <c r="F21" s="20" t="n"/>
      <c r="G21" s="261" t="n"/>
      <c r="H21" s="261" t="n"/>
      <c r="I21" s="75" t="n"/>
      <c r="J21" s="262" t="n"/>
      <c r="K21" s="263" t="n"/>
      <c r="L21" s="78" t="n"/>
      <c r="M21" s="79" t="n"/>
      <c r="N21" s="80" t="n"/>
      <c r="O21" s="81" t="n"/>
      <c r="P21" s="82" t="n"/>
      <c r="Q21" s="120" t="n"/>
    </row>
    <row r="22" s="55">
      <c r="A22" s="26">
        <f>ROW()-ROW(A$6)</f>
        <v/>
      </c>
      <c r="B22" s="19" t="n"/>
      <c r="C22" s="19" t="n"/>
      <c r="D22" s="19" t="n"/>
      <c r="E22" s="20" t="n"/>
      <c r="F22" s="20" t="n"/>
      <c r="G22" s="261" t="n"/>
      <c r="H22" s="261" t="n"/>
      <c r="I22" s="75" t="n"/>
      <c r="J22" s="262" t="n"/>
      <c r="K22" s="263" t="n"/>
      <c r="L22" s="78" t="n"/>
      <c r="M22" s="79" t="n"/>
      <c r="N22" s="80" t="n"/>
      <c r="O22" s="81" t="n"/>
      <c r="P22" s="82" t="n"/>
      <c r="Q22" s="120" t="n"/>
    </row>
    <row r="23" s="55">
      <c r="A23" s="26">
        <f>ROW()-ROW(A$6)</f>
        <v/>
      </c>
      <c r="B23" s="24" t="n"/>
      <c r="C23" s="24" t="n"/>
      <c r="D23" s="19" t="n"/>
      <c r="E23" s="25" t="n"/>
      <c r="F23" s="25" t="n"/>
      <c r="G23" s="264" t="n"/>
      <c r="H23" s="264" t="n"/>
      <c r="I23" s="75" t="n"/>
      <c r="J23" s="262" t="n"/>
      <c r="K23" s="263" t="n"/>
      <c r="L23" s="78" t="n"/>
      <c r="M23" s="79" t="n"/>
      <c r="N23" s="80" t="n"/>
      <c r="O23" s="81" t="n"/>
      <c r="P23" s="82" t="n"/>
      <c r="Q23" s="120" t="n"/>
    </row>
    <row r="24" s="55">
      <c r="A24" s="26">
        <f>ROW()-ROW(A$6)</f>
        <v/>
      </c>
      <c r="B24" s="19" t="n"/>
      <c r="C24" s="19" t="n"/>
      <c r="D24" s="19" t="n"/>
      <c r="E24" s="25" t="n"/>
      <c r="F24" s="29" t="n"/>
      <c r="G24" s="264" t="n"/>
      <c r="H24" s="264" t="n"/>
      <c r="I24" s="75" t="n"/>
      <c r="J24" s="262" t="n"/>
      <c r="K24" s="263" t="n"/>
      <c r="L24" s="78" t="n"/>
      <c r="M24" s="79" t="n"/>
      <c r="N24" s="80" t="n"/>
      <c r="O24" s="81" t="n"/>
      <c r="P24" s="82" t="n"/>
      <c r="Q24" s="120" t="n"/>
    </row>
    <row r="25" s="55">
      <c r="A25" s="26">
        <f>ROW()-ROW(A$6)</f>
        <v/>
      </c>
      <c r="B25" s="19" t="n"/>
      <c r="C25" s="19" t="n"/>
      <c r="D25" s="19" t="n"/>
      <c r="E25" s="25" t="n"/>
      <c r="F25" s="29" t="n"/>
      <c r="G25" s="264" t="n"/>
      <c r="H25" s="264" t="n"/>
      <c r="I25" s="75" t="n"/>
      <c r="J25" s="262" t="n"/>
      <c r="K25" s="263" t="n"/>
      <c r="L25" s="78" t="n"/>
      <c r="M25" s="79" t="n"/>
      <c r="N25" s="80" t="n"/>
      <c r="O25" s="81" t="n"/>
      <c r="P25" s="82" t="n"/>
      <c r="Q25" s="120" t="n"/>
    </row>
    <row r="26" s="55">
      <c r="A26" s="26">
        <f>ROW()-ROW(A$6)</f>
        <v/>
      </c>
      <c r="B26" s="19" t="n"/>
      <c r="C26" s="19" t="n"/>
      <c r="D26" s="19" t="n"/>
      <c r="E26" s="20" t="n"/>
      <c r="F26" s="20" t="n"/>
      <c r="G26" s="261" t="n"/>
      <c r="H26" s="261" t="n"/>
      <c r="I26" s="75" t="n"/>
      <c r="J26" s="262" t="n"/>
      <c r="K26" s="263" t="n"/>
      <c r="L26" s="78" t="n"/>
      <c r="M26" s="79" t="n"/>
      <c r="N26" s="80" t="n"/>
      <c r="O26" s="81" t="n"/>
      <c r="P26" s="82" t="n"/>
      <c r="Q26" s="120" t="n"/>
    </row>
    <row r="27" s="55">
      <c r="A27" s="26">
        <f>ROW()-ROW(A$6)</f>
        <v/>
      </c>
      <c r="B27" s="19" t="n"/>
      <c r="C27" s="19" t="n"/>
      <c r="D27" s="19" t="n"/>
      <c r="E27" s="20" t="n"/>
      <c r="F27" s="20" t="n"/>
      <c r="G27" s="261" t="n"/>
      <c r="H27" s="261" t="n"/>
      <c r="I27" s="75" t="n"/>
      <c r="J27" s="262" t="n"/>
      <c r="K27" s="263" t="n"/>
      <c r="L27" s="78" t="n"/>
      <c r="M27" s="79" t="n"/>
      <c r="N27" s="80" t="n"/>
      <c r="O27" s="81" t="n"/>
      <c r="P27" s="82" t="n"/>
      <c r="Q27" s="120" t="n"/>
    </row>
    <row r="28" s="55">
      <c r="A28" s="26">
        <f>ROW()-ROW(A$6)</f>
        <v/>
      </c>
      <c r="B28" s="19" t="n"/>
      <c r="C28" s="19" t="n"/>
      <c r="D28" s="19" t="n"/>
      <c r="E28" s="20" t="n"/>
      <c r="F28" s="20" t="n"/>
      <c r="G28" s="261" t="n"/>
      <c r="H28" s="261" t="n"/>
      <c r="I28" s="75" t="n"/>
      <c r="J28" s="262" t="n"/>
      <c r="K28" s="263" t="n"/>
      <c r="L28" s="78" t="n"/>
      <c r="M28" s="79" t="n"/>
      <c r="N28" s="80" t="n"/>
      <c r="O28" s="81" t="n"/>
      <c r="P28" s="82" t="n"/>
      <c r="Q28" s="120" t="n"/>
    </row>
    <row r="29" s="55">
      <c r="A29" s="26">
        <f>ROW()-ROW(A$6)</f>
        <v/>
      </c>
      <c r="B29" s="19" t="n"/>
      <c r="C29" s="19" t="n"/>
      <c r="D29" s="19" t="n"/>
      <c r="E29" s="20" t="n"/>
      <c r="F29" s="20" t="n"/>
      <c r="G29" s="261" t="n"/>
      <c r="H29" s="261" t="n"/>
      <c r="I29" s="75" t="n"/>
      <c r="J29" s="262" t="n"/>
      <c r="K29" s="263" t="n"/>
      <c r="L29" s="78" t="n"/>
      <c r="M29" s="79" t="n"/>
      <c r="N29" s="80" t="n"/>
      <c r="O29" s="81" t="n"/>
      <c r="P29" s="82" t="n"/>
      <c r="Q29" s="120" t="n"/>
    </row>
    <row r="30" s="55">
      <c r="A30" s="26">
        <f>ROW()-ROW(A$6)</f>
        <v/>
      </c>
      <c r="B30" s="30" t="inlineStr">
        <is>
          <t>小计</t>
        </is>
      </c>
      <c r="C30" s="30" t="n"/>
      <c r="D30" s="31" t="n"/>
      <c r="E30" s="32" t="inlineStr">
        <is>
          <t>台</t>
        </is>
      </c>
      <c r="F30" s="32">
        <f>SUM(F6:INDEX(F:F,ROW()-1))</f>
        <v/>
      </c>
      <c r="G30" s="265" t="n"/>
      <c r="H30" s="266">
        <f>ROUND(SUM(H6:INDEX(H:H,ROW()-1)),2)</f>
        <v/>
      </c>
      <c r="I30" s="84" t="n"/>
      <c r="J30" s="262">
        <f>ROUND(SUM(J6:INDEX(J:J,ROW()-1)),2)</f>
        <v/>
      </c>
      <c r="K30" s="263">
        <f>ROUND(SUM(K6:INDEX(K:K,ROW()-1)),2)</f>
        <v/>
      </c>
      <c r="L30" s="78" t="n"/>
      <c r="M30" s="79" t="n"/>
      <c r="N30" s="80" t="n"/>
      <c r="O30" s="81" t="n"/>
      <c r="P30" s="82" t="n"/>
      <c r="Q30" s="120" t="n"/>
    </row>
    <row r="31" s="55">
      <c r="A31" s="26">
        <f>ROW()-ROW(A$6)</f>
        <v/>
      </c>
      <c r="B31" s="35" t="inlineStr">
        <is>
          <t>包装费</t>
        </is>
      </c>
      <c r="C31" s="35" t="n"/>
      <c r="D31" s="36" t="n"/>
      <c r="E31" s="32" t="inlineStr">
        <is>
          <t>台</t>
        </is>
      </c>
      <c r="F31" s="32" t="n">
        <v>6</v>
      </c>
      <c r="G31" s="266" t="n"/>
      <c r="H31" s="266">
        <f>ROUND(F31*G31,2)</f>
        <v/>
      </c>
      <c r="I31" s="85" t="n"/>
      <c r="J31" s="262">
        <f>ROUND(H31,2)</f>
        <v/>
      </c>
      <c r="K31" s="263" t="n"/>
      <c r="L31" s="78" t="n"/>
      <c r="M31" s="267" t="n"/>
      <c r="N31" s="268" t="n"/>
      <c r="O31" s="81" t="n"/>
      <c r="P31" s="82" t="n"/>
      <c r="Q31" s="269" t="n"/>
    </row>
    <row r="32" s="55">
      <c r="A32" s="26">
        <f>ROW()-ROW(A$6)</f>
        <v/>
      </c>
      <c r="B32" s="35" t="inlineStr">
        <is>
          <t>运输费</t>
        </is>
      </c>
      <c r="C32" s="35" t="inlineStr">
        <is>
          <t>泰州-苏州</t>
        </is>
      </c>
      <c r="D32" s="36" t="n"/>
      <c r="E32" s="32" t="inlineStr">
        <is>
          <t>趟</t>
        </is>
      </c>
      <c r="F32" s="32" t="n">
        <v>1</v>
      </c>
      <c r="G32" s="266" t="n">
        <v>1000</v>
      </c>
      <c r="H32" s="266">
        <f>ROUND(F32*G32,2)</f>
        <v/>
      </c>
      <c r="I32" s="85" t="n"/>
      <c r="J32" s="262">
        <f>ROUND(H32,2)</f>
        <v/>
      </c>
      <c r="K32" s="263" t="n"/>
      <c r="L32" s="78" t="n"/>
      <c r="M32" s="267" t="n"/>
      <c r="N32" s="268" t="n"/>
      <c r="O32" s="81" t="n"/>
      <c r="P32" s="82" t="n"/>
      <c r="Q32" s="269" t="n"/>
    </row>
    <row r="33" s="55">
      <c r="A33" s="26">
        <f>ROW()-ROW(A$6)</f>
        <v/>
      </c>
      <c r="B33" s="35" t="inlineStr">
        <is>
          <t>运载工具车</t>
        </is>
      </c>
      <c r="C33" s="35" t="n"/>
      <c r="D33" s="36" t="n"/>
      <c r="E33" s="32" t="inlineStr">
        <is>
          <t>台</t>
        </is>
      </c>
      <c r="F33" s="32" t="n">
        <v>1</v>
      </c>
      <c r="G33" s="266" t="n">
        <v>0</v>
      </c>
      <c r="H33" s="266">
        <f>ROUND(F33*G33,2)</f>
        <v/>
      </c>
      <c r="I33" s="270" t="n"/>
      <c r="J33" s="262">
        <f>ROUND(H33,2)</f>
        <v/>
      </c>
      <c r="K33" s="263" t="n"/>
      <c r="L33" s="78" t="n"/>
      <c r="M33" s="267" t="n"/>
      <c r="N33" s="268" t="n"/>
      <c r="O33" s="81" t="n"/>
      <c r="P33" s="82" t="n"/>
      <c r="Q33" s="269" t="n"/>
    </row>
    <row r="34" s="55">
      <c r="A34" s="26">
        <f>ROW()-ROW(A$6)</f>
        <v/>
      </c>
      <c r="B34" s="37" t="inlineStr">
        <is>
          <t>合计(人民币大写)</t>
        </is>
      </c>
      <c r="C34" s="271">
        <f>TEXT(SUBSTITUTE(IF(H34="","",IF(MOD(H34,1)=0,TEXT(INT(H34),"[DBNum2][$-804]G/通用格式元整"),(TEXT(INT(H34),"[DBNum2][$-804]G/通用格式元")&amp;TEXT((INT(H34*10)-INT(H34)*10),"[DBNum2][$-804]G/通用格式角")&amp;TEXT((INT(H34*100)-INT(H34*10)*10),"[DBNum2][$-804]G/通用格式分")))),"零角","零"),)</f>
        <v/>
      </c>
      <c r="D34" s="272" t="n"/>
      <c r="E34" s="40" t="n"/>
      <c r="F34" s="41">
        <f>IF(项目信息!H29="箱变",1,"")</f>
        <v/>
      </c>
      <c r="G34" s="273">
        <f>ROUND(SUM(H30:H33),2)</f>
        <v/>
      </c>
      <c r="H34" s="273">
        <f>ROUND(IF(F34="",1,F34)*G34,2)</f>
        <v/>
      </c>
      <c r="I34" s="274" t="n"/>
      <c r="J34" s="275">
        <f>ROUND(IF(F34="",1,F34)*SUM(J30:J33),2)</f>
        <v/>
      </c>
      <c r="K34" s="276">
        <f>ROUND(IF(F34="",1,F34)*SUM(K30:K33),2)</f>
        <v/>
      </c>
      <c r="L34" s="92">
        <f>IF(H34=0,0,K34/H34)</f>
        <v/>
      </c>
      <c r="M34" s="277" t="n"/>
      <c r="N34" s="278" t="n"/>
      <c r="O34" s="95" t="n"/>
      <c r="P34" s="96" t="n"/>
      <c r="Q34" s="279" t="n"/>
    </row>
    <row r="35" s="55">
      <c r="A35" s="43" t="inlineStr">
        <is>
          <t>说明</t>
        </is>
      </c>
      <c r="B35" s="44" t="n"/>
      <c r="C35" s="252" t="n"/>
      <c r="D35" s="252" t="n"/>
      <c r="E35" s="252" t="n"/>
      <c r="F35" s="252" t="n"/>
      <c r="G35" s="252" t="n"/>
      <c r="H35" s="252" t="n"/>
      <c r="I35" s="253" t="n"/>
      <c r="J35" s="280" t="n"/>
      <c r="K35" s="280" t="n"/>
      <c r="L35" s="124" t="n"/>
      <c r="M35" s="124" t="n"/>
      <c r="N35" s="124" t="n"/>
      <c r="O35" s="124" t="n"/>
      <c r="P35" s="124" t="n"/>
      <c r="Q35" s="124" t="n"/>
    </row>
    <row r="36" s="55">
      <c r="A36" s="281" t="n"/>
      <c r="B36" s="255" t="n"/>
      <c r="C36" s="256" t="n"/>
      <c r="D36" s="256" t="n"/>
      <c r="E36" s="256" t="n"/>
      <c r="F36" s="256" t="n"/>
      <c r="G36" s="256" t="n"/>
      <c r="H36" s="256" t="n"/>
      <c r="I36" s="257" t="n"/>
      <c r="J36" s="280" t="n"/>
      <c r="K36" s="280" t="n"/>
      <c r="L36" s="124" t="n"/>
      <c r="M36" s="124" t="n"/>
      <c r="N36" s="124" t="n"/>
      <c r="O36" s="124" t="n"/>
      <c r="P36" s="124" t="n"/>
      <c r="Q36" s="124" t="n"/>
    </row>
    <row r="37" s="55">
      <c r="A37" s="50" t="n"/>
      <c r="B37" s="124" t="n"/>
      <c r="C37" s="124" t="n"/>
      <c r="D37" s="124" t="n"/>
      <c r="E37" s="124" t="n"/>
      <c r="F37" s="124" t="n"/>
      <c r="G37" s="280" t="n"/>
      <c r="H37" s="280" t="n"/>
      <c r="J37" s="280" t="n"/>
      <c r="K37" s="280" t="n"/>
      <c r="L37" s="124" t="n"/>
      <c r="M37" s="124" t="n"/>
      <c r="N37" s="124" t="n"/>
      <c r="O37" s="124" t="n"/>
      <c r="P37" s="124" t="n"/>
      <c r="Q37" s="124" t="n"/>
    </row>
    <row r="38" s="55">
      <c r="A38" s="50" t="n"/>
      <c r="B38" s="124" t="n"/>
      <c r="C38" s="124" t="n"/>
      <c r="D38" s="124" t="n"/>
      <c r="E38" s="124" t="n"/>
      <c r="F38" s="124" t="n"/>
      <c r="G38" s="280" t="n"/>
      <c r="H38" s="280" t="n"/>
      <c r="I38" s="124" t="n"/>
      <c r="J38" s="280" t="n"/>
      <c r="K38" s="280" t="n"/>
      <c r="L38" s="124" t="n"/>
      <c r="M38" s="124" t="n"/>
      <c r="N38" s="124" t="n"/>
      <c r="O38" s="124" t="n"/>
      <c r="P38" s="124" t="n"/>
      <c r="Q38" s="124" t="n"/>
    </row>
    <row r="39" s="55">
      <c r="A39" s="52">
        <f>CONCATENATE("报价人：",项目信息!B8)</f>
        <v/>
      </c>
      <c r="B39" s="220" t="n"/>
      <c r="C39" s="220" t="n"/>
      <c r="D39" s="54" t="n"/>
      <c r="E39" s="54" t="n"/>
      <c r="F39" s="54" t="n"/>
      <c r="H39" s="56">
        <f>项目信息!B9</f>
        <v/>
      </c>
      <c r="I39" s="124" t="n"/>
      <c r="J39" s="124" t="n"/>
      <c r="K39" s="124" t="n"/>
      <c r="L39" s="124" t="n"/>
      <c r="M39" s="124" t="n"/>
      <c r="N39" s="124" t="n"/>
      <c r="O39" s="124" t="n"/>
      <c r="P39" s="124" t="n"/>
      <c r="Q39" s="124" t="n"/>
    </row>
    <row r="40" s="55">
      <c r="A40" s="5">
        <f>T(项目信息!$B$22)</f>
        <v/>
      </c>
      <c r="Q40" s="125" t="n"/>
      <c r="R40" s="125" t="n"/>
      <c r="S40" s="125" t="n"/>
      <c r="T40" s="125" t="n"/>
      <c r="U40" s="125" t="n"/>
      <c r="X40" s="124" t="n"/>
    </row>
    <row r="41" s="55">
      <c r="A41" s="6">
        <f>T(项目信息!$B$23)</f>
        <v/>
      </c>
      <c r="Q41" s="125" t="n"/>
      <c r="R41" s="125" t="n"/>
      <c r="S41" s="125" t="n"/>
      <c r="T41" s="125" t="n"/>
      <c r="U41" s="125" t="n"/>
      <c r="X41" s="124" t="n"/>
    </row>
    <row r="42" s="55">
      <c r="A42" s="57" t="inlineStr">
        <is>
          <t>成套产品报价明细表</t>
        </is>
      </c>
      <c r="B42" s="282" t="n"/>
      <c r="C42" s="282" t="n"/>
      <c r="D42" s="282" t="n"/>
      <c r="E42" s="282" t="n"/>
      <c r="F42" s="282" t="n"/>
      <c r="G42" s="282" t="n"/>
      <c r="H42" s="282" t="n"/>
      <c r="I42" s="282" t="n"/>
      <c r="Q42" s="125" t="n"/>
      <c r="R42" s="125" t="n"/>
      <c r="S42" s="125" t="n"/>
      <c r="T42" s="125" t="n"/>
      <c r="U42" s="125" t="n"/>
      <c r="X42" s="124" t="n"/>
    </row>
    <row r="43" customFormat="1" s="126">
      <c r="A43" s="58" t="inlineStr">
        <is>
          <t>柜号:</t>
        </is>
      </c>
      <c r="B43" s="59" t="inlineStr">
        <is>
          <t>列头柜</t>
        </is>
      </c>
      <c r="C43" s="60" t="inlineStr">
        <is>
          <t>型号:</t>
        </is>
      </c>
      <c r="D43" s="59" t="inlineStr">
        <is>
          <t>列头柜</t>
        </is>
      </c>
      <c r="E43" s="283" t="n"/>
      <c r="F43" s="61" t="inlineStr">
        <is>
          <t>名称:</t>
        </is>
      </c>
      <c r="G43" s="59" t="inlineStr">
        <is>
          <t>列头柜</t>
        </is>
      </c>
      <c r="H43" s="283" t="n"/>
      <c r="I43" s="284" t="n"/>
      <c r="J43" s="100" t="inlineStr">
        <is>
          <t>箱柜尺寸:</t>
        </is>
      </c>
      <c r="K43" s="101" t="inlineStr">
        <is>
          <t>300mm(D)*1200mm(W)*2200mm(H)</t>
        </is>
      </c>
      <c r="L43" s="100" t="inlineStr">
        <is>
          <t>类别:</t>
        </is>
      </c>
      <c r="M43" s="101" t="n"/>
      <c r="N43" s="285" t="n"/>
      <c r="Q43" s="125" t="n"/>
      <c r="R43" s="125" t="n"/>
      <c r="S43" s="125" t="n"/>
      <c r="T43" s="125" t="n"/>
      <c r="U43" s="125" t="n"/>
      <c r="X43" s="126" t="n"/>
    </row>
    <row r="44" ht="20.1" customFormat="1" customHeight="1" s="124">
      <c r="A44" s="13" t="inlineStr">
        <is>
          <t>序号</t>
        </is>
      </c>
      <c r="B44" s="62" t="inlineStr">
        <is>
          <t>元件名称</t>
        </is>
      </c>
      <c r="C44" s="62" t="inlineStr">
        <is>
          <t>型号规格</t>
        </is>
      </c>
      <c r="D44" s="63" t="inlineStr">
        <is>
          <t>生产厂家</t>
        </is>
      </c>
      <c r="E44" s="15" t="inlineStr">
        <is>
          <t>单位</t>
        </is>
      </c>
      <c r="F44" s="15" t="inlineStr">
        <is>
          <t>数量</t>
        </is>
      </c>
      <c r="G44" s="260" t="inlineStr">
        <is>
          <t>单   价</t>
        </is>
      </c>
      <c r="H44" s="229" t="inlineStr">
        <is>
          <t>总   价</t>
        </is>
      </c>
      <c r="I44" s="103" t="inlineStr">
        <is>
          <t>备注</t>
        </is>
      </c>
      <c r="J44" s="286" t="inlineStr">
        <is>
          <t>成本单价</t>
        </is>
      </c>
      <c r="K44" s="286" t="inlineStr">
        <is>
          <t>成本总价</t>
        </is>
      </c>
      <c r="L44" s="105" t="inlineStr">
        <is>
          <t>报出
系数</t>
        </is>
      </c>
      <c r="M44" s="286" t="inlineStr">
        <is>
          <t>表价</t>
        </is>
      </c>
      <c r="N44" s="105" t="inlineStr">
        <is>
          <t>折扣
系数</t>
        </is>
      </c>
      <c r="O44" s="106" t="inlineStr">
        <is>
          <t>取费
系数</t>
        </is>
      </c>
      <c r="P44" s="286" t="inlineStr">
        <is>
          <t>成套费</t>
        </is>
      </c>
      <c r="Q44" s="127" t="inlineStr">
        <is>
          <t>类别</t>
        </is>
      </c>
      <c r="R44" s="127" t="inlineStr">
        <is>
          <t>物料编码</t>
        </is>
      </c>
      <c r="S44" s="127" t="inlineStr">
        <is>
          <t>产地</t>
        </is>
      </c>
      <c r="T44" s="127" t="inlineStr">
        <is>
          <t>加工费</t>
        </is>
      </c>
      <c r="U44" s="127" t="inlineStr">
        <is>
          <t>订货号</t>
        </is>
      </c>
      <c r="V44" s="127" t="inlineStr">
        <is>
          <t>人工</t>
        </is>
      </c>
      <c r="W44" s="127" t="inlineStr">
        <is>
          <t>辅料</t>
        </is>
      </c>
      <c r="X44" s="128" t="n"/>
    </row>
    <row r="45" customFormat="1" s="124">
      <c r="A45" s="64">
        <f>ROW()-ROW(A$44)</f>
        <v/>
      </c>
      <c r="B45" s="65" t="inlineStr">
        <is>
          <t>交流塑壳断路器</t>
        </is>
      </c>
      <c r="C45" s="65" t="inlineStr">
        <is>
          <t>NSX250N MIC 2.2 250 3P F</t>
        </is>
      </c>
      <c r="D45" s="65" t="inlineStr">
        <is>
          <t>施耐德电气</t>
        </is>
      </c>
      <c r="E45" s="66" t="inlineStr">
        <is>
          <t>只</t>
        </is>
      </c>
      <c r="F45" s="66" t="n">
        <v>2</v>
      </c>
      <c r="G45" s="287">
        <f>IF(AND(B45="",C45=""),"",ROUND(M45*L45*N45,2))</f>
        <v/>
      </c>
      <c r="H45" s="287">
        <f>IF(AND(B45="",C45=""),"",ROUND(F45*G45,2))</f>
        <v/>
      </c>
      <c r="I45" s="107" t="n"/>
      <c r="J45" s="288">
        <f>IF(AND(B45="",C45=""),"",ROUND(M45*N45,2))</f>
        <v/>
      </c>
      <c r="K45" s="289">
        <f>IF(AND(B45="",C45=""),"",ROUND(J45*F45,2))</f>
        <v/>
      </c>
      <c r="L45" s="110" t="n">
        <v>1</v>
      </c>
      <c r="M45" s="290" t="n">
        <v>3275.77</v>
      </c>
      <c r="N45" s="112" t="n">
        <v>0.45</v>
      </c>
      <c r="O45" s="113">
        <f t="array" ref="O45">IF(AND(B45="",C45=""),"",IF(G45&gt;=20000,0.05,IF(G45&gt;=10000,0.1,IF(G45&gt;=5000,0.2,IF(G45&gt;=1000,0.3,IF(G45&gt;=0,0.4,{0}))))))</f>
        <v/>
      </c>
      <c r="P45" s="291">
        <f>IF(AND(B45="",C45=""),"",ROUND(H45*O45,2))</f>
        <v/>
      </c>
      <c r="Q45" s="292" t="inlineStr">
        <is>
          <t>元件</t>
        </is>
      </c>
      <c r="R45" s="130" t="n"/>
      <c r="S45" s="130" t="n"/>
      <c r="T45" s="130" t="inlineStr">
        <is>
          <t>0</t>
        </is>
      </c>
      <c r="U45" s="130" t="inlineStr">
        <is>
          <t>C25N32D250</t>
        </is>
      </c>
      <c r="V45" s="293" t="n"/>
      <c r="W45" s="293" t="n"/>
      <c r="X45" s="132" t="inlineStr">
        <is>
          <t>NSX160N MIC 2.2 160 3P F</t>
        </is>
      </c>
    </row>
    <row r="46" customFormat="1" s="124">
      <c r="A46" s="26">
        <f>ROW()-ROW(A$44)</f>
        <v/>
      </c>
      <c r="B46" s="24" t="inlineStr">
        <is>
          <t>辅助触点（NSX）</t>
        </is>
      </c>
      <c r="C46" s="19" t="inlineStr">
        <is>
          <t>OF</t>
        </is>
      </c>
      <c r="D46" s="24" t="inlineStr">
        <is>
          <t>施耐德配套</t>
        </is>
      </c>
      <c r="E46" s="25" t="inlineStr">
        <is>
          <t>只</t>
        </is>
      </c>
      <c r="F46" s="20" t="n">
        <v>4</v>
      </c>
      <c r="G46" s="264">
        <f>IF(AND(B46="",C46=""),"",ROUND(M46*L46*N46,2))</f>
        <v/>
      </c>
      <c r="H46" s="261">
        <f>IF(AND(B46="",C46=""),"",ROUND(F46*G46,2))</f>
        <v/>
      </c>
      <c r="I46" s="75" t="n"/>
      <c r="J46" s="294">
        <f>IF(AND(B46="",C46=""),"",ROUND(M46*N46,2))</f>
        <v/>
      </c>
      <c r="K46" s="295">
        <f>IF(AND(B46="",C46=""),"",ROUND(J46*F46,2))</f>
        <v/>
      </c>
      <c r="L46" s="110" t="n">
        <v>1</v>
      </c>
      <c r="M46" s="296" t="n">
        <v>30</v>
      </c>
      <c r="N46" s="112" t="n">
        <v>1</v>
      </c>
      <c r="O46" s="113">
        <f t="array" ref="O46">IF(AND(B46="",C46=""),"",IF(G46&gt;=20000,0.05,IF(G46&gt;=10000,0.1,IF(G46&gt;=5000,0.2,IF(G46&gt;=1000,0.3,IF(G46&gt;=0,0.4,{0}))))))</f>
        <v/>
      </c>
      <c r="P46" s="297">
        <f>IF(AND(B46="",C46=""),"",ROUND(H46*O46,2))</f>
        <v/>
      </c>
      <c r="Q46" s="292" t="inlineStr">
        <is>
          <t>元件</t>
        </is>
      </c>
      <c r="R46" s="130" t="n"/>
      <c r="S46" s="130" t="n"/>
      <c r="T46" s="130" t="inlineStr">
        <is>
          <t>0</t>
        </is>
      </c>
      <c r="U46" s="130" t="n"/>
      <c r="V46" s="293" t="n"/>
      <c r="W46" s="293" t="n"/>
      <c r="X46" s="132" t="n"/>
    </row>
    <row r="47" customFormat="1" s="124">
      <c r="A47" s="26">
        <f>ROW()-ROW(A$44)</f>
        <v/>
      </c>
      <c r="B47" s="24" t="inlineStr">
        <is>
          <t>SDE适配器</t>
        </is>
      </c>
      <c r="C47" s="19" t="inlineStr">
        <is>
          <t>LV429451</t>
        </is>
      </c>
      <c r="D47" s="24" t="inlineStr">
        <is>
          <t>施耐德电气</t>
        </is>
      </c>
      <c r="E47" s="25" t="inlineStr">
        <is>
          <t>只</t>
        </is>
      </c>
      <c r="F47" s="20" t="n">
        <v>2</v>
      </c>
      <c r="G47" s="261">
        <f>IF(AND(B47="",C47=""),"",ROUND(M47*L47*N47,2))</f>
        <v/>
      </c>
      <c r="H47" s="261">
        <f>IF(AND(B47="",C47=""),"",ROUND(F47*G47,2))</f>
        <v/>
      </c>
      <c r="I47" s="75" t="n"/>
      <c r="J47" s="294">
        <f>IF(AND(B47="",C47=""),"",ROUND(M47*N47,2))</f>
        <v/>
      </c>
      <c r="K47" s="295">
        <f>IF(AND(B47="",C47=""),"",ROUND(J47*F47,2))</f>
        <v/>
      </c>
      <c r="L47" s="110" t="n">
        <v>1</v>
      </c>
      <c r="M47" s="296" t="n">
        <v>77.19</v>
      </c>
      <c r="N47" s="112" t="n">
        <v>0.45</v>
      </c>
      <c r="O47" s="113">
        <f t="array" ref="O47">IF(AND(B47="",C47=""),"",IF(G47&gt;=20000,0.05,IF(G47&gt;=10000,0.1,IF(G47&gt;=5000,0.2,IF(G47&gt;=1000,0.3,IF(G47&gt;=0,0.4,{0}))))))</f>
        <v/>
      </c>
      <c r="P47" s="297">
        <f>IF(AND(B47="",C47=""),"",ROUND(H47*O47,2))</f>
        <v/>
      </c>
      <c r="Q47" s="292" t="inlineStr">
        <is>
          <t>元件</t>
        </is>
      </c>
      <c r="R47" s="130" t="n"/>
      <c r="S47" s="130" t="n"/>
      <c r="T47" s="130" t="inlineStr">
        <is>
          <t>0</t>
        </is>
      </c>
      <c r="U47" s="130" t="n"/>
      <c r="V47" s="293" t="n"/>
      <c r="W47" s="293" t="n"/>
      <c r="X47" s="132" t="n"/>
    </row>
    <row r="48" customFormat="1" s="124">
      <c r="A48" s="26">
        <f>ROW()-ROW(A$44)</f>
        <v/>
      </c>
      <c r="B48" s="24" t="inlineStr">
        <is>
          <t>后备保护</t>
        </is>
      </c>
      <c r="C48" s="24" t="inlineStr">
        <is>
          <t>TSCB -ll ／4</t>
        </is>
      </c>
      <c r="D48" s="19" t="inlineStr">
        <is>
          <t>深圳中鹏</t>
        </is>
      </c>
      <c r="E48" s="25" t="inlineStr">
        <is>
          <t>只</t>
        </is>
      </c>
      <c r="F48" s="25" t="n">
        <v>2</v>
      </c>
      <c r="G48" s="264">
        <f>IF(AND(B48="",C48=""),"",ROUND(M48*L48*N48,2))</f>
        <v/>
      </c>
      <c r="H48" s="264">
        <f>IF(AND(B48="",C48=""),"",ROUND(F48*G48,2))</f>
        <v/>
      </c>
      <c r="I48" s="119" t="n"/>
      <c r="J48" s="294">
        <f>IF(AND(B48="",C48=""),"",ROUND(M48*N48,2))</f>
        <v/>
      </c>
      <c r="K48" s="295">
        <f>IF(AND(B48="",C48=""),"",ROUND(J48*F48,2))</f>
        <v/>
      </c>
      <c r="L48" s="110" t="n">
        <v>1</v>
      </c>
      <c r="M48" s="296" t="n">
        <v>135</v>
      </c>
      <c r="N48" s="112" t="n">
        <v>1</v>
      </c>
      <c r="O48" s="113">
        <f t="array" ref="O48">IF(AND(B48="",C48=""),"",IF(G48&gt;=20000,0.05,IF(G48&gt;=10000,0.1,IF(G48&gt;=5000,0.2,IF(G48&gt;=1000,0.3,IF(G48&gt;=0,0.4,{0}))))))</f>
        <v/>
      </c>
      <c r="P48" s="297">
        <f>IF(AND(B48="",C48=""),"",ROUND(H48*O48,2))</f>
        <v/>
      </c>
      <c r="Q48" s="292" t="inlineStr">
        <is>
          <t>元件</t>
        </is>
      </c>
      <c r="R48" s="130" t="n"/>
      <c r="S48" s="130" t="n"/>
      <c r="T48" s="130" t="inlineStr">
        <is>
          <t>0</t>
        </is>
      </c>
      <c r="U48" s="130" t="inlineStr">
        <is>
          <t>A9F28440</t>
        </is>
      </c>
      <c r="V48" s="293" t="n"/>
      <c r="W48" s="293" t="n"/>
      <c r="X48" s="132" t="n"/>
    </row>
    <row r="49" customFormat="1" s="124">
      <c r="A49" s="26">
        <f>ROW()-ROW(A$44)</f>
        <v/>
      </c>
      <c r="B49" s="24" t="inlineStr">
        <is>
          <t>电涌保护器</t>
        </is>
      </c>
      <c r="C49" s="24" t="inlineStr">
        <is>
          <t>TC40-385/3+N FM</t>
        </is>
      </c>
      <c r="D49" s="24" t="inlineStr">
        <is>
          <t>深圳中鹏</t>
        </is>
      </c>
      <c r="E49" s="25" t="inlineStr">
        <is>
          <t>只</t>
        </is>
      </c>
      <c r="F49" s="25" t="n">
        <v>2</v>
      </c>
      <c r="G49" s="264">
        <f>IF(AND(B49="",C49=""),"",ROUND(M49*L49*N49,2))</f>
        <v/>
      </c>
      <c r="H49" s="261">
        <f>IF(AND(B49="",C49=""),"",ROUND(F49*G49,2))</f>
        <v/>
      </c>
      <c r="I49" s="75" t="n"/>
      <c r="J49" s="294">
        <f>IF(AND(B49="",C49=""),"",ROUND(M49*N49,2))</f>
        <v/>
      </c>
      <c r="K49" s="295">
        <f>IF(AND(B49="",C49=""),"",ROUND(J49*F49,2))</f>
        <v/>
      </c>
      <c r="L49" s="110" t="n">
        <v>1</v>
      </c>
      <c r="M49" s="296" t="n">
        <v>75</v>
      </c>
      <c r="N49" s="112" t="n">
        <v>1</v>
      </c>
      <c r="O49" s="113">
        <f t="array" ref="O49">IF(AND(B49="",C49=""),"",IF(G49&gt;=20000,0.05,IF(G49&gt;=10000,0.1,IF(G49&gt;=5000,0.2,IF(G49&gt;=1000,0.3,IF(G49&gt;=0,0.4,{0}))))))</f>
        <v/>
      </c>
      <c r="P49" s="297">
        <f>IF(AND(B49="",C49=""),"",ROUND(H49*O49,2))</f>
        <v/>
      </c>
      <c r="Q49" s="292" t="inlineStr">
        <is>
          <t>元件</t>
        </is>
      </c>
      <c r="R49" s="130" t="n"/>
      <c r="S49" s="130" t="n"/>
      <c r="T49" s="130" t="inlineStr">
        <is>
          <t>0</t>
        </is>
      </c>
      <c r="U49" s="130" t="inlineStr">
        <is>
          <t>A9L625601</t>
        </is>
      </c>
      <c r="V49" s="293" t="n"/>
      <c r="W49" s="293" t="n"/>
      <c r="X49" s="132" t="inlineStr">
        <is>
          <t>PRD40r/3P+N→PRD40r 3P＋N</t>
        </is>
      </c>
    </row>
    <row r="50" customFormat="1" s="124">
      <c r="A50" s="26">
        <f>ROW()-ROW(A$44)</f>
        <v/>
      </c>
      <c r="B50" s="24" t="inlineStr">
        <is>
          <t>交流微型断路器</t>
        </is>
      </c>
      <c r="C50" s="24" t="inlineStr">
        <is>
          <t>iC65H-C63A/3P</t>
        </is>
      </c>
      <c r="D50" s="24" t="inlineStr">
        <is>
          <t>施耐德电气</t>
        </is>
      </c>
      <c r="E50" s="25" t="inlineStr">
        <is>
          <t>只</t>
        </is>
      </c>
      <c r="F50" s="25" t="n">
        <v>4</v>
      </c>
      <c r="G50" s="264">
        <f>IF(AND(B50="",C50=""),"",ROUND(M50*L50*N50,2))</f>
        <v/>
      </c>
      <c r="H50" s="261">
        <f>IF(AND(B50="",C50=""),"",ROUND(F50*G50,2))</f>
        <v/>
      </c>
      <c r="I50" s="75" t="n"/>
      <c r="J50" s="294">
        <f>IF(AND(B50="",C50=""),"",ROUND(M50*N50,2))</f>
        <v/>
      </c>
      <c r="K50" s="295">
        <f>IF(AND(B50="",C50=""),"",ROUND(J50*F50,2))</f>
        <v/>
      </c>
      <c r="L50" s="110" t="n">
        <v>1</v>
      </c>
      <c r="M50" s="296" t="n">
        <v>344.76</v>
      </c>
      <c r="N50" s="112" t="n">
        <v>0.4</v>
      </c>
      <c r="O50" s="113">
        <f t="array" ref="O50">IF(AND(B50="",C50=""),"",IF(G50&gt;=20000,0.05,IF(G50&gt;=10000,0.1,IF(G50&gt;=5000,0.2,IF(G50&gt;=1000,0.3,IF(G50&gt;=0,0.4,{0}))))))</f>
        <v/>
      </c>
      <c r="P50" s="297">
        <f>IF(AND(B50="",C50=""),"",ROUND(H50*O50,2))</f>
        <v/>
      </c>
      <c r="Q50" s="292" t="inlineStr">
        <is>
          <t>元件</t>
        </is>
      </c>
      <c r="R50" s="130" t="n"/>
      <c r="S50" s="130" t="n"/>
      <c r="T50" s="130" t="inlineStr">
        <is>
          <t>0</t>
        </is>
      </c>
      <c r="U50" s="130" t="inlineStr">
        <is>
          <t>A9F28363</t>
        </is>
      </c>
      <c r="V50" s="293" t="n"/>
      <c r="W50" s="293" t="n"/>
      <c r="X50" s="132" t="inlineStr">
        <is>
          <t>iC65H-C40A/2P</t>
        </is>
      </c>
    </row>
    <row r="51" customFormat="1" s="124">
      <c r="A51" s="26">
        <f>ROW()-ROW(A$44)</f>
        <v/>
      </c>
      <c r="B51" s="24" t="inlineStr">
        <is>
          <t>交流微型断路器</t>
        </is>
      </c>
      <c r="C51" s="24" t="inlineStr">
        <is>
          <t>iC65H-C63A/2P</t>
        </is>
      </c>
      <c r="D51" s="24" t="inlineStr">
        <is>
          <t>施耐德电气</t>
        </is>
      </c>
      <c r="E51" s="25" t="inlineStr">
        <is>
          <t>只</t>
        </is>
      </c>
      <c r="F51" s="25" t="n">
        <v>36</v>
      </c>
      <c r="G51" s="264">
        <f>IF(AND(B51="",C51=""),"",ROUND(M51*L51*N51,2))</f>
        <v/>
      </c>
      <c r="H51" s="261">
        <f>IF(AND(B51="",C51=""),"",ROUND(F51*G51,2))</f>
        <v/>
      </c>
      <c r="I51" s="75" t="n"/>
      <c r="J51" s="294">
        <f>IF(AND(B51="",C51=""),"",ROUND(M51*N51,2))</f>
        <v/>
      </c>
      <c r="K51" s="295">
        <f>IF(AND(B51="",C51=""),"",ROUND(J51*F51,2))</f>
        <v/>
      </c>
      <c r="L51" s="110" t="n">
        <v>1</v>
      </c>
      <c r="M51" s="296" t="n">
        <v>223.14</v>
      </c>
      <c r="N51" s="112" t="n">
        <v>0.4</v>
      </c>
      <c r="O51" s="113">
        <f t="array" ref="O51">IF(AND(B51="",C51=""),"",IF(G51&gt;=20000,0.05,IF(G51&gt;=10000,0.1,IF(G51&gt;=5000,0.2,IF(G51&gt;=1000,0.3,IF(G51&gt;=0,0.4,{0}))))))</f>
        <v/>
      </c>
      <c r="P51" s="297">
        <f>IF(AND(B51="",C51=""),"",ROUND(H51*O51,2))</f>
        <v/>
      </c>
      <c r="Q51" s="292" t="inlineStr">
        <is>
          <t>元件</t>
        </is>
      </c>
      <c r="R51" s="130" t="n"/>
      <c r="S51" s="130" t="n"/>
      <c r="T51" s="130" t="inlineStr">
        <is>
          <t>0</t>
        </is>
      </c>
      <c r="U51" s="130" t="inlineStr">
        <is>
          <t>A9F28263</t>
        </is>
      </c>
      <c r="V51" s="293" t="n"/>
      <c r="W51" s="293" t="n"/>
      <c r="X51" s="132" t="n"/>
    </row>
    <row r="52" customFormat="1" s="124">
      <c r="A52" s="26">
        <f>ROW()-ROW(A$44)</f>
        <v/>
      </c>
      <c r="B52" s="24" t="inlineStr">
        <is>
          <t>熔断器</t>
        </is>
      </c>
      <c r="C52" s="24" t="inlineStr">
        <is>
          <t>UK5-HESI</t>
        </is>
      </c>
      <c r="D52" s="24" t="inlineStr">
        <is>
          <t>菲尼克斯</t>
        </is>
      </c>
      <c r="E52" s="25" t="inlineStr">
        <is>
          <t>只</t>
        </is>
      </c>
      <c r="F52" s="25" t="n">
        <v>13</v>
      </c>
      <c r="G52" s="264">
        <f>IF(AND(B52="",C52=""),"",ROUND(M52*L52*N52,2))</f>
        <v/>
      </c>
      <c r="H52" s="264">
        <f>IF(AND(B52="",C52=""),"",ROUND(F52*G52,2))</f>
        <v/>
      </c>
      <c r="I52" s="119" t="n"/>
      <c r="J52" s="294">
        <f>IF(AND(B52="",C52=""),"",ROUND(M52*N52,2))</f>
        <v/>
      </c>
      <c r="K52" s="295">
        <f>IF(AND(B52="",C52=""),"",ROUND(J52*F52,2))</f>
        <v/>
      </c>
      <c r="L52" s="110" t="n">
        <v>1</v>
      </c>
      <c r="M52" s="296" t="n">
        <v>7</v>
      </c>
      <c r="N52" s="112" t="n">
        <v>1</v>
      </c>
      <c r="O52" s="113">
        <f t="array" ref="O52">IF(AND(B52="",C52=""),"",IF(G52&gt;=20000,0.05,IF(G52&gt;=10000,0.1,IF(G52&gt;=5000,0.2,IF(G52&gt;=1000,0.3,IF(G52&gt;=0,0.4,{0}))))))</f>
        <v/>
      </c>
      <c r="P52" s="297">
        <f>IF(AND(B52="",C52=""),"",ROUND(H52*O52,2))</f>
        <v/>
      </c>
      <c r="Q52" s="292" t="inlineStr">
        <is>
          <t>元件</t>
        </is>
      </c>
      <c r="R52" s="130" t="n"/>
      <c r="S52" s="130" t="n"/>
      <c r="T52" s="130" t="inlineStr">
        <is>
          <t>0</t>
        </is>
      </c>
      <c r="U52" s="130" t="inlineStr">
        <is>
          <t>True</t>
        </is>
      </c>
      <c r="V52" s="293" t="n"/>
      <c r="W52" s="293" t="n"/>
      <c r="X52" s="132" t="n"/>
    </row>
    <row r="53" customFormat="1" s="124">
      <c r="A53" s="26">
        <f>ROW()-ROW(A$44)</f>
        <v/>
      </c>
      <c r="B53" s="24" t="inlineStr">
        <is>
          <t>指示灯</t>
        </is>
      </c>
      <c r="C53" s="24" t="inlineStr">
        <is>
          <t>AD16-22B/G28</t>
        </is>
      </c>
      <c r="D53" s="24" t="inlineStr">
        <is>
          <t>APT</t>
        </is>
      </c>
      <c r="E53" s="25" t="inlineStr">
        <is>
          <t>只</t>
        </is>
      </c>
      <c r="F53" s="25" t="n">
        <v>2</v>
      </c>
      <c r="G53" s="264">
        <f>IF(AND(B53="",C53=""),"",ROUND(M53*L53*N53,2))</f>
        <v/>
      </c>
      <c r="H53" s="264">
        <f>IF(AND(B53="",C53=""),"",ROUND(F53*G53,2))</f>
        <v/>
      </c>
      <c r="I53" s="119" t="n"/>
      <c r="J53" s="294">
        <f>IF(AND(B53="",C53=""),"",ROUND(M53*N53,2))</f>
        <v/>
      </c>
      <c r="K53" s="295">
        <f>IF(AND(B53="",C53=""),"",ROUND(J53*F53,2))</f>
        <v/>
      </c>
      <c r="L53" s="110" t="n">
        <v>1</v>
      </c>
      <c r="M53" s="296" t="n">
        <v>8.5</v>
      </c>
      <c r="N53" s="112" t="n">
        <v>1</v>
      </c>
      <c r="O53" s="113">
        <f t="array" ref="O53">IF(AND(B53="",C53=""),"",IF(G53&gt;=20000,0.05,IF(G53&gt;=10000,0.1,IF(G53&gt;=5000,0.2,IF(G53&gt;=1000,0.3,IF(G53&gt;=0,0.4,{0}))))))</f>
        <v/>
      </c>
      <c r="P53" s="297">
        <f>IF(AND(B53="",C53=""),"",ROUND(H53*O53,2))</f>
        <v/>
      </c>
      <c r="Q53" s="292" t="inlineStr">
        <is>
          <t>元件</t>
        </is>
      </c>
      <c r="R53" s="130" t="n"/>
      <c r="S53" s="130" t="n"/>
      <c r="T53" s="130" t="inlineStr">
        <is>
          <t>0</t>
        </is>
      </c>
      <c r="U53" s="130" t="n"/>
      <c r="V53" s="293" t="n"/>
      <c r="W53" s="293" t="n"/>
      <c r="X53" s="132" t="n"/>
    </row>
    <row r="54" customFormat="1" s="124">
      <c r="A54" s="26">
        <f>ROW()-ROW(A$44)</f>
        <v/>
      </c>
      <c r="B54" s="24" t="inlineStr">
        <is>
          <t>指示灯</t>
        </is>
      </c>
      <c r="C54" s="19" t="inlineStr">
        <is>
          <t>AD16-22B/R28</t>
        </is>
      </c>
      <c r="D54" s="24" t="inlineStr">
        <is>
          <t>APT</t>
        </is>
      </c>
      <c r="E54" s="25" t="inlineStr">
        <is>
          <t>只</t>
        </is>
      </c>
      <c r="F54" s="25" t="n">
        <v>1</v>
      </c>
      <c r="G54" s="264">
        <f>IF(AND(B54="",C54=""),"",ROUND(M54*L54*N54,2))</f>
        <v/>
      </c>
      <c r="H54" s="264">
        <f>IF(AND(B54="",C54=""),"",ROUND(F54*G54,2))</f>
        <v/>
      </c>
      <c r="I54" s="119" t="n"/>
      <c r="J54" s="294">
        <f>IF(AND(B54="",C54=""),"",ROUND(M54*N54,2))</f>
        <v/>
      </c>
      <c r="K54" s="295">
        <f>IF(AND(B54="",C54=""),"",ROUND(J54*F54,2))</f>
        <v/>
      </c>
      <c r="L54" s="110" t="n">
        <v>1</v>
      </c>
      <c r="M54" s="296" t="n">
        <v>8.5</v>
      </c>
      <c r="N54" s="112" t="n">
        <v>1</v>
      </c>
      <c r="O54" s="113">
        <f t="array" ref="O54">IF(AND(B54="",C54=""),"",IF(G54&gt;=20000,0.05,IF(G54&gt;=10000,0.1,IF(G54&gt;=5000,0.2,IF(G54&gt;=1000,0.3,IF(G54&gt;=0,0.4,{0}))))))</f>
        <v/>
      </c>
      <c r="P54" s="297">
        <f>IF(AND(B54="",C54=""),"",ROUND(H54*O54,2))</f>
        <v/>
      </c>
      <c r="Q54" s="292" t="inlineStr">
        <is>
          <t>元件</t>
        </is>
      </c>
      <c r="R54" s="130" t="n"/>
      <c r="S54" s="130" t="n"/>
      <c r="T54" s="130" t="inlineStr">
        <is>
          <t>0</t>
        </is>
      </c>
      <c r="U54" s="130" t="n"/>
      <c r="V54" s="293" t="n"/>
      <c r="W54" s="293" t="n"/>
      <c r="X54" s="132" t="n"/>
    </row>
    <row r="55" customFormat="1" s="124">
      <c r="A55" s="26">
        <f>ROW()-ROW(A$44)</f>
        <v/>
      </c>
      <c r="B55" s="24" t="inlineStr">
        <is>
          <t>中间继电器</t>
        </is>
      </c>
      <c r="C55" s="24" t="inlineStr">
        <is>
          <t>REL-IR-BL/L-24DC/2x21</t>
        </is>
      </c>
      <c r="D55" s="24" t="inlineStr">
        <is>
          <t>菲尼克斯</t>
        </is>
      </c>
      <c r="E55" s="25" t="inlineStr">
        <is>
          <t>只</t>
        </is>
      </c>
      <c r="F55" s="25" t="n">
        <v>2</v>
      </c>
      <c r="G55" s="264">
        <f>IF(AND(B55="",C55=""),"",ROUND(M55*L55*N55,2))</f>
        <v/>
      </c>
      <c r="H55" s="264">
        <f>IF(AND(B55="",C55=""),"",ROUND(F55*G55,2))</f>
        <v/>
      </c>
      <c r="I55" s="119" t="n"/>
      <c r="J55" s="294">
        <f>IF(AND(B55="",C55=""),"",ROUND(M55*N55,2))</f>
        <v/>
      </c>
      <c r="K55" s="295">
        <f>IF(AND(B55="",C55=""),"",ROUND(J55*F55,2))</f>
        <v/>
      </c>
      <c r="L55" s="110" t="n">
        <v>1</v>
      </c>
      <c r="M55" s="296" t="n">
        <v>13.6</v>
      </c>
      <c r="N55" s="112" t="n">
        <v>1</v>
      </c>
      <c r="O55" s="113">
        <f t="array" ref="O55">IF(AND(B55="",C55=""),"",IF(G55&gt;=20000,0.05,IF(G55&gt;=10000,0.1,IF(G55&gt;=5000,0.2,IF(G55&gt;=1000,0.3,IF(G55&gt;=0,0.4,{0}))))))</f>
        <v/>
      </c>
      <c r="P55" s="297">
        <f>IF(AND(B55="",C55=""),"",ROUND(H55*O55,2))</f>
        <v/>
      </c>
      <c r="Q55" s="292" t="inlineStr">
        <is>
          <t>元件</t>
        </is>
      </c>
      <c r="R55" s="130" t="n"/>
      <c r="S55" s="130" t="n"/>
      <c r="T55" s="130" t="inlineStr">
        <is>
          <t>0</t>
        </is>
      </c>
      <c r="U55" s="130" t="inlineStr">
        <is>
          <t>True</t>
        </is>
      </c>
      <c r="V55" s="293" t="n"/>
      <c r="W55" s="293" t="n"/>
      <c r="X55" s="132" t="n"/>
    </row>
    <row r="56" customFormat="1" s="124">
      <c r="A56" s="26">
        <f>ROW()-ROW(A$44)</f>
        <v/>
      </c>
      <c r="B56" s="24" t="inlineStr">
        <is>
          <t>继电器座</t>
        </is>
      </c>
      <c r="C56" s="24" t="inlineStr">
        <is>
          <t>ECOR-2-BSC2-RT/2x21</t>
        </is>
      </c>
      <c r="D56" s="24" t="inlineStr">
        <is>
          <t>菲尼克斯</t>
        </is>
      </c>
      <c r="E56" s="25" t="inlineStr">
        <is>
          <t>只</t>
        </is>
      </c>
      <c r="F56" s="25" t="n">
        <v>2</v>
      </c>
      <c r="G56" s="264">
        <f>IF(AND(B56="",C56=""),"",ROUND(M56*L56*N56,2))</f>
        <v/>
      </c>
      <c r="H56" s="264">
        <f>IF(AND(B56="",C56=""),"",ROUND(F56*G56,2))</f>
        <v/>
      </c>
      <c r="I56" s="119" t="n"/>
      <c r="J56" s="294">
        <f>IF(AND(B56="",C56=""),"",ROUND(M56*N56,2))</f>
        <v/>
      </c>
      <c r="K56" s="295">
        <f>IF(AND(B56="",C56=""),"",ROUND(J56*F56,2))</f>
        <v/>
      </c>
      <c r="L56" s="110" t="n">
        <v>1</v>
      </c>
      <c r="M56" s="296" t="n">
        <v>6.2</v>
      </c>
      <c r="N56" s="112" t="n">
        <v>1</v>
      </c>
      <c r="O56" s="113">
        <f t="array" ref="O56">IF(AND(B56="",C56=""),"",IF(G56&gt;=20000,0.05,IF(G56&gt;=10000,0.1,IF(G56&gt;=5000,0.2,IF(G56&gt;=1000,0.3,IF(G56&gt;=0,0.4,{0}))))))</f>
        <v/>
      </c>
      <c r="P56" s="297">
        <f>IF(AND(B56="",C56=""),"",ROUND(H56*O56,2))</f>
        <v/>
      </c>
      <c r="Q56" s="292" t="inlineStr">
        <is>
          <t>元件</t>
        </is>
      </c>
      <c r="R56" s="130" t="n"/>
      <c r="S56" s="130" t="n"/>
      <c r="T56" s="130" t="inlineStr">
        <is>
          <t>0</t>
        </is>
      </c>
      <c r="U56" s="130" t="inlineStr">
        <is>
          <t>True</t>
        </is>
      </c>
      <c r="V56" s="293" t="n"/>
      <c r="W56" s="293" t="n"/>
      <c r="X56" s="132" t="n"/>
    </row>
    <row r="57" customFormat="1" s="124">
      <c r="A57" s="26">
        <f>ROW()-ROW(A$44)</f>
        <v/>
      </c>
      <c r="B57" s="19" t="inlineStr">
        <is>
          <t>风机</t>
        </is>
      </c>
      <c r="C57" s="19" t="inlineStr">
        <is>
          <t>TX12038H24（5000转,RD）</t>
        </is>
      </c>
      <c r="D57" s="19" t="inlineStr">
        <is>
          <t>霆翔电气</t>
        </is>
      </c>
      <c r="E57" s="20" t="inlineStr">
        <is>
          <t>只</t>
        </is>
      </c>
      <c r="F57" s="20" t="n">
        <v>4</v>
      </c>
      <c r="G57" s="261">
        <f>IF(AND(B57="",C57=""),"",ROUND(M57*L57*N57,2))</f>
        <v/>
      </c>
      <c r="H57" s="264">
        <f>IF(AND(B57="",C57=""),"",ROUND(F57*G57,2))</f>
        <v/>
      </c>
      <c r="I57" s="119" t="n"/>
      <c r="J57" s="294">
        <f>IF(AND(B57="",C57=""),"",ROUND(M57*N57,2))</f>
        <v/>
      </c>
      <c r="K57" s="295">
        <f>IF(AND(B57="",C57=""),"",ROUND(J57*F57,2))</f>
        <v/>
      </c>
      <c r="L57" s="110" t="n">
        <v>1</v>
      </c>
      <c r="M57" s="296" t="n">
        <v>60</v>
      </c>
      <c r="N57" s="112" t="n">
        <v>1</v>
      </c>
      <c r="O57" s="113">
        <f t="array" ref="O57">IF(AND(B57="",C57=""),"",IF(G57&gt;=20000,0.05,IF(G57&gt;=10000,0.1,IF(G57&gt;=5000,0.2,IF(G57&gt;=1000,0.3,IF(G57&gt;=0,0.4,{0}))))))</f>
        <v/>
      </c>
      <c r="P57" s="297">
        <f>IF(AND(B57="",C57=""),"",ROUND(H57*O57,2))</f>
        <v/>
      </c>
      <c r="Q57" s="292" t="inlineStr">
        <is>
          <t>元件</t>
        </is>
      </c>
      <c r="R57" s="130" t="n"/>
      <c r="S57" s="130" t="n"/>
      <c r="T57" s="130" t="inlineStr">
        <is>
          <t>0</t>
        </is>
      </c>
      <c r="U57" s="130" t="n"/>
      <c r="V57" s="293" t="n"/>
      <c r="W57" s="293" t="n"/>
      <c r="X57" s="132" t="n"/>
    </row>
    <row r="58" customFormat="1" s="124">
      <c r="A58" s="26">
        <f>ROW()-ROW(A$44)</f>
        <v/>
      </c>
      <c r="B58" s="19" t="inlineStr">
        <is>
          <t>金属薄膜电阻</t>
        </is>
      </c>
      <c r="C58" s="19" t="inlineStr">
        <is>
          <t>5.1kΩ,1/2W</t>
        </is>
      </c>
      <c r="D58" s="19" t="inlineStr">
        <is>
          <t>国产优质</t>
        </is>
      </c>
      <c r="E58" s="20" t="inlineStr">
        <is>
          <t>只</t>
        </is>
      </c>
      <c r="F58" s="20" t="n">
        <v>4</v>
      </c>
      <c r="G58" s="261">
        <f>IF(AND(B58="",C58=""),"",ROUND(M58*L58*N58,2))</f>
        <v/>
      </c>
      <c r="H58" s="264">
        <f>IF(AND(B58="",C58=""),"",ROUND(F58*G58,2))</f>
        <v/>
      </c>
      <c r="I58" s="119" t="n"/>
      <c r="J58" s="294">
        <f>IF(AND(B58="",C58=""),"",ROUND(M58*N58,2))</f>
        <v/>
      </c>
      <c r="K58" s="295">
        <f>IF(AND(B58="",C58=""),"",ROUND(J58*F58,2))</f>
        <v/>
      </c>
      <c r="L58" s="110" t="n">
        <v>1</v>
      </c>
      <c r="M58" s="296" t="n">
        <v>1</v>
      </c>
      <c r="N58" s="112" t="n">
        <v>1</v>
      </c>
      <c r="O58" s="113">
        <f t="array" ref="O58">IF(AND(B58="",C58=""),"",IF(G58&gt;=20000,0.05,IF(G58&gt;=10000,0.1,IF(G58&gt;=5000,0.2,IF(G58&gt;=1000,0.3,IF(G58&gt;=0,0.4,{0}))))))</f>
        <v/>
      </c>
      <c r="P58" s="297">
        <f>IF(AND(B58="",C58=""),"",ROUND(H58*O58,2))</f>
        <v/>
      </c>
      <c r="Q58" s="292" t="inlineStr">
        <is>
          <t>元件</t>
        </is>
      </c>
      <c r="R58" s="130" t="n"/>
      <c r="S58" s="130" t="n"/>
      <c r="T58" s="130" t="inlineStr">
        <is>
          <t>0</t>
        </is>
      </c>
      <c r="U58" s="130" t="n"/>
      <c r="V58" s="293" t="n"/>
      <c r="W58" s="293" t="n"/>
      <c r="X58" s="132" t="n"/>
    </row>
    <row r="59" customFormat="1" s="124">
      <c r="A59" s="26">
        <f>ROW()-ROW(A$44)</f>
        <v/>
      </c>
      <c r="B59" s="19" t="inlineStr">
        <is>
          <t>开关电源</t>
        </is>
      </c>
      <c r="C59" s="19" t="inlineStr">
        <is>
          <t>YDE-AD150-1212</t>
        </is>
      </c>
      <c r="D59" s="19" t="inlineStr">
        <is>
          <t>雅达</t>
        </is>
      </c>
      <c r="E59" s="20" t="inlineStr">
        <is>
          <t>只</t>
        </is>
      </c>
      <c r="F59" s="20" t="n">
        <v>1</v>
      </c>
      <c r="G59" s="261">
        <f>IF(AND(B59="",C59=""),"",ROUND(M59*L59*N59,2))</f>
        <v/>
      </c>
      <c r="H59" s="261">
        <f>IF(AND(B59="",C59=""),"",ROUND(F59*G59,2))</f>
        <v/>
      </c>
      <c r="I59" s="75" t="n"/>
      <c r="J59" s="294">
        <f>IF(AND(B59="",C59=""),"",ROUND(M59*N59,2))</f>
        <v/>
      </c>
      <c r="K59" s="295">
        <f>IF(AND(B59="",C59=""),"",ROUND(J59*F59,2))</f>
        <v/>
      </c>
      <c r="L59" s="110" t="n">
        <v>1</v>
      </c>
      <c r="M59" s="296" t="n">
        <v>76</v>
      </c>
      <c r="N59" s="112" t="n">
        <v>1</v>
      </c>
      <c r="O59" s="113">
        <f t="array" ref="O59">IF(AND(B59="",C59=""),"",IF(G59&gt;=20000,0.05,IF(G59&gt;=10000,0.1,IF(G59&gt;=5000,0.2,IF(G59&gt;=1000,0.3,IF(G59&gt;=0,0.4,{0}))))))</f>
        <v/>
      </c>
      <c r="P59" s="297">
        <f>IF(AND(B59="",C59=""),"",ROUND(H59*O59,2))</f>
        <v/>
      </c>
      <c r="Q59" s="292" t="inlineStr">
        <is>
          <t>元件</t>
        </is>
      </c>
      <c r="R59" s="130" t="n"/>
      <c r="S59" s="130" t="n"/>
      <c r="T59" s="130" t="inlineStr">
        <is>
          <t>0</t>
        </is>
      </c>
      <c r="U59" s="130" t="n"/>
      <c r="V59" s="293" t="n"/>
      <c r="W59" s="293" t="n"/>
      <c r="X59" s="132" t="n"/>
    </row>
    <row r="60" customFormat="1" s="124">
      <c r="A60" s="26">
        <f>ROW()-ROW(A$44)</f>
        <v/>
      </c>
      <c r="B60" s="19" t="inlineStr">
        <is>
          <t>多功能仪表</t>
        </is>
      </c>
      <c r="C60" s="19" t="inlineStr">
        <is>
          <t>ET903-E3-N</t>
        </is>
      </c>
      <c r="D60" s="19" t="inlineStr">
        <is>
          <t>雅达</t>
        </is>
      </c>
      <c r="E60" s="20" t="inlineStr">
        <is>
          <t>只</t>
        </is>
      </c>
      <c r="F60" s="20" t="n">
        <v>2</v>
      </c>
      <c r="G60" s="261">
        <f>IF(AND(B60="",C60=""),"",ROUND(M60*L60*N60,2))</f>
        <v/>
      </c>
      <c r="H60" s="261">
        <f>IF(AND(B60="",C60=""),"",ROUND(F60*G60,2))</f>
        <v/>
      </c>
      <c r="I60" s="75" t="n"/>
      <c r="J60" s="294">
        <f>IF(AND(B60="",C60=""),"",ROUND(M60*N60,2))</f>
        <v/>
      </c>
      <c r="K60" s="295">
        <f>IF(AND(B60="",C60=""),"",ROUND(J60*F60,2))</f>
        <v/>
      </c>
      <c r="L60" s="110" t="n">
        <v>1</v>
      </c>
      <c r="M60" s="296" t="n">
        <v>230</v>
      </c>
      <c r="N60" s="112" t="n">
        <v>1</v>
      </c>
      <c r="O60" s="113">
        <f t="array" ref="O60">IF(AND(B60="",C60=""),"",IF(G60&gt;=20000,0.05,IF(G60&gt;=10000,0.1,IF(G60&gt;=5000,0.2,IF(G60&gt;=1000,0.3,IF(G60&gt;=0,0.4,{0}))))))</f>
        <v/>
      </c>
      <c r="P60" s="297">
        <f>IF(AND(B60="",C60=""),"",ROUND(H60*O60,2))</f>
        <v/>
      </c>
      <c r="Q60" s="292" t="inlineStr">
        <is>
          <t>元件</t>
        </is>
      </c>
      <c r="R60" s="130" t="n"/>
      <c r="S60" s="130" t="n"/>
      <c r="T60" s="130" t="inlineStr">
        <is>
          <t>0</t>
        </is>
      </c>
      <c r="U60" s="130" t="n"/>
      <c r="V60" s="293" t="n"/>
      <c r="W60" s="293" t="n"/>
      <c r="X60" s="132" t="n"/>
    </row>
    <row r="61" customFormat="1" s="124">
      <c r="A61" s="26">
        <f>ROW()-ROW(A$44)</f>
        <v/>
      </c>
      <c r="B61" s="19" t="inlineStr">
        <is>
          <t>电流互感器</t>
        </is>
      </c>
      <c r="C61" s="19" t="inlineStr">
        <is>
          <t>YDBH0.66-30I-250/5A</t>
        </is>
      </c>
      <c r="D61" s="19" t="inlineStr">
        <is>
          <t>雅达</t>
        </is>
      </c>
      <c r="E61" s="20" t="inlineStr">
        <is>
          <t>只</t>
        </is>
      </c>
      <c r="F61" s="20" t="n">
        <v>6</v>
      </c>
      <c r="G61" s="261">
        <f>IF(AND(B61="",C61=""),"",ROUND(M61*L61*N61,2))</f>
        <v/>
      </c>
      <c r="H61" s="261">
        <f>IF(AND(B61="",C61=""),"",ROUND(F61*G61,2))</f>
        <v/>
      </c>
      <c r="I61" s="75" t="n"/>
      <c r="J61" s="294">
        <f>IF(AND(B61="",C61=""),"",ROUND(M61*N61,2))</f>
        <v/>
      </c>
      <c r="K61" s="295">
        <f>IF(AND(B61="",C61=""),"",ROUND(J61*F61,2))</f>
        <v/>
      </c>
      <c r="L61" s="110" t="n">
        <v>1</v>
      </c>
      <c r="M61" s="296" t="n">
        <v>30</v>
      </c>
      <c r="N61" s="112" t="n">
        <v>1</v>
      </c>
      <c r="O61" s="113">
        <f t="array" ref="O61">IF(AND(B61="",C61=""),"",IF(G61&gt;=20000,0.05,IF(G61&gt;=10000,0.1,IF(G61&gt;=5000,0.2,IF(G61&gt;=1000,0.3,IF(G61&gt;=0,0.4,{0}))))))</f>
        <v/>
      </c>
      <c r="P61" s="297">
        <f>IF(AND(B61="",C61=""),"",ROUND(H61*O61,2))</f>
        <v/>
      </c>
      <c r="Q61" s="292" t="inlineStr">
        <is>
          <t>元件</t>
        </is>
      </c>
      <c r="R61" s="130" t="n"/>
      <c r="S61" s="130" t="n"/>
      <c r="T61" s="130" t="inlineStr">
        <is>
          <t>0</t>
        </is>
      </c>
      <c r="U61" s="130" t="n"/>
      <c r="V61" s="293" t="n"/>
      <c r="W61" s="293" t="n"/>
      <c r="X61" s="132" t="n"/>
    </row>
    <row r="62" customFormat="1" s="124">
      <c r="A62" s="26">
        <f>ROW()-ROW(A$44)</f>
        <v/>
      </c>
      <c r="B62" s="19" t="inlineStr">
        <is>
          <t>霍尔电流互感器</t>
        </is>
      </c>
      <c r="C62" s="19" t="inlineStr">
        <is>
          <t>CT10</t>
        </is>
      </c>
      <c r="D62" s="19" t="inlineStr">
        <is>
          <t>雅达</t>
        </is>
      </c>
      <c r="E62" s="20" t="inlineStr">
        <is>
          <t>只</t>
        </is>
      </c>
      <c r="F62" s="20" t="n">
        <v>48</v>
      </c>
      <c r="G62" s="261">
        <f>IF(AND(B62="",C62=""),"",ROUND(M62*L62*N62,2))</f>
        <v/>
      </c>
      <c r="H62" s="261">
        <f>IF(AND(B62="",C62=""),"",ROUND(F62*G62,2))</f>
        <v/>
      </c>
      <c r="I62" s="75" t="n"/>
      <c r="J62" s="294">
        <f>IF(AND(B62="",C62=""),"",ROUND(M62*N62,2))</f>
        <v/>
      </c>
      <c r="K62" s="295">
        <f>IF(AND(B62="",C62=""),"",ROUND(J62*F62,2))</f>
        <v/>
      </c>
      <c r="L62" s="110" t="n">
        <v>1</v>
      </c>
      <c r="M62" s="296" t="n">
        <v>10</v>
      </c>
      <c r="N62" s="112" t="n">
        <v>1</v>
      </c>
      <c r="O62" s="113">
        <f t="array" ref="O62">IF(AND(B62="",C62=""),"",IF(G62&gt;=20000,0.05,IF(G62&gt;=10000,0.1,IF(G62&gt;=5000,0.2,IF(G62&gt;=1000,0.3,IF(G62&gt;=0,0.4,{0}))))))</f>
        <v/>
      </c>
      <c r="P62" s="297">
        <f>IF(AND(B62="",C62=""),"",ROUND(H62*O62,2))</f>
        <v/>
      </c>
      <c r="Q62" s="292" t="inlineStr">
        <is>
          <t>元件</t>
        </is>
      </c>
      <c r="R62" s="130" t="n"/>
      <c r="S62" s="130" t="n"/>
      <c r="T62" s="130" t="inlineStr">
        <is>
          <t>0</t>
        </is>
      </c>
      <c r="U62" s="130" t="n"/>
      <c r="V62" s="293" t="n"/>
      <c r="W62" s="293" t="n"/>
      <c r="X62" s="132" t="n"/>
    </row>
    <row r="63" customFormat="1" s="124">
      <c r="A63" s="26">
        <f>ROW()-ROW(A$44)</f>
        <v/>
      </c>
      <c r="B63" s="19" t="inlineStr">
        <is>
          <t>交流监控主机</t>
        </is>
      </c>
      <c r="C63" s="19" t="inlineStr">
        <is>
          <t>YD-DEMS-BD2-RHT</t>
        </is>
      </c>
      <c r="D63" s="19" t="inlineStr">
        <is>
          <t>雅达</t>
        </is>
      </c>
      <c r="E63" s="20" t="inlineStr">
        <is>
          <t>只</t>
        </is>
      </c>
      <c r="F63" s="20" t="n">
        <v>1</v>
      </c>
      <c r="G63" s="261">
        <f>IF(AND(B63="",C63=""),"",ROUND(M63*L63*N63,2))</f>
        <v/>
      </c>
      <c r="H63" s="261">
        <f>IF(AND(B63="",C63=""),"",ROUND(F63*G63,2))</f>
        <v/>
      </c>
      <c r="I63" s="75" t="n"/>
      <c r="J63" s="294">
        <f>IF(AND(B63="",C63=""),"",ROUND(M63*N63,2))</f>
        <v/>
      </c>
      <c r="K63" s="295">
        <f>IF(AND(B63="",C63=""),"",ROUND(J63*F63,2))</f>
        <v/>
      </c>
      <c r="L63" s="110" t="n">
        <v>1</v>
      </c>
      <c r="M63" s="296" t="n">
        <v>500</v>
      </c>
      <c r="N63" s="112" t="n">
        <v>1</v>
      </c>
      <c r="O63" s="113">
        <f t="array" ref="O63">IF(AND(B63="",C63=""),"",IF(G63&gt;=20000,0.05,IF(G63&gt;=10000,0.1,IF(G63&gt;=5000,0.2,IF(G63&gt;=1000,0.3,IF(G63&gt;=0,0.4,{0}))))))</f>
        <v/>
      </c>
      <c r="P63" s="297">
        <f>IF(AND(B63="",C63=""),"",ROUND(H63*O63,2))</f>
        <v/>
      </c>
      <c r="Q63" s="292" t="inlineStr">
        <is>
          <t>元件</t>
        </is>
      </c>
      <c r="R63" s="130" t="n"/>
      <c r="S63" s="130" t="n"/>
      <c r="T63" s="130" t="inlineStr">
        <is>
          <t>0</t>
        </is>
      </c>
      <c r="U63" s="130" t="n"/>
      <c r="V63" s="293" t="n"/>
      <c r="W63" s="293" t="n"/>
      <c r="X63" s="132" t="n"/>
    </row>
    <row r="64" customFormat="1" s="124">
      <c r="A64" s="26">
        <f>ROW()-ROW(A$44)</f>
        <v/>
      </c>
      <c r="B64" s="19" t="inlineStr">
        <is>
          <t>支路电量监测单元从机</t>
        </is>
      </c>
      <c r="C64" s="19" t="inlineStr">
        <is>
          <t>YM-DEMS-BD11Q48-C</t>
        </is>
      </c>
      <c r="D64" s="19" t="inlineStr">
        <is>
          <t>雅达</t>
        </is>
      </c>
      <c r="E64" s="20" t="inlineStr">
        <is>
          <t>只</t>
        </is>
      </c>
      <c r="F64" s="20" t="n">
        <v>1</v>
      </c>
      <c r="G64" s="261">
        <f>IF(AND(B64="",C64=""),"",ROUND(M64*L64*N64,2))</f>
        <v/>
      </c>
      <c r="H64" s="261">
        <f>IF(AND(B64="",C64=""),"",ROUND(F64*G64,2))</f>
        <v/>
      </c>
      <c r="I64" s="75" t="n"/>
      <c r="J64" s="294">
        <f>IF(AND(B64="",C64=""),"",ROUND(M64*N64,2))</f>
        <v/>
      </c>
      <c r="K64" s="295">
        <f>IF(AND(B64="",C64=""),"",ROUND(J64*F64,2))</f>
        <v/>
      </c>
      <c r="L64" s="110" t="n">
        <v>1</v>
      </c>
      <c r="M64" s="296" t="n">
        <v>480</v>
      </c>
      <c r="N64" s="112" t="n">
        <v>1</v>
      </c>
      <c r="O64" s="113">
        <f t="array" ref="O64">IF(AND(B64="",C64=""),"",IF(G64&gt;=20000,0.05,IF(G64&gt;=10000,0.1,IF(G64&gt;=5000,0.2,IF(G64&gt;=1000,0.3,IF(G64&gt;=0,0.4,{0}))))))</f>
        <v/>
      </c>
      <c r="P64" s="297">
        <f>IF(AND(B64="",C64=""),"",ROUND(H64*O64,2))</f>
        <v/>
      </c>
      <c r="Q64" s="292" t="inlineStr">
        <is>
          <t>元件</t>
        </is>
      </c>
      <c r="R64" s="130" t="n"/>
      <c r="S64" s="130" t="n"/>
      <c r="T64" s="130" t="inlineStr">
        <is>
          <t>0</t>
        </is>
      </c>
      <c r="U64" s="130" t="n"/>
      <c r="V64" s="293" t="n"/>
      <c r="W64" s="293" t="n"/>
      <c r="X64" s="132" t="n"/>
    </row>
    <row r="65" customFormat="1" s="124">
      <c r="A65" s="26">
        <f>ROW()-ROW(A$44)</f>
        <v/>
      </c>
      <c r="B65" s="19" t="inlineStr">
        <is>
          <t>触摸屏</t>
        </is>
      </c>
      <c r="C65" s="19" t="inlineStr">
        <is>
          <t>YD7062SJ  黑色</t>
        </is>
      </c>
      <c r="D65" s="19" t="inlineStr">
        <is>
          <t>雅达</t>
        </is>
      </c>
      <c r="E65" s="20" t="inlineStr">
        <is>
          <t>只</t>
        </is>
      </c>
      <c r="F65" s="20" t="n">
        <v>1</v>
      </c>
      <c r="G65" s="261">
        <f>IF(AND(B65="",C65=""),"",ROUND(M65*L65*N65,2))</f>
        <v/>
      </c>
      <c r="H65" s="261">
        <f>IF(AND(B65="",C65=""),"",ROUND(F65*G65,2))</f>
        <v/>
      </c>
      <c r="I65" s="75" t="n"/>
      <c r="J65" s="294">
        <f>IF(AND(B65="",C65=""),"",ROUND(M65*N65,2))</f>
        <v/>
      </c>
      <c r="K65" s="295">
        <f>IF(AND(B65="",C65=""),"",ROUND(J65*F65,2))</f>
        <v/>
      </c>
      <c r="L65" s="110" t="n">
        <v>1</v>
      </c>
      <c r="M65" s="296" t="n">
        <v>485</v>
      </c>
      <c r="N65" s="112" t="n">
        <v>1</v>
      </c>
      <c r="O65" s="113">
        <f t="array" ref="O65">IF(AND(B65="",C65=""),"",IF(G65&gt;=20000,0.05,IF(G65&gt;=10000,0.1,IF(G65&gt;=5000,0.2,IF(G65&gt;=1000,0.3,IF(G65&gt;=0,0.4,{0}))))))</f>
        <v/>
      </c>
      <c r="P65" s="297">
        <f>IF(AND(B65="",C65=""),"",ROUND(H65*O65,2))</f>
        <v/>
      </c>
      <c r="Q65" s="292" t="inlineStr">
        <is>
          <t>元件</t>
        </is>
      </c>
      <c r="R65" s="130" t="n"/>
      <c r="S65" s="130" t="n"/>
      <c r="T65" s="130" t="inlineStr">
        <is>
          <t>0</t>
        </is>
      </c>
      <c r="U65" s="130" t="n"/>
      <c r="V65" s="293" t="n"/>
      <c r="W65" s="293" t="n"/>
      <c r="X65" s="132" t="n"/>
    </row>
    <row r="66" customFormat="1" s="124">
      <c r="A66" s="26">
        <f>ROW()-ROW(A$44)</f>
        <v/>
      </c>
      <c r="B66" s="19" t="inlineStr">
        <is>
          <t>一次电缆</t>
        </is>
      </c>
      <c r="C66" s="19" t="inlineStr">
        <is>
          <t>16mm²</t>
        </is>
      </c>
      <c r="D66" s="19" t="inlineStr">
        <is>
          <t>凯布斯</t>
        </is>
      </c>
      <c r="E66" s="20" t="inlineStr">
        <is>
          <t>米</t>
        </is>
      </c>
      <c r="F66" s="20" t="n">
        <v>246</v>
      </c>
      <c r="G66" s="261">
        <f>IF(AND(B66="",C66=""),"",ROUND(M66*L66*N66,2))</f>
        <v/>
      </c>
      <c r="H66" s="261">
        <f>IF(AND(B66="",C66=""),"",ROUND(F66*G66,2))</f>
        <v/>
      </c>
      <c r="I66" s="75" t="n"/>
      <c r="J66" s="294">
        <f>IF(AND(B66="",C66=""),"",ROUND(M66*N66,2))</f>
        <v/>
      </c>
      <c r="K66" s="295">
        <f>IF(AND(B66="",C66=""),"",ROUND(J66*F66,2))</f>
        <v/>
      </c>
      <c r="L66" s="110" t="n">
        <v>1</v>
      </c>
      <c r="M66" s="296" t="n">
        <v>15.36</v>
      </c>
      <c r="N66" s="112" t="n">
        <v>1</v>
      </c>
      <c r="O66" s="113">
        <f t="array" ref="O66">IF(AND(B66="",C66=""),"",IF(G66&gt;=20000,0.05,IF(G66&gt;=10000,0.1,IF(G66&gt;=5000,0.2,IF(G66&gt;=1000,0.3,IF(G66&gt;=0,0.4,{0}))))))</f>
        <v/>
      </c>
      <c r="P66" s="297">
        <f>IF(AND(B66="",C66=""),"",ROUND(H66*O66,2))</f>
        <v/>
      </c>
      <c r="Q66" s="292" t="inlineStr">
        <is>
          <t>元件</t>
        </is>
      </c>
      <c r="R66" s="130" t="n"/>
      <c r="S66" s="130" t="n"/>
      <c r="T66" s="130" t="inlineStr">
        <is>
          <t>0</t>
        </is>
      </c>
      <c r="U66" s="130" t="n"/>
      <c r="V66" s="293" t="n"/>
      <c r="W66" s="293" t="n"/>
      <c r="X66" s="132" t="n"/>
    </row>
    <row r="67" customFormat="1" s="124">
      <c r="A67" s="26">
        <f>ROW()-ROW(A$44)</f>
        <v/>
      </c>
      <c r="B67" s="19" t="inlineStr">
        <is>
          <t>出线端子</t>
        </is>
      </c>
      <c r="C67" s="19" t="inlineStr">
        <is>
          <t>UK16</t>
        </is>
      </c>
      <c r="D67" s="19" t="inlineStr">
        <is>
          <t>菲尼克斯</t>
        </is>
      </c>
      <c r="E67" s="20" t="inlineStr">
        <is>
          <t>只</t>
        </is>
      </c>
      <c r="F67" s="20" t="n">
        <v>44</v>
      </c>
      <c r="G67" s="261">
        <f>IF(AND(B67="",C67=""),"",ROUND(M67*L67*N67,2))</f>
        <v/>
      </c>
      <c r="H67" s="261">
        <f>IF(AND(B67="",C67=""),"",ROUND(F67*G67,2))</f>
        <v/>
      </c>
      <c r="I67" s="75" t="n"/>
      <c r="J67" s="294">
        <f>IF(AND(B67="",C67=""),"",ROUND(M67*N67,2))</f>
        <v/>
      </c>
      <c r="K67" s="295">
        <f>IF(AND(B67="",C67=""),"",ROUND(J67*F67,2))</f>
        <v/>
      </c>
      <c r="L67" s="110" t="n">
        <v>1</v>
      </c>
      <c r="M67" s="296" t="n">
        <v>6.33</v>
      </c>
      <c r="N67" s="112" t="n">
        <v>1</v>
      </c>
      <c r="O67" s="113">
        <f t="array" ref="O67">IF(AND(B67="",C67=""),"",IF(G67&gt;=20000,0.05,IF(G67&gt;=10000,0.1,IF(G67&gt;=5000,0.2,IF(G67&gt;=1000,0.3,IF(G67&gt;=0,0.4,{0}))))))</f>
        <v/>
      </c>
      <c r="P67" s="297">
        <f>IF(AND(B67="",C67=""),"",ROUND(H67*O67,2))</f>
        <v/>
      </c>
      <c r="Q67" s="292" t="inlineStr">
        <is>
          <t>元件</t>
        </is>
      </c>
      <c r="R67" s="130" t="n"/>
      <c r="S67" s="130" t="n"/>
      <c r="T67" s="130" t="inlineStr">
        <is>
          <t>0</t>
        </is>
      </c>
      <c r="U67" s="130" t="n"/>
      <c r="V67" s="293" t="n"/>
      <c r="W67" s="293" t="n"/>
      <c r="X67" s="132" t="n"/>
    </row>
    <row r="68" customFormat="1" s="124">
      <c r="A68" s="26">
        <f>ROW()-ROW(A$44)</f>
        <v/>
      </c>
      <c r="B68" s="19" t="inlineStr">
        <is>
          <t>端板</t>
        </is>
      </c>
      <c r="C68" s="19" t="inlineStr">
        <is>
          <t>D-UK16</t>
        </is>
      </c>
      <c r="D68" s="19" t="inlineStr">
        <is>
          <t>菲尼克斯</t>
        </is>
      </c>
      <c r="E68" s="20" t="inlineStr">
        <is>
          <t>只</t>
        </is>
      </c>
      <c r="F68" s="20" t="n">
        <v>8</v>
      </c>
      <c r="G68" s="261">
        <f>IF(AND(B68="",C68=""),"",ROUND(M68*L68*N68,2))</f>
        <v/>
      </c>
      <c r="H68" s="261">
        <f>IF(AND(B68="",C68=""),"",ROUND(F68*G68,2))</f>
        <v/>
      </c>
      <c r="I68" s="75" t="n"/>
      <c r="J68" s="294">
        <f>IF(AND(B68="",C68=""),"",ROUND(M68*N68,2))</f>
        <v/>
      </c>
      <c r="K68" s="295">
        <f>IF(AND(B68="",C68=""),"",ROUND(J68*F68,2))</f>
        <v/>
      </c>
      <c r="L68" s="110" t="n">
        <v>1</v>
      </c>
      <c r="M68" s="296" t="n">
        <v>1.48</v>
      </c>
      <c r="N68" s="112" t="n">
        <v>1</v>
      </c>
      <c r="O68" s="113">
        <f t="array" ref="O68">IF(AND(B68="",C68=""),"",IF(G68&gt;=20000,0.05,IF(G68&gt;=10000,0.1,IF(G68&gt;=5000,0.2,IF(G68&gt;=1000,0.3,IF(G68&gt;=0,0.4,{0}))))))</f>
        <v/>
      </c>
      <c r="P68" s="297">
        <f>IF(AND(B68="",C68=""),"",ROUND(H68*O68,2))</f>
        <v/>
      </c>
      <c r="Q68" s="292" t="inlineStr">
        <is>
          <t>元件</t>
        </is>
      </c>
      <c r="R68" s="130" t="n"/>
      <c r="S68" s="130" t="n"/>
      <c r="T68" s="130" t="inlineStr">
        <is>
          <t>0</t>
        </is>
      </c>
      <c r="U68" s="130" t="n"/>
      <c r="V68" s="293" t="n"/>
      <c r="W68" s="293" t="n"/>
      <c r="X68" s="132" t="n"/>
    </row>
    <row r="69" customFormat="1" s="124">
      <c r="A69" s="26">
        <f>ROW()-ROW(A$44)</f>
        <v/>
      </c>
      <c r="B69" s="19" t="inlineStr">
        <is>
          <t>标记条横向</t>
        </is>
      </c>
      <c r="C69" s="19" t="inlineStr">
        <is>
          <t>ZB10 LGS:1-10</t>
        </is>
      </c>
      <c r="D69" s="19" t="inlineStr">
        <is>
          <t>菲尼克斯</t>
        </is>
      </c>
      <c r="E69" s="20" t="inlineStr">
        <is>
          <t>只</t>
        </is>
      </c>
      <c r="F69" s="20" t="n">
        <v>2</v>
      </c>
      <c r="G69" s="261">
        <f>IF(AND(B69="",C69=""),"",ROUND(M69*L69*N69,2))</f>
        <v/>
      </c>
      <c r="H69" s="261">
        <f>IF(AND(B69="",C69=""),"",ROUND(F69*G69,2))</f>
        <v/>
      </c>
      <c r="I69" s="75" t="n"/>
      <c r="J69" s="294">
        <f>IF(AND(B69="",C69=""),"",ROUND(M69*N69,2))</f>
        <v/>
      </c>
      <c r="K69" s="295">
        <f>IF(AND(B69="",C69=""),"",ROUND(J69*F69,2))</f>
        <v/>
      </c>
      <c r="L69" s="110" t="n">
        <v>1</v>
      </c>
      <c r="M69" s="296" t="n">
        <v>1.1</v>
      </c>
      <c r="N69" s="112" t="n">
        <v>1</v>
      </c>
      <c r="O69" s="113">
        <f t="array" ref="O69">IF(AND(B69="",C69=""),"",IF(G69&gt;=20000,0.05,IF(G69&gt;=10000,0.1,IF(G69&gt;=5000,0.2,IF(G69&gt;=1000,0.3,IF(G69&gt;=0,0.4,{0}))))))</f>
        <v/>
      </c>
      <c r="P69" s="297">
        <f>IF(AND(B69="",C69=""),"",ROUND(H69*O69,2))</f>
        <v/>
      </c>
      <c r="Q69" s="292" t="inlineStr">
        <is>
          <t>元件</t>
        </is>
      </c>
      <c r="R69" s="130" t="n"/>
      <c r="S69" s="130" t="n"/>
      <c r="T69" s="130" t="inlineStr">
        <is>
          <t>0</t>
        </is>
      </c>
      <c r="U69" s="130" t="n"/>
      <c r="V69" s="293" t="n"/>
      <c r="W69" s="293" t="n"/>
      <c r="X69" s="132" t="n"/>
    </row>
    <row r="70" customFormat="1" s="124">
      <c r="A70" s="26">
        <f>ROW()-ROW(A$44)</f>
        <v/>
      </c>
      <c r="B70" s="19" t="inlineStr">
        <is>
          <t>标记条横向</t>
        </is>
      </c>
      <c r="C70" s="19" t="inlineStr">
        <is>
          <t>ZB10 LGS:11-20</t>
        </is>
      </c>
      <c r="D70" s="19" t="inlineStr">
        <is>
          <t>菲尼克斯</t>
        </is>
      </c>
      <c r="E70" s="20" t="inlineStr">
        <is>
          <t>只</t>
        </is>
      </c>
      <c r="F70" s="20" t="n">
        <v>2</v>
      </c>
      <c r="G70" s="261">
        <f>IF(AND(B70="",C70=""),"",ROUND(M70*L70*N70,2))</f>
        <v/>
      </c>
      <c r="H70" s="261">
        <f>IF(AND(B70="",C70=""),"",ROUND(F70*G70,2))</f>
        <v/>
      </c>
      <c r="I70" s="75" t="n"/>
      <c r="J70" s="294">
        <f>IF(AND(B70="",C70=""),"",ROUND(M70*N70,2))</f>
        <v/>
      </c>
      <c r="K70" s="295">
        <f>IF(AND(B70="",C70=""),"",ROUND(J70*F70,2))</f>
        <v/>
      </c>
      <c r="L70" s="110" t="n">
        <v>1</v>
      </c>
      <c r="M70" s="296" t="n">
        <v>1.1</v>
      </c>
      <c r="N70" s="112" t="n">
        <v>1</v>
      </c>
      <c r="O70" s="113">
        <f t="array" ref="O70">IF(AND(B70="",C70=""),"",IF(G70&gt;=20000,0.05,IF(G70&gt;=10000,0.1,IF(G70&gt;=5000,0.2,IF(G70&gt;=1000,0.3,IF(G70&gt;=0,0.4,{0}))))))</f>
        <v/>
      </c>
      <c r="P70" s="297">
        <f>IF(AND(B70="",C70=""),"",ROUND(H70*O70,2))</f>
        <v/>
      </c>
      <c r="Q70" s="292" t="inlineStr">
        <is>
          <t>元件</t>
        </is>
      </c>
      <c r="R70" s="130" t="n"/>
      <c r="S70" s="130" t="n"/>
      <c r="T70" s="130" t="inlineStr">
        <is>
          <t>0</t>
        </is>
      </c>
      <c r="U70" s="130" t="n"/>
      <c r="V70" s="293" t="n"/>
      <c r="W70" s="293" t="n"/>
      <c r="X70" s="132" t="n"/>
    </row>
    <row r="71" customFormat="1" s="124">
      <c r="A71" s="26">
        <f>ROW()-ROW(A$44)</f>
        <v/>
      </c>
      <c r="B71" s="19" t="inlineStr">
        <is>
          <t>进线格兰头</t>
        </is>
      </c>
      <c r="C71" s="19" t="inlineStr">
        <is>
          <t>M47</t>
        </is>
      </c>
      <c r="D71" s="19" t="inlineStr">
        <is>
          <t>国产优质</t>
        </is>
      </c>
      <c r="E71" s="20" t="inlineStr">
        <is>
          <t>只</t>
        </is>
      </c>
      <c r="F71" s="20" t="n">
        <v>2</v>
      </c>
      <c r="G71" s="261">
        <f>IF(AND(B71="",C71=""),"",ROUND(M71*L71*N71,2))</f>
        <v/>
      </c>
      <c r="H71" s="261">
        <f>IF(AND(B71="",C71=""),"",ROUND(F71*G71,2))</f>
        <v/>
      </c>
      <c r="I71" s="75" t="n"/>
      <c r="J71" s="294">
        <f>IF(AND(B71="",C71=""),"",ROUND(M71*N71,2))</f>
        <v/>
      </c>
      <c r="K71" s="295">
        <f>IF(AND(B71="",C71=""),"",ROUND(J71*F71,2))</f>
        <v/>
      </c>
      <c r="L71" s="110" t="n">
        <v>1</v>
      </c>
      <c r="M71" s="296" t="n">
        <v>16</v>
      </c>
      <c r="N71" s="112" t="n">
        <v>1</v>
      </c>
      <c r="O71" s="113">
        <f t="array" ref="O71">IF(AND(B71="",C71=""),"",IF(G71&gt;=20000,0.05,IF(G71&gt;=10000,0.1,IF(G71&gt;=5000,0.2,IF(G71&gt;=1000,0.3,IF(G71&gt;=0,0.4,{0}))))))</f>
        <v/>
      </c>
      <c r="P71" s="297">
        <f>IF(AND(B71="",C71=""),"",ROUND(H71*O71,2))</f>
        <v/>
      </c>
      <c r="Q71" s="292" t="inlineStr">
        <is>
          <t>元件</t>
        </is>
      </c>
      <c r="R71" s="130" t="n"/>
      <c r="S71" s="130" t="n"/>
      <c r="T71" s="130" t="inlineStr">
        <is>
          <t>0</t>
        </is>
      </c>
      <c r="U71" s="130" t="n"/>
      <c r="V71" s="293" t="n"/>
      <c r="W71" s="293" t="n"/>
      <c r="X71" s="132" t="n"/>
    </row>
    <row r="72" customFormat="1" s="124">
      <c r="A72" s="26">
        <f>ROW()-ROW(A$44)</f>
        <v/>
      </c>
      <c r="B72" s="19" t="inlineStr">
        <is>
          <t>出线格兰头</t>
        </is>
      </c>
      <c r="C72" s="19" t="inlineStr">
        <is>
          <t>M32</t>
        </is>
      </c>
      <c r="D72" s="19" t="inlineStr">
        <is>
          <t>国产优质</t>
        </is>
      </c>
      <c r="E72" s="20" t="inlineStr">
        <is>
          <t>只</t>
        </is>
      </c>
      <c r="F72" s="20" t="n">
        <v>40</v>
      </c>
      <c r="G72" s="261">
        <f>IF(AND(B72="",C72=""),"",ROUND(M72*L72*N72,2))</f>
        <v/>
      </c>
      <c r="H72" s="261">
        <f>IF(AND(B72="",C72=""),"",ROUND(F72*G72,2))</f>
        <v/>
      </c>
      <c r="I72" s="75" t="n"/>
      <c r="J72" s="294">
        <f>IF(AND(B72="",C72=""),"",ROUND(M72*N72,2))</f>
        <v/>
      </c>
      <c r="K72" s="295">
        <f>IF(AND(B72="",C72=""),"",ROUND(J72*F72,2))</f>
        <v/>
      </c>
      <c r="L72" s="110" t="n">
        <v>1</v>
      </c>
      <c r="M72" s="296" t="n">
        <v>9.5</v>
      </c>
      <c r="N72" s="112" t="n">
        <v>1</v>
      </c>
      <c r="O72" s="113">
        <f t="array" ref="O72">IF(AND(B72="",C72=""),"",IF(G72&gt;=20000,0.05,IF(G72&gt;=10000,0.1,IF(G72&gt;=5000,0.2,IF(G72&gt;=1000,0.3,IF(G72&gt;=0,0.4,{0}))))))</f>
        <v/>
      </c>
      <c r="P72" s="297">
        <f>IF(AND(B72="",C72=""),"",ROUND(H72*O72,2))</f>
        <v/>
      </c>
      <c r="Q72" s="292" t="inlineStr">
        <is>
          <t>元件</t>
        </is>
      </c>
      <c r="R72" s="130" t="n"/>
      <c r="S72" s="130" t="n"/>
      <c r="T72" s="130" t="inlineStr">
        <is>
          <t>0</t>
        </is>
      </c>
      <c r="U72" s="130" t="n"/>
      <c r="V72" s="293" t="n"/>
      <c r="W72" s="293" t="n"/>
      <c r="X72" s="132" t="n"/>
    </row>
    <row r="73" customFormat="1" s="124">
      <c r="A73" s="26">
        <f>ROW()-ROW(A$44)</f>
        <v/>
      </c>
      <c r="B73" s="19" t="inlineStr">
        <is>
          <t>铜排</t>
        </is>
      </c>
      <c r="C73" s="19" t="inlineStr">
        <is>
          <t>TMY</t>
        </is>
      </c>
      <c r="D73" s="19" t="inlineStr">
        <is>
          <t>国产优质</t>
        </is>
      </c>
      <c r="E73" s="20" t="inlineStr">
        <is>
          <t>KG</t>
        </is>
      </c>
      <c r="F73" s="20" t="n">
        <v>10</v>
      </c>
      <c r="G73" s="261">
        <f>IF(AND(B73="",C73=""),"",ROUND(M73*L73*N73,2))</f>
        <v/>
      </c>
      <c r="H73" s="261">
        <f>IF(AND(B73="",C73=""),"",ROUND(F73*G73,2))</f>
        <v/>
      </c>
      <c r="I73" s="75" t="n"/>
      <c r="J73" s="294">
        <f>IF(AND(B73="",C73=""),"",ROUND(M73*N73,2))</f>
        <v/>
      </c>
      <c r="K73" s="295">
        <f>IF(AND(B73="",C73=""),"",ROUND(J73*F73,2))</f>
        <v/>
      </c>
      <c r="L73" s="110" t="n">
        <v>1</v>
      </c>
      <c r="M73" s="296" t="n">
        <v>106.41</v>
      </c>
      <c r="N73" s="112" t="n">
        <v>1</v>
      </c>
      <c r="O73" s="113">
        <f t="array" ref="O73">IF(AND(B73="",C73=""),"",IF(G73&gt;=20000,0.05,IF(G73&gt;=10000,0.1,IF(G73&gt;=5000,0.2,IF(G73&gt;=1000,0.3,IF(G73&gt;=0,0.4,{0}))))))</f>
        <v/>
      </c>
      <c r="P73" s="297">
        <f>IF(AND(B73="",C73=""),"",ROUND(H73*O73,2))</f>
        <v/>
      </c>
      <c r="Q73" s="292" t="inlineStr">
        <is>
          <t>元件</t>
        </is>
      </c>
      <c r="R73" s="130" t="n"/>
      <c r="S73" s="130" t="n"/>
      <c r="T73" s="130" t="inlineStr">
        <is>
          <t>0</t>
        </is>
      </c>
      <c r="U73" s="130" t="n"/>
      <c r="V73" s="293" t="n"/>
      <c r="W73" s="293" t="n"/>
      <c r="X73" s="132" t="n"/>
    </row>
    <row r="74" customFormat="1" s="124">
      <c r="A74" s="26">
        <f>ROW()-ROW(A$44)</f>
        <v/>
      </c>
      <c r="B74" s="19" t="inlineStr">
        <is>
          <t>导线及辅料</t>
        </is>
      </c>
      <c r="C74" s="19" t="n"/>
      <c r="D74" s="19" t="n"/>
      <c r="E74" s="20" t="inlineStr">
        <is>
          <t>套</t>
        </is>
      </c>
      <c r="F74" s="20" t="n">
        <v>1</v>
      </c>
      <c r="G74" s="261">
        <f>IF(AND(B74="",C74=""),"",ROUND(M74*L74*N74,2))</f>
        <v/>
      </c>
      <c r="H74" s="261">
        <f>IF(AND(B74="",C74=""),"",ROUND(F74*G74,2))</f>
        <v/>
      </c>
      <c r="I74" s="75" t="n"/>
      <c r="J74" s="294">
        <f>IF(AND(B74="",C74=""),"",ROUND(M74*N74,2))</f>
        <v/>
      </c>
      <c r="K74" s="295">
        <f>IF(AND(B74="",C74=""),"",ROUND(J74*F74,2))</f>
        <v/>
      </c>
      <c r="L74" s="110" t="n">
        <v>1</v>
      </c>
      <c r="M74" s="296" t="n">
        <v>300</v>
      </c>
      <c r="N74" s="112" t="n">
        <v>1</v>
      </c>
      <c r="O74" s="113">
        <f t="array" ref="O74">IF(AND(B74="",C74=""),"",IF(G74&gt;=20000,0.05,IF(G74&gt;=10000,0.1,IF(G74&gt;=5000,0.2,IF(G74&gt;=1000,0.3,IF(G74&gt;=0,0.4,{0}))))))</f>
        <v/>
      </c>
      <c r="P74" s="297">
        <f>IF(AND(B74="",C74=""),"",ROUND(H74*O74,2))</f>
        <v/>
      </c>
      <c r="Q74" s="292" t="inlineStr">
        <is>
          <t>元件</t>
        </is>
      </c>
      <c r="R74" s="130" t="n"/>
      <c r="S74" s="130" t="n"/>
      <c r="T74" s="130" t="inlineStr">
        <is>
          <t>0</t>
        </is>
      </c>
      <c r="U74" s="130" t="n"/>
      <c r="V74" s="293" t="n"/>
      <c r="W74" s="293" t="n"/>
      <c r="X74" s="132" t="n"/>
    </row>
    <row r="75" customFormat="1" s="124">
      <c r="A75" s="26">
        <f>ROW()-ROW(A$44)</f>
        <v/>
      </c>
      <c r="B75" s="19" t="inlineStr">
        <is>
          <t>列头柜</t>
        </is>
      </c>
      <c r="C75" s="19" t="inlineStr">
        <is>
          <t>300mm(D)*1200mm(W)*2200mm(H)</t>
        </is>
      </c>
      <c r="D75" s="19" t="inlineStr">
        <is>
          <t>清科</t>
        </is>
      </c>
      <c r="E75" s="20" t="inlineStr">
        <is>
          <t>台</t>
        </is>
      </c>
      <c r="F75" s="20" t="n">
        <v>1</v>
      </c>
      <c r="G75" s="261">
        <f>IF(AND(B75="",C75=""),"",ROUND(M75*L75*N75,2))</f>
        <v/>
      </c>
      <c r="H75" s="261">
        <f>IF(AND(B75="",C75=""),"",ROUND(F75*G75,2))</f>
        <v/>
      </c>
      <c r="I75" s="75" t="n"/>
      <c r="J75" s="294">
        <f>IF(AND(B75="",C75=""),"",ROUND(M75*N75,2))</f>
        <v/>
      </c>
      <c r="K75" s="295">
        <f>IF(AND(B75="",C75=""),"",ROUND(J75*F75,2))</f>
        <v/>
      </c>
      <c r="L75" s="110" t="n">
        <v>1</v>
      </c>
      <c r="M75" s="296" t="n">
        <v>6079.5</v>
      </c>
      <c r="N75" s="112" t="n">
        <v>1</v>
      </c>
      <c r="O75" s="113">
        <f t="array" ref="O75">IF(AND(B75="",C75=""),"",IF(G75&gt;=20000,0.05,IF(G75&gt;=10000,0.1,IF(G75&gt;=5000,0.2,IF(G75&gt;=1000,0.3,IF(G75&gt;=0,0.4,{0}))))))</f>
        <v/>
      </c>
      <c r="P75" s="297">
        <f>IF(AND(B75="",C75=""),"",ROUND(H75*O75,2))</f>
        <v/>
      </c>
      <c r="Q75" s="292" t="inlineStr">
        <is>
          <t>箱体</t>
        </is>
      </c>
      <c r="R75" s="130" t="n"/>
      <c r="S75" s="130" t="n"/>
      <c r="T75" s="130" t="inlineStr">
        <is>
          <t>0</t>
        </is>
      </c>
      <c r="U75" s="130" t="n"/>
      <c r="V75" s="293" t="n"/>
      <c r="W75" s="293" t="n"/>
      <c r="X75" s="132" t="n"/>
    </row>
    <row r="76" customFormat="1" s="124">
      <c r="A76" s="26">
        <f>ROW()-ROW(A$44)</f>
        <v/>
      </c>
      <c r="B76" s="19" t="n"/>
      <c r="C76" s="19" t="n"/>
      <c r="D76" s="19" t="n"/>
      <c r="E76" s="20" t="n"/>
      <c r="F76" s="20">
        <f>IF(AND(B76="",C76=""),"",1)</f>
        <v/>
      </c>
      <c r="G76" s="261">
        <f>IF(AND(B76="",C76=""),"",ROUND(M76*L76*N76,2))</f>
        <v/>
      </c>
      <c r="H76" s="261">
        <f>IF(AND(B76="",C76=""),"",ROUND(F76*G76,2))</f>
        <v/>
      </c>
      <c r="I76" s="75" t="n"/>
      <c r="J76" s="294">
        <f>IF(AND(B76="",C76=""),"",ROUND(M76*N76,2))</f>
        <v/>
      </c>
      <c r="K76" s="295">
        <f>IF(AND(B76="",C76=""),"",ROUND(J76*F76,2))</f>
        <v/>
      </c>
      <c r="L76" s="110">
        <f>IF(AND(B76="",C76=""),"",1)</f>
        <v/>
      </c>
      <c r="M76" s="296" t="n"/>
      <c r="N76" s="112">
        <f>IF(AND(B76="",C76=""),"",1)</f>
        <v/>
      </c>
      <c r="O76" s="113">
        <f t="array" ref="O76">IF(AND(B76="",C76=""),"",IF(G76&gt;=20000,0.05,IF(G76&gt;=10000,0.1,IF(G76&gt;=5000,0.2,IF(G76&gt;=1000,0.3,IF(G76&gt;=0,0.4,{0}))))))</f>
        <v/>
      </c>
      <c r="P76" s="297">
        <f>IF(AND(B76="",C76=""),"",ROUND(H76*O76,2))</f>
        <v/>
      </c>
      <c r="Q76" s="292" t="n"/>
      <c r="R76" s="130" t="n"/>
      <c r="S76" s="130" t="n"/>
      <c r="T76" s="130" t="n"/>
      <c r="U76" s="130" t="n"/>
      <c r="V76" s="293" t="n"/>
      <c r="W76" s="293" t="n"/>
      <c r="X76" s="132" t="n"/>
    </row>
    <row r="77" customFormat="1" s="124">
      <c r="A77" s="26">
        <f>ROW()-ROW(A$44)</f>
        <v/>
      </c>
      <c r="B77" s="133" t="inlineStr">
        <is>
          <t>小计</t>
        </is>
      </c>
      <c r="C77" s="134" t="n"/>
      <c r="D77" s="45" t="n"/>
      <c r="E77" s="25" t="n"/>
      <c r="F77" s="25" t="n"/>
      <c r="G77" s="264" t="n"/>
      <c r="H77" s="264">
        <f>ROUND(SUM(H44:INDEX(H:H,ROW()-1)),2)</f>
        <v/>
      </c>
      <c r="I77" s="75" t="n"/>
      <c r="J77" s="294" t="n"/>
      <c r="K77" s="295">
        <f>ROUND(SUM(K44:INDEX(K:K,ROW()-1)),2)</f>
        <v/>
      </c>
      <c r="L77" s="110" t="n"/>
      <c r="M77" s="296" t="n"/>
      <c r="N77" s="112" t="n"/>
      <c r="O77" s="113" t="n"/>
      <c r="P77" s="297" t="n"/>
      <c r="Q77" s="292" t="n"/>
      <c r="R77" s="130" t="n"/>
      <c r="S77" s="130" t="n"/>
      <c r="T77" s="130" t="n"/>
      <c r="U77" s="130" t="n"/>
      <c r="V77" s="293">
        <f t="array" ref="V77">ROUND(SUMPRODUCT(F44:INDEX(F:F,ROW()-1),V44:INDEX(V:V,ROW()-1)),2)</f>
        <v/>
      </c>
      <c r="W77" s="293">
        <f t="array" ref="W77">ROUND(SUMPRODUCT(F44:INDEX(F:F,ROW()-1),W44:INDEX(W:W,ROW()-1)),2)</f>
        <v/>
      </c>
      <c r="X77" s="132" t="n"/>
    </row>
    <row r="78" customFormat="1" s="124">
      <c r="A78" s="26">
        <f>ROW()-ROW(A$44)</f>
        <v/>
      </c>
      <c r="B78" s="133" t="inlineStr">
        <is>
          <t>人工</t>
        </is>
      </c>
      <c r="C78" s="134" t="n"/>
      <c r="D78" s="45" t="n"/>
      <c r="E78" s="25" t="n"/>
      <c r="F78" s="25" t="n"/>
      <c r="G78" s="264" t="n"/>
      <c r="H78" s="264">
        <f>ROUND(2500,0)</f>
        <v/>
      </c>
      <c r="I78" s="75" t="n"/>
      <c r="J78" s="294" t="n"/>
      <c r="K78" s="295" t="n"/>
      <c r="L78" s="110" t="n"/>
      <c r="M78" s="296" t="n"/>
      <c r="N78" s="112" t="n"/>
      <c r="O78" s="113" t="n"/>
      <c r="P78" s="297" t="n"/>
      <c r="Q78" s="292" t="n"/>
      <c r="R78" s="130" t="n"/>
      <c r="S78" s="130" t="n"/>
      <c r="T78" s="130" t="n"/>
      <c r="U78" s="130" t="n"/>
      <c r="V78" s="293" t="n"/>
      <c r="W78" s="293" t="n"/>
      <c r="X78" s="132" t="n"/>
    </row>
    <row r="79" customFormat="1" s="124">
      <c r="A79" s="26">
        <f>ROW()-ROW(A$44)</f>
        <v/>
      </c>
      <c r="B79" s="133" t="inlineStr">
        <is>
          <t>管理费</t>
        </is>
      </c>
      <c r="C79" s="134" t="n"/>
      <c r="D79" s="45" t="n"/>
      <c r="E79" s="25" t="n"/>
      <c r="F79" s="25" t="n"/>
      <c r="G79" s="264" t="n"/>
      <c r="H79" s="264">
        <f>ROUND(H77*0,2)</f>
        <v/>
      </c>
      <c r="I79" s="75" t="n"/>
      <c r="J79" s="294" t="n"/>
      <c r="K79" s="295" t="n"/>
      <c r="L79" s="110" t="n"/>
      <c r="M79" s="296" t="n"/>
      <c r="N79" s="112" t="n"/>
      <c r="O79" s="113" t="n"/>
      <c r="P79" s="297" t="n"/>
      <c r="Q79" s="292" t="inlineStr">
        <is>
          <t>费用</t>
        </is>
      </c>
      <c r="R79" s="130" t="n"/>
      <c r="S79" s="130" t="n"/>
      <c r="T79" s="130" t="n"/>
      <c r="U79" s="130" t="n"/>
      <c r="V79" s="293" t="n"/>
      <c r="W79" s="293" t="n"/>
      <c r="X79" s="132" t="n"/>
    </row>
    <row r="80" customFormat="1" s="124">
      <c r="A80" s="26">
        <f>ROW()-ROW(A$44)</f>
        <v/>
      </c>
      <c r="B80" s="133" t="inlineStr">
        <is>
          <t>利润</t>
        </is>
      </c>
      <c r="C80" s="134" t="n"/>
      <c r="D80" s="45" t="n"/>
      <c r="E80" s="25" t="n"/>
      <c r="F80" s="25" t="n"/>
      <c r="G80" s="264" t="n"/>
      <c r="H80" s="264">
        <f>ROUND(SUM(H77:H79)*0,2)</f>
        <v/>
      </c>
      <c r="I80" s="75" t="n"/>
      <c r="J80" s="294" t="n"/>
      <c r="K80" s="295" t="n"/>
      <c r="L80" s="110" t="n"/>
      <c r="M80" s="296" t="n"/>
      <c r="N80" s="112" t="n"/>
      <c r="O80" s="113" t="n"/>
      <c r="P80" s="297" t="n"/>
      <c r="Q80" s="292" t="inlineStr">
        <is>
          <t>费用</t>
        </is>
      </c>
      <c r="R80" s="130" t="n"/>
      <c r="S80" s="130" t="n"/>
      <c r="T80" s="130" t="n"/>
      <c r="U80" s="130" t="n"/>
      <c r="V80" s="293" t="n"/>
      <c r="W80" s="293" t="n"/>
      <c r="X80" s="132" t="n"/>
    </row>
    <row r="81" customFormat="1" s="124">
      <c r="A81" s="26">
        <f>ROW()-ROW(A$44)</f>
        <v/>
      </c>
      <c r="B81" s="133" t="inlineStr">
        <is>
          <t>税金</t>
        </is>
      </c>
      <c r="C81" s="134" t="n"/>
      <c r="D81" s="45" t="n"/>
      <c r="E81" s="25" t="n"/>
      <c r="F81" s="25" t="n"/>
      <c r="G81" s="264" t="n"/>
      <c r="H81" s="264">
        <f>ROUND(SUM(H77:H80)*0,2)</f>
        <v/>
      </c>
      <c r="I81" s="75" t="n"/>
      <c r="J81" s="294" t="n"/>
      <c r="K81" s="295" t="n"/>
      <c r="L81" s="110" t="n"/>
      <c r="M81" s="296" t="n"/>
      <c r="N81" s="112" t="n"/>
      <c r="O81" s="113" t="n"/>
      <c r="P81" s="297" t="n"/>
      <c r="Q81" s="292" t="inlineStr">
        <is>
          <t>费用</t>
        </is>
      </c>
      <c r="R81" s="130" t="n"/>
      <c r="S81" s="130" t="n"/>
      <c r="T81" s="130" t="n"/>
      <c r="U81" s="130" t="n"/>
      <c r="V81" s="293" t="n"/>
      <c r="W81" s="293" t="n"/>
      <c r="X81" s="132" t="n"/>
    </row>
    <row r="82" customFormat="1" s="124">
      <c r="A82" s="26">
        <f>ROW()-ROW(A$44)</f>
        <v/>
      </c>
      <c r="B82" s="45" t="inlineStr">
        <is>
          <t>单台合计</t>
        </is>
      </c>
      <c r="C82" s="134" t="n"/>
      <c r="D82" s="45" t="n"/>
      <c r="E82" s="25" t="n"/>
      <c r="F82" s="25" t="n"/>
      <c r="G82" s="264" t="n"/>
      <c r="H82" s="264">
        <f>ROUND(SUM(H77:H81),2)</f>
        <v/>
      </c>
      <c r="I82" s="141" t="n"/>
      <c r="J82" s="294" t="n"/>
      <c r="K82" s="295">
        <f>ROUND(SUM(K77:K81),2)</f>
        <v/>
      </c>
      <c r="L82" s="142" t="n"/>
      <c r="M82" s="296" t="n"/>
      <c r="N82" s="143" t="n"/>
      <c r="O82" s="144" t="n"/>
      <c r="P82" s="297" t="n"/>
      <c r="Q82" s="292" t="n"/>
      <c r="R82" s="130" t="n"/>
      <c r="S82" s="130" t="n"/>
      <c r="T82" s="130" t="n"/>
      <c r="U82" s="130" t="n"/>
      <c r="V82" s="293" t="n"/>
      <c r="W82" s="293" t="n"/>
      <c r="X82" s="132" t="n"/>
    </row>
    <row r="83" customFormat="1" s="124">
      <c r="A83" s="135" t="inlineStr">
        <is>
          <t>总计</t>
        </is>
      </c>
      <c r="B83" s="136" t="n"/>
      <c r="C83" s="137" t="n"/>
      <c r="D83" s="138" t="n"/>
      <c r="E83" s="138" t="inlineStr">
        <is>
          <t>台</t>
        </is>
      </c>
      <c r="F83" s="138" t="n">
        <v>4</v>
      </c>
      <c r="G83" s="298">
        <f>ROUND(H82,2)</f>
        <v/>
      </c>
      <c r="H83" s="298">
        <f>ROUND(F83*G83,2)</f>
        <v/>
      </c>
      <c r="I83" s="145" t="n"/>
      <c r="J83" s="299" t="n"/>
      <c r="K83" s="300">
        <f>ROUND(K82*F83,2)</f>
        <v/>
      </c>
      <c r="L83" s="148" t="n"/>
      <c r="M83" s="301" t="n"/>
      <c r="N83" s="150" t="n"/>
      <c r="O83" s="151" t="n"/>
      <c r="P83" s="302" t="n"/>
      <c r="Q83" s="292" t="n"/>
      <c r="R83" s="130" t="n"/>
      <c r="S83" s="130" t="n"/>
      <c r="T83" s="130" t="n"/>
      <c r="U83" s="130" t="n"/>
      <c r="V83" s="293" t="n"/>
      <c r="W83" s="293" t="n"/>
      <c r="X83" s="132" t="n"/>
    </row>
    <row r="84" customFormat="1" s="126">
      <c r="A84" s="50" t="n"/>
      <c r="B84" s="101" t="n"/>
      <c r="C84" s="101" t="n"/>
      <c r="D84" s="101" t="n"/>
      <c r="Q84" s="125" t="n"/>
      <c r="R84" s="125" t="n"/>
      <c r="S84" s="125" t="n"/>
      <c r="T84" s="125" t="n"/>
      <c r="U84" s="125" t="n"/>
      <c r="X84" s="101" t="n"/>
    </row>
    <row r="85" customFormat="1" s="126">
      <c r="A85" s="50" t="n"/>
      <c r="B85" s="101" t="n"/>
      <c r="C85" s="101" t="n"/>
      <c r="D85" s="101" t="n"/>
      <c r="Q85" s="125" t="n"/>
      <c r="R85" s="125" t="n"/>
      <c r="S85" s="125" t="n"/>
      <c r="T85" s="125" t="n"/>
      <c r="U85" s="125" t="n"/>
      <c r="X85" s="101" t="n"/>
    </row>
    <row r="86" customFormat="1" s="124">
      <c r="A86" s="52">
        <f>CONCATENATE("报价人：",项目信息!$B$8)</f>
        <v/>
      </c>
      <c r="B86" s="52" t="n"/>
      <c r="C86" s="126" t="n"/>
      <c r="D86" s="126" t="n"/>
      <c r="E86" s="126" t="n"/>
      <c r="F86" s="126" t="n"/>
      <c r="G86" s="126" t="n"/>
      <c r="H86" s="140">
        <f>项目信息!$B$9</f>
        <v/>
      </c>
      <c r="Q86" s="125" t="n"/>
      <c r="R86" s="125" t="n"/>
      <c r="S86" s="125" t="n"/>
      <c r="T86" s="125" t="n"/>
      <c r="U86" s="125" t="n"/>
      <c r="X86" s="128" t="n"/>
    </row>
    <row r="87" s="55">
      <c r="A87" s="5">
        <f>T(项目信息!$B$22)</f>
        <v/>
      </c>
      <c r="Q87" s="125" t="n"/>
      <c r="R87" s="125" t="n"/>
      <c r="S87" s="125" t="n"/>
      <c r="T87" s="125" t="n"/>
      <c r="U87" s="125" t="n"/>
      <c r="X87" s="124" t="n"/>
    </row>
    <row r="88" s="55">
      <c r="A88" s="6">
        <f>T(项目信息!$B$23)</f>
        <v/>
      </c>
      <c r="Q88" s="125" t="n"/>
      <c r="R88" s="125" t="n"/>
      <c r="S88" s="125" t="n"/>
      <c r="T88" s="125" t="n"/>
      <c r="U88" s="125" t="n"/>
      <c r="X88" s="124" t="n"/>
    </row>
    <row r="89" s="55">
      <c r="A89" s="57" t="inlineStr">
        <is>
          <t>成套产品报价明细表</t>
        </is>
      </c>
      <c r="B89" s="282" t="n"/>
      <c r="C89" s="282" t="n"/>
      <c r="D89" s="282" t="n"/>
      <c r="E89" s="282" t="n"/>
      <c r="F89" s="282" t="n"/>
      <c r="G89" s="282" t="n"/>
      <c r="H89" s="282" t="n"/>
      <c r="I89" s="282" t="n"/>
      <c r="Q89" s="125" t="n"/>
      <c r="R89" s="125" t="n"/>
      <c r="S89" s="125" t="n"/>
      <c r="T89" s="125" t="n"/>
      <c r="U89" s="125" t="n"/>
      <c r="X89" s="124" t="n"/>
    </row>
    <row r="90" customFormat="1" s="126">
      <c r="A90" s="58" t="inlineStr">
        <is>
          <t>柜号:</t>
        </is>
      </c>
      <c r="B90" s="59" t="inlineStr">
        <is>
          <t>空调配电柜</t>
        </is>
      </c>
      <c r="C90" s="60" t="inlineStr">
        <is>
          <t>型号:</t>
        </is>
      </c>
      <c r="D90" s="59" t="inlineStr">
        <is>
          <t>Prisma</t>
        </is>
      </c>
      <c r="E90" s="283" t="n"/>
      <c r="F90" s="61" t="inlineStr">
        <is>
          <t>名称:</t>
        </is>
      </c>
      <c r="G90" s="59" t="inlineStr">
        <is>
          <t>配电柜</t>
        </is>
      </c>
      <c r="H90" s="283" t="n"/>
      <c r="I90" s="284" t="n"/>
      <c r="J90" s="100" t="inlineStr">
        <is>
          <t>箱柜尺寸:</t>
        </is>
      </c>
      <c r="K90" s="101" t="inlineStr">
        <is>
          <t>600D*600W*2200H</t>
        </is>
      </c>
      <c r="L90" s="100" t="inlineStr">
        <is>
          <t>类别:</t>
        </is>
      </c>
      <c r="M90" s="101" t="n"/>
      <c r="N90" s="285" t="n"/>
      <c r="Q90" s="125" t="n"/>
      <c r="R90" s="125" t="n"/>
      <c r="S90" s="125" t="n"/>
      <c r="T90" s="125" t="n"/>
      <c r="U90" s="125" t="n"/>
      <c r="X90" s="126" t="n"/>
    </row>
    <row r="91" ht="20.1" customFormat="1" customHeight="1" s="124">
      <c r="A91" s="13" t="inlineStr">
        <is>
          <t>序号</t>
        </is>
      </c>
      <c r="B91" s="62" t="inlineStr">
        <is>
          <t>元件名称</t>
        </is>
      </c>
      <c r="C91" s="62" t="inlineStr">
        <is>
          <t>型号规格</t>
        </is>
      </c>
      <c r="D91" s="63" t="inlineStr">
        <is>
          <t>生产厂家</t>
        </is>
      </c>
      <c r="E91" s="15" t="inlineStr">
        <is>
          <t>单位</t>
        </is>
      </c>
      <c r="F91" s="15" t="inlineStr">
        <is>
          <t>数量</t>
        </is>
      </c>
      <c r="G91" s="260" t="inlineStr">
        <is>
          <t>单   价</t>
        </is>
      </c>
      <c r="H91" s="229" t="inlineStr">
        <is>
          <t>总   价</t>
        </is>
      </c>
      <c r="I91" s="103" t="inlineStr">
        <is>
          <t>备注</t>
        </is>
      </c>
      <c r="J91" s="286" t="inlineStr">
        <is>
          <t>成本单价</t>
        </is>
      </c>
      <c r="K91" s="286" t="inlineStr">
        <is>
          <t>成本总价</t>
        </is>
      </c>
      <c r="L91" s="105" t="inlineStr">
        <is>
          <t>报出
系数</t>
        </is>
      </c>
      <c r="M91" s="286" t="inlineStr">
        <is>
          <t>表价</t>
        </is>
      </c>
      <c r="N91" s="105" t="inlineStr">
        <is>
          <t>折扣
系数</t>
        </is>
      </c>
      <c r="O91" s="106" t="inlineStr">
        <is>
          <t>取费
系数</t>
        </is>
      </c>
      <c r="P91" s="286" t="inlineStr">
        <is>
          <t>成套费</t>
        </is>
      </c>
      <c r="Q91" s="127" t="inlineStr">
        <is>
          <t>类别</t>
        </is>
      </c>
      <c r="R91" s="127" t="inlineStr">
        <is>
          <t>物料编码</t>
        </is>
      </c>
      <c r="S91" s="127" t="inlineStr">
        <is>
          <t>产地</t>
        </is>
      </c>
      <c r="T91" s="127" t="inlineStr">
        <is>
          <t>加工费</t>
        </is>
      </c>
      <c r="U91" s="127" t="inlineStr">
        <is>
          <t>订货号</t>
        </is>
      </c>
      <c r="V91" s="127" t="inlineStr">
        <is>
          <t>人工</t>
        </is>
      </c>
      <c r="W91" s="127" t="inlineStr">
        <is>
          <t>辅料</t>
        </is>
      </c>
      <c r="X91" s="128" t="n"/>
    </row>
    <row r="92" customFormat="1" s="124">
      <c r="A92" s="64">
        <f>ROW()-ROW(A$91)</f>
        <v/>
      </c>
      <c r="B92" s="65" t="inlineStr">
        <is>
          <t>交流塑壳断路器</t>
        </is>
      </c>
      <c r="C92" s="65" t="inlineStr">
        <is>
          <t>NSX160N MIC 2.2 160 3P F</t>
        </is>
      </c>
      <c r="D92" s="65" t="inlineStr">
        <is>
          <t>施耐德电气</t>
        </is>
      </c>
      <c r="E92" s="66" t="inlineStr">
        <is>
          <t>只</t>
        </is>
      </c>
      <c r="F92" s="66" t="n">
        <v>2</v>
      </c>
      <c r="G92" s="287">
        <f>IF(AND(B92="",C92=""),"",ROUND(M92*L92*N92,2))</f>
        <v/>
      </c>
      <c r="H92" s="287">
        <f>IF(AND(B92="",C92=""),"",ROUND(F92*G92,2))</f>
        <v/>
      </c>
      <c r="I92" s="107" t="n"/>
      <c r="J92" s="288">
        <f>IF(AND(B92="",C92=""),"",ROUND(M92*N92,2))</f>
        <v/>
      </c>
      <c r="K92" s="289">
        <f>IF(AND(B92="",C92=""),"",ROUND(J92*F92,2))</f>
        <v/>
      </c>
      <c r="L92" s="110" t="n">
        <v>1</v>
      </c>
      <c r="M92" s="290" t="n">
        <v>2707.94</v>
      </c>
      <c r="N92" s="112" t="n">
        <v>0.45</v>
      </c>
      <c r="O92" s="113">
        <f t="array" ref="O92">IF(AND(B92="",C92=""),"",IF(G92&gt;=20000,0.05,IF(G92&gt;=10000,0.1,IF(G92&gt;=5000,0.2,IF(G92&gt;=1000,0.3,IF(G92&gt;=0,0.4,{0}))))))</f>
        <v/>
      </c>
      <c r="P92" s="291">
        <f>IF(AND(B92="",C92=""),"",ROUND(H92*O92,2))</f>
        <v/>
      </c>
      <c r="Q92" s="292" t="inlineStr">
        <is>
          <t>元件</t>
        </is>
      </c>
      <c r="R92" s="130" t="n"/>
      <c r="S92" s="130" t="n"/>
      <c r="T92" s="130" t="inlineStr">
        <is>
          <t>0</t>
        </is>
      </c>
      <c r="U92" s="130" t="inlineStr">
        <is>
          <t>C16N32D160</t>
        </is>
      </c>
      <c r="V92" s="293" t="n"/>
      <c r="W92" s="293" t="n"/>
      <c r="X92" s="132" t="inlineStr">
        <is>
          <t>INS160 3P 160A 标准产品、黑色手柄</t>
        </is>
      </c>
    </row>
    <row r="93" customFormat="1" s="124">
      <c r="A93" s="26">
        <f>ROW()-ROW(A$91)</f>
        <v/>
      </c>
      <c r="B93" s="24" t="inlineStr">
        <is>
          <t>双电源自动转换开关</t>
        </is>
      </c>
      <c r="C93" s="19" t="inlineStr">
        <is>
          <t>WATSN-160/160b/4A PC级</t>
        </is>
      </c>
      <c r="D93" s="24" t="inlineStr">
        <is>
          <t>施耐德万高</t>
        </is>
      </c>
      <c r="E93" s="25" t="inlineStr">
        <is>
          <t>只</t>
        </is>
      </c>
      <c r="F93" s="20" t="n">
        <v>1</v>
      </c>
      <c r="G93" s="264">
        <f>IF(AND(B93="",C93=""),"",ROUND(M93*L93*N93,2))</f>
        <v/>
      </c>
      <c r="H93" s="261">
        <f>IF(AND(B93="",C93=""),"",ROUND(F93*G93,2))</f>
        <v/>
      </c>
      <c r="I93" s="75" t="n"/>
      <c r="J93" s="294">
        <f>IF(AND(B93="",C93=""),"",ROUND(M93*N93,2))</f>
        <v/>
      </c>
      <c r="K93" s="295">
        <f>IF(AND(B93="",C93=""),"",ROUND(J93*F93,2))</f>
        <v/>
      </c>
      <c r="L93" s="110" t="n">
        <v>1</v>
      </c>
      <c r="M93" s="296" t="n">
        <v>9725</v>
      </c>
      <c r="N93" s="112" t="n">
        <v>0.5</v>
      </c>
      <c r="O93" s="113">
        <f t="array" ref="O93">IF(AND(B93="",C93=""),"",IF(G93&gt;=20000,0.05,IF(G93&gt;=10000,0.1,IF(G93&gt;=5000,0.2,IF(G93&gt;=1000,0.3,IF(G93&gt;=0,0.4,{0}))))))</f>
        <v/>
      </c>
      <c r="P93" s="297">
        <f>IF(AND(B93="",C93=""),"",ROUND(H93*O93,2))</f>
        <v/>
      </c>
      <c r="Q93" s="292" t="inlineStr">
        <is>
          <t>元件</t>
        </is>
      </c>
      <c r="R93" s="130" t="n"/>
      <c r="S93" s="130" t="n"/>
      <c r="T93" s="130" t="inlineStr">
        <is>
          <t>0</t>
        </is>
      </c>
      <c r="U93" s="130" t="inlineStr">
        <is>
          <t>N2A01604</t>
        </is>
      </c>
      <c r="V93" s="293" t="n"/>
      <c r="W93" s="293" t="n"/>
      <c r="X93" s="132" t="inlineStr">
        <is>
          <t>WATSN-160/160b/4A PC级→WATSN-160/160b/4H PC级→WATSN-160/160b/4A PC级+T</t>
        </is>
      </c>
    </row>
    <row r="94" customFormat="1" s="124">
      <c r="A94" s="26">
        <f>ROW()-ROW(A$91)</f>
        <v/>
      </c>
      <c r="B94" s="24" t="inlineStr">
        <is>
          <t>交流塑壳断路器</t>
        </is>
      </c>
      <c r="C94" s="24" t="inlineStr">
        <is>
          <t>NSX100N MIC 2.2 100 3P F</t>
        </is>
      </c>
      <c r="D94" s="24" t="inlineStr">
        <is>
          <t>施耐德电气</t>
        </is>
      </c>
      <c r="E94" s="25" t="inlineStr">
        <is>
          <t>只</t>
        </is>
      </c>
      <c r="F94" s="25" t="n">
        <v>6</v>
      </c>
      <c r="G94" s="264">
        <f>IF(AND(B94="",C94=""),"",ROUND(M94*L94*N94,2))</f>
        <v/>
      </c>
      <c r="H94" s="264">
        <f>IF(AND(B94="",C94=""),"",ROUND(F94*G94,2))</f>
        <v/>
      </c>
      <c r="I94" s="119" t="n"/>
      <c r="J94" s="294">
        <f>IF(AND(B94="",C94=""),"",ROUND(M94*N94,2))</f>
        <v/>
      </c>
      <c r="K94" s="295">
        <f>IF(AND(B94="",C94=""),"",ROUND(J94*F94,2))</f>
        <v/>
      </c>
      <c r="L94" s="110" t="n">
        <v>1</v>
      </c>
      <c r="M94" s="296" t="n">
        <v>2391.48</v>
      </c>
      <c r="N94" s="112" t="n">
        <v>0.45</v>
      </c>
      <c r="O94" s="113">
        <f t="array" ref="O94">IF(AND(B94="",C94=""),"",IF(G94&gt;=20000,0.05,IF(G94&gt;=10000,0.1,IF(G94&gt;=5000,0.2,IF(G94&gt;=1000,0.3,IF(G94&gt;=0,0.4,{0}))))))</f>
        <v/>
      </c>
      <c r="P94" s="297">
        <f>IF(AND(B94="",C94=""),"",ROUND(H94*O94,2))</f>
        <v/>
      </c>
      <c r="Q94" s="292" t="inlineStr">
        <is>
          <t>元件</t>
        </is>
      </c>
      <c r="R94" s="130" t="n"/>
      <c r="S94" s="130" t="n"/>
      <c r="T94" s="130" t="inlineStr">
        <is>
          <t>0</t>
        </is>
      </c>
      <c r="U94" s="130" t="inlineStr">
        <is>
          <t>C10N32D100</t>
        </is>
      </c>
      <c r="V94" s="293" t="n"/>
      <c r="W94" s="293" t="n"/>
      <c r="X94" s="132" t="inlineStr">
        <is>
          <t>iDPNN C16A</t>
        </is>
      </c>
    </row>
    <row r="95" customFormat="1" s="124">
      <c r="A95" s="26">
        <f>ROW()-ROW(A$91)</f>
        <v/>
      </c>
      <c r="B95" s="19" t="inlineStr">
        <is>
          <t>多功能仪表</t>
        </is>
      </c>
      <c r="C95" s="19" t="inlineStr">
        <is>
          <t>ET903-E3-N</t>
        </is>
      </c>
      <c r="D95" s="19" t="inlineStr">
        <is>
          <t>雅达</t>
        </is>
      </c>
      <c r="E95" s="20" t="inlineStr">
        <is>
          <t>只</t>
        </is>
      </c>
      <c r="F95" s="20" t="n">
        <v>1</v>
      </c>
      <c r="G95" s="261">
        <f>IF(AND(B95="",C95=""),"",ROUND(M95*L95*N95,2))</f>
        <v/>
      </c>
      <c r="H95" s="261">
        <f>IF(AND(B95="",C95=""),"",ROUND(F95*G95,2))</f>
        <v/>
      </c>
      <c r="I95" s="75" t="n"/>
      <c r="J95" s="294">
        <f>IF(AND(B95="",C95=""),"",ROUND(M95*N95,2))</f>
        <v/>
      </c>
      <c r="K95" s="295">
        <f>IF(AND(B95="",C95=""),"",ROUND(J95*F95,2))</f>
        <v/>
      </c>
      <c r="L95" s="110" t="n">
        <v>1</v>
      </c>
      <c r="M95" s="296" t="n">
        <v>230</v>
      </c>
      <c r="N95" s="112" t="n">
        <v>1</v>
      </c>
      <c r="O95" s="113">
        <f t="array" ref="O95">IF(AND(B95="",C95=""),"",IF(G95&gt;=20000,0.05,IF(G95&gt;=10000,0.1,IF(G95&gt;=5000,0.2,IF(G95&gt;=1000,0.3,IF(G95&gt;=0,0.4,{0}))))))</f>
        <v/>
      </c>
      <c r="P95" s="297">
        <f>IF(AND(B95="",C95=""),"",ROUND(H95*O95,2))</f>
        <v/>
      </c>
      <c r="Q95" s="292" t="inlineStr">
        <is>
          <t>元件</t>
        </is>
      </c>
      <c r="R95" s="130" t="n"/>
      <c r="S95" s="130" t="n"/>
      <c r="T95" s="130" t="inlineStr">
        <is>
          <t>0</t>
        </is>
      </c>
      <c r="U95" s="130" t="n"/>
      <c r="V95" s="293" t="n"/>
      <c r="W95" s="293" t="n"/>
      <c r="X95" s="132" t="n"/>
    </row>
    <row r="96" customFormat="1" s="124">
      <c r="A96" s="26">
        <f>ROW()-ROW(A$91)</f>
        <v/>
      </c>
      <c r="B96" s="19" t="inlineStr">
        <is>
          <t>电流互感器</t>
        </is>
      </c>
      <c r="C96" s="19" t="inlineStr">
        <is>
          <t>150/5A</t>
        </is>
      </c>
      <c r="D96" s="19" t="inlineStr">
        <is>
          <t>鼎浩</t>
        </is>
      </c>
      <c r="E96" s="20" t="inlineStr">
        <is>
          <t>只</t>
        </is>
      </c>
      <c r="F96" s="20" t="n">
        <v>3</v>
      </c>
      <c r="G96" s="261">
        <f>IF(AND(B96="",C96=""),"",ROUND(M96*L96*N96,2))</f>
        <v/>
      </c>
      <c r="H96" s="261">
        <f>IF(AND(B96="",C96=""),"",ROUND(F96*G96,2))</f>
        <v/>
      </c>
      <c r="I96" s="75" t="n"/>
      <c r="J96" s="294">
        <f>IF(AND(B96="",C96=""),"",ROUND(M96*N96,2))</f>
        <v/>
      </c>
      <c r="K96" s="295">
        <f>IF(AND(B96="",C96=""),"",ROUND(J96*F96,2))</f>
        <v/>
      </c>
      <c r="L96" s="110" t="n">
        <v>1</v>
      </c>
      <c r="M96" s="296" t="n">
        <v>30</v>
      </c>
      <c r="N96" s="112" t="n">
        <v>1</v>
      </c>
      <c r="O96" s="113">
        <f t="array" ref="O96">IF(AND(B96="",C96=""),"",IF(G96&gt;=20000,0.05,IF(G96&gt;=10000,0.1,IF(G96&gt;=5000,0.2,IF(G96&gt;=1000,0.3,IF(G96&gt;=0,0.4,{0}))))))</f>
        <v/>
      </c>
      <c r="P96" s="297">
        <f>IF(AND(B96="",C96=""),"",ROUND(H96*O96,2))</f>
        <v/>
      </c>
      <c r="Q96" s="292" t="inlineStr">
        <is>
          <t>元件</t>
        </is>
      </c>
      <c r="R96" s="130" t="n"/>
      <c r="S96" s="130" t="n"/>
      <c r="T96" s="130" t="inlineStr">
        <is>
          <t>0</t>
        </is>
      </c>
      <c r="U96" s="130" t="n"/>
      <c r="V96" s="293" t="n"/>
      <c r="W96" s="293" t="n"/>
      <c r="X96" s="132" t="n"/>
    </row>
    <row r="97" customFormat="1" s="124">
      <c r="A97" s="26">
        <f>ROW()-ROW(A$91)</f>
        <v/>
      </c>
      <c r="B97" s="24" t="inlineStr">
        <is>
          <t>后备保护</t>
        </is>
      </c>
      <c r="C97" s="24" t="inlineStr">
        <is>
          <t>TSCB -ll ／4</t>
        </is>
      </c>
      <c r="D97" s="19" t="inlineStr">
        <is>
          <t>深圳中鹏</t>
        </is>
      </c>
      <c r="E97" s="25" t="inlineStr">
        <is>
          <t>只</t>
        </is>
      </c>
      <c r="F97" s="25" t="n">
        <v>1</v>
      </c>
      <c r="G97" s="264">
        <f>IF(AND(B97="",C97=""),"",ROUND(M97*L97*N97,2))</f>
        <v/>
      </c>
      <c r="H97" s="264">
        <f>IF(AND(B97="",C97=""),"",ROUND(F97*G97,2))</f>
        <v/>
      </c>
      <c r="I97" s="119" t="n"/>
      <c r="J97" s="294">
        <f>IF(AND(B97="",C97=""),"",ROUND(M97*N97,2))</f>
        <v/>
      </c>
      <c r="K97" s="295">
        <f>IF(AND(B97="",C97=""),"",ROUND(J97*F97,2))</f>
        <v/>
      </c>
      <c r="L97" s="110" t="n">
        <v>1</v>
      </c>
      <c r="M97" s="296" t="n">
        <v>135</v>
      </c>
      <c r="N97" s="112" t="n">
        <v>1</v>
      </c>
      <c r="O97" s="113">
        <f t="array" ref="O97">IF(AND(B97="",C97=""),"",IF(G97&gt;=20000,0.05,IF(G97&gt;=10000,0.1,IF(G97&gt;=5000,0.2,IF(G97&gt;=1000,0.3,IF(G97&gt;=0,0.4,{0}))))))</f>
        <v/>
      </c>
      <c r="P97" s="297">
        <f>IF(AND(B97="",C97=""),"",ROUND(H97*O97,2))</f>
        <v/>
      </c>
      <c r="Q97" s="292" t="inlineStr">
        <is>
          <t>元件</t>
        </is>
      </c>
      <c r="R97" s="130" t="n"/>
      <c r="S97" s="130" t="n"/>
      <c r="T97" s="130" t="inlineStr">
        <is>
          <t>0</t>
        </is>
      </c>
      <c r="U97" s="130" t="inlineStr">
        <is>
          <t>A9F28450</t>
        </is>
      </c>
      <c r="V97" s="293" t="n"/>
      <c r="W97" s="293" t="n"/>
      <c r="X97" s="132" t="inlineStr">
        <is>
          <t>KHB-40/4P→iSCB2 80H2 4P</t>
        </is>
      </c>
    </row>
    <row r="98" customFormat="1" s="124">
      <c r="A98" s="26">
        <f>ROW()-ROW(A$91)</f>
        <v/>
      </c>
      <c r="B98" s="19" t="inlineStr">
        <is>
          <t>电涌保护器</t>
        </is>
      </c>
      <c r="C98" s="19" t="inlineStr">
        <is>
          <t>TB80-385/3+N FM</t>
        </is>
      </c>
      <c r="D98" s="19" t="inlineStr">
        <is>
          <t>深圳中鹏</t>
        </is>
      </c>
      <c r="E98" s="20" t="inlineStr">
        <is>
          <t>只</t>
        </is>
      </c>
      <c r="F98" s="20" t="n">
        <v>1</v>
      </c>
      <c r="G98" s="261">
        <f>IF(AND(B98="",C98=""),"",ROUND(M98*L98*N98,2))</f>
        <v/>
      </c>
      <c r="H98" s="264">
        <f>IF(AND(B98="",C98=""),"",ROUND(F98*G98,2))</f>
        <v/>
      </c>
      <c r="I98" s="119" t="n"/>
      <c r="J98" s="294">
        <f>IF(AND(B98="",C98=""),"",ROUND(M98*N98,2))</f>
        <v/>
      </c>
      <c r="K98" s="295">
        <f>IF(AND(B98="",C98=""),"",ROUND(J98*F98,2))</f>
        <v/>
      </c>
      <c r="L98" s="110" t="n">
        <v>1</v>
      </c>
      <c r="M98" s="296" t="n">
        <v>135</v>
      </c>
      <c r="N98" s="112" t="n">
        <v>1</v>
      </c>
      <c r="O98" s="113">
        <f t="array" ref="O98">IF(AND(B98="",C98=""),"",IF(G98&gt;=20000,0.05,IF(G98&gt;=10000,0.1,IF(G98&gt;=5000,0.2,IF(G98&gt;=1000,0.3,IF(G98&gt;=0,0.4,{0}))))))</f>
        <v/>
      </c>
      <c r="P98" s="297">
        <f>IF(AND(B98="",C98=""),"",ROUND(H98*O98,2))</f>
        <v/>
      </c>
      <c r="Q98" s="292" t="inlineStr">
        <is>
          <t>元件</t>
        </is>
      </c>
      <c r="R98" s="130" t="n"/>
      <c r="S98" s="130" t="n"/>
      <c r="T98" s="130" t="inlineStr">
        <is>
          <t>0</t>
        </is>
      </c>
      <c r="U98" s="130" t="inlineStr">
        <is>
          <t>A9L615601</t>
        </is>
      </c>
      <c r="V98" s="293" t="n"/>
      <c r="W98" s="293" t="n"/>
      <c r="X98" s="132" t="inlineStr">
        <is>
          <t>KDY-40/440/4P→PRD80r 3P＋N</t>
        </is>
      </c>
    </row>
    <row r="99" customFormat="1" s="124">
      <c r="A99" s="26">
        <f>ROW()-ROW(A$91)</f>
        <v/>
      </c>
      <c r="B99" s="19" t="inlineStr">
        <is>
          <t>铜排</t>
        </is>
      </c>
      <c r="C99" s="19" t="inlineStr">
        <is>
          <t>TMY 20*5</t>
        </is>
      </c>
      <c r="D99" s="19" t="inlineStr">
        <is>
          <t>国产优质</t>
        </is>
      </c>
      <c r="E99" s="20" t="inlineStr">
        <is>
          <t>米</t>
        </is>
      </c>
      <c r="F99" s="20" t="n">
        <v>9</v>
      </c>
      <c r="G99" s="261">
        <f>IF(AND(B99="",C99=""),"",ROUND(M99*L99*N99,2))</f>
        <v/>
      </c>
      <c r="H99" s="261">
        <f>IF(AND(B99="",C99=""),"",ROUND(F99*G99,2))</f>
        <v/>
      </c>
      <c r="I99" s="75" t="n"/>
      <c r="J99" s="294">
        <f>IF(AND(B99="",C99=""),"",ROUND(M99*N99,2))</f>
        <v/>
      </c>
      <c r="K99" s="295">
        <f>IF(AND(B99="",C99=""),"",ROUND(J99*F99,2))</f>
        <v/>
      </c>
      <c r="L99" s="110" t="n">
        <v>1</v>
      </c>
      <c r="M99" s="296" t="n">
        <v>94.70489999999999</v>
      </c>
      <c r="N99" s="112" t="n">
        <v>1</v>
      </c>
      <c r="O99" s="113">
        <f t="array" ref="O99">IF(AND(B99="",C99=""),"",IF(G99&gt;=20000,0.05,IF(G99&gt;=10000,0.1,IF(G99&gt;=5000,0.2,IF(G99&gt;=1000,0.3,IF(G99&gt;=0,0.4,{0}))))))</f>
        <v/>
      </c>
      <c r="P99" s="297">
        <f>IF(AND(B99="",C99=""),"",ROUND(H99*O99,2))</f>
        <v/>
      </c>
      <c r="Q99" s="292" t="inlineStr">
        <is>
          <t>母排</t>
        </is>
      </c>
      <c r="R99" s="130" t="n"/>
      <c r="S99" s="130" t="n"/>
      <c r="T99" s="130" t="inlineStr">
        <is>
          <t>0</t>
        </is>
      </c>
      <c r="U99" s="130" t="n"/>
      <c r="V99" s="293" t="n"/>
      <c r="W99" s="293" t="n"/>
      <c r="X99" s="132" t="n"/>
    </row>
    <row r="100" customFormat="1" s="124">
      <c r="A100" s="26">
        <f>ROW()-ROW(A$91)</f>
        <v/>
      </c>
      <c r="B100" s="19" t="inlineStr">
        <is>
          <t>电缆</t>
        </is>
      </c>
      <c r="C100" s="19" t="inlineStr">
        <is>
          <t>25mm²</t>
        </is>
      </c>
      <c r="D100" s="19" t="inlineStr">
        <is>
          <t>凯布斯</t>
        </is>
      </c>
      <c r="E100" s="20" t="inlineStr">
        <is>
          <t>米</t>
        </is>
      </c>
      <c r="F100" s="20" t="n">
        <v>22</v>
      </c>
      <c r="G100" s="261">
        <f>IF(AND(B100="",C100=""),"",ROUND(M100*L100*N100,2))</f>
        <v/>
      </c>
      <c r="H100" s="261">
        <f>IF(AND(B100="",C100=""),"",ROUND(F100*G100,2))</f>
        <v/>
      </c>
      <c r="I100" s="75" t="n"/>
      <c r="J100" s="294">
        <f>IF(AND(B100="",C100=""),"",ROUND(M100*N100,2))</f>
        <v/>
      </c>
      <c r="K100" s="295">
        <f>IF(AND(B100="",C100=""),"",ROUND(J100*F100,2))</f>
        <v/>
      </c>
      <c r="L100" s="110" t="n">
        <v>1</v>
      </c>
      <c r="M100" s="296" t="n">
        <v>23.67</v>
      </c>
      <c r="N100" s="112" t="n">
        <v>1</v>
      </c>
      <c r="O100" s="113">
        <f t="array" ref="O100">IF(AND(B100="",C100=""),"",IF(G100&gt;=20000,0.05,IF(G100&gt;=10000,0.1,IF(G100&gt;=5000,0.2,IF(G100&gt;=1000,0.3,IF(G100&gt;=0,0.4,{0}))))))</f>
        <v/>
      </c>
      <c r="P100" s="297">
        <f>IF(AND(B100="",C100=""),"",ROUND(H100*O100,2))</f>
        <v/>
      </c>
      <c r="Q100" s="292" t="inlineStr">
        <is>
          <t>元件</t>
        </is>
      </c>
      <c r="R100" s="130" t="n"/>
      <c r="S100" s="130" t="n"/>
      <c r="T100" s="130" t="inlineStr">
        <is>
          <t>0</t>
        </is>
      </c>
      <c r="U100" s="130" t="n"/>
      <c r="V100" s="293" t="n"/>
      <c r="W100" s="293" t="n"/>
      <c r="X100" s="132" t="inlineStr">
        <is>
          <t>2.5mm²→10mm²</t>
        </is>
      </c>
    </row>
    <row r="101" customFormat="1" s="124">
      <c r="A101" s="26">
        <f>ROW()-ROW(A$91)</f>
        <v/>
      </c>
      <c r="B101" s="19" t="inlineStr">
        <is>
          <t>辅料</t>
        </is>
      </c>
      <c r="C101" s="19" t="n"/>
      <c r="D101" s="19" t="n"/>
      <c r="E101" s="20" t="n"/>
      <c r="F101" s="20" t="n">
        <v>1</v>
      </c>
      <c r="G101" s="261">
        <f>IF(AND(B101="",C101=""),"",ROUND(M101*L101*N101,2))</f>
        <v/>
      </c>
      <c r="H101" s="261">
        <f>IF(AND(B101="",C101=""),"",ROUND(F101*G101,2))</f>
        <v/>
      </c>
      <c r="I101" s="75" t="n"/>
      <c r="J101" s="294">
        <f>IF(AND(B101="",C101=""),"",ROUND(M101*N101,2))</f>
        <v/>
      </c>
      <c r="K101" s="295">
        <f>IF(AND(B101="",C101=""),"",ROUND(J101*F101,2))</f>
        <v/>
      </c>
      <c r="L101" s="110" t="n">
        <v>1</v>
      </c>
      <c r="M101" s="296" t="n">
        <v>500</v>
      </c>
      <c r="N101" s="112" t="n">
        <v>1</v>
      </c>
      <c r="O101" s="113">
        <f t="array" ref="O101">IF(AND(B101="",C101=""),"",IF(G101&gt;=20000,0.05,IF(G101&gt;=10000,0.1,IF(G101&gt;=5000,0.2,IF(G101&gt;=1000,0.3,IF(G101&gt;=0,0.4,{0}))))))</f>
        <v/>
      </c>
      <c r="P101" s="297">
        <f>IF(AND(B101="",C101=""),"",ROUND(H101*O101,2))</f>
        <v/>
      </c>
      <c r="Q101" s="292" t="inlineStr">
        <is>
          <t>辅料</t>
        </is>
      </c>
      <c r="R101" s="130" t="n"/>
      <c r="S101" s="130" t="n"/>
      <c r="T101" s="130" t="inlineStr">
        <is>
          <t>0</t>
        </is>
      </c>
      <c r="U101" s="130" t="n"/>
      <c r="V101" s="293" t="n"/>
      <c r="W101" s="293" t="n"/>
      <c r="X101" s="132" t="n"/>
    </row>
    <row r="102" customFormat="1" s="124">
      <c r="A102" s="26">
        <f>ROW()-ROW(A$91)</f>
        <v/>
      </c>
      <c r="B102" s="19" t="inlineStr">
        <is>
          <t>柜体</t>
        </is>
      </c>
      <c r="C102" s="19" t="inlineStr">
        <is>
          <t>600D*600W*2200H</t>
        </is>
      </c>
      <c r="D102" s="19" t="inlineStr">
        <is>
          <t>清科</t>
        </is>
      </c>
      <c r="E102" s="20" t="inlineStr">
        <is>
          <t>台</t>
        </is>
      </c>
      <c r="F102" s="20" t="n">
        <v>1</v>
      </c>
      <c r="G102" s="261">
        <f>IF(AND(B102="",C102=""),"",ROUND(M102*L102*N102,2))</f>
        <v/>
      </c>
      <c r="H102" s="261">
        <f>IF(AND(B102="",C102=""),"",ROUND(F102*G102,2))</f>
        <v/>
      </c>
      <c r="I102" s="75" t="n"/>
      <c r="J102" s="294">
        <f>IF(AND(B102="",C102=""),"",ROUND(M102*N102,2))</f>
        <v/>
      </c>
      <c r="K102" s="295">
        <f>IF(AND(B102="",C102=""),"",ROUND(J102*F102,2))</f>
        <v/>
      </c>
      <c r="L102" s="110" t="n">
        <v>1</v>
      </c>
      <c r="M102" s="296" t="n">
        <v>2529</v>
      </c>
      <c r="N102" s="112" t="n">
        <v>1</v>
      </c>
      <c r="O102" s="113">
        <f t="array" ref="O102">IF(AND(B102="",C102=""),"",IF(G102&gt;=20000,0.05,IF(G102&gt;=10000,0.1,IF(G102&gt;=5000,0.2,IF(G102&gt;=1000,0.3,IF(G102&gt;=0,0.4,{0}))))))</f>
        <v/>
      </c>
      <c r="P102" s="297">
        <f>IF(AND(B102="",C102=""),"",ROUND(H102*O102,2))</f>
        <v/>
      </c>
      <c r="Q102" s="292" t="inlineStr">
        <is>
          <t>箱体</t>
        </is>
      </c>
      <c r="R102" s="130" t="n"/>
      <c r="S102" s="130" t="n"/>
      <c r="T102" s="130" t="inlineStr">
        <is>
          <t>0</t>
        </is>
      </c>
      <c r="U102" s="130" t="n"/>
      <c r="V102" s="293" t="n"/>
      <c r="W102" s="293" t="n"/>
      <c r="X102" s="132" t="inlineStr">
        <is>
          <t>235D*600W*1300H</t>
        </is>
      </c>
    </row>
    <row r="103" customFormat="1" s="124">
      <c r="A103" s="26">
        <f>ROW()-ROW(A$91)</f>
        <v/>
      </c>
      <c r="B103" s="19" t="n"/>
      <c r="C103" s="19" t="n"/>
      <c r="D103" s="19" t="n"/>
      <c r="E103" s="20" t="n"/>
      <c r="F103" s="20">
        <f>IF(AND(B103="",C103=""),"",1)</f>
        <v/>
      </c>
      <c r="G103" s="261">
        <f>IF(AND(B103="",C103=""),"",ROUND(M103*L103*N103,2))</f>
        <v/>
      </c>
      <c r="H103" s="261">
        <f>IF(AND(B103="",C103=""),"",ROUND(F103*G103,2))</f>
        <v/>
      </c>
      <c r="I103" s="75" t="n"/>
      <c r="J103" s="294">
        <f>IF(AND(B103="",C103=""),"",ROUND(M103*N103,2))</f>
        <v/>
      </c>
      <c r="K103" s="295">
        <f>IF(AND(B103="",C103=""),"",ROUND(J103*F103,2))</f>
        <v/>
      </c>
      <c r="L103" s="110">
        <f>IF(AND(B103="",C103=""),"",1)</f>
        <v/>
      </c>
      <c r="M103" s="296" t="n"/>
      <c r="N103" s="112">
        <f>IF(AND(B103="",C103=""),"",1)</f>
        <v/>
      </c>
      <c r="O103" s="113">
        <f t="array" ref="O103">IF(AND(B103="",C103=""),"",IF(G103&gt;=20000,0.05,IF(G103&gt;=10000,0.1,IF(G103&gt;=5000,0.2,IF(G103&gt;=1000,0.3,IF(G103&gt;=0,0.4,{0}))))))</f>
        <v/>
      </c>
      <c r="P103" s="297">
        <f>IF(AND(B103="",C103=""),"",ROUND(H103*O103,2))</f>
        <v/>
      </c>
      <c r="Q103" s="292" t="n"/>
      <c r="R103" s="130" t="n"/>
      <c r="S103" s="130" t="n"/>
      <c r="T103" s="130" t="n"/>
      <c r="U103" s="130" t="n"/>
      <c r="V103" s="293" t="n"/>
      <c r="W103" s="293" t="n"/>
      <c r="X103" s="132" t="n"/>
    </row>
    <row r="104" customFormat="1" s="124">
      <c r="A104" s="26">
        <f>ROW()-ROW(A$91)</f>
        <v/>
      </c>
      <c r="B104" s="133" t="inlineStr">
        <is>
          <t>小计</t>
        </is>
      </c>
      <c r="C104" s="134" t="n"/>
      <c r="D104" s="45" t="n"/>
      <c r="E104" s="25" t="n"/>
      <c r="F104" s="25" t="n"/>
      <c r="G104" s="264" t="n"/>
      <c r="H104" s="264">
        <f>ROUND(SUM(H91:INDEX(H:H,ROW()-1)),2)</f>
        <v/>
      </c>
      <c r="I104" s="75" t="n"/>
      <c r="J104" s="294" t="n"/>
      <c r="K104" s="295">
        <f>ROUND(SUM(K91:INDEX(K:K,ROW()-1)),2)</f>
        <v/>
      </c>
      <c r="L104" s="110" t="n"/>
      <c r="M104" s="296" t="n"/>
      <c r="N104" s="112" t="n"/>
      <c r="O104" s="113" t="n"/>
      <c r="P104" s="297" t="n"/>
      <c r="Q104" s="292" t="n"/>
      <c r="R104" s="130" t="n"/>
      <c r="S104" s="130" t="n"/>
      <c r="T104" s="130" t="n"/>
      <c r="U104" s="130" t="n"/>
      <c r="V104" s="293">
        <f t="array" ref="V104">ROUND(SUMPRODUCT(F91:INDEX(F:F,ROW()-1),V91:INDEX(V:V,ROW()-1)),2)</f>
        <v/>
      </c>
      <c r="W104" s="293">
        <f t="array" ref="W104">ROUND(SUMPRODUCT(F91:INDEX(F:F,ROW()-1),W91:INDEX(W:W,ROW()-1)),2)</f>
        <v/>
      </c>
      <c r="X104" s="132" t="n"/>
    </row>
    <row r="105" customFormat="1" s="124">
      <c r="A105" s="26">
        <f>ROW()-ROW(A$91)</f>
        <v/>
      </c>
      <c r="B105" s="133" t="inlineStr">
        <is>
          <t>人工</t>
        </is>
      </c>
      <c r="C105" s="134" t="n"/>
      <c r="D105" s="45" t="n"/>
      <c r="E105" s="25" t="n"/>
      <c r="F105" s="25" t="n"/>
      <c r="G105" s="264" t="n"/>
      <c r="H105" s="264" t="n">
        <v>573.76</v>
      </c>
      <c r="I105" s="75" t="n"/>
      <c r="J105" s="294" t="n"/>
      <c r="K105" s="295" t="n"/>
      <c r="L105" s="110" t="n"/>
      <c r="M105" s="296" t="n"/>
      <c r="N105" s="112" t="n"/>
      <c r="O105" s="113" t="n"/>
      <c r="P105" s="297" t="n"/>
      <c r="Q105" s="292" t="n"/>
      <c r="R105" s="130" t="n"/>
      <c r="S105" s="130" t="n"/>
      <c r="T105" s="130" t="n"/>
      <c r="U105" s="130" t="n"/>
      <c r="V105" s="293" t="n"/>
      <c r="W105" s="293" t="n"/>
      <c r="X105" s="132" t="n"/>
    </row>
    <row r="106" customFormat="1" s="124">
      <c r="A106" s="26">
        <f>ROW()-ROW(A$91)</f>
        <v/>
      </c>
      <c r="B106" s="133" t="inlineStr">
        <is>
          <t>管理费</t>
        </is>
      </c>
      <c r="C106" s="134" t="n"/>
      <c r="D106" s="45" t="n"/>
      <c r="E106" s="25" t="n"/>
      <c r="F106" s="25" t="n"/>
      <c r="G106" s="264" t="n"/>
      <c r="H106" s="264">
        <f>ROUND(H104*0,2)</f>
        <v/>
      </c>
      <c r="I106" s="75" t="n"/>
      <c r="J106" s="294" t="n"/>
      <c r="K106" s="295" t="n"/>
      <c r="L106" s="110" t="n"/>
      <c r="M106" s="296" t="n"/>
      <c r="N106" s="112" t="n"/>
      <c r="O106" s="113" t="n"/>
      <c r="P106" s="297" t="n"/>
      <c r="Q106" s="292" t="inlineStr">
        <is>
          <t>费用</t>
        </is>
      </c>
      <c r="R106" s="130" t="n"/>
      <c r="S106" s="130" t="n"/>
      <c r="T106" s="130" t="n"/>
      <c r="U106" s="130" t="n"/>
      <c r="V106" s="293" t="n"/>
      <c r="W106" s="293" t="n"/>
      <c r="X106" s="132" t="n"/>
    </row>
    <row r="107" customFormat="1" s="124">
      <c r="A107" s="26">
        <f>ROW()-ROW(A$91)</f>
        <v/>
      </c>
      <c r="B107" s="133" t="inlineStr">
        <is>
          <t>利润</t>
        </is>
      </c>
      <c r="C107" s="134" t="n"/>
      <c r="D107" s="45" t="n"/>
      <c r="E107" s="25" t="n"/>
      <c r="F107" s="25" t="n"/>
      <c r="G107" s="264" t="n"/>
      <c r="H107" s="264">
        <f>ROUND(SUM(H104:H106)*0,2)</f>
        <v/>
      </c>
      <c r="I107" s="75" t="n"/>
      <c r="J107" s="294" t="n"/>
      <c r="K107" s="295" t="n"/>
      <c r="L107" s="110" t="n"/>
      <c r="M107" s="296" t="n"/>
      <c r="N107" s="112" t="n"/>
      <c r="O107" s="113" t="n"/>
      <c r="P107" s="297" t="n"/>
      <c r="Q107" s="292" t="inlineStr">
        <is>
          <t>费用</t>
        </is>
      </c>
      <c r="R107" s="130" t="n"/>
      <c r="S107" s="130" t="n"/>
      <c r="T107" s="130" t="n"/>
      <c r="U107" s="130" t="n"/>
      <c r="V107" s="293" t="n"/>
      <c r="W107" s="293" t="n"/>
      <c r="X107" s="132" t="n"/>
    </row>
    <row r="108" customFormat="1" s="124">
      <c r="A108" s="26">
        <f>ROW()-ROW(A$91)</f>
        <v/>
      </c>
      <c r="B108" s="133" t="inlineStr">
        <is>
          <t>税金</t>
        </is>
      </c>
      <c r="C108" s="134" t="n"/>
      <c r="D108" s="45" t="n"/>
      <c r="E108" s="25" t="n"/>
      <c r="F108" s="25" t="n"/>
      <c r="G108" s="264" t="n"/>
      <c r="H108" s="264">
        <f>ROUND(SUM(H104:H107)*0,2)</f>
        <v/>
      </c>
      <c r="I108" s="75" t="n"/>
      <c r="J108" s="294" t="n"/>
      <c r="K108" s="295" t="n"/>
      <c r="L108" s="110" t="n"/>
      <c r="M108" s="296" t="n"/>
      <c r="N108" s="112" t="n"/>
      <c r="O108" s="113" t="n"/>
      <c r="P108" s="297" t="n"/>
      <c r="Q108" s="292" t="inlineStr">
        <is>
          <t>费用</t>
        </is>
      </c>
      <c r="R108" s="130" t="n"/>
      <c r="S108" s="130" t="n"/>
      <c r="T108" s="130" t="n"/>
      <c r="U108" s="130" t="n"/>
      <c r="V108" s="293" t="n"/>
      <c r="W108" s="293" t="n"/>
      <c r="X108" s="132" t="n"/>
    </row>
    <row r="109" customFormat="1" s="124">
      <c r="A109" s="26">
        <f>ROW()-ROW(A$91)</f>
        <v/>
      </c>
      <c r="B109" s="45" t="inlineStr">
        <is>
          <t>单台合计</t>
        </is>
      </c>
      <c r="C109" s="134" t="n"/>
      <c r="D109" s="45" t="n"/>
      <c r="E109" s="25" t="n"/>
      <c r="F109" s="25" t="n"/>
      <c r="G109" s="264" t="n"/>
      <c r="H109" s="264">
        <f>ROUND(SUM(H104:H108),2)</f>
        <v/>
      </c>
      <c r="I109" s="141" t="n"/>
      <c r="J109" s="294" t="n"/>
      <c r="K109" s="295">
        <f>ROUND(SUM(K104:K108),2)</f>
        <v/>
      </c>
      <c r="L109" s="142" t="n"/>
      <c r="M109" s="296" t="n"/>
      <c r="N109" s="143" t="n"/>
      <c r="O109" s="144" t="n"/>
      <c r="P109" s="297" t="n"/>
      <c r="Q109" s="292" t="n"/>
      <c r="R109" s="130" t="n"/>
      <c r="S109" s="130" t="n"/>
      <c r="T109" s="130" t="n"/>
      <c r="U109" s="130" t="n"/>
      <c r="V109" s="293" t="n"/>
      <c r="W109" s="293" t="n"/>
      <c r="X109" s="132" t="n"/>
    </row>
    <row r="110" customFormat="1" s="124">
      <c r="A110" s="135" t="inlineStr">
        <is>
          <t>总计</t>
        </is>
      </c>
      <c r="B110" s="136" t="n"/>
      <c r="C110" s="137" t="n"/>
      <c r="D110" s="138" t="n"/>
      <c r="E110" s="138" t="inlineStr">
        <is>
          <t>台</t>
        </is>
      </c>
      <c r="F110" s="138" t="n">
        <v>2</v>
      </c>
      <c r="G110" s="298">
        <f>ROUND(H109,2)</f>
        <v/>
      </c>
      <c r="H110" s="298">
        <f>ROUND(F110*G110,2)</f>
        <v/>
      </c>
      <c r="I110" s="145" t="n"/>
      <c r="J110" s="299" t="n"/>
      <c r="K110" s="300">
        <f>ROUND(K109*F110,2)</f>
        <v/>
      </c>
      <c r="L110" s="148" t="n"/>
      <c r="M110" s="301" t="n"/>
      <c r="N110" s="150" t="n"/>
      <c r="O110" s="151" t="n"/>
      <c r="P110" s="302" t="n"/>
      <c r="Q110" s="292" t="n"/>
      <c r="R110" s="130" t="n"/>
      <c r="S110" s="130" t="n"/>
      <c r="T110" s="130" t="n"/>
      <c r="U110" s="130" t="n"/>
      <c r="V110" s="293" t="n"/>
      <c r="W110" s="293" t="n"/>
      <c r="X110" s="132" t="n"/>
    </row>
    <row r="111" customFormat="1" s="126">
      <c r="A111" s="50" t="n"/>
      <c r="B111" s="101" t="n"/>
      <c r="C111" s="101" t="n"/>
      <c r="D111" s="101" t="n"/>
      <c r="Q111" s="125" t="n"/>
      <c r="R111" s="125" t="n"/>
      <c r="S111" s="125" t="n"/>
      <c r="T111" s="125" t="n"/>
      <c r="U111" s="125" t="n"/>
      <c r="X111" s="101" t="n"/>
    </row>
    <row r="112" customFormat="1" s="126">
      <c r="A112" s="50" t="n"/>
      <c r="B112" s="101" t="n"/>
      <c r="C112" s="101" t="n"/>
      <c r="D112" s="101" t="n"/>
      <c r="Q112" s="125" t="n"/>
      <c r="R112" s="125" t="n"/>
      <c r="S112" s="125" t="n"/>
      <c r="T112" s="125" t="n"/>
      <c r="U112" s="125" t="n"/>
      <c r="X112" s="101" t="n"/>
    </row>
    <row r="113" customFormat="1" s="124">
      <c r="A113" s="52">
        <f>CONCATENATE("报价人：",项目信息!$B$8)</f>
        <v/>
      </c>
      <c r="B113" s="52" t="n"/>
      <c r="C113" s="126" t="n"/>
      <c r="D113" s="126" t="n"/>
      <c r="E113" s="126" t="n"/>
      <c r="F113" s="126" t="n"/>
      <c r="G113" s="126" t="n"/>
      <c r="H113" s="140">
        <f>项目信息!$B$9</f>
        <v/>
      </c>
      <c r="Q113" s="125" t="n"/>
      <c r="R113" s="125" t="n"/>
      <c r="S113" s="125" t="n"/>
      <c r="T113" s="125" t="n"/>
      <c r="U113" s="125" t="n"/>
      <c r="X113" s="128" t="n"/>
    </row>
    <row r="114" s="55">
      <c r="A114" s="5">
        <f>T(项目信息!$B$22)</f>
        <v/>
      </c>
      <c r="Q114" s="125" t="n"/>
      <c r="R114" s="125" t="n"/>
      <c r="S114" s="125" t="n"/>
      <c r="T114" s="125" t="n"/>
      <c r="U114" s="125" t="n"/>
      <c r="X114" s="124" t="n"/>
    </row>
    <row r="115" s="55">
      <c r="A115" s="6">
        <f>T(项目信息!$B$23)</f>
        <v/>
      </c>
      <c r="Q115" s="125" t="n"/>
      <c r="R115" s="125" t="n"/>
      <c r="S115" s="125" t="n"/>
      <c r="T115" s="125" t="n"/>
      <c r="U115" s="125" t="n"/>
      <c r="X115" s="124" t="n"/>
    </row>
    <row r="116" s="55">
      <c r="A116" s="57" t="inlineStr">
        <is>
          <t>成套产品报价明细表</t>
        </is>
      </c>
      <c r="B116" s="282" t="n"/>
      <c r="C116" s="282" t="n"/>
      <c r="D116" s="282" t="n"/>
      <c r="E116" s="282" t="n"/>
      <c r="F116" s="282" t="n"/>
      <c r="G116" s="282" t="n"/>
      <c r="H116" s="282" t="n"/>
      <c r="I116" s="282" t="n"/>
      <c r="Q116" s="125" t="n"/>
      <c r="R116" s="125" t="n"/>
      <c r="S116" s="125" t="n"/>
      <c r="T116" s="125" t="n"/>
      <c r="U116" s="125" t="n"/>
      <c r="X116" s="124" t="n"/>
    </row>
    <row r="117" customFormat="1" s="126">
      <c r="A117" s="58" t="inlineStr">
        <is>
          <t>柜号:</t>
        </is>
      </c>
      <c r="B117" s="59" t="inlineStr">
        <is>
          <t>改造</t>
        </is>
      </c>
      <c r="C117" s="60" t="inlineStr">
        <is>
          <t>型号:</t>
        </is>
      </c>
      <c r="D117" s="59" t="n"/>
      <c r="E117" s="283" t="n"/>
      <c r="F117" s="61" t="inlineStr">
        <is>
          <t>名称:</t>
        </is>
      </c>
      <c r="G117" s="59" t="inlineStr">
        <is>
          <t>8只250A断路器</t>
        </is>
      </c>
      <c r="H117" s="283" t="n"/>
      <c r="I117" s="284" t="n"/>
      <c r="J117" s="100" t="inlineStr">
        <is>
          <t>箱柜尺寸:</t>
        </is>
      </c>
      <c r="K117" s="101" t="n"/>
      <c r="L117" s="100" t="inlineStr">
        <is>
          <t>类别:</t>
        </is>
      </c>
      <c r="M117" s="101" t="n"/>
      <c r="N117" s="285" t="n"/>
      <c r="Q117" s="125" t="n"/>
      <c r="R117" s="125" t="n"/>
      <c r="S117" s="125" t="n"/>
      <c r="T117" s="125" t="n"/>
      <c r="U117" s="125" t="n"/>
      <c r="X117" s="126" t="n"/>
    </row>
    <row r="118" ht="20.1" customFormat="1" customHeight="1" s="124">
      <c r="A118" s="13" t="inlineStr">
        <is>
          <t>序号</t>
        </is>
      </c>
      <c r="B118" s="62" t="inlineStr">
        <is>
          <t>元件名称</t>
        </is>
      </c>
      <c r="C118" s="62" t="inlineStr">
        <is>
          <t>型号规格</t>
        </is>
      </c>
      <c r="D118" s="63" t="inlineStr">
        <is>
          <t>生产厂家</t>
        </is>
      </c>
      <c r="E118" s="15" t="inlineStr">
        <is>
          <t>单位</t>
        </is>
      </c>
      <c r="F118" s="15" t="inlineStr">
        <is>
          <t>数量</t>
        </is>
      </c>
      <c r="G118" s="260" t="inlineStr">
        <is>
          <t>单   价</t>
        </is>
      </c>
      <c r="H118" s="229" t="inlineStr">
        <is>
          <t>总   价</t>
        </is>
      </c>
      <c r="I118" s="103" t="inlineStr">
        <is>
          <t>备注</t>
        </is>
      </c>
      <c r="J118" s="286" t="inlineStr">
        <is>
          <t>成本单价</t>
        </is>
      </c>
      <c r="K118" s="286" t="inlineStr">
        <is>
          <t>成本总价</t>
        </is>
      </c>
      <c r="L118" s="105" t="inlineStr">
        <is>
          <t>报出
系数</t>
        </is>
      </c>
      <c r="M118" s="286" t="inlineStr">
        <is>
          <t>表价</t>
        </is>
      </c>
      <c r="N118" s="105" t="inlineStr">
        <is>
          <t>折扣
系数</t>
        </is>
      </c>
      <c r="O118" s="106" t="inlineStr">
        <is>
          <t>取费
系数</t>
        </is>
      </c>
      <c r="P118" s="286" t="inlineStr">
        <is>
          <t>成套费</t>
        </is>
      </c>
      <c r="Q118" s="127" t="inlineStr">
        <is>
          <t>类别</t>
        </is>
      </c>
      <c r="R118" s="127" t="inlineStr">
        <is>
          <t>物料编码</t>
        </is>
      </c>
      <c r="S118" s="127" t="inlineStr">
        <is>
          <t>产地</t>
        </is>
      </c>
      <c r="T118" s="127" t="inlineStr">
        <is>
          <t>加工费</t>
        </is>
      </c>
      <c r="U118" s="127" t="inlineStr">
        <is>
          <t>订货号</t>
        </is>
      </c>
      <c r="V118" s="127" t="inlineStr">
        <is>
          <t>人工</t>
        </is>
      </c>
      <c r="W118" s="127" t="inlineStr">
        <is>
          <t>辅料</t>
        </is>
      </c>
      <c r="X118" s="128" t="n"/>
    </row>
    <row r="119" customFormat="1" s="124">
      <c r="A119" s="64">
        <f>ROW()-ROW(A$118)</f>
        <v/>
      </c>
      <c r="B119" s="65" t="inlineStr">
        <is>
          <t>交流塑壳断路器</t>
        </is>
      </c>
      <c r="C119" s="65" t="inlineStr">
        <is>
          <t>NSX250N MIC 2.2 250 3P P</t>
        </is>
      </c>
      <c r="D119" s="65" t="inlineStr">
        <is>
          <t>施耐德电气</t>
        </is>
      </c>
      <c r="E119" s="66" t="inlineStr">
        <is>
          <t>只</t>
        </is>
      </c>
      <c r="F119" s="66" t="n">
        <v>8</v>
      </c>
      <c r="G119" s="287">
        <f>IF(AND(B119="",C119=""),"",ROUND(M119*L119*N119,2))</f>
        <v/>
      </c>
      <c r="H119" s="287">
        <f>IF(AND(B119="",C119=""),"",ROUND(F119*G119,2))</f>
        <v/>
      </c>
      <c r="I119" s="107" t="n"/>
      <c r="J119" s="288">
        <f>IF(AND(B119="",C119=""),"",ROUND(M119*N119,2))</f>
        <v/>
      </c>
      <c r="K119" s="289">
        <f>IF(AND(B119="",C119=""),"",ROUND(J119*F119,2))</f>
        <v/>
      </c>
      <c r="L119" s="110" t="n">
        <v>1</v>
      </c>
      <c r="M119" s="290" t="n">
        <v>4144.02</v>
      </c>
      <c r="N119" s="112" t="n">
        <v>0.45</v>
      </c>
      <c r="O119" s="113">
        <f t="array" ref="O119">IF(AND(B119="",C119=""),"",IF(G119&gt;=20000,0.05,IF(G119&gt;=10000,0.1,IF(G119&gt;=5000,0.2,IF(G119&gt;=1000,0.3,IF(G119&gt;=0,0.4,{0}))))))</f>
        <v/>
      </c>
      <c r="P119" s="291">
        <f>IF(AND(B119="",C119=""),"",ROUND(H119*O119,2))</f>
        <v/>
      </c>
      <c r="Q119" s="292" t="inlineStr">
        <is>
          <t>元件</t>
        </is>
      </c>
      <c r="R119" s="130" t="n"/>
      <c r="S119" s="130" t="n"/>
      <c r="T119" s="130" t="inlineStr">
        <is>
          <t>0</t>
        </is>
      </c>
      <c r="U119" s="130" t="inlineStr">
        <is>
          <t>C25N32D250P</t>
        </is>
      </c>
      <c r="V119" s="293" t="n"/>
      <c r="W119" s="293" t="n"/>
      <c r="X119" s="132" t="n"/>
    </row>
    <row r="120" customFormat="1" s="124">
      <c r="A120" s="26">
        <f>ROW()-ROW(A$118)</f>
        <v/>
      </c>
      <c r="B120" s="24" t="inlineStr">
        <is>
          <t>电流互感器</t>
        </is>
      </c>
      <c r="C120" s="19" t="inlineStr">
        <is>
          <t>BH-0.66/40I 5~600/5A</t>
        </is>
      </c>
      <c r="D120" s="24" t="inlineStr">
        <is>
          <t>鼎浩</t>
        </is>
      </c>
      <c r="E120" s="25" t="inlineStr">
        <is>
          <t>只</t>
        </is>
      </c>
      <c r="F120" s="20" t="n">
        <v>24</v>
      </c>
      <c r="G120" s="264">
        <f>IF(AND(B120="",C120=""),"",ROUND(M120*L120*N120,2))</f>
        <v/>
      </c>
      <c r="H120" s="261">
        <f>IF(AND(B120="",C120=""),"",ROUND(F120*G120,2))</f>
        <v/>
      </c>
      <c r="I120" s="75" t="n"/>
      <c r="J120" s="294">
        <f>IF(AND(B120="",C120=""),"",ROUND(M120*N120,2))</f>
        <v/>
      </c>
      <c r="K120" s="295">
        <f>IF(AND(B120="",C120=""),"",ROUND(J120*F120,2))</f>
        <v/>
      </c>
      <c r="L120" s="110" t="n">
        <v>1</v>
      </c>
      <c r="M120" s="296" t="n">
        <v>18</v>
      </c>
      <c r="N120" s="112" t="n">
        <v>1</v>
      </c>
      <c r="O120" s="113">
        <f t="array" ref="O120">IF(AND(B120="",C120=""),"",IF(G120&gt;=20000,0.05,IF(G120&gt;=10000,0.1,IF(G120&gt;=5000,0.2,IF(G120&gt;=1000,0.3,IF(G120&gt;=0,0.4,{0}))))))</f>
        <v/>
      </c>
      <c r="P120" s="297">
        <f>IF(AND(B120="",C120=""),"",ROUND(H120*O120,2))</f>
        <v/>
      </c>
      <c r="Q120" s="292" t="inlineStr">
        <is>
          <t>元件</t>
        </is>
      </c>
      <c r="R120" s="130" t="n"/>
      <c r="S120" s="130" t="n"/>
      <c r="T120" s="130" t="inlineStr">
        <is>
          <t>0</t>
        </is>
      </c>
      <c r="U120" s="130" t="n"/>
      <c r="V120" s="293" t="n"/>
      <c r="W120" s="293" t="n"/>
      <c r="X120" s="132" t="n"/>
    </row>
    <row r="121" customFormat="1" s="124">
      <c r="A121" s="26">
        <f>ROW()-ROW(A$118)</f>
        <v/>
      </c>
      <c r="B121" s="19" t="inlineStr">
        <is>
          <t>铜排</t>
        </is>
      </c>
      <c r="C121" s="19" t="inlineStr">
        <is>
          <t>TMY 20*5</t>
        </is>
      </c>
      <c r="D121" s="19" t="inlineStr">
        <is>
          <t>国产优质</t>
        </is>
      </c>
      <c r="E121" s="20" t="inlineStr">
        <is>
          <t>米</t>
        </is>
      </c>
      <c r="F121" s="20" t="n">
        <v>6</v>
      </c>
      <c r="G121" s="261">
        <f>IF(AND(B121="",C121=""),"",ROUND(M121*L121*N121,2))</f>
        <v/>
      </c>
      <c r="H121" s="261">
        <f>IF(AND(B121="",C121=""),"",ROUND(F121*G121,2))</f>
        <v/>
      </c>
      <c r="I121" s="75" t="n"/>
      <c r="J121" s="294">
        <f>IF(AND(B121="",C121=""),"",ROUND(M121*N121,2))</f>
        <v/>
      </c>
      <c r="K121" s="295">
        <f>IF(AND(B121="",C121=""),"",ROUND(J121*F121,2))</f>
        <v/>
      </c>
      <c r="L121" s="110" t="n">
        <v>1</v>
      </c>
      <c r="M121" s="296" t="n">
        <v>94.70489999999999</v>
      </c>
      <c r="N121" s="112" t="n">
        <v>1</v>
      </c>
      <c r="O121" s="113">
        <f t="array" ref="O121">IF(AND(B121="",C121=""),"",IF(G121&gt;=20000,0.05,IF(G121&gt;=10000,0.1,IF(G121&gt;=5000,0.2,IF(G121&gt;=1000,0.3,IF(G121&gt;=0,0.4,{0}))))))</f>
        <v/>
      </c>
      <c r="P121" s="297">
        <f>IF(AND(B121="",C121=""),"",ROUND(H121*O121,2))</f>
        <v/>
      </c>
      <c r="Q121" s="292" t="inlineStr">
        <is>
          <t>母排</t>
        </is>
      </c>
      <c r="R121" s="130" t="n"/>
      <c r="S121" s="130" t="n"/>
      <c r="T121" s="130" t="inlineStr">
        <is>
          <t>0</t>
        </is>
      </c>
      <c r="U121" s="130" t="n"/>
      <c r="V121" s="293" t="n"/>
      <c r="W121" s="293" t="n"/>
      <c r="X121" s="132" t="n"/>
    </row>
    <row r="122" customFormat="1" s="124">
      <c r="A122" s="26">
        <f>ROW()-ROW(A$118)</f>
        <v/>
      </c>
      <c r="B122" s="19" t="inlineStr">
        <is>
          <t>辅料</t>
        </is>
      </c>
      <c r="C122" s="19" t="n"/>
      <c r="D122" s="19" t="n"/>
      <c r="E122" s="20" t="inlineStr">
        <is>
          <t>项</t>
        </is>
      </c>
      <c r="F122" s="20" t="n">
        <v>1</v>
      </c>
      <c r="G122" s="261">
        <f>IF(AND(B122="",C122=""),"",ROUND(M122*L122*N122,2))</f>
        <v/>
      </c>
      <c r="H122" s="261">
        <f>IF(AND(B122="",C122=""),"",ROUND(F122*G122,2))</f>
        <v/>
      </c>
      <c r="I122" s="75" t="n"/>
      <c r="J122" s="294">
        <f>IF(AND(B122="",C122=""),"",ROUND(M122*N122,2))</f>
        <v/>
      </c>
      <c r="K122" s="295">
        <f>IF(AND(B122="",C122=""),"",ROUND(J122*F122,2))</f>
        <v/>
      </c>
      <c r="L122" s="110" t="n">
        <v>1</v>
      </c>
      <c r="M122" s="296" t="n">
        <v>200</v>
      </c>
      <c r="N122" s="112" t="n">
        <v>1</v>
      </c>
      <c r="O122" s="113">
        <f t="array" ref="O122">IF(AND(B122="",C122=""),"",IF(G122&gt;=20000,0.05,IF(G122&gt;=10000,0.1,IF(G122&gt;=5000,0.2,IF(G122&gt;=1000,0.3,IF(G122&gt;=0,0.4,{0}))))))</f>
        <v/>
      </c>
      <c r="P122" s="297">
        <f>IF(AND(B122="",C122=""),"",ROUND(H122*O122,2))</f>
        <v/>
      </c>
      <c r="Q122" s="292" t="inlineStr">
        <is>
          <t>辅料</t>
        </is>
      </c>
      <c r="R122" s="130" t="n"/>
      <c r="S122" s="130" t="n"/>
      <c r="T122" s="130" t="inlineStr">
        <is>
          <t>0</t>
        </is>
      </c>
      <c r="U122" s="130" t="n"/>
      <c r="V122" s="293" t="n"/>
      <c r="W122" s="293" t="n"/>
      <c r="X122" s="132" t="n"/>
    </row>
    <row r="123" customFormat="1" s="124">
      <c r="A123" s="26">
        <f>ROW()-ROW(A$118)</f>
        <v/>
      </c>
      <c r="B123" s="24" t="inlineStr">
        <is>
          <t>人工</t>
        </is>
      </c>
      <c r="C123" s="19" t="n"/>
      <c r="D123" s="24" t="n"/>
      <c r="E123" s="20" t="inlineStr">
        <is>
          <t>项</t>
        </is>
      </c>
      <c r="F123" s="20">
        <f>IF(AND(B123="",C123=""),"",1)</f>
        <v/>
      </c>
      <c r="G123" s="261">
        <f>IF(AND(B123="",C123=""),"",ROUND(M123*L123*N123,2))</f>
        <v/>
      </c>
      <c r="H123" s="261">
        <f>IF(AND(B123="",C123=""),"",ROUND(F123*G123,2))</f>
        <v/>
      </c>
      <c r="I123" s="75" t="n"/>
      <c r="J123" s="294">
        <f>IF(AND(B123="",C123=""),"",ROUND(M123*N123,2))</f>
        <v/>
      </c>
      <c r="K123" s="295">
        <f>IF(AND(B123="",C123=""),"",ROUND(J123*F123,2))</f>
        <v/>
      </c>
      <c r="L123" s="110" t="n">
        <v>1</v>
      </c>
      <c r="M123" s="296" t="n">
        <v>2000</v>
      </c>
      <c r="N123" s="112" t="n">
        <v>1</v>
      </c>
      <c r="O123" s="113">
        <f t="array" ref="O123">IF(AND(B123="",C123=""),"",IF(G123&gt;=20000,0.05,IF(G123&gt;=10000,0.1,IF(G123&gt;=5000,0.2,IF(G123&gt;=1000,0.3,IF(G123&gt;=0,0.4,{0}))))))</f>
        <v/>
      </c>
      <c r="P123" s="297">
        <f>IF(AND(B123="",C123=""),"",ROUND(H123*O123,2))</f>
        <v/>
      </c>
      <c r="Q123" s="292">
        <f>IF(AND(B123="",C123=""),"","元件")</f>
        <v/>
      </c>
      <c r="R123" s="130" t="n"/>
      <c r="S123" s="130" t="n"/>
      <c r="T123" s="130" t="n"/>
      <c r="U123" s="130" t="n"/>
      <c r="V123" s="293" t="n"/>
      <c r="W123" s="293" t="n"/>
      <c r="X123" s="132" t="n"/>
    </row>
    <row r="124" customFormat="1" s="124">
      <c r="A124" s="26">
        <f>ROW()-ROW(A$118)</f>
        <v/>
      </c>
      <c r="B124" s="19" t="n"/>
      <c r="C124" s="19" t="n"/>
      <c r="D124" s="19" t="n"/>
      <c r="E124" s="20" t="n"/>
      <c r="F124" s="20">
        <f>IF(AND(B124="",C124=""),"",1)</f>
        <v/>
      </c>
      <c r="G124" s="261">
        <f>IF(AND(B124="",C124=""),"",ROUND(M124*L124*N124,2))</f>
        <v/>
      </c>
      <c r="H124" s="261">
        <f>IF(AND(B124="",C124=""),"",ROUND(F124*G124,2))</f>
        <v/>
      </c>
      <c r="I124" s="75" t="n"/>
      <c r="J124" s="294">
        <f>IF(AND(B124="",C124=""),"",ROUND(M124*N124,2))</f>
        <v/>
      </c>
      <c r="K124" s="295">
        <f>IF(AND(B124="",C124=""),"",ROUND(J124*F124,2))</f>
        <v/>
      </c>
      <c r="L124" s="110">
        <f>IF(AND(B124="",C124=""),"",1)</f>
        <v/>
      </c>
      <c r="M124" s="296" t="n"/>
      <c r="N124" s="112">
        <f>IF(AND(B124="",C124=""),"",1)</f>
        <v/>
      </c>
      <c r="O124" s="113">
        <f t="array" ref="O124">IF(AND(B124="",C124=""),"",IF(G124&gt;=20000,0.05,IF(G124&gt;=10000,0.1,IF(G124&gt;=5000,0.2,IF(G124&gt;=1000,0.3,IF(G124&gt;=0,0.4,{0}))))))</f>
        <v/>
      </c>
      <c r="P124" s="297">
        <f>IF(AND(B124="",C124=""),"",ROUND(H124*O124,2))</f>
        <v/>
      </c>
      <c r="Q124" s="292">
        <f>IF(AND(B124="",C124=""),"","元件")</f>
        <v/>
      </c>
      <c r="R124" s="130" t="n"/>
      <c r="S124" s="130" t="n"/>
      <c r="T124" s="130" t="n"/>
      <c r="U124" s="130" t="n"/>
      <c r="V124" s="293" t="n"/>
      <c r="W124" s="293" t="n"/>
      <c r="X124" s="132" t="n"/>
    </row>
    <row r="125" customFormat="1" s="124">
      <c r="A125" s="26">
        <f>ROW()-ROW(A$118)</f>
        <v/>
      </c>
      <c r="B125" s="24" t="n"/>
      <c r="C125" s="24" t="n"/>
      <c r="D125" s="24" t="n"/>
      <c r="E125" s="25" t="n"/>
      <c r="F125" s="25">
        <f>IF(AND(B125="",C125=""),"",1)</f>
        <v/>
      </c>
      <c r="G125" s="264">
        <f>IF(AND(B125="",C125=""),"",ROUND(M125*L125*N125,2))</f>
        <v/>
      </c>
      <c r="H125" s="261">
        <f>IF(AND(B125="",C125=""),"",ROUND(F125*G125,2))</f>
        <v/>
      </c>
      <c r="I125" s="75" t="n"/>
      <c r="J125" s="294">
        <f>IF(AND(B125="",C125=""),"",ROUND(M125*N125,2))</f>
        <v/>
      </c>
      <c r="K125" s="295">
        <f>IF(AND(B125="",C125=""),"",ROUND(J125*F125,2))</f>
        <v/>
      </c>
      <c r="L125" s="110">
        <f>IF(AND(B125="",C125=""),"",1)</f>
        <v/>
      </c>
      <c r="M125" s="296" t="n"/>
      <c r="N125" s="112">
        <f>IF(AND(B125="",C125=""),"",1)</f>
        <v/>
      </c>
      <c r="O125" s="113">
        <f t="array" ref="O125">IF(AND(B125="",C125=""),"",IF(G125&gt;=20000,0.05,IF(G125&gt;=10000,0.1,IF(G125&gt;=5000,0.2,IF(G125&gt;=1000,0.3,IF(G125&gt;=0,0.4,{0}))))))</f>
        <v/>
      </c>
      <c r="P125" s="297">
        <f>IF(AND(B125="",C125=""),"",ROUND(H125*O125,2))</f>
        <v/>
      </c>
      <c r="Q125" s="292">
        <f>IF(AND(B125="",C125=""),"","元件")</f>
        <v/>
      </c>
      <c r="R125" s="130" t="n"/>
      <c r="S125" s="130" t="n"/>
      <c r="T125" s="130" t="n"/>
      <c r="U125" s="130" t="n"/>
      <c r="V125" s="293" t="n"/>
      <c r="W125" s="293" t="n"/>
      <c r="X125" s="132" t="n"/>
    </row>
    <row r="126" customFormat="1" s="124">
      <c r="A126" s="26">
        <f>ROW()-ROW(A$118)</f>
        <v/>
      </c>
      <c r="B126" s="24" t="n"/>
      <c r="C126" s="24" t="n"/>
      <c r="D126" s="24" t="n"/>
      <c r="E126" s="25" t="n"/>
      <c r="F126" s="25">
        <f>IF(AND(B126="",C126=""),"",1)</f>
        <v/>
      </c>
      <c r="G126" s="264">
        <f>IF(AND(B126="",C126=""),"",ROUND(M126*L126*N126,2))</f>
        <v/>
      </c>
      <c r="H126" s="261">
        <f>IF(AND(B126="",C126=""),"",ROUND(F126*G126,2))</f>
        <v/>
      </c>
      <c r="I126" s="75" t="n"/>
      <c r="J126" s="294">
        <f>IF(AND(B126="",C126=""),"",ROUND(M126*N126,2))</f>
        <v/>
      </c>
      <c r="K126" s="295">
        <f>IF(AND(B126="",C126=""),"",ROUND(J126*F126,2))</f>
        <v/>
      </c>
      <c r="L126" s="110">
        <f>IF(AND(B126="",C126=""),"",1)</f>
        <v/>
      </c>
      <c r="M126" s="296" t="n"/>
      <c r="N126" s="112">
        <f>IF(AND(B126="",C126=""),"",1)</f>
        <v/>
      </c>
      <c r="O126" s="113">
        <f t="array" ref="O126">IF(AND(B126="",C126=""),"",IF(G126&gt;=20000,0.05,IF(G126&gt;=10000,0.1,IF(G126&gt;=5000,0.2,IF(G126&gt;=1000,0.3,IF(G126&gt;=0,0.4,{0}))))))</f>
        <v/>
      </c>
      <c r="P126" s="297">
        <f>IF(AND(B126="",C126=""),"",ROUND(H126*O126,2))</f>
        <v/>
      </c>
      <c r="Q126" s="292">
        <f>IF(AND(B126="",C126=""),"","元件")</f>
        <v/>
      </c>
      <c r="R126" s="130" t="n"/>
      <c r="S126" s="130" t="n"/>
      <c r="T126" s="130" t="n"/>
      <c r="U126" s="130" t="n"/>
      <c r="V126" s="293" t="n"/>
      <c r="W126" s="293" t="n"/>
      <c r="X126" s="132" t="n"/>
    </row>
    <row r="127" customFormat="1" s="124">
      <c r="A127" s="26">
        <f>ROW()-ROW(A$118)</f>
        <v/>
      </c>
      <c r="B127" s="24" t="n"/>
      <c r="C127" s="24" t="n"/>
      <c r="D127" s="24" t="n"/>
      <c r="E127" s="25" t="n"/>
      <c r="F127" s="25">
        <f>IF(AND(B127="",C127=""),"",1)</f>
        <v/>
      </c>
      <c r="G127" s="264">
        <f>IF(AND(B127="",C127=""),"",ROUND(M127*L127*N127,2))</f>
        <v/>
      </c>
      <c r="H127" s="264">
        <f>IF(AND(B127="",C127=""),"",ROUND(F127*G127,2))</f>
        <v/>
      </c>
      <c r="I127" s="119" t="n"/>
      <c r="J127" s="294">
        <f>IF(AND(B127="",C127=""),"",ROUND(M127*N127,2))</f>
        <v/>
      </c>
      <c r="K127" s="295">
        <f>IF(AND(B127="",C127=""),"",ROUND(J127*F127,2))</f>
        <v/>
      </c>
      <c r="L127" s="110">
        <f>IF(AND(B127="",C127=""),"",1)</f>
        <v/>
      </c>
      <c r="M127" s="296" t="n"/>
      <c r="N127" s="112">
        <f>IF(AND(B127="",C127=""),"",1)</f>
        <v/>
      </c>
      <c r="O127" s="113">
        <f t="array" ref="O127">IF(AND(B127="",C127=""),"",IF(G127&gt;=20000,0.05,IF(G127&gt;=10000,0.1,IF(G127&gt;=5000,0.2,IF(G127&gt;=1000,0.3,IF(G127&gt;=0,0.4,{0}))))))</f>
        <v/>
      </c>
      <c r="P127" s="297">
        <f>IF(AND(B127="",C127=""),"",ROUND(H127*O127,2))</f>
        <v/>
      </c>
      <c r="Q127" s="292">
        <f>IF(AND(B127="",C127=""),"","元件")</f>
        <v/>
      </c>
      <c r="R127" s="130" t="n"/>
      <c r="S127" s="130" t="n"/>
      <c r="T127" s="130" t="n"/>
      <c r="U127" s="130" t="n"/>
      <c r="V127" s="293" t="n"/>
      <c r="W127" s="293" t="n"/>
      <c r="X127" s="132" t="n"/>
    </row>
    <row r="128" customFormat="1" s="124">
      <c r="A128" s="26">
        <f>ROW()-ROW(A$118)</f>
        <v/>
      </c>
      <c r="B128" s="24" t="n"/>
      <c r="C128" s="24" t="n"/>
      <c r="D128" s="24" t="n"/>
      <c r="E128" s="25" t="n"/>
      <c r="F128" s="25">
        <f>IF(AND(B128="",C128=""),"",1)</f>
        <v/>
      </c>
      <c r="G128" s="264">
        <f>IF(AND(B128="",C128=""),"",ROUND(M128*L128*N128,2))</f>
        <v/>
      </c>
      <c r="H128" s="264">
        <f>IF(AND(B128="",C128=""),"",ROUND(F128*G128,2))</f>
        <v/>
      </c>
      <c r="I128" s="119" t="n"/>
      <c r="J128" s="294">
        <f>IF(AND(B128="",C128=""),"",ROUND(M128*N128,2))</f>
        <v/>
      </c>
      <c r="K128" s="295">
        <f>IF(AND(B128="",C128=""),"",ROUND(J128*F128,2))</f>
        <v/>
      </c>
      <c r="L128" s="110">
        <f>IF(AND(B128="",C128=""),"",1)</f>
        <v/>
      </c>
      <c r="M128" s="296" t="n"/>
      <c r="N128" s="112">
        <f>IF(AND(B128="",C128=""),"",1)</f>
        <v/>
      </c>
      <c r="O128" s="113">
        <f t="array" ref="O128">IF(AND(B128="",C128=""),"",IF(G128&gt;=20000,0.05,IF(G128&gt;=10000,0.1,IF(G128&gt;=5000,0.2,IF(G128&gt;=1000,0.3,IF(G128&gt;=0,0.4,{0}))))))</f>
        <v/>
      </c>
      <c r="P128" s="297">
        <f>IF(AND(B128="",C128=""),"",ROUND(H128*O128,2))</f>
        <v/>
      </c>
      <c r="Q128" s="292">
        <f>IF(AND(B128="",C128=""),"","元件")</f>
        <v/>
      </c>
      <c r="R128" s="130" t="n"/>
      <c r="S128" s="130" t="n"/>
      <c r="T128" s="130" t="n"/>
      <c r="U128" s="130" t="n"/>
      <c r="V128" s="293" t="n"/>
      <c r="W128" s="293" t="n"/>
      <c r="X128" s="132" t="n"/>
    </row>
    <row r="129" customFormat="1" s="124">
      <c r="A129" s="26">
        <f>ROW()-ROW(A$118)</f>
        <v/>
      </c>
      <c r="B129" s="24" t="n"/>
      <c r="C129" s="19" t="n"/>
      <c r="D129" s="24" t="n"/>
      <c r="E129" s="25" t="n"/>
      <c r="F129" s="25">
        <f>IF(AND(B129="",C129=""),"",1)</f>
        <v/>
      </c>
      <c r="G129" s="264">
        <f>IF(AND(B129="",C129=""),"",ROUND(M129*L129*N129,2))</f>
        <v/>
      </c>
      <c r="H129" s="264">
        <f>IF(AND(B129="",C129=""),"",ROUND(F129*G129,2))</f>
        <v/>
      </c>
      <c r="I129" s="119" t="n"/>
      <c r="J129" s="294">
        <f>IF(AND(B129="",C129=""),"",ROUND(M129*N129,2))</f>
        <v/>
      </c>
      <c r="K129" s="295">
        <f>IF(AND(B129="",C129=""),"",ROUND(J129*F129,2))</f>
        <v/>
      </c>
      <c r="L129" s="110">
        <f>IF(AND(B129="",C129=""),"",1)</f>
        <v/>
      </c>
      <c r="M129" s="296" t="n"/>
      <c r="N129" s="112">
        <f>IF(AND(B129="",C129=""),"",1)</f>
        <v/>
      </c>
      <c r="O129" s="113">
        <f t="array" ref="O129">IF(AND(B129="",C129=""),"",IF(G129&gt;=20000,0.05,IF(G129&gt;=10000,0.1,IF(G129&gt;=5000,0.2,IF(G129&gt;=1000,0.3,IF(G129&gt;=0,0.4,{0}))))))</f>
        <v/>
      </c>
      <c r="P129" s="297">
        <f>IF(AND(B129="",C129=""),"",ROUND(H129*O129,2))</f>
        <v/>
      </c>
      <c r="Q129" s="292">
        <f>IF(AND(B129="",C129=""),"","元件")</f>
        <v/>
      </c>
      <c r="R129" s="130" t="n"/>
      <c r="S129" s="130" t="n"/>
      <c r="T129" s="130" t="n"/>
      <c r="U129" s="130" t="n"/>
      <c r="V129" s="293" t="n"/>
      <c r="W129" s="293" t="n"/>
      <c r="X129" s="132" t="n"/>
    </row>
    <row r="130" customFormat="1" s="124">
      <c r="A130" s="26">
        <f>ROW()-ROW(A$118)</f>
        <v/>
      </c>
      <c r="B130" s="24" t="n"/>
      <c r="C130" s="24" t="n"/>
      <c r="D130" s="24" t="n"/>
      <c r="E130" s="25" t="n"/>
      <c r="F130" s="25">
        <f>IF(AND(B130="",C130=""),"",1)</f>
        <v/>
      </c>
      <c r="G130" s="264">
        <f>IF(AND(B130="",C130=""),"",ROUND(M130*L130*N130,2))</f>
        <v/>
      </c>
      <c r="H130" s="264">
        <f>IF(AND(B130="",C130=""),"",ROUND(F130*G130,2))</f>
        <v/>
      </c>
      <c r="I130" s="119" t="n"/>
      <c r="J130" s="294">
        <f>IF(AND(B130="",C130=""),"",ROUND(M130*N130,2))</f>
        <v/>
      </c>
      <c r="K130" s="295">
        <f>IF(AND(B130="",C130=""),"",ROUND(J130*F130,2))</f>
        <v/>
      </c>
      <c r="L130" s="110">
        <f>IF(AND(B130="",C130=""),"",1)</f>
        <v/>
      </c>
      <c r="M130" s="296" t="n"/>
      <c r="N130" s="112">
        <f>IF(AND(B130="",C130=""),"",1)</f>
        <v/>
      </c>
      <c r="O130" s="113">
        <f t="array" ref="O130">IF(AND(B130="",C130=""),"",IF(G130&gt;=20000,0.05,IF(G130&gt;=10000,0.1,IF(G130&gt;=5000,0.2,IF(G130&gt;=1000,0.3,IF(G130&gt;=0,0.4,{0}))))))</f>
        <v/>
      </c>
      <c r="P130" s="297">
        <f>IF(AND(B130="",C130=""),"",ROUND(H130*O130,2))</f>
        <v/>
      </c>
      <c r="Q130" s="292">
        <f>IF(AND(B130="",C130=""),"","元件")</f>
        <v/>
      </c>
      <c r="R130" s="130" t="n"/>
      <c r="S130" s="130" t="n"/>
      <c r="T130" s="130" t="n"/>
      <c r="U130" s="130" t="n"/>
      <c r="V130" s="293" t="n"/>
      <c r="W130" s="293" t="n"/>
      <c r="X130" s="132" t="n"/>
    </row>
    <row r="131" customFormat="1" s="124">
      <c r="A131" s="26">
        <f>ROW()-ROW(A$118)</f>
        <v/>
      </c>
      <c r="B131" s="24" t="n"/>
      <c r="C131" s="24" t="n"/>
      <c r="D131" s="24" t="n"/>
      <c r="E131" s="25" t="n"/>
      <c r="F131" s="25">
        <f>IF(AND(B131="",C131=""),"",1)</f>
        <v/>
      </c>
      <c r="G131" s="264">
        <f>IF(AND(B131="",C131=""),"",ROUND(M131*L131*N131,2))</f>
        <v/>
      </c>
      <c r="H131" s="264">
        <f>IF(AND(B131="",C131=""),"",ROUND(F131*G131,2))</f>
        <v/>
      </c>
      <c r="I131" s="119" t="n"/>
      <c r="J131" s="294">
        <f>IF(AND(B131="",C131=""),"",ROUND(M131*N131,2))</f>
        <v/>
      </c>
      <c r="K131" s="295">
        <f>IF(AND(B131="",C131=""),"",ROUND(J131*F131,2))</f>
        <v/>
      </c>
      <c r="L131" s="110">
        <f>IF(AND(B131="",C131=""),"",1)</f>
        <v/>
      </c>
      <c r="M131" s="296" t="n"/>
      <c r="N131" s="112">
        <f>IF(AND(B131="",C131=""),"",1)</f>
        <v/>
      </c>
      <c r="O131" s="113">
        <f t="array" ref="O131">IF(AND(B131="",C131=""),"",IF(G131&gt;=20000,0.05,IF(G131&gt;=10000,0.1,IF(G131&gt;=5000,0.2,IF(G131&gt;=1000,0.3,IF(G131&gt;=0,0.4,{0}))))))</f>
        <v/>
      </c>
      <c r="P131" s="297">
        <f>IF(AND(B131="",C131=""),"",ROUND(H131*O131,2))</f>
        <v/>
      </c>
      <c r="Q131" s="292">
        <f>IF(AND(B131="",C131=""),"","元件")</f>
        <v/>
      </c>
      <c r="R131" s="130" t="n"/>
      <c r="S131" s="130" t="n"/>
      <c r="T131" s="130" t="n"/>
      <c r="U131" s="130" t="n"/>
      <c r="V131" s="293" t="n"/>
      <c r="W131" s="293" t="n"/>
      <c r="X131" s="132" t="n"/>
    </row>
    <row r="132" customFormat="1" s="124">
      <c r="A132" s="26">
        <f>ROW()-ROW(A$118)</f>
        <v/>
      </c>
      <c r="B132" s="19" t="n"/>
      <c r="C132" s="19" t="n"/>
      <c r="D132" s="19" t="n"/>
      <c r="E132" s="20" t="n"/>
      <c r="F132" s="20">
        <f>IF(AND(B132="",C132=""),"",1)</f>
        <v/>
      </c>
      <c r="G132" s="261">
        <f>IF(AND(B132="",C132=""),"",ROUND(M132*L132*N132,2))</f>
        <v/>
      </c>
      <c r="H132" s="264">
        <f>IF(AND(B132="",C132=""),"",ROUND(F132*G132,2))</f>
        <v/>
      </c>
      <c r="I132" s="119" t="n"/>
      <c r="J132" s="294">
        <f>IF(AND(B132="",C132=""),"",ROUND(M132*N132,2))</f>
        <v/>
      </c>
      <c r="K132" s="295">
        <f>IF(AND(B132="",C132=""),"",ROUND(J132*F132,2))</f>
        <v/>
      </c>
      <c r="L132" s="110">
        <f>IF(AND(B132="",C132=""),"",1)</f>
        <v/>
      </c>
      <c r="M132" s="296" t="n"/>
      <c r="N132" s="112">
        <f>IF(AND(B132="",C132=""),"",1)</f>
        <v/>
      </c>
      <c r="O132" s="113">
        <f t="array" ref="O132">IF(AND(B132="",C132=""),"",IF(G132&gt;=20000,0.05,IF(G132&gt;=10000,0.1,IF(G132&gt;=5000,0.2,IF(G132&gt;=1000,0.3,IF(G132&gt;=0,0.4,{0}))))))</f>
        <v/>
      </c>
      <c r="P132" s="297">
        <f>IF(AND(B132="",C132=""),"",ROUND(H132*O132,2))</f>
        <v/>
      </c>
      <c r="Q132" s="292">
        <f>IF(AND(B132="",C132=""),"","元件")</f>
        <v/>
      </c>
      <c r="R132" s="130" t="n"/>
      <c r="S132" s="130" t="n"/>
      <c r="T132" s="130" t="n"/>
      <c r="U132" s="130" t="n"/>
      <c r="V132" s="293" t="n"/>
      <c r="W132" s="293" t="n"/>
      <c r="X132" s="132" t="n"/>
    </row>
    <row r="133" customFormat="1" s="124">
      <c r="A133" s="26">
        <f>ROW()-ROW(A$118)</f>
        <v/>
      </c>
      <c r="B133" s="19" t="n"/>
      <c r="C133" s="19" t="n"/>
      <c r="D133" s="19" t="n"/>
      <c r="E133" s="20" t="n"/>
      <c r="F133" s="20">
        <f>IF(AND(B133="",C133=""),"",1)</f>
        <v/>
      </c>
      <c r="G133" s="261">
        <f>IF(AND(B133="",C133=""),"",ROUND(M133*L133*N133,2))</f>
        <v/>
      </c>
      <c r="H133" s="264">
        <f>IF(AND(B133="",C133=""),"",ROUND(F133*G133,2))</f>
        <v/>
      </c>
      <c r="I133" s="119" t="n"/>
      <c r="J133" s="294">
        <f>IF(AND(B133="",C133=""),"",ROUND(M133*N133,2))</f>
        <v/>
      </c>
      <c r="K133" s="295">
        <f>IF(AND(B133="",C133=""),"",ROUND(J133*F133,2))</f>
        <v/>
      </c>
      <c r="L133" s="110">
        <f>IF(AND(B133="",C133=""),"",1)</f>
        <v/>
      </c>
      <c r="M133" s="296" t="n"/>
      <c r="N133" s="112">
        <f>IF(AND(B133="",C133=""),"",1)</f>
        <v/>
      </c>
      <c r="O133" s="113">
        <f t="array" ref="O133">IF(AND(B133="",C133=""),"",IF(G133&gt;=20000,0.05,IF(G133&gt;=10000,0.1,IF(G133&gt;=5000,0.2,IF(G133&gt;=1000,0.3,IF(G133&gt;=0,0.4,{0}))))))</f>
        <v/>
      </c>
      <c r="P133" s="297">
        <f>IF(AND(B133="",C133=""),"",ROUND(H133*O133,2))</f>
        <v/>
      </c>
      <c r="Q133" s="292">
        <f>IF(AND(B133="",C133=""),"","元件")</f>
        <v/>
      </c>
      <c r="R133" s="130" t="n"/>
      <c r="S133" s="130" t="n"/>
      <c r="T133" s="130" t="n"/>
      <c r="U133" s="130" t="n"/>
      <c r="V133" s="293" t="n"/>
      <c r="W133" s="293" t="n"/>
      <c r="X133" s="132" t="n"/>
    </row>
    <row r="134" customFormat="1" s="124">
      <c r="A134" s="26">
        <f>ROW()-ROW(A$118)</f>
        <v/>
      </c>
      <c r="B134" s="19" t="n"/>
      <c r="C134" s="19" t="n"/>
      <c r="D134" s="19" t="n"/>
      <c r="E134" s="20" t="n"/>
      <c r="F134" s="20">
        <f>IF(AND(B134="",C134=""),"",1)</f>
        <v/>
      </c>
      <c r="G134" s="261">
        <f>IF(AND(B134="",C134=""),"",ROUND(M134*L134*N134,2))</f>
        <v/>
      </c>
      <c r="H134" s="261">
        <f>IF(AND(B134="",C134=""),"",ROUND(F134*G134,2))</f>
        <v/>
      </c>
      <c r="I134" s="75" t="n"/>
      <c r="J134" s="294">
        <f>IF(AND(B134="",C134=""),"",ROUND(M134*N134,2))</f>
        <v/>
      </c>
      <c r="K134" s="295">
        <f>IF(AND(B134="",C134=""),"",ROUND(J134*F134,2))</f>
        <v/>
      </c>
      <c r="L134" s="110">
        <f>IF(AND(B134="",C134=""),"",1)</f>
        <v/>
      </c>
      <c r="M134" s="296" t="n"/>
      <c r="N134" s="112">
        <f>IF(AND(B134="",C134=""),"",1)</f>
        <v/>
      </c>
      <c r="O134" s="113">
        <f t="array" ref="O134">IF(AND(B134="",C134=""),"",IF(G134&gt;=20000,0.05,IF(G134&gt;=10000,0.1,IF(G134&gt;=5000,0.2,IF(G134&gt;=1000,0.3,IF(G134&gt;=0,0.4,{0}))))))</f>
        <v/>
      </c>
      <c r="P134" s="297">
        <f>IF(AND(B134="",C134=""),"",ROUND(H134*O134,2))</f>
        <v/>
      </c>
      <c r="Q134" s="292">
        <f>IF(AND(B134="",C134=""),"","元件")</f>
        <v/>
      </c>
      <c r="R134" s="130" t="n"/>
      <c r="S134" s="130" t="n"/>
      <c r="T134" s="130" t="n"/>
      <c r="U134" s="130" t="n"/>
      <c r="V134" s="293" t="n"/>
      <c r="W134" s="293" t="n"/>
      <c r="X134" s="132" t="n"/>
    </row>
    <row r="135" customFormat="1" s="124">
      <c r="A135" s="26">
        <f>ROW()-ROW(A$118)</f>
        <v/>
      </c>
      <c r="B135" s="19" t="n"/>
      <c r="C135" s="19" t="n"/>
      <c r="D135" s="19" t="n"/>
      <c r="E135" s="20" t="n"/>
      <c r="F135" s="20">
        <f>IF(AND(B135="",C135=""),"",1)</f>
        <v/>
      </c>
      <c r="G135" s="261">
        <f>IF(AND(B135="",C135=""),"",ROUND(M135*L135*N135,2))</f>
        <v/>
      </c>
      <c r="H135" s="261">
        <f>IF(AND(B135="",C135=""),"",ROUND(F135*G135,2))</f>
        <v/>
      </c>
      <c r="I135" s="75" t="n"/>
      <c r="J135" s="294">
        <f>IF(AND(B135="",C135=""),"",ROUND(M135*N135,2))</f>
        <v/>
      </c>
      <c r="K135" s="295">
        <f>IF(AND(B135="",C135=""),"",ROUND(J135*F135,2))</f>
        <v/>
      </c>
      <c r="L135" s="110">
        <f>IF(AND(B135="",C135=""),"",1)</f>
        <v/>
      </c>
      <c r="M135" s="296" t="n"/>
      <c r="N135" s="112">
        <f>IF(AND(B135="",C135=""),"",1)</f>
        <v/>
      </c>
      <c r="O135" s="113">
        <f t="array" ref="O135">IF(AND(B135="",C135=""),"",IF(G135&gt;=20000,0.05,IF(G135&gt;=10000,0.1,IF(G135&gt;=5000,0.2,IF(G135&gt;=1000,0.3,IF(G135&gt;=0,0.4,{0}))))))</f>
        <v/>
      </c>
      <c r="P135" s="297">
        <f>IF(AND(B135="",C135=""),"",ROUND(H135*O135,2))</f>
        <v/>
      </c>
      <c r="Q135" s="292">
        <f>IF(AND(B135="",C135=""),"","元件")</f>
        <v/>
      </c>
      <c r="R135" s="130" t="n"/>
      <c r="S135" s="130" t="n"/>
      <c r="T135" s="130" t="n"/>
      <c r="U135" s="130" t="n"/>
      <c r="V135" s="293" t="n"/>
      <c r="W135" s="293" t="n"/>
      <c r="X135" s="132" t="n"/>
    </row>
    <row r="136" customFormat="1" s="124">
      <c r="A136" s="26">
        <f>ROW()-ROW(A$118)</f>
        <v/>
      </c>
      <c r="B136" s="19" t="n"/>
      <c r="C136" s="19" t="n"/>
      <c r="D136" s="19" t="n"/>
      <c r="E136" s="20" t="n"/>
      <c r="F136" s="20">
        <f>IF(AND(B136="",C136=""),"",1)</f>
        <v/>
      </c>
      <c r="G136" s="261">
        <f>IF(AND(B136="",C136=""),"",ROUND(M136*L136*N136,2))</f>
        <v/>
      </c>
      <c r="H136" s="261">
        <f>IF(AND(B136="",C136=""),"",ROUND(F136*G136,2))</f>
        <v/>
      </c>
      <c r="I136" s="75" t="n"/>
      <c r="J136" s="294">
        <f>IF(AND(B136="",C136=""),"",ROUND(M136*N136,2))</f>
        <v/>
      </c>
      <c r="K136" s="295">
        <f>IF(AND(B136="",C136=""),"",ROUND(J136*F136,2))</f>
        <v/>
      </c>
      <c r="L136" s="110">
        <f>IF(AND(B136="",C136=""),"",1)</f>
        <v/>
      </c>
      <c r="M136" s="296" t="n"/>
      <c r="N136" s="112">
        <f>IF(AND(B136="",C136=""),"",1)</f>
        <v/>
      </c>
      <c r="O136" s="113">
        <f t="array" ref="O136">IF(AND(B136="",C136=""),"",IF(G136&gt;=20000,0.05,IF(G136&gt;=10000,0.1,IF(G136&gt;=5000,0.2,IF(G136&gt;=1000,0.3,IF(G136&gt;=0,0.4,{0}))))))</f>
        <v/>
      </c>
      <c r="P136" s="297">
        <f>IF(AND(B136="",C136=""),"",ROUND(H136*O136,2))</f>
        <v/>
      </c>
      <c r="Q136" s="292">
        <f>IF(AND(B136="",C136=""),"","元件")</f>
        <v/>
      </c>
      <c r="R136" s="130" t="n"/>
      <c r="S136" s="130" t="n"/>
      <c r="T136" s="130" t="n"/>
      <c r="U136" s="130" t="n"/>
      <c r="V136" s="293" t="n"/>
      <c r="W136" s="293" t="n"/>
      <c r="X136" s="132" t="n"/>
    </row>
    <row r="137" customFormat="1" s="124">
      <c r="A137" s="26">
        <f>ROW()-ROW(A$118)</f>
        <v/>
      </c>
      <c r="B137" s="19" t="n"/>
      <c r="C137" s="19" t="n"/>
      <c r="D137" s="19" t="n"/>
      <c r="E137" s="20" t="n"/>
      <c r="F137" s="20">
        <f>IF(AND(B137="",C137=""),"",1)</f>
        <v/>
      </c>
      <c r="G137" s="261">
        <f>IF(AND(B137="",C137=""),"",ROUND(M137*L137*N137,2))</f>
        <v/>
      </c>
      <c r="H137" s="261">
        <f>IF(AND(B137="",C137=""),"",ROUND(F137*G137,2))</f>
        <v/>
      </c>
      <c r="I137" s="75" t="n"/>
      <c r="J137" s="294">
        <f>IF(AND(B137="",C137=""),"",ROUND(M137*N137,2))</f>
        <v/>
      </c>
      <c r="K137" s="295">
        <f>IF(AND(B137="",C137=""),"",ROUND(J137*F137,2))</f>
        <v/>
      </c>
      <c r="L137" s="110">
        <f>IF(AND(B137="",C137=""),"",1)</f>
        <v/>
      </c>
      <c r="M137" s="296" t="n"/>
      <c r="N137" s="112">
        <f>IF(AND(B137="",C137=""),"",1)</f>
        <v/>
      </c>
      <c r="O137" s="113">
        <f t="array" ref="O137">IF(AND(B137="",C137=""),"",IF(G137&gt;=20000,0.05,IF(G137&gt;=10000,0.1,IF(G137&gt;=5000,0.2,IF(G137&gt;=1000,0.3,IF(G137&gt;=0,0.4,{0}))))))</f>
        <v/>
      </c>
      <c r="P137" s="297">
        <f>IF(AND(B137="",C137=""),"",ROUND(H137*O137,2))</f>
        <v/>
      </c>
      <c r="Q137" s="292">
        <f>IF(AND(B137="",C137=""),"","元件")</f>
        <v/>
      </c>
      <c r="R137" s="130" t="n"/>
      <c r="S137" s="130" t="n"/>
      <c r="T137" s="130" t="n"/>
      <c r="U137" s="130" t="n"/>
      <c r="V137" s="293" t="n"/>
      <c r="W137" s="293" t="n"/>
      <c r="X137" s="132" t="n"/>
    </row>
    <row r="138" customFormat="1" s="124">
      <c r="A138" s="26">
        <f>ROW()-ROW(A$118)</f>
        <v/>
      </c>
      <c r="B138" s="19" t="n"/>
      <c r="C138" s="19" t="n"/>
      <c r="D138" s="19" t="n"/>
      <c r="E138" s="20" t="n"/>
      <c r="F138" s="20">
        <f>IF(AND(B138="",C138=""),"",1)</f>
        <v/>
      </c>
      <c r="G138" s="261">
        <f>IF(AND(B138="",C138=""),"",ROUND(M138*L138*N138,2))</f>
        <v/>
      </c>
      <c r="H138" s="261">
        <f>IF(AND(B138="",C138=""),"",ROUND(F138*G138,2))</f>
        <v/>
      </c>
      <c r="I138" s="75" t="n"/>
      <c r="J138" s="294">
        <f>IF(AND(B138="",C138=""),"",ROUND(M138*N138,2))</f>
        <v/>
      </c>
      <c r="K138" s="295">
        <f>IF(AND(B138="",C138=""),"",ROUND(J138*F138,2))</f>
        <v/>
      </c>
      <c r="L138" s="110">
        <f>IF(AND(B138="",C138=""),"",1)</f>
        <v/>
      </c>
      <c r="M138" s="296" t="n"/>
      <c r="N138" s="112">
        <f>IF(AND(B138="",C138=""),"",1)</f>
        <v/>
      </c>
      <c r="O138" s="113">
        <f t="array" ref="O138">IF(AND(B138="",C138=""),"",IF(G138&gt;=20000,0.05,IF(G138&gt;=10000,0.1,IF(G138&gt;=5000,0.2,IF(G138&gt;=1000,0.3,IF(G138&gt;=0,0.4,{0}))))))</f>
        <v/>
      </c>
      <c r="P138" s="297">
        <f>IF(AND(B138="",C138=""),"",ROUND(H138*O138,2))</f>
        <v/>
      </c>
      <c r="Q138" s="292">
        <f>IF(AND(B138="",C138=""),"","元件")</f>
        <v/>
      </c>
      <c r="R138" s="130" t="n"/>
      <c r="S138" s="130" t="n"/>
      <c r="T138" s="130" t="n"/>
      <c r="U138" s="130" t="n"/>
      <c r="V138" s="293" t="n"/>
      <c r="W138" s="293" t="n"/>
      <c r="X138" s="132" t="n"/>
    </row>
    <row r="139" customFormat="1" s="124">
      <c r="A139" s="26">
        <f>ROW()-ROW(A$118)</f>
        <v/>
      </c>
      <c r="B139" s="19" t="n"/>
      <c r="C139" s="19" t="n"/>
      <c r="D139" s="19" t="n"/>
      <c r="E139" s="20" t="n"/>
      <c r="F139" s="20">
        <f>IF(AND(B139="",C139=""),"",1)</f>
        <v/>
      </c>
      <c r="G139" s="261">
        <f>IF(AND(B139="",C139=""),"",ROUND(M139*L139*N139,2))</f>
        <v/>
      </c>
      <c r="H139" s="261">
        <f>IF(AND(B139="",C139=""),"",ROUND(F139*G139,2))</f>
        <v/>
      </c>
      <c r="I139" s="75" t="n"/>
      <c r="J139" s="294">
        <f>IF(AND(B139="",C139=""),"",ROUND(M139*N139,2))</f>
        <v/>
      </c>
      <c r="K139" s="295">
        <f>IF(AND(B139="",C139=""),"",ROUND(J139*F139,2))</f>
        <v/>
      </c>
      <c r="L139" s="110">
        <f>IF(AND(B139="",C139=""),"",1)</f>
        <v/>
      </c>
      <c r="M139" s="296" t="n"/>
      <c r="N139" s="112">
        <f>IF(AND(B139="",C139=""),"",1)</f>
        <v/>
      </c>
      <c r="O139" s="113">
        <f t="array" ref="O139">IF(AND(B139="",C139=""),"",IF(G139&gt;=20000,0.05,IF(G139&gt;=10000,0.1,IF(G139&gt;=5000,0.2,IF(G139&gt;=1000,0.3,IF(G139&gt;=0,0.4,{0}))))))</f>
        <v/>
      </c>
      <c r="P139" s="297">
        <f>IF(AND(B139="",C139=""),"",ROUND(H139*O139,2))</f>
        <v/>
      </c>
      <c r="Q139" s="292">
        <f>IF(AND(B139="",C139=""),"","元件")</f>
        <v/>
      </c>
      <c r="R139" s="130" t="n"/>
      <c r="S139" s="130" t="n"/>
      <c r="T139" s="130" t="n"/>
      <c r="U139" s="130" t="n"/>
      <c r="V139" s="293" t="n"/>
      <c r="W139" s="293" t="n"/>
      <c r="X139" s="132" t="n"/>
    </row>
    <row r="140" customFormat="1" s="124">
      <c r="A140" s="26">
        <f>ROW()-ROW(A$118)</f>
        <v/>
      </c>
      <c r="B140" s="19" t="n"/>
      <c r="C140" s="19" t="n"/>
      <c r="D140" s="19" t="n"/>
      <c r="E140" s="20" t="n"/>
      <c r="F140" s="20">
        <f>IF(AND(B140="",C140=""),"",1)</f>
        <v/>
      </c>
      <c r="G140" s="261">
        <f>IF(AND(B140="",C140=""),"",ROUND(M140*L140*N140,2))</f>
        <v/>
      </c>
      <c r="H140" s="261">
        <f>IF(AND(B140="",C140=""),"",ROUND(F140*G140,2))</f>
        <v/>
      </c>
      <c r="I140" s="75" t="n"/>
      <c r="J140" s="294">
        <f>IF(AND(B140="",C140=""),"",ROUND(M140*N140,2))</f>
        <v/>
      </c>
      <c r="K140" s="295">
        <f>IF(AND(B140="",C140=""),"",ROUND(J140*F140,2))</f>
        <v/>
      </c>
      <c r="L140" s="110">
        <f>IF(AND(B140="",C140=""),"",1)</f>
        <v/>
      </c>
      <c r="M140" s="296" t="n"/>
      <c r="N140" s="112">
        <f>IF(AND(B140="",C140=""),"",1)</f>
        <v/>
      </c>
      <c r="O140" s="113">
        <f t="array" ref="O140">IF(AND(B140="",C140=""),"",IF(G140&gt;=20000,0.05,IF(G140&gt;=10000,0.1,IF(G140&gt;=5000,0.2,IF(G140&gt;=1000,0.3,IF(G140&gt;=0,0.4,{0}))))))</f>
        <v/>
      </c>
      <c r="P140" s="297">
        <f>IF(AND(B140="",C140=""),"",ROUND(H140*O140,2))</f>
        <v/>
      </c>
      <c r="Q140" s="292">
        <f>IF(AND(B140="",C140=""),"","元件")</f>
        <v/>
      </c>
      <c r="R140" s="130" t="n"/>
      <c r="S140" s="130" t="n"/>
      <c r="T140" s="130" t="n"/>
      <c r="U140" s="130" t="n"/>
      <c r="V140" s="293" t="n"/>
      <c r="W140" s="293" t="n"/>
      <c r="X140" s="132" t="n"/>
    </row>
    <row r="141" customFormat="1" s="124">
      <c r="A141" s="26">
        <f>ROW()-ROW(A$118)</f>
        <v/>
      </c>
      <c r="B141" s="133" t="inlineStr">
        <is>
          <t>小计</t>
        </is>
      </c>
      <c r="C141" s="134" t="n"/>
      <c r="D141" s="45" t="n"/>
      <c r="E141" s="25" t="n"/>
      <c r="F141" s="25" t="n"/>
      <c r="G141" s="264" t="n"/>
      <c r="H141" s="264">
        <f>ROUND(SUM(H118:INDEX(H:H,ROW()-1)),2)</f>
        <v/>
      </c>
      <c r="I141" s="75" t="n"/>
      <c r="J141" s="294" t="n"/>
      <c r="K141" s="295">
        <f>ROUND(SUM(K118:INDEX(K:K,ROW()-1)),2)</f>
        <v/>
      </c>
      <c r="L141" s="110" t="n"/>
      <c r="M141" s="296" t="n"/>
      <c r="N141" s="112" t="n"/>
      <c r="O141" s="113" t="n"/>
      <c r="P141" s="297" t="n"/>
      <c r="Q141" s="292" t="n"/>
      <c r="R141" s="130" t="n"/>
      <c r="S141" s="130" t="n"/>
      <c r="T141" s="130" t="n"/>
      <c r="U141" s="130" t="n"/>
      <c r="V141" s="293">
        <f t="array" ref="V141">ROUND(SUMPRODUCT(F118:INDEX(F:F,ROW()-1),V118:INDEX(V:V,ROW()-1)),2)</f>
        <v/>
      </c>
      <c r="W141" s="293">
        <f t="array" ref="W141">ROUND(SUMPRODUCT(F118:INDEX(F:F,ROW()-1),W118:INDEX(W:W,ROW()-1)),2)</f>
        <v/>
      </c>
      <c r="X141" s="132" t="n"/>
    </row>
    <row r="142" customFormat="1" s="124">
      <c r="A142" s="26">
        <f>ROW()-ROW(A$118)</f>
        <v/>
      </c>
      <c r="B142" s="133" t="inlineStr">
        <is>
          <t>人工</t>
        </is>
      </c>
      <c r="C142" s="134" t="n"/>
      <c r="D142" s="45" t="n"/>
      <c r="E142" s="25" t="n"/>
      <c r="F142" s="25" t="n"/>
      <c r="G142" s="264" t="n"/>
      <c r="H142" s="264" t="n">
        <v>17.26</v>
      </c>
      <c r="I142" s="75" t="n"/>
      <c r="J142" s="294" t="n"/>
      <c r="K142" s="295" t="n"/>
      <c r="L142" s="110" t="n"/>
      <c r="M142" s="296" t="n"/>
      <c r="N142" s="112" t="n"/>
      <c r="O142" s="113" t="n"/>
      <c r="P142" s="297" t="n"/>
      <c r="Q142" s="292" t="n"/>
      <c r="R142" s="130" t="n"/>
      <c r="S142" s="130" t="n"/>
      <c r="T142" s="130" t="n"/>
      <c r="U142" s="130" t="n"/>
      <c r="V142" s="293" t="n"/>
      <c r="W142" s="293" t="n"/>
      <c r="X142" s="132" t="n"/>
    </row>
    <row r="143" customFormat="1" s="124">
      <c r="A143" s="26">
        <f>ROW()-ROW(A$118)</f>
        <v/>
      </c>
      <c r="B143" s="133" t="inlineStr">
        <is>
          <t>管理费</t>
        </is>
      </c>
      <c r="C143" s="134" t="n"/>
      <c r="D143" s="45" t="n"/>
      <c r="E143" s="25" t="n"/>
      <c r="F143" s="25" t="n"/>
      <c r="G143" s="264" t="n"/>
      <c r="H143" s="264">
        <f>ROUND(H141*0,2)</f>
        <v/>
      </c>
      <c r="I143" s="75" t="n"/>
      <c r="J143" s="294" t="n"/>
      <c r="K143" s="295" t="n"/>
      <c r="L143" s="110" t="n"/>
      <c r="M143" s="296" t="n"/>
      <c r="N143" s="112" t="n"/>
      <c r="O143" s="113" t="n"/>
      <c r="P143" s="297" t="n"/>
      <c r="Q143" s="292" t="inlineStr">
        <is>
          <t>费用</t>
        </is>
      </c>
      <c r="R143" s="130" t="n"/>
      <c r="S143" s="130" t="n"/>
      <c r="T143" s="130" t="n"/>
      <c r="U143" s="130" t="n"/>
      <c r="V143" s="293" t="n"/>
      <c r="W143" s="293" t="n"/>
      <c r="X143" s="132" t="n"/>
    </row>
    <row r="144" customFormat="1" s="124">
      <c r="A144" s="26">
        <f>ROW()-ROW(A$118)</f>
        <v/>
      </c>
      <c r="B144" s="133" t="inlineStr">
        <is>
          <t>利润</t>
        </is>
      </c>
      <c r="C144" s="134" t="n"/>
      <c r="D144" s="45" t="n"/>
      <c r="E144" s="25" t="n"/>
      <c r="F144" s="25" t="n"/>
      <c r="G144" s="264" t="n"/>
      <c r="H144" s="264">
        <f>ROUND(SUM(H141:H143)*0,2)</f>
        <v/>
      </c>
      <c r="I144" s="75" t="n"/>
      <c r="J144" s="294" t="n"/>
      <c r="K144" s="295" t="n"/>
      <c r="L144" s="110" t="n"/>
      <c r="M144" s="296" t="n"/>
      <c r="N144" s="112" t="n"/>
      <c r="O144" s="113" t="n"/>
      <c r="P144" s="297" t="n"/>
      <c r="Q144" s="292" t="inlineStr">
        <is>
          <t>费用</t>
        </is>
      </c>
      <c r="R144" s="130" t="n"/>
      <c r="S144" s="130" t="n"/>
      <c r="T144" s="130" t="n"/>
      <c r="U144" s="130" t="n"/>
      <c r="V144" s="293" t="n"/>
      <c r="W144" s="293" t="n"/>
      <c r="X144" s="132" t="n"/>
    </row>
    <row r="145" customFormat="1" s="124">
      <c r="A145" s="26">
        <f>ROW()-ROW(A$118)</f>
        <v/>
      </c>
      <c r="B145" s="133" t="inlineStr">
        <is>
          <t>税金</t>
        </is>
      </c>
      <c r="C145" s="134" t="n"/>
      <c r="D145" s="45" t="n"/>
      <c r="E145" s="25" t="n"/>
      <c r="F145" s="25" t="n"/>
      <c r="G145" s="264" t="n"/>
      <c r="H145" s="264">
        <f>ROUND(SUM(H141:H144)*0,2)</f>
        <v/>
      </c>
      <c r="I145" s="75" t="n"/>
      <c r="J145" s="294" t="n"/>
      <c r="K145" s="295" t="n"/>
      <c r="L145" s="110" t="n"/>
      <c r="M145" s="296" t="n"/>
      <c r="N145" s="112" t="n"/>
      <c r="O145" s="113" t="n"/>
      <c r="P145" s="297" t="n"/>
      <c r="Q145" s="292" t="inlineStr">
        <is>
          <t>费用</t>
        </is>
      </c>
      <c r="R145" s="130" t="n"/>
      <c r="S145" s="130" t="n"/>
      <c r="T145" s="130" t="n"/>
      <c r="U145" s="130" t="n"/>
      <c r="V145" s="293" t="n"/>
      <c r="W145" s="293" t="n"/>
      <c r="X145" s="132" t="n"/>
    </row>
    <row r="146" customFormat="1" s="124">
      <c r="A146" s="26">
        <f>ROW()-ROW(A$118)</f>
        <v/>
      </c>
      <c r="B146" s="45" t="inlineStr">
        <is>
          <t>单台合计</t>
        </is>
      </c>
      <c r="C146" s="134" t="n"/>
      <c r="D146" s="45" t="n"/>
      <c r="E146" s="25" t="n"/>
      <c r="F146" s="25" t="n"/>
      <c r="G146" s="264" t="n"/>
      <c r="H146" s="264">
        <f>ROUND(SUM(H141:H145),2)</f>
        <v/>
      </c>
      <c r="I146" s="141" t="n"/>
      <c r="J146" s="294" t="n"/>
      <c r="K146" s="295">
        <f>ROUND(SUM(K141:K145),2)</f>
        <v/>
      </c>
      <c r="L146" s="142" t="n"/>
      <c r="M146" s="296" t="n"/>
      <c r="N146" s="143" t="n"/>
      <c r="O146" s="144" t="n"/>
      <c r="P146" s="297" t="n"/>
      <c r="Q146" s="292" t="n"/>
      <c r="R146" s="130" t="n"/>
      <c r="S146" s="130" t="n"/>
      <c r="T146" s="130" t="n"/>
      <c r="U146" s="130" t="n"/>
      <c r="V146" s="293" t="n"/>
      <c r="W146" s="293" t="n"/>
      <c r="X146" s="132" t="n"/>
    </row>
    <row r="147" customFormat="1" s="124">
      <c r="A147" s="135" t="inlineStr">
        <is>
          <t>总计</t>
        </is>
      </c>
      <c r="B147" s="136" t="n"/>
      <c r="C147" s="137" t="n"/>
      <c r="D147" s="138" t="n"/>
      <c r="E147" s="138" t="inlineStr">
        <is>
          <t>项</t>
        </is>
      </c>
      <c r="F147" s="138" t="n">
        <v>1</v>
      </c>
      <c r="G147" s="298">
        <f>ROUND(H146,2)</f>
        <v/>
      </c>
      <c r="H147" s="298">
        <f>ROUND(F147*G147,2)</f>
        <v/>
      </c>
      <c r="I147" s="145" t="n"/>
      <c r="J147" s="299" t="n"/>
      <c r="K147" s="300">
        <f>ROUND(K146*F147,2)</f>
        <v/>
      </c>
      <c r="L147" s="148" t="n"/>
      <c r="M147" s="301" t="n"/>
      <c r="N147" s="150" t="n"/>
      <c r="O147" s="151" t="n"/>
      <c r="P147" s="302" t="n"/>
      <c r="Q147" s="292" t="n"/>
      <c r="R147" s="130" t="n"/>
      <c r="S147" s="130" t="n"/>
      <c r="T147" s="130" t="n"/>
      <c r="U147" s="130" t="n"/>
      <c r="V147" s="293" t="n"/>
      <c r="W147" s="293" t="n"/>
      <c r="X147" s="132" t="n"/>
    </row>
    <row r="148" customFormat="1" s="126">
      <c r="A148" s="50" t="n"/>
      <c r="B148" s="101" t="n"/>
      <c r="C148" s="101" t="n"/>
      <c r="D148" s="101" t="n"/>
      <c r="Q148" s="125" t="n"/>
      <c r="R148" s="125" t="n"/>
      <c r="S148" s="125" t="n"/>
      <c r="T148" s="125" t="n"/>
      <c r="U148" s="125" t="n"/>
      <c r="X148" s="101" t="n"/>
    </row>
    <row r="149" customFormat="1" s="126">
      <c r="A149" s="50" t="n"/>
      <c r="B149" s="101" t="n"/>
      <c r="C149" s="101" t="n"/>
      <c r="D149" s="101" t="n"/>
      <c r="Q149" s="125" t="n"/>
      <c r="R149" s="125" t="n"/>
      <c r="S149" s="125" t="n"/>
      <c r="T149" s="125" t="n"/>
      <c r="U149" s="125" t="n"/>
      <c r="X149" s="101" t="n"/>
    </row>
    <row r="150" customFormat="1" s="124">
      <c r="A150" s="52">
        <f>CONCATENATE("报价人：",项目信息!$B$8)</f>
        <v/>
      </c>
      <c r="B150" s="52" t="n"/>
      <c r="C150" s="126" t="n"/>
      <c r="D150" s="126" t="n"/>
      <c r="E150" s="126" t="n"/>
      <c r="F150" s="126" t="n"/>
      <c r="G150" s="126" t="n"/>
      <c r="H150" s="140">
        <f>项目信息!$B$9</f>
        <v/>
      </c>
      <c r="Q150" s="125" t="n"/>
      <c r="R150" s="125" t="n"/>
      <c r="S150" s="125" t="n"/>
      <c r="T150" s="125" t="n"/>
      <c r="U150" s="125" t="n"/>
      <c r="X150" s="128" t="n"/>
    </row>
  </sheetData>
  <mergeCells count="23">
    <mergeCell ref="C34:D34"/>
    <mergeCell ref="G43:H43"/>
    <mergeCell ref="A41:I41"/>
    <mergeCell ref="G117:H117"/>
    <mergeCell ref="D90:E90"/>
    <mergeCell ref="A89:I89"/>
    <mergeCell ref="A3:I3"/>
    <mergeCell ref="A2:I2"/>
    <mergeCell ref="A42:I42"/>
    <mergeCell ref="A116:I116"/>
    <mergeCell ref="A4:I4"/>
    <mergeCell ref="A115:I115"/>
    <mergeCell ref="D43:E43"/>
    <mergeCell ref="A40:I40"/>
    <mergeCell ref="B35:I36"/>
    <mergeCell ref="A114:I114"/>
    <mergeCell ref="A35:A36"/>
    <mergeCell ref="D117:E117"/>
    <mergeCell ref="G90:H90"/>
    <mergeCell ref="A88:I88"/>
    <mergeCell ref="H5:I5"/>
    <mergeCell ref="A87:I87"/>
    <mergeCell ref="A5:G5"/>
  </mergeCells>
  <dataValidations count="5">
    <dataValidation sqref="F34" showDropDown="0" showInputMessage="1" showErrorMessage="1" allowBlank="1" prompt="表示有几个这样的分类/段，默认为1。箱变（或多个相同分类/段需翻倍）报价时，请在此处填写箱变台数或倍数。非以上情况，此处勿动。" errorStyle="information"/>
    <dataValidation sqref="M43 M90 M117" showDropDown="0" showInputMessage="1" showErrorMessage="1" allowBlank="1" type="list">
      <formula1>"高压柜,低压固定柜,低压抽屉柜,动力柜,动力配电箱,控制配电箱,照明配电箱,电表箱,其它箱"</formula1>
    </dataValidation>
    <dataValidation sqref="B45 B92 B119 D45:E45 D92:E92 D119:E119" showDropDown="0" showInputMessage="1" showErrorMessage="1" allowBlank="1"/>
    <dataValidation sqref="Q45:Q47 Q48 Q49:Q83 Q92:Q94 Q95:Q96 Q97:Q110 Q119:Q147" showDropDown="0" showInputMessage="1" showErrorMessage="1" allowBlank="1" type="list">
      <formula1>"元件,母排,辅料,箱体,费用"</formula1>
    </dataValidation>
    <dataValidation sqref="N7:N38" showDropDown="0" showInputMessage="1" showErrorMessage="1" allowBlank="1" type="list">
      <formula1>"高压柜,低压固定柜,低压抽屉柜,低压固定分隔柜,动力柜,动力配电箱,控制配电箱,照明配电箱,电表箱,其它箱"</formula1>
    </dataValidation>
  </dataValidations>
  <hyperlinks>
    <hyperlink ref="A7" location="cabinetTableedff94fe71c44a2ca48d84a09481d9f3" tooltip="点击进入本箱柜明细表" display="=ROW()-ROW(A$6)"/>
    <hyperlink ref="A8" location="cabinetTablecc1891da75bd43c9860898e4d662d48e" tooltip="点击进入本箱柜明细表" display="=ROW()-ROW(A$6)"/>
    <hyperlink ref="A9" location="cabinetTableaf665d98c6b94bb09334474c906d8615" tooltip="点击进入本箱柜明细表" display="=ROW()-ROW(A$6)"/>
  </hyperlink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anonymized</dc:creator>
  <dcterms:created xmlns:dcterms="http://purl.org/dc/terms/" xmlns:xsi="http://www.w3.org/2001/XMLSchema-instance" xsi:type="dcterms:W3CDTF">2016-07-08T03:08:00Z</dcterms:created>
  <dcterms:modified xmlns:dcterms="http://purl.org/dc/terms/" xmlns:xsi="http://www.w3.org/2001/XMLSchema-instance" xsi:type="dcterms:W3CDTF">2026-05-05T00:32:17Z</dcterms:modified>
  <cp:lastModifiedBy>anonymized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2B107B9DA90049EB9116E396B239C6BB_12</vt:lpwstr>
  </property>
  <property name="KSOProductBuildVer" fmtid="{D5CDD505-2E9C-101B-9397-08002B2CF9AE}" pid="3">
    <vt:lpwstr xmlns:vt="http://schemas.openxmlformats.org/officeDocument/2006/docPropsVTypes">2052-12.1.0.16399</vt:lpwstr>
  </property>
</Properties>
</file>