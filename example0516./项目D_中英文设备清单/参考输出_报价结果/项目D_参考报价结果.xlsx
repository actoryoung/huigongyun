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低压报价" sheetId="1" state="visible" r:id="rId1"/>
    <sheet xmlns:r="http://schemas.openxmlformats.org/officeDocument/2006/relationships" name="低压设备清单" sheetId="2" state="visible" r:id="rId2"/>
    <sheet xmlns:r="http://schemas.openxmlformats.org/officeDocument/2006/relationships" name="BOM" sheetId="3" state="visible" r:id="rId3"/>
  </sheets>
  <definedNames>
    <definedName name="_xlnm._FilterDatabase" localSheetId="1" hidden="1">'低压设备清单'!$A$1:$K$64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@&quot;报&quot;&quot;价&quot;&quot;单&quot;"/>
    <numFmt numFmtId="166" formatCode="&quot;报价人&quot;\:@"/>
    <numFmt numFmtId="167" formatCode="&quot;报价日期&quot;\:@"/>
    <numFmt numFmtId="168" formatCode="&quot;大写人民币&quot;\:@"/>
  </numFmts>
  <fonts count="39">
    <font>
      <name val="宋体"/>
      <charset val="134"/>
      <sz val="12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細明體"/>
      <charset val="134"/>
      <color rgb="FFFF0000"/>
      <sz val="10"/>
    </font>
    <font>
      <name val="細明體"/>
      <charset val="134"/>
      <sz val="10"/>
    </font>
    <font>
      <name val="宋体"/>
      <charset val="134"/>
      <sz val="10.5"/>
    </font>
    <font>
      <name val="Times New Roman"/>
      <charset val="134"/>
      <sz val="10.5"/>
    </font>
    <font>
      <name val="Times New Roman"/>
      <charset val="134"/>
      <sz val="10"/>
    </font>
    <font>
      <name val="宋体"/>
      <charset val="134"/>
      <b val="1"/>
      <sz val="10.5"/>
    </font>
    <font>
      <name val="Times New Roman"/>
      <charset val="134"/>
      <b val="1"/>
      <sz val="10.5"/>
    </font>
    <font>
      <name val="Times New Roman"/>
      <charset val="134"/>
      <sz val="12"/>
    </font>
    <font>
      <name val="宋体"/>
      <charset val="134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56">
    <xf numFmtId="0" fontId="1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3" borderId="3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1" applyAlignment="1">
      <alignment vertical="center"/>
    </xf>
    <xf numFmtId="0" fontId="26" fillId="0" borderId="31" applyAlignment="1">
      <alignment vertical="center"/>
    </xf>
    <xf numFmtId="0" fontId="27" fillId="0" borderId="32" applyAlignment="1">
      <alignment vertical="center"/>
    </xf>
    <xf numFmtId="0" fontId="27" fillId="0" borderId="0" applyAlignment="1">
      <alignment vertical="center"/>
    </xf>
    <xf numFmtId="0" fontId="28" fillId="4" borderId="33" applyAlignment="1">
      <alignment vertical="center"/>
    </xf>
    <xf numFmtId="0" fontId="29" fillId="5" borderId="34" applyAlignment="1">
      <alignment vertical="center"/>
    </xf>
    <xf numFmtId="0" fontId="30" fillId="5" borderId="33" applyAlignment="1">
      <alignment vertical="center"/>
    </xf>
    <xf numFmtId="0" fontId="31" fillId="6" borderId="35" applyAlignment="1">
      <alignment vertical="center"/>
    </xf>
    <xf numFmtId="0" fontId="32" fillId="0" borderId="36" applyAlignment="1">
      <alignment vertical="center"/>
    </xf>
    <xf numFmtId="0" fontId="33" fillId="0" borderId="37" applyAlignment="1">
      <alignment vertical="center"/>
    </xf>
    <xf numFmtId="0" fontId="34" fillId="7" borderId="0" applyAlignment="1">
      <alignment vertical="center"/>
    </xf>
    <xf numFmtId="0" fontId="35" fillId="8" borderId="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8" fillId="12" borderId="0" applyAlignment="1">
      <alignment vertical="center"/>
    </xf>
    <xf numFmtId="0" fontId="37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7" fillId="17" borderId="0" applyAlignment="1">
      <alignment vertical="center"/>
    </xf>
    <xf numFmtId="0" fontId="37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7" fillId="33" borderId="0" applyAlignment="1">
      <alignment vertical="center"/>
    </xf>
    <xf numFmtId="0" fontId="1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/>
    <xf numFmtId="0" fontId="1" fillId="0" borderId="0"/>
    <xf numFmtId="0" fontId="1" fillId="0" borderId="0" applyAlignment="1">
      <alignment vertical="center"/>
    </xf>
  </cellStyleXfs>
  <cellXfs count="1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9" fontId="4" fillId="0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49" fontId="5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vertical="center" wrapText="1"/>
    </xf>
    <xf numFmtId="49" fontId="4" fillId="0" borderId="6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54">
      <alignment horizontal="center" vertical="center" wrapText="1"/>
    </xf>
    <xf numFmtId="0" fontId="7" fillId="0" borderId="4" applyAlignment="1" pivotButton="0" quotePrefix="0" xfId="54">
      <alignment horizontal="right" vertical="center" wrapText="1" shrinkToFit="1"/>
    </xf>
    <xf numFmtId="0" fontId="7" fillId="0" borderId="4" applyAlignment="1" pivotButton="0" quotePrefix="0" xfId="54">
      <alignment horizontal="center" vertical="center" wrapText="1"/>
    </xf>
    <xf numFmtId="0" fontId="8" fillId="0" borderId="4" applyAlignment="1" pivotButton="0" quotePrefix="0" xfId="54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10" fillId="0" borderId="4" applyAlignment="1" applyProtection="1" pivotButton="0" quotePrefix="0" xfId="0">
      <alignment horizontal="center" vertical="center" wrapText="1"/>
      <protection locked="0" hidden="0"/>
    </xf>
    <xf numFmtId="0" fontId="9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54">
      <alignment horizontal="center" vertical="center" wrapText="1"/>
    </xf>
    <xf numFmtId="164" fontId="9" fillId="0" borderId="5" applyAlignment="1" pivotButton="0" quotePrefix="0" xfId="0">
      <alignment horizontal="center" vertical="center" wrapText="1"/>
    </xf>
    <xf numFmtId="2" fontId="9" fillId="0" borderId="4" applyAlignment="1" pivotButton="0" quotePrefix="0" xfId="54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11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5" applyAlignment="1" pivotButton="0" quotePrefix="0" xfId="0">
      <alignment horizontal="center" vertical="center" wrapText="1"/>
    </xf>
    <xf numFmtId="2" fontId="8" fillId="0" borderId="4" applyAlignment="1" pivotButton="0" quotePrefix="0" xfId="54">
      <alignment horizontal="center" vertical="center" wrapText="1"/>
    </xf>
    <xf numFmtId="0" fontId="3" fillId="0" borderId="0" applyAlignment="1" pivotButton="0" quotePrefix="0" xfId="54">
      <alignment vertical="center" wrapText="1"/>
    </xf>
    <xf numFmtId="0" fontId="3" fillId="0" borderId="4" applyAlignment="1" pivotButton="0" quotePrefix="0" xfId="54">
      <alignment vertical="center" wrapText="1"/>
    </xf>
    <xf numFmtId="164" fontId="9" fillId="0" borderId="4" applyAlignment="1" pivotButton="0" quotePrefix="0" xfId="54">
      <alignment horizontal="center" vertical="center" wrapText="1"/>
    </xf>
    <xf numFmtId="164" fontId="8" fillId="0" borderId="4" applyAlignment="1" pivotButton="0" quotePrefix="0" xfId="54">
      <alignment horizontal="center" vertical="center" wrapText="1"/>
    </xf>
    <xf numFmtId="0" fontId="0" fillId="0" borderId="0" applyAlignment="1" pivotButton="0" quotePrefix="0" xfId="0">
      <alignment vertical="center"/>
    </xf>
    <xf numFmtId="165" fontId="2" fillId="0" borderId="7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6" fontId="12" fillId="0" borderId="9" applyAlignment="1" pivotButton="0" quotePrefix="0" xfId="0">
      <alignment horizontal="left" vertical="center"/>
    </xf>
    <xf numFmtId="166" fontId="12" fillId="0" borderId="1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167" fontId="12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14" applyAlignment="1" pivotButton="0" quotePrefix="0" xfId="0">
      <alignment horizontal="left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49" fontId="8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164" fontId="8" fillId="0" borderId="4" applyAlignment="1" pivotButton="0" quotePrefix="0" xfId="0">
      <alignment horizontal="center" vertical="center" wrapText="1"/>
    </xf>
    <xf numFmtId="49" fontId="8" fillId="0" borderId="3" applyAlignment="1" pivotButton="0" quotePrefix="0" xfId="0">
      <alignment horizontal="center" vertical="center" wrapText="1"/>
    </xf>
    <xf numFmtId="49" fontId="8" fillId="0" borderId="17" applyAlignment="1" pivotButton="0" quotePrefix="0" xfId="0">
      <alignment horizontal="center" vertical="center" wrapText="1"/>
    </xf>
    <xf numFmtId="49" fontId="8" fillId="0" borderId="5" applyAlignment="1" pivotButton="0" quotePrefix="0" xfId="0">
      <alignment horizontal="center" vertical="center" wrapText="1"/>
    </xf>
    <xf numFmtId="1" fontId="8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168" fontId="16" fillId="0" borderId="20" applyAlignment="1" pivotButton="0" quotePrefix="0" xfId="0">
      <alignment horizontal="left" vertical="center"/>
    </xf>
    <xf numFmtId="0" fontId="12" fillId="0" borderId="7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/>
    </xf>
    <xf numFmtId="0" fontId="12" fillId="0" borderId="21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0" fontId="0" fillId="0" borderId="21" applyAlignment="1" pivotButton="0" quotePrefix="0" xfId="55">
      <alignment horizontal="left" vertical="center"/>
    </xf>
    <xf numFmtId="0" fontId="17" fillId="0" borderId="0" applyAlignment="1" pivotButton="0" quotePrefix="0" xfId="55">
      <alignment horizontal="left" vertical="center"/>
    </xf>
    <xf numFmtId="0" fontId="0" fillId="0" borderId="0" applyAlignment="1" pivotButton="0" quotePrefix="0" xfId="55">
      <alignment horizontal="left" vertical="center"/>
    </xf>
    <xf numFmtId="0" fontId="6" fillId="0" borderId="9" applyAlignment="1" pivotButton="0" quotePrefix="0" xfId="55">
      <alignment horizontal="left" vertical="center"/>
    </xf>
    <xf numFmtId="0" fontId="6" fillId="0" borderId="10" applyAlignment="1" pivotButton="0" quotePrefix="0" xfId="55">
      <alignment horizontal="left" vertical="center"/>
    </xf>
    <xf numFmtId="0" fontId="0" fillId="0" borderId="10" applyAlignment="1" pivotButton="0" quotePrefix="0" xfId="55">
      <alignment horizontal="left" vertical="center"/>
    </xf>
    <xf numFmtId="0" fontId="8" fillId="0" borderId="0" applyAlignment="1" pivotButton="0" quotePrefix="0" xfId="0">
      <alignment vertical="center"/>
    </xf>
    <xf numFmtId="165" fontId="2" fillId="0" borderId="22" applyAlignment="1" pivotButton="0" quotePrefix="0" xfId="0">
      <alignment horizontal="center" vertical="center"/>
    </xf>
    <xf numFmtId="167" fontId="12" fillId="0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 wrapText="1"/>
    </xf>
    <xf numFmtId="0" fontId="15" fillId="0" borderId="25" applyAlignment="1" pivotButton="0" quotePrefix="0" xfId="0">
      <alignment horizontal="center" vertical="center" wrapText="1"/>
    </xf>
    <xf numFmtId="164" fontId="8" fillId="0" borderId="4" applyAlignment="1" pivotButton="0" quotePrefix="0" xfId="0">
      <alignment horizontal="center" vertical="center"/>
    </xf>
    <xf numFmtId="49" fontId="8" fillId="0" borderId="26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/>
    </xf>
    <xf numFmtId="40" fontId="16" fillId="0" borderId="26" applyAlignment="1" pivotButton="0" quotePrefix="0" xfId="0">
      <alignment vertical="center"/>
    </xf>
    <xf numFmtId="168" fontId="16" fillId="0" borderId="28" applyAlignment="1" pivotButton="0" quotePrefix="0" xfId="0">
      <alignment horizontal="left" vertical="center"/>
    </xf>
    <xf numFmtId="0" fontId="12" fillId="0" borderId="22" applyAlignment="1" pivotButton="0" quotePrefix="0" xfId="0">
      <alignment horizontal="left" vertical="center"/>
    </xf>
    <xf numFmtId="0" fontId="12" fillId="0" borderId="29" applyAlignment="1" pivotButton="0" quotePrefix="0" xfId="0">
      <alignment horizontal="left" vertical="top"/>
    </xf>
    <xf numFmtId="0" fontId="17" fillId="0" borderId="0" applyAlignment="1" pivotButton="0" quotePrefix="0" xfId="55">
      <alignment vertical="center"/>
    </xf>
    <xf numFmtId="0" fontId="17" fillId="0" borderId="29" applyAlignment="1" pivotButton="0" quotePrefix="0" xfId="55">
      <alignment vertical="center"/>
    </xf>
    <xf numFmtId="0" fontId="17" fillId="0" borderId="21" applyAlignment="1" pivotButton="0" quotePrefix="0" xfId="55">
      <alignment vertical="center"/>
    </xf>
    <xf numFmtId="0" fontId="18" fillId="0" borderId="10" applyAlignment="1" pivotButton="0" quotePrefix="0" xfId="55">
      <alignment horizontal="left" vertical="center"/>
    </xf>
    <xf numFmtId="0" fontId="18" fillId="0" borderId="23" applyAlignment="1" pivotButton="0" quotePrefix="0" xfId="55">
      <alignment horizontal="left" vertical="center"/>
    </xf>
    <xf numFmtId="0" fontId="18" fillId="0" borderId="21" applyAlignment="1" pivotButton="0" quotePrefix="0" xfId="55">
      <alignment vertical="center"/>
    </xf>
    <xf numFmtId="0" fontId="0" fillId="0" borderId="0" pivotButton="0" quotePrefix="0" xfId="0"/>
    <xf numFmtId="165" fontId="2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2" pivotButton="0" quotePrefix="0" xfId="0"/>
    <xf numFmtId="166" fontId="12" fillId="0" borderId="9" applyAlignment="1" pivotButton="0" quotePrefix="0" xfId="0">
      <alignment horizontal="left" vertical="center"/>
    </xf>
    <xf numFmtId="0" fontId="0" fillId="0" borderId="10" pivotButton="0" quotePrefix="0" xfId="0"/>
    <xf numFmtId="167" fontId="12" fillId="0" borderId="2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4" pivotButton="0" quotePrefix="0" xfId="0"/>
    <xf numFmtId="164" fontId="8" fillId="0" borderId="4" applyAlignment="1" pivotButton="0" quotePrefix="0" xfId="0">
      <alignment horizontal="center" vertical="center" wrapText="1"/>
    </xf>
    <xf numFmtId="164" fontId="8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" pivotButton="0" quotePrefix="0" xfId="0"/>
    <xf numFmtId="164" fontId="16" fillId="0" borderId="27" applyAlignment="1" pivotButton="0" quotePrefix="0" xfId="0">
      <alignment horizontal="center" vertical="center"/>
    </xf>
    <xf numFmtId="0" fontId="16" fillId="0" borderId="41" applyAlignment="1" pivotButton="0" quotePrefix="0" xfId="0">
      <alignment horizontal="center" vertical="center"/>
    </xf>
    <xf numFmtId="0" fontId="0" fillId="0" borderId="19" pivotButton="0" quotePrefix="0" xfId="0"/>
    <xf numFmtId="168" fontId="16" fillId="0" borderId="20" applyAlignment="1" pivotButton="0" quotePrefix="0" xfId="0">
      <alignment horizontal="left" vertical="center"/>
    </xf>
    <xf numFmtId="168" fontId="16" fillId="0" borderId="28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8" pivotButton="0" quotePrefix="0" xfId="0"/>
    <xf numFmtId="0" fontId="12" fillId="0" borderId="38" applyAlignment="1" pivotButton="0" quotePrefix="0" xfId="0">
      <alignment horizontal="left" vertical="center" wrapText="1"/>
    </xf>
    <xf numFmtId="0" fontId="12" fillId="0" borderId="43" applyAlignment="1" pivotButton="0" quotePrefix="0" xfId="0">
      <alignment horizontal="left" vertical="top"/>
    </xf>
    <xf numFmtId="0" fontId="0" fillId="0" borderId="29" pivotButton="0" quotePrefix="0" xfId="0"/>
    <xf numFmtId="164" fontId="9" fillId="0" borderId="5" applyAlignment="1" pivotButton="0" quotePrefix="0" xfId="0">
      <alignment horizontal="center" vertical="center" wrapText="1"/>
    </xf>
    <xf numFmtId="164" fontId="9" fillId="0" borderId="4" applyAlignment="1" pivotButton="0" quotePrefix="0" xfId="54">
      <alignment horizontal="center" vertical="center" wrapText="1"/>
    </xf>
    <xf numFmtId="164" fontId="8" fillId="0" borderId="5" applyAlignment="1" pivotButton="0" quotePrefix="0" xfId="0">
      <alignment horizontal="center" vertical="center" wrapText="1"/>
    </xf>
    <xf numFmtId="164" fontId="8" fillId="0" borderId="4" applyAlignment="1" pivotButton="0" quotePrefix="0" xfId="54">
      <alignment horizontal="center" vertical="center" wrapText="1"/>
    </xf>
    <xf numFmtId="0" fontId="0" fillId="0" borderId="1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6" xfId="53"/>
    <cellStyle name="常规 7" xfId="54"/>
    <cellStyle name="常规 8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A9" sqref="A9:D9"/>
    </sheetView>
  </sheetViews>
  <sheetFormatPr baseColWidth="8" defaultColWidth="9" defaultRowHeight="14.25"/>
  <cols>
    <col width="5.75" customWidth="1" style="34" min="1" max="1"/>
    <col width="11.75" customWidth="1" style="34" min="2" max="2"/>
    <col width="20.125" customWidth="1" style="34" min="3" max="3"/>
    <col width="20.75" customWidth="1" style="34" min="4" max="4"/>
    <col width="10.875" customWidth="1" style="34" min="5" max="5"/>
    <col width="6.625" customWidth="1" style="34" min="6" max="6"/>
    <col width="7.125" customWidth="1" style="34" min="7" max="7"/>
    <col width="10.125" customWidth="1" style="34" min="8" max="8"/>
    <col width="10.875" customWidth="1" style="34" min="9" max="9"/>
    <col width="13" customWidth="1" style="34" min="10" max="10"/>
    <col width="5.5" customWidth="1" style="34" min="11" max="11"/>
    <col width="9" customWidth="1" style="34" min="12" max="16384"/>
  </cols>
  <sheetData>
    <row r="1"/>
    <row r="2"/>
    <row r="3"/>
    <row r="4"/>
    <row r="5" ht="15" customHeight="1" s="89">
      <c r="I5" s="71" t="inlineStr">
        <is>
          <t>施耐德电气（中国）有限公司</t>
        </is>
      </c>
    </row>
    <row r="6" ht="20.25" customHeight="1" s="89">
      <c r="A6" s="90" t="inlineStr">
        <is>
          <t>客户D项目增补</t>
        </is>
      </c>
      <c r="B6" s="91" t="n"/>
      <c r="C6" s="91" t="n"/>
      <c r="D6" s="91" t="n"/>
      <c r="E6" s="91" t="n"/>
      <c r="F6" s="91" t="n"/>
      <c r="G6" s="91" t="n"/>
      <c r="H6" s="91" t="n"/>
      <c r="I6" s="91" t="n"/>
      <c r="J6" s="92" t="n"/>
    </row>
    <row r="7" ht="18" customHeight="1" s="89">
      <c r="A7" s="93" t="inlineStr">
        <is>
          <t>报价员A</t>
        </is>
      </c>
      <c r="B7" s="94" t="n"/>
      <c r="C7" s="39" t="n"/>
      <c r="D7" s="40" t="n"/>
      <c r="E7" s="40" t="n"/>
      <c r="F7" s="40" t="n"/>
      <c r="G7" s="40" t="n"/>
      <c r="H7" s="95" t="inlineStr">
        <is>
          <t>2025/07/02</t>
        </is>
      </c>
      <c r="I7" s="94" t="n"/>
      <c r="J7" s="96" t="n"/>
    </row>
    <row r="8" ht="18" customHeight="1" s="89">
      <c r="A8" s="42" t="inlineStr">
        <is>
          <t>编号</t>
        </is>
      </c>
      <c r="B8" s="43" t="inlineStr">
        <is>
          <t>产品名称</t>
        </is>
      </c>
      <c r="C8" s="44" t="inlineStr">
        <is>
          <t>设备描述</t>
        </is>
      </c>
      <c r="D8" s="44" t="inlineStr">
        <is>
          <t>柜号</t>
        </is>
      </c>
      <c r="E8" s="43" t="inlineStr">
        <is>
          <t>品牌</t>
        </is>
      </c>
      <c r="F8" s="43" t="inlineStr">
        <is>
          <t>数量</t>
        </is>
      </c>
      <c r="G8" s="43" t="inlineStr">
        <is>
          <t>单位</t>
        </is>
      </c>
      <c r="H8" s="44" t="inlineStr">
        <is>
          <t>单价（元）</t>
        </is>
      </c>
      <c r="I8" s="44" t="inlineStr">
        <is>
          <t>总价（元）</t>
        </is>
      </c>
      <c r="J8" s="74" t="inlineStr">
        <is>
          <t>备注</t>
        </is>
      </c>
    </row>
    <row r="9" ht="18" customHeight="1" s="89">
      <c r="A9" s="46" t="inlineStr">
        <is>
          <t>低压柜</t>
        </is>
      </c>
      <c r="D9" s="97" t="n"/>
      <c r="E9" s="47" t="n"/>
      <c r="F9" s="47" t="n"/>
      <c r="G9" s="47" t="n"/>
      <c r="H9" s="48" t="n"/>
      <c r="I9" s="48" t="n"/>
      <c r="J9" s="75" t="n"/>
    </row>
    <row r="10" ht="20.1" customHeight="1" s="89">
      <c r="A10" s="49" t="inlineStr">
        <is>
          <t>1-1</t>
        </is>
      </c>
      <c r="B10" s="49" t="inlineStr">
        <is>
          <t>BLOKSET</t>
        </is>
      </c>
      <c r="C10" s="50" t="inlineStr">
        <is>
          <t>MCC柜</t>
        </is>
      </c>
      <c r="D10" s="50" t="inlineStr">
        <is>
          <t>出线柜</t>
        </is>
      </c>
      <c r="E10" s="50" t="inlineStr">
        <is>
          <t>施耐德</t>
        </is>
      </c>
      <c r="F10" s="50" t="n">
        <v>1</v>
      </c>
      <c r="G10" s="98" t="inlineStr">
        <is>
          <t>台</t>
        </is>
      </c>
      <c r="H10" s="98">
        <f>ROUND(低压设备清单!J40,0)</f>
        <v/>
      </c>
      <c r="I10" s="99">
        <f>ROUND(F10*H10,0)</f>
        <v/>
      </c>
      <c r="J10" s="77" t="inlineStr"/>
    </row>
    <row r="11" ht="20.1" customHeight="1" s="89">
      <c r="A11" s="49" t="inlineStr">
        <is>
          <t>1-2</t>
        </is>
      </c>
      <c r="B11" s="49" t="inlineStr">
        <is>
          <t>BLOKSET</t>
        </is>
      </c>
      <c r="C11" s="50" t="inlineStr">
        <is>
          <t>MCC柜</t>
        </is>
      </c>
      <c r="D11" s="50" t="inlineStr">
        <is>
          <t>变频柜</t>
        </is>
      </c>
      <c r="E11" s="50" t="inlineStr">
        <is>
          <t>施耐德</t>
        </is>
      </c>
      <c r="F11" s="50" t="n">
        <v>1</v>
      </c>
      <c r="G11" s="98" t="inlineStr">
        <is>
          <t>台</t>
        </is>
      </c>
      <c r="H11" s="98">
        <f>ROUND(低压设备清单!J64,0)</f>
        <v/>
      </c>
      <c r="I11" s="99">
        <f>ROUND(F11*H11,0)</f>
        <v/>
      </c>
      <c r="J11" s="77" t="inlineStr"/>
    </row>
    <row r="12" ht="20.1" customHeight="1" s="89">
      <c r="A12" s="49" t="inlineStr"/>
      <c r="B12" s="49" t="inlineStr"/>
      <c r="C12" s="50" t="n"/>
      <c r="D12" s="50" t="inlineStr">
        <is>
          <t>包装费</t>
        </is>
      </c>
      <c r="E12" s="50" t="inlineStr">
        <is>
          <t>施耐德</t>
        </is>
      </c>
      <c r="F12" s="50" t="n">
        <v>2</v>
      </c>
      <c r="G12" s="98" t="inlineStr">
        <is>
          <t>台</t>
        </is>
      </c>
      <c r="H12" s="98">
        <f>ROUND(100,0)</f>
        <v/>
      </c>
      <c r="I12" s="99">
        <f>ROUND(200,0)</f>
        <v/>
      </c>
      <c r="J12" s="77" t="inlineStr"/>
    </row>
    <row r="13" ht="20.1" customHeight="1" s="89">
      <c r="A13" s="49" t="inlineStr"/>
      <c r="B13" s="49" t="inlineStr"/>
      <c r="C13" s="50" t="inlineStr">
        <is>
          <t>泰州-上海</t>
        </is>
      </c>
      <c r="D13" s="50" t="inlineStr">
        <is>
          <t>运输费</t>
        </is>
      </c>
      <c r="E13" s="50" t="inlineStr">
        <is>
          <t>施耐德</t>
        </is>
      </c>
      <c r="F13" s="50" t="n">
        <v>1</v>
      </c>
      <c r="G13" s="98" t="inlineStr">
        <is>
          <t>套</t>
        </is>
      </c>
      <c r="H13" s="98">
        <f>ROUND(800,0)</f>
        <v/>
      </c>
      <c r="I13" s="99">
        <f>ROUND(800,0)</f>
        <v/>
      </c>
      <c r="J13" s="77" t="inlineStr"/>
    </row>
    <row r="14" ht="20.1" customHeight="1" s="89">
      <c r="A14" s="50" t="n"/>
      <c r="B14" s="49" t="inlineStr">
        <is>
          <t>小计</t>
        </is>
      </c>
      <c r="C14" s="100" t="n"/>
      <c r="D14" s="100" t="n"/>
      <c r="E14" s="101" t="n"/>
      <c r="F14" s="55" t="n">
        <v>18</v>
      </c>
      <c r="G14" s="50" t="inlineStr">
        <is>
          <t>台</t>
        </is>
      </c>
      <c r="H14" s="56" t="n"/>
      <c r="I14" s="102">
        <f>ROUND(SUM(I10:I13),2)</f>
        <v/>
      </c>
      <c r="J14" s="79" t="n"/>
    </row>
    <row r="15" ht="18" customHeight="1" s="89">
      <c r="A15" s="103">
        <f>CONCATENATE("总金额:",TEXT(I14,"0"),"元")</f>
        <v/>
      </c>
      <c r="B15" s="104" t="n"/>
      <c r="C15" s="59" t="n"/>
      <c r="D15" s="105" t="inlineStr"/>
      <c r="E15" s="106" t="inlineStr"/>
      <c r="F15" s="107" t="n"/>
      <c r="G15" s="107" t="n"/>
      <c r="H15" s="107" t="n"/>
      <c r="I15" s="107" t="n"/>
      <c r="J15" s="108" t="n"/>
    </row>
    <row r="16" ht="109.5" customHeight="1" s="89">
      <c r="A16" s="109" t="inlineStr">
        <is>
          <t>1、包含13%增值税，有效期30天；
2、低压柜采用施耐德授权Blokset柜，柜型选用抽屉柜；                   
3、铜排按照裸铜排报价；
4、塑壳断路器选用NSX，分断能力50KA，400A以下选用热磁式，400A及以上选用电子式；
5、仪表选用施耐德PM4101；               
6、变频器选用施耐德ATV930系列，按重载选型报价，配备Du/Dt滤波器。</t>
        </is>
      </c>
      <c r="B16" s="91" t="n"/>
      <c r="C16" s="91" t="n"/>
      <c r="D16" s="91" t="n"/>
      <c r="E16" s="91" t="n"/>
      <c r="F16" s="91" t="n"/>
      <c r="G16" s="91" t="n"/>
      <c r="H16" s="91" t="n"/>
      <c r="I16" s="91" t="n"/>
      <c r="J16" s="92" t="n"/>
    </row>
    <row r="17" ht="16.5" customHeight="1" s="89">
      <c r="A17" s="110" t="n"/>
      <c r="J17" s="111" t="n"/>
    </row>
    <row r="18" ht="23.1" customHeight="1" s="89">
      <c r="A18" s="65" t="inlineStr">
        <is>
          <t>销售负责人：宋楠</t>
        </is>
      </c>
      <c r="F18" s="67" t="inlineStr">
        <is>
          <t>联系方式：13800000000</t>
        </is>
      </c>
      <c r="I18" s="83" t="n"/>
      <c r="J18" s="84" t="n"/>
      <c r="K18" s="85" t="n"/>
    </row>
    <row r="19" ht="22.5" customHeight="1" s="89">
      <c r="A19" s="68" t="inlineStr">
        <is>
          <t>某成套设备有限公司</t>
        </is>
      </c>
      <c r="B19" s="94" t="n"/>
      <c r="C19" s="94" t="n"/>
      <c r="D19" s="94" t="n"/>
      <c r="E19" s="94" t="n"/>
      <c r="F19" s="70" t="inlineStr">
        <is>
          <t>电话：0512-65790366</t>
        </is>
      </c>
      <c r="G19" s="94" t="n"/>
      <c r="H19" s="94" t="n"/>
      <c r="I19" s="87" t="n"/>
      <c r="J19" s="96" t="n"/>
      <c r="K19" s="88" t="n"/>
    </row>
  </sheetData>
  <mergeCells count="14">
    <mergeCell ref="A9:D9"/>
    <mergeCell ref="A15:B15"/>
    <mergeCell ref="A7:B7"/>
    <mergeCell ref="A6:J6"/>
    <mergeCell ref="F18:H18"/>
    <mergeCell ref="A17:J17"/>
    <mergeCell ref="F19:H19"/>
    <mergeCell ref="A19:E19"/>
    <mergeCell ref="I19:J19"/>
    <mergeCell ref="A16:J16"/>
    <mergeCell ref="B14:E14"/>
    <mergeCell ref="A18:E18"/>
    <mergeCell ref="H7:J7"/>
    <mergeCell ref="E15:J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C20" sqref="C20:C21"/>
    </sheetView>
  </sheetViews>
  <sheetFormatPr baseColWidth="8" defaultColWidth="8.75" defaultRowHeight="18" customHeight="1"/>
  <cols>
    <col width="12.25" customWidth="1" style="14" min="1" max="1"/>
    <col width="24.5" customWidth="1" style="14" min="2" max="2"/>
    <col width="62.625" customWidth="1" style="14" min="3" max="3"/>
    <col width="10.5" customWidth="1" style="14" min="4" max="4"/>
    <col width="8.75" customWidth="1" style="14" min="5" max="6"/>
    <col width="9.625" customWidth="1" style="14" min="7" max="7"/>
    <col width="8.75" customWidth="1" style="14" min="8" max="8"/>
    <col width="9.625" customWidth="1" style="14" min="9" max="10"/>
    <col width="8.75" customWidth="1" style="14" min="11" max="11"/>
    <col width="5" customWidth="1" style="14" min="12" max="12"/>
    <col width="12.75" customWidth="1" style="14" min="13" max="13"/>
    <col width="8.75" customWidth="1" style="14" min="14" max="16384"/>
  </cols>
  <sheetData>
    <row r="1" s="89">
      <c r="A1" s="15" t="inlineStr">
        <is>
          <t>设备清单</t>
        </is>
      </c>
      <c r="L1" s="30" t="n"/>
    </row>
    <row r="2" s="89">
      <c r="A2" s="16" t="inlineStr">
        <is>
          <t>设备名称:</t>
        </is>
      </c>
      <c r="B2" s="17" t="inlineStr">
        <is>
          <t>出线柜</t>
        </is>
      </c>
      <c r="C2" s="101" t="n"/>
      <c r="D2" s="17" t="inlineStr">
        <is>
          <t>BLOKSET</t>
        </is>
      </c>
      <c r="E2" s="17" t="n">
        <v>1</v>
      </c>
      <c r="F2" s="17" t="inlineStr">
        <is>
          <t>台</t>
        </is>
      </c>
      <c r="G2" s="17" t="n"/>
      <c r="H2" s="17" t="n"/>
      <c r="I2" s="17" t="n"/>
      <c r="J2" s="17" t="n"/>
      <c r="K2" s="31" t="n"/>
    </row>
    <row r="3" s="89">
      <c r="A3" s="18" t="inlineStr">
        <is>
          <t>序号</t>
        </is>
      </c>
      <c r="B3" s="50" t="inlineStr">
        <is>
          <t>元件名称</t>
        </is>
      </c>
      <c r="C3" s="50" t="inlineStr">
        <is>
          <t>元件规格及型号</t>
        </is>
      </c>
      <c r="D3" s="50" t="inlineStr">
        <is>
          <t>生产厂家</t>
        </is>
      </c>
      <c r="E3" s="18" t="inlineStr">
        <is>
          <t>数量</t>
        </is>
      </c>
      <c r="F3" s="18" t="inlineStr">
        <is>
          <t>单位</t>
        </is>
      </c>
      <c r="G3" s="18" t="inlineStr">
        <is>
          <t>面价</t>
        </is>
      </c>
      <c r="H3" s="18" t="inlineStr">
        <is>
          <t>折扣</t>
        </is>
      </c>
      <c r="I3" s="18" t="inlineStr">
        <is>
          <t>单价</t>
        </is>
      </c>
      <c r="J3" s="18" t="inlineStr">
        <is>
          <t>总价</t>
        </is>
      </c>
      <c r="K3" s="18" t="inlineStr">
        <is>
          <t>备注</t>
        </is>
      </c>
    </row>
    <row r="4" s="89">
      <c r="A4" s="18" t="n">
        <v>1</v>
      </c>
      <c r="B4" s="20" t="inlineStr">
        <is>
          <t>交流塑壳断路器</t>
        </is>
      </c>
      <c r="C4" s="20" t="inlineStr">
        <is>
          <t>NSX100N MA 2.5 3P3D F</t>
        </is>
      </c>
      <c r="D4" s="21" t="inlineStr">
        <is>
          <t>施耐德甲供</t>
        </is>
      </c>
      <c r="E4" s="22" t="n">
        <v>3</v>
      </c>
      <c r="F4" s="23" t="inlineStr">
        <is>
          <t>只</t>
        </is>
      </c>
      <c r="G4" s="112">
        <f>ROUND(0,2)</f>
        <v/>
      </c>
      <c r="H4" s="25" t="n">
        <v>1</v>
      </c>
      <c r="I4" s="113">
        <f>ROUND(G4*1*H4,2)</f>
        <v/>
      </c>
      <c r="J4" s="113">
        <f>ROUND(E4*I4,2)</f>
        <v/>
      </c>
      <c r="K4" s="18" t="n"/>
    </row>
    <row r="5" s="89">
      <c r="A5" s="18" t="n">
        <v>2</v>
      </c>
      <c r="B5" s="20" t="inlineStr">
        <is>
          <t>交流塑壳断路器</t>
        </is>
      </c>
      <c r="C5" s="20" t="inlineStr">
        <is>
          <t>NSX100N MA 6.3 3P3D F</t>
        </is>
      </c>
      <c r="D5" s="21" t="inlineStr">
        <is>
          <t>施耐德甲供</t>
        </is>
      </c>
      <c r="E5" s="22" t="n">
        <v>2</v>
      </c>
      <c r="F5" s="23" t="inlineStr">
        <is>
          <t>只</t>
        </is>
      </c>
      <c r="G5" s="112">
        <f>ROUND(0,2)</f>
        <v/>
      </c>
      <c r="H5" s="25" t="n">
        <v>1</v>
      </c>
      <c r="I5" s="113">
        <f>ROUND(G5*1*H5,2)</f>
        <v/>
      </c>
      <c r="J5" s="113">
        <f>ROUND(E5*I5,2)</f>
        <v/>
      </c>
      <c r="K5" s="18" t="n"/>
    </row>
    <row r="6" s="89">
      <c r="A6" s="18" t="n">
        <v>3</v>
      </c>
      <c r="B6" s="20" t="inlineStr">
        <is>
          <t>交流塑壳断路器</t>
        </is>
      </c>
      <c r="C6" s="20" t="inlineStr">
        <is>
          <t>NSX100N MA 12.5 3P3D F</t>
        </is>
      </c>
      <c r="D6" s="21" t="inlineStr">
        <is>
          <t>施耐德甲供</t>
        </is>
      </c>
      <c r="E6" s="22" t="n">
        <v>2</v>
      </c>
      <c r="F6" s="23" t="inlineStr">
        <is>
          <t>只</t>
        </is>
      </c>
      <c r="G6" s="112">
        <f>ROUND(0,2)</f>
        <v/>
      </c>
      <c r="H6" s="25" t="n">
        <v>1</v>
      </c>
      <c r="I6" s="113">
        <f>ROUND(G6*1*H6,2)</f>
        <v/>
      </c>
      <c r="J6" s="113">
        <f>ROUND(E6*I6,2)</f>
        <v/>
      </c>
      <c r="K6" s="18" t="n"/>
    </row>
    <row r="7" s="89">
      <c r="A7" s="18" t="n">
        <v>4</v>
      </c>
      <c r="B7" s="20" t="inlineStr">
        <is>
          <t>交流塑壳断路器</t>
        </is>
      </c>
      <c r="C7" s="20" t="inlineStr">
        <is>
          <t>NSX100N MA 25 3P3D F</t>
        </is>
      </c>
      <c r="D7" s="21" t="inlineStr">
        <is>
          <t>施耐德甲供</t>
        </is>
      </c>
      <c r="E7" s="22" t="n">
        <v>1</v>
      </c>
      <c r="F7" s="23" t="inlineStr">
        <is>
          <t>只</t>
        </is>
      </c>
      <c r="G7" s="112">
        <f>ROUND(0,2)</f>
        <v/>
      </c>
      <c r="H7" s="25" t="n">
        <v>1</v>
      </c>
      <c r="I7" s="113">
        <f>ROUND(G7*1*H7,2)</f>
        <v/>
      </c>
      <c r="J7" s="113">
        <f>ROUND(E7*I7,2)</f>
        <v/>
      </c>
      <c r="K7" s="18" t="n"/>
    </row>
    <row r="8" s="89">
      <c r="A8" s="18" t="n">
        <v>5</v>
      </c>
      <c r="B8" s="20" t="inlineStr">
        <is>
          <t>交流塑壳断路器</t>
        </is>
      </c>
      <c r="C8" s="20" t="inlineStr">
        <is>
          <t>NSX100N TMD 25 3P3D F</t>
        </is>
      </c>
      <c r="D8" s="21" t="inlineStr">
        <is>
          <t>施耐德甲供</t>
        </is>
      </c>
      <c r="E8" s="22" t="n">
        <v>2</v>
      </c>
      <c r="F8" s="23" t="inlineStr">
        <is>
          <t>只</t>
        </is>
      </c>
      <c r="G8" s="112">
        <f>ROUND(0,2)</f>
        <v/>
      </c>
      <c r="H8" s="25" t="n">
        <v>1</v>
      </c>
      <c r="I8" s="113">
        <f>ROUND(G8*1*H8,2)</f>
        <v/>
      </c>
      <c r="J8" s="113">
        <f>ROUND(E8*I8,2)</f>
        <v/>
      </c>
      <c r="K8" s="18" t="n"/>
    </row>
    <row r="9" s="89">
      <c r="A9" s="18" t="n">
        <v>6</v>
      </c>
      <c r="B9" s="20" t="inlineStr">
        <is>
          <t>交流塑壳断路器</t>
        </is>
      </c>
      <c r="C9" s="20" t="inlineStr">
        <is>
          <t>NSX100N TMD 40 3P3D F</t>
        </is>
      </c>
      <c r="D9" s="21" t="inlineStr">
        <is>
          <t>施耐德甲供</t>
        </is>
      </c>
      <c r="E9" s="22" t="n">
        <v>2</v>
      </c>
      <c r="F9" s="23" t="inlineStr">
        <is>
          <t>只</t>
        </is>
      </c>
      <c r="G9" s="112">
        <f>ROUND(0,2)</f>
        <v/>
      </c>
      <c r="H9" s="25" t="n">
        <v>1</v>
      </c>
      <c r="I9" s="113">
        <f>ROUND(G9*1*H9,2)</f>
        <v/>
      </c>
      <c r="J9" s="113">
        <f>ROUND(E9*I9,2)</f>
        <v/>
      </c>
      <c r="K9" s="18" t="n"/>
    </row>
    <row r="10" s="89">
      <c r="A10" s="18" t="n">
        <v>7</v>
      </c>
      <c r="B10" s="20" t="inlineStr">
        <is>
          <t>交流塑壳断路器</t>
        </is>
      </c>
      <c r="C10" s="20" t="inlineStr">
        <is>
          <t>NSX100N TMD 50 3P3D F</t>
        </is>
      </c>
      <c r="D10" s="21" t="inlineStr">
        <is>
          <t>施耐德甲供</t>
        </is>
      </c>
      <c r="E10" s="22" t="n">
        <v>1</v>
      </c>
      <c r="F10" s="23" t="inlineStr">
        <is>
          <t>只</t>
        </is>
      </c>
      <c r="G10" s="112">
        <f>ROUND(0,2)</f>
        <v/>
      </c>
      <c r="H10" s="25" t="n">
        <v>1</v>
      </c>
      <c r="I10" s="113">
        <f>ROUND(G10*1*H10,2)</f>
        <v/>
      </c>
      <c r="J10" s="113">
        <f>ROUND(E10*I10,2)</f>
        <v/>
      </c>
      <c r="K10" s="18" t="n"/>
    </row>
    <row r="11" s="89">
      <c r="A11" s="18" t="n">
        <v>8</v>
      </c>
      <c r="B11" s="20" t="inlineStr">
        <is>
          <t>手柄</t>
        </is>
      </c>
      <c r="C11" s="20" t="inlineStr">
        <is>
          <t>NSX100~250标准延伸旋转手柄</t>
        </is>
      </c>
      <c r="D11" s="21" t="inlineStr">
        <is>
          <t>施耐德甲供</t>
        </is>
      </c>
      <c r="E11" s="22" t="n">
        <v>12</v>
      </c>
      <c r="F11" s="23" t="inlineStr">
        <is>
          <t>只</t>
        </is>
      </c>
      <c r="G11" s="112">
        <f>ROUND(0,2)</f>
        <v/>
      </c>
      <c r="H11" s="25" t="n">
        <v>1</v>
      </c>
      <c r="I11" s="113">
        <f>ROUND(G11*1*H11,2)</f>
        <v/>
      </c>
      <c r="J11" s="113">
        <f>ROUND(E11*I11,2)</f>
        <v/>
      </c>
      <c r="K11" s="18" t="n"/>
    </row>
    <row r="12" s="89">
      <c r="A12" s="18" t="n">
        <v>9</v>
      </c>
      <c r="B12" s="20" t="inlineStr">
        <is>
          <t>辅助触点（NSX）</t>
        </is>
      </c>
      <c r="C12" s="20" t="inlineStr">
        <is>
          <t>OF</t>
        </is>
      </c>
      <c r="D12" s="21" t="inlineStr">
        <is>
          <t>施耐德甲供</t>
        </is>
      </c>
      <c r="E12" s="22" t="n">
        <v>24</v>
      </c>
      <c r="F12" s="23" t="inlineStr">
        <is>
          <t>只</t>
        </is>
      </c>
      <c r="G12" s="112">
        <f>ROUND(0,2)</f>
        <v/>
      </c>
      <c r="H12" s="25" t="n">
        <v>1</v>
      </c>
      <c r="I12" s="113">
        <f>ROUND(G12*1*H12,2)</f>
        <v/>
      </c>
      <c r="J12" s="113">
        <f>ROUND(E12*I12,2)</f>
        <v/>
      </c>
      <c r="K12" s="18" t="n"/>
    </row>
    <row r="13" s="89">
      <c r="A13" s="18" t="n">
        <v>10</v>
      </c>
      <c r="B13" s="20" t="inlineStr">
        <is>
          <t>MX分励脱扣器</t>
        </is>
      </c>
      <c r="C13" s="20" t="inlineStr">
        <is>
          <t>MX分励AC220-240V/208-277V/100-630A</t>
        </is>
      </c>
      <c r="D13" s="21" t="inlineStr">
        <is>
          <t>施耐德甲供</t>
        </is>
      </c>
      <c r="E13" s="22" t="n">
        <v>12</v>
      </c>
      <c r="F13" s="23" t="inlineStr">
        <is>
          <t>只</t>
        </is>
      </c>
      <c r="G13" s="112">
        <f>ROUND(0,2)</f>
        <v/>
      </c>
      <c r="H13" s="25" t="n">
        <v>1</v>
      </c>
      <c r="I13" s="113">
        <f>ROUND(G13*1*H13,2)</f>
        <v/>
      </c>
      <c r="J13" s="113">
        <f>ROUND(E13*I13,2)</f>
        <v/>
      </c>
      <c r="K13" s="18" t="n"/>
    </row>
    <row r="14" s="89">
      <c r="A14" s="18" t="n">
        <v>11</v>
      </c>
      <c r="B14" s="26" t="inlineStr">
        <is>
          <t>电流互感器</t>
        </is>
      </c>
      <c r="C14" s="26" t="inlineStr">
        <is>
          <t>BH-0.66/40I 5~600/5A</t>
        </is>
      </c>
      <c r="D14" s="27" t="inlineStr">
        <is>
          <t>鼎浩</t>
        </is>
      </c>
      <c r="E14" s="50" t="n">
        <v>15</v>
      </c>
      <c r="F14" s="18" t="inlineStr">
        <is>
          <t>只</t>
        </is>
      </c>
      <c r="G14" s="114">
        <f>ROUND(18,2)</f>
        <v/>
      </c>
      <c r="H14" s="29" t="n">
        <v>1</v>
      </c>
      <c r="I14" s="115">
        <f>ROUND(G14*1*H14,2)</f>
        <v/>
      </c>
      <c r="J14" s="115">
        <f>ROUND(E14*I14,2)</f>
        <v/>
      </c>
      <c r="K14" s="18" t="n"/>
    </row>
    <row r="15" s="89">
      <c r="A15" s="18" t="n">
        <v>12</v>
      </c>
      <c r="B15" s="20" t="inlineStr">
        <is>
          <t>多功能表</t>
        </is>
      </c>
      <c r="C15" s="20" t="inlineStr">
        <is>
          <t>PM4101</t>
        </is>
      </c>
      <c r="D15" s="21" t="inlineStr">
        <is>
          <t>施耐德甲供</t>
        </is>
      </c>
      <c r="E15" s="22" t="n">
        <v>5</v>
      </c>
      <c r="F15" s="23" t="inlineStr">
        <is>
          <t>只</t>
        </is>
      </c>
      <c r="G15" s="112">
        <f>ROUND(0,2)</f>
        <v/>
      </c>
      <c r="H15" s="25" t="n">
        <v>1</v>
      </c>
      <c r="I15" s="113">
        <f>ROUND(G15*1*H15,2)</f>
        <v/>
      </c>
      <c r="J15" s="113">
        <f>ROUND(E15*I15,2)</f>
        <v/>
      </c>
      <c r="K15" s="18" t="n"/>
    </row>
    <row r="16" s="89">
      <c r="A16" s="18" t="n">
        <v>13</v>
      </c>
      <c r="B16" s="26" t="inlineStr">
        <is>
          <t>指示灯</t>
        </is>
      </c>
      <c r="C16" s="26" t="inlineStr">
        <is>
          <t>XA2EVM3LC</t>
        </is>
      </c>
      <c r="D16" s="27" t="inlineStr">
        <is>
          <t>施耐德电气</t>
        </is>
      </c>
      <c r="E16" s="50" t="n">
        <v>12</v>
      </c>
      <c r="F16" s="18" t="inlineStr">
        <is>
          <t>只</t>
        </is>
      </c>
      <c r="G16" s="114">
        <f>ROUND(15.96,2)</f>
        <v/>
      </c>
      <c r="H16" s="29" t="n">
        <v>0.5</v>
      </c>
      <c r="I16" s="115">
        <f>ROUND(G16*1*H16,2)</f>
        <v/>
      </c>
      <c r="J16" s="115">
        <f>ROUND(E16*I16,2)</f>
        <v/>
      </c>
      <c r="K16" s="18" t="n"/>
    </row>
    <row r="17" s="89">
      <c r="A17" s="18" t="n">
        <v>14</v>
      </c>
      <c r="B17" s="26" t="inlineStr">
        <is>
          <t>指示灯</t>
        </is>
      </c>
      <c r="C17" s="26" t="inlineStr">
        <is>
          <t>XA2EVM4LC</t>
        </is>
      </c>
      <c r="D17" s="27" t="inlineStr">
        <is>
          <t>施耐德电气</t>
        </is>
      </c>
      <c r="E17" s="50" t="n">
        <v>12</v>
      </c>
      <c r="F17" s="18" t="inlineStr">
        <is>
          <t>只</t>
        </is>
      </c>
      <c r="G17" s="114">
        <f>ROUND(15.96,2)</f>
        <v/>
      </c>
      <c r="H17" s="29" t="n">
        <v>0.5</v>
      </c>
      <c r="I17" s="115">
        <f>ROUND(G17*1*H17,2)</f>
        <v/>
      </c>
      <c r="J17" s="115">
        <f>ROUND(E17*I17,2)</f>
        <v/>
      </c>
      <c r="K17" s="18" t="n"/>
    </row>
    <row r="18" s="89">
      <c r="A18" s="18" t="n">
        <v>15</v>
      </c>
      <c r="B18" s="20" t="inlineStr">
        <is>
          <t>交流接触器</t>
        </is>
      </c>
      <c r="C18" s="20" t="inlineStr">
        <is>
          <t>LC1D09B7C</t>
        </is>
      </c>
      <c r="D18" s="21" t="inlineStr">
        <is>
          <t>施耐德甲供</t>
        </is>
      </c>
      <c r="E18" s="22" t="n">
        <v>3</v>
      </c>
      <c r="F18" s="23" t="inlineStr">
        <is>
          <t>只</t>
        </is>
      </c>
      <c r="G18" s="112">
        <f>ROUND(0,2)</f>
        <v/>
      </c>
      <c r="H18" s="25" t="n">
        <v>1</v>
      </c>
      <c r="I18" s="113">
        <f>ROUND(G18*1*H18,2)</f>
        <v/>
      </c>
      <c r="J18" s="113">
        <f>ROUND(E18*I18,2)</f>
        <v/>
      </c>
      <c r="K18" s="18" t="n"/>
    </row>
    <row r="19" s="89">
      <c r="A19" s="18" t="n">
        <v>16</v>
      </c>
      <c r="B19" s="20" t="inlineStr">
        <is>
          <t>交流接触器</t>
        </is>
      </c>
      <c r="C19" s="20" t="inlineStr">
        <is>
          <t>LC1D12B7C</t>
        </is>
      </c>
      <c r="D19" s="21" t="inlineStr">
        <is>
          <t>施耐德甲供</t>
        </is>
      </c>
      <c r="E19" s="22" t="n">
        <v>2</v>
      </c>
      <c r="F19" s="23" t="inlineStr">
        <is>
          <t>只</t>
        </is>
      </c>
      <c r="G19" s="112">
        <f>ROUND(0,2)</f>
        <v/>
      </c>
      <c r="H19" s="25" t="n">
        <v>1</v>
      </c>
      <c r="I19" s="113">
        <f>ROUND(G19*1*H19,2)</f>
        <v/>
      </c>
      <c r="J19" s="113">
        <f>ROUND(E19*I19,2)</f>
        <v/>
      </c>
      <c r="K19" s="18" t="n"/>
    </row>
    <row r="20" s="89">
      <c r="A20" s="18" t="n">
        <v>17</v>
      </c>
      <c r="B20" s="20" t="inlineStr">
        <is>
          <t>交流接触器</t>
        </is>
      </c>
      <c r="C20" s="20" t="inlineStr">
        <is>
          <t>LC1D40AB7C</t>
        </is>
      </c>
      <c r="D20" s="21" t="inlineStr">
        <is>
          <t>施耐德甲供</t>
        </is>
      </c>
      <c r="E20" s="22" t="n">
        <v>3</v>
      </c>
      <c r="F20" s="23" t="inlineStr">
        <is>
          <t>只</t>
        </is>
      </c>
      <c r="G20" s="112">
        <f>ROUND(0,2)</f>
        <v/>
      </c>
      <c r="H20" s="25" t="n">
        <v>1</v>
      </c>
      <c r="I20" s="113">
        <f>ROUND(G20*1*H20,2)</f>
        <v/>
      </c>
      <c r="J20" s="113">
        <f>ROUND(E20*I20,2)</f>
        <v/>
      </c>
      <c r="K20" s="18" t="n"/>
    </row>
    <row r="21" s="89">
      <c r="A21" s="18" t="n">
        <v>18</v>
      </c>
      <c r="B21" s="20" t="inlineStr">
        <is>
          <t>热过载继电器</t>
        </is>
      </c>
      <c r="C21" s="20" t="inlineStr">
        <is>
          <t>LRD07C</t>
        </is>
      </c>
      <c r="D21" s="21" t="inlineStr">
        <is>
          <t>施耐德甲供</t>
        </is>
      </c>
      <c r="E21" s="22" t="n">
        <v>3</v>
      </c>
      <c r="F21" s="23" t="inlineStr">
        <is>
          <t>只</t>
        </is>
      </c>
      <c r="G21" s="112">
        <f>ROUND(0,2)</f>
        <v/>
      </c>
      <c r="H21" s="25" t="n">
        <v>1</v>
      </c>
      <c r="I21" s="113">
        <f>ROUND(G21*1*H21,2)</f>
        <v/>
      </c>
      <c r="J21" s="113">
        <f>ROUND(E21*I21,2)</f>
        <v/>
      </c>
      <c r="K21" s="18" t="n"/>
    </row>
    <row r="22" s="89">
      <c r="A22" s="18" t="n">
        <v>19</v>
      </c>
      <c r="B22" s="20" t="inlineStr">
        <is>
          <t>热过载继电器</t>
        </is>
      </c>
      <c r="C22" s="20" t="inlineStr">
        <is>
          <t>LRD08C</t>
        </is>
      </c>
      <c r="D22" s="21" t="inlineStr">
        <is>
          <t>施耐德甲供</t>
        </is>
      </c>
      <c r="E22" s="22" t="n">
        <v>2</v>
      </c>
      <c r="F22" s="23" t="inlineStr">
        <is>
          <t>只</t>
        </is>
      </c>
      <c r="G22" s="112">
        <f>ROUND(0,2)</f>
        <v/>
      </c>
      <c r="H22" s="25" t="n">
        <v>1</v>
      </c>
      <c r="I22" s="113">
        <f>ROUND(G22*1*H22,2)</f>
        <v/>
      </c>
      <c r="J22" s="113">
        <f>ROUND(E22*I22,2)</f>
        <v/>
      </c>
      <c r="K22" s="18" t="n"/>
    </row>
    <row r="23" s="89">
      <c r="A23" s="18" t="n">
        <v>20</v>
      </c>
      <c r="B23" s="20" t="inlineStr">
        <is>
          <t>热过载继电器</t>
        </is>
      </c>
      <c r="C23" s="20" t="inlineStr">
        <is>
          <t>LRD14C</t>
        </is>
      </c>
      <c r="D23" s="21" t="inlineStr">
        <is>
          <t>施耐德甲供</t>
        </is>
      </c>
      <c r="E23" s="22" t="n">
        <v>2</v>
      </c>
      <c r="F23" s="23" t="inlineStr">
        <is>
          <t>只</t>
        </is>
      </c>
      <c r="G23" s="112">
        <f>ROUND(0,2)</f>
        <v/>
      </c>
      <c r="H23" s="25" t="n">
        <v>1</v>
      </c>
      <c r="I23" s="113">
        <f>ROUND(G23*1*H23,2)</f>
        <v/>
      </c>
      <c r="J23" s="113">
        <f>ROUND(E23*I23,2)</f>
        <v/>
      </c>
      <c r="K23" s="18" t="n"/>
    </row>
    <row r="24" s="89">
      <c r="A24" s="18" t="n">
        <v>21</v>
      </c>
      <c r="B24" s="20" t="inlineStr">
        <is>
          <t>热过载继电器</t>
        </is>
      </c>
      <c r="C24" s="20" t="inlineStr">
        <is>
          <t>LRD325C</t>
        </is>
      </c>
      <c r="D24" s="21" t="inlineStr">
        <is>
          <t>施耐德甲供</t>
        </is>
      </c>
      <c r="E24" s="22" t="n">
        <v>1</v>
      </c>
      <c r="F24" s="23" t="inlineStr">
        <is>
          <t>只</t>
        </is>
      </c>
      <c r="G24" s="112">
        <f>ROUND(0,2)</f>
        <v/>
      </c>
      <c r="H24" s="25" t="n">
        <v>1</v>
      </c>
      <c r="I24" s="113">
        <f>ROUND(G24*1*H24,2)</f>
        <v/>
      </c>
      <c r="J24" s="113">
        <f>ROUND(E24*I24,2)</f>
        <v/>
      </c>
      <c r="K24" s="18" t="n"/>
    </row>
    <row r="25" s="89">
      <c r="A25" s="18" t="n">
        <v>22</v>
      </c>
      <c r="B25" s="26" t="inlineStr">
        <is>
          <t>控制变压器</t>
        </is>
      </c>
      <c r="C25" s="26" t="inlineStr">
        <is>
          <t>JBK3-63VA 380/24</t>
        </is>
      </c>
      <c r="D25" s="27" t="inlineStr">
        <is>
          <t>正泰电器</t>
        </is>
      </c>
      <c r="E25" s="50" t="n">
        <v>8</v>
      </c>
      <c r="F25" s="18" t="inlineStr">
        <is>
          <t>只</t>
        </is>
      </c>
      <c r="G25" s="114">
        <f>ROUND(143,2)</f>
        <v/>
      </c>
      <c r="H25" s="29" t="n">
        <v>0.5</v>
      </c>
      <c r="I25" s="115">
        <f>ROUND(G25*1*H25,2)</f>
        <v/>
      </c>
      <c r="J25" s="115">
        <f>ROUND(E25*I25,2)</f>
        <v/>
      </c>
      <c r="K25" s="18" t="n"/>
    </row>
    <row r="26" s="89">
      <c r="A26" s="18" t="n">
        <v>23</v>
      </c>
      <c r="B26" s="26" t="inlineStr">
        <is>
          <t>熔断器</t>
        </is>
      </c>
      <c r="C26" s="26" t="inlineStr">
        <is>
          <t>UK5-HESI</t>
        </is>
      </c>
      <c r="D26" s="27" t="inlineStr">
        <is>
          <t>菲尼克斯</t>
        </is>
      </c>
      <c r="E26" s="50" t="n">
        <v>48</v>
      </c>
      <c r="F26" s="18" t="inlineStr">
        <is>
          <t>只</t>
        </is>
      </c>
      <c r="G26" s="114">
        <f>ROUND(7,2)</f>
        <v/>
      </c>
      <c r="H26" s="29" t="n">
        <v>1</v>
      </c>
      <c r="I26" s="115">
        <f>ROUND(G26*1*H26,2)</f>
        <v/>
      </c>
      <c r="J26" s="115">
        <f>ROUND(E26*I26,2)</f>
        <v/>
      </c>
      <c r="K26" s="18" t="n"/>
    </row>
    <row r="27" s="89">
      <c r="A27" s="18" t="n">
        <v>24</v>
      </c>
      <c r="B27" s="26" t="inlineStr">
        <is>
          <t>中间继电器</t>
        </is>
      </c>
      <c r="C27" s="26" t="inlineStr">
        <is>
          <t>REL-IR-BL/L-24DC/2x21</t>
        </is>
      </c>
      <c r="D27" s="27" t="inlineStr">
        <is>
          <t>菲尼克斯</t>
        </is>
      </c>
      <c r="E27" s="50" t="n">
        <v>12</v>
      </c>
      <c r="F27" s="18" t="inlineStr">
        <is>
          <t>只</t>
        </is>
      </c>
      <c r="G27" s="114">
        <f>ROUND(13.6,2)</f>
        <v/>
      </c>
      <c r="H27" s="29" t="n">
        <v>1</v>
      </c>
      <c r="I27" s="115">
        <f>ROUND(G27*1*H27,2)</f>
        <v/>
      </c>
      <c r="J27" s="115">
        <f>ROUND(E27*I27,2)</f>
        <v/>
      </c>
      <c r="K27" s="18" t="n"/>
    </row>
    <row r="28" s="89">
      <c r="A28" s="18" t="n">
        <v>25</v>
      </c>
      <c r="B28" s="26" t="inlineStr">
        <is>
          <t>继电器座</t>
        </is>
      </c>
      <c r="C28" s="26" t="inlineStr">
        <is>
          <t>ECOR-2-BSC2-RT/2x21</t>
        </is>
      </c>
      <c r="D28" s="27" t="inlineStr">
        <is>
          <t>菲尼克斯</t>
        </is>
      </c>
      <c r="E28" s="50" t="n">
        <v>12</v>
      </c>
      <c r="F28" s="18" t="inlineStr">
        <is>
          <t>只</t>
        </is>
      </c>
      <c r="G28" s="114">
        <f>ROUND(6.2,2)</f>
        <v/>
      </c>
      <c r="H28" s="29" t="n">
        <v>1</v>
      </c>
      <c r="I28" s="115">
        <f>ROUND(G28*1*H28,2)</f>
        <v/>
      </c>
      <c r="J28" s="115">
        <f>ROUND(E28*I28,2)</f>
        <v/>
      </c>
      <c r="K28" s="18" t="n"/>
    </row>
    <row r="29" s="89">
      <c r="A29" s="18" t="n">
        <v>26</v>
      </c>
      <c r="B29" s="26" t="inlineStr">
        <is>
          <t>水平铜排</t>
        </is>
      </c>
      <c r="C29" s="26" t="inlineStr">
        <is>
          <t>TMY 4*(60*5)+50*5</t>
        </is>
      </c>
      <c r="D29" s="27" t="inlineStr">
        <is>
          <t>国产优质</t>
        </is>
      </c>
      <c r="E29" s="50" t="n">
        <v>1.1</v>
      </c>
      <c r="F29" s="18" t="inlineStr">
        <is>
          <t>米</t>
        </is>
      </c>
      <c r="G29" s="114">
        <f>ROUND(1079.180625,2)</f>
        <v/>
      </c>
      <c r="H29" s="29" t="n">
        <v>1</v>
      </c>
      <c r="I29" s="115">
        <f>ROUND(G29*1*H29,2)</f>
        <v/>
      </c>
      <c r="J29" s="115">
        <f>ROUND(E29*I29,2)</f>
        <v/>
      </c>
      <c r="K29" s="18" t="n"/>
    </row>
    <row r="30" s="89">
      <c r="A30" s="18" t="n">
        <v>27</v>
      </c>
      <c r="B30" s="26" t="inlineStr">
        <is>
          <t>垂直排</t>
        </is>
      </c>
      <c r="C30" s="26" t="inlineStr">
        <is>
          <t>TMY 40*10</t>
        </is>
      </c>
      <c r="D30" s="27" t="inlineStr">
        <is>
          <t>国产优质</t>
        </is>
      </c>
      <c r="E30" s="50" t="n">
        <v>5.7</v>
      </c>
      <c r="F30" s="18" t="inlineStr">
        <is>
          <t>米</t>
        </is>
      </c>
      <c r="G30" s="114">
        <f>ROUND(297.705,2)</f>
        <v/>
      </c>
      <c r="H30" s="29" t="n">
        <v>1</v>
      </c>
      <c r="I30" s="115">
        <f>ROUND(G30*1*H30,2)</f>
        <v/>
      </c>
      <c r="J30" s="115">
        <f>ROUND(E30*I30,2)</f>
        <v/>
      </c>
      <c r="K30" s="18" t="n"/>
    </row>
    <row r="31" s="89">
      <c r="A31" s="18" t="n">
        <v>28</v>
      </c>
      <c r="B31" s="26" t="inlineStr">
        <is>
          <t>连接排</t>
        </is>
      </c>
      <c r="C31" s="26" t="inlineStr">
        <is>
          <t>TMY 50*10</t>
        </is>
      </c>
      <c r="D31" s="27" t="inlineStr">
        <is>
          <t>国产优质</t>
        </is>
      </c>
      <c r="E31" s="50" t="n">
        <v>1.9</v>
      </c>
      <c r="F31" s="18" t="inlineStr">
        <is>
          <t>米</t>
        </is>
      </c>
      <c r="G31" s="114">
        <f>ROUND(372.13125,2)</f>
        <v/>
      </c>
      <c r="H31" s="29" t="n">
        <v>1</v>
      </c>
      <c r="I31" s="115">
        <f>ROUND(G31*1*H31,2)</f>
        <v/>
      </c>
      <c r="J31" s="115">
        <f>ROUND(E31*I31,2)</f>
        <v/>
      </c>
      <c r="K31" s="18" t="n"/>
    </row>
    <row r="32" s="89">
      <c r="A32" s="18" t="n">
        <v>29</v>
      </c>
      <c r="B32" s="26" t="inlineStr">
        <is>
          <t>N排</t>
        </is>
      </c>
      <c r="C32" s="26" t="inlineStr">
        <is>
          <t>TMY 50*5</t>
        </is>
      </c>
      <c r="D32" s="27" t="inlineStr">
        <is>
          <t>国产优质</t>
        </is>
      </c>
      <c r="E32" s="50" t="n">
        <v>2.8</v>
      </c>
      <c r="F32" s="18" t="inlineStr">
        <is>
          <t>米</t>
        </is>
      </c>
      <c r="G32" s="114">
        <f>ROUND(186.065625,2)</f>
        <v/>
      </c>
      <c r="H32" s="29" t="n">
        <v>1</v>
      </c>
      <c r="I32" s="115">
        <f>ROUND(G32*1*H32,2)</f>
        <v/>
      </c>
      <c r="J32" s="115">
        <f>ROUND(E32*I32,2)</f>
        <v/>
      </c>
      <c r="K32" s="18" t="n"/>
    </row>
    <row r="33" s="89">
      <c r="A33" s="18" t="n">
        <v>30</v>
      </c>
      <c r="B33" s="26" t="inlineStr">
        <is>
          <t>辅助材料</t>
        </is>
      </c>
      <c r="C33" s="26" t="n"/>
      <c r="D33" s="27" t="n"/>
      <c r="E33" s="50" t="n">
        <v>1</v>
      </c>
      <c r="F33" s="18" t="inlineStr">
        <is>
          <t>套</t>
        </is>
      </c>
      <c r="G33" s="114">
        <f>ROUND(1933.63,2)</f>
        <v/>
      </c>
      <c r="H33" s="29" t="n">
        <v>1</v>
      </c>
      <c r="I33" s="115">
        <f>ROUND(G33*1*H33,2)</f>
        <v/>
      </c>
      <c r="J33" s="115">
        <f>ROUND(E33*I33,2)</f>
        <v/>
      </c>
      <c r="K33" s="18" t="n"/>
    </row>
    <row r="34" s="89">
      <c r="A34" s="18" t="n">
        <v>31</v>
      </c>
      <c r="B34" s="26" t="inlineStr">
        <is>
          <t>柜体</t>
        </is>
      </c>
      <c r="C34" s="26" t="inlineStr">
        <is>
          <t>Blokset 1000*2200*600</t>
        </is>
      </c>
      <c r="D34" s="27" t="inlineStr">
        <is>
          <t>清科</t>
        </is>
      </c>
      <c r="E34" s="50" t="n">
        <v>1</v>
      </c>
      <c r="F34" s="18" t="inlineStr">
        <is>
          <t>台</t>
        </is>
      </c>
      <c r="G34" s="114">
        <f>ROUND(12000,2)</f>
        <v/>
      </c>
      <c r="H34" s="29" t="n">
        <v>1</v>
      </c>
      <c r="I34" s="115">
        <f>ROUND(G34*1*H34,2)</f>
        <v/>
      </c>
      <c r="J34" s="115">
        <f>ROUND(E34*I34,2)</f>
        <v/>
      </c>
      <c r="K34" s="18" t="n"/>
    </row>
    <row r="35" s="89">
      <c r="A35" s="18" t="n">
        <v>32</v>
      </c>
      <c r="B35" s="26" t="inlineStr">
        <is>
          <t>小计</t>
        </is>
      </c>
      <c r="C35" s="26" t="n"/>
      <c r="D35" s="27" t="n"/>
      <c r="E35" s="50" t="n"/>
      <c r="F35" s="18" t="n"/>
      <c r="G35" s="114" t="n"/>
      <c r="H35" s="29" t="n"/>
      <c r="I35" s="115" t="n"/>
      <c r="J35" s="115">
        <f>ROUND(SUM(J4:INDEX(J:J,ROW()-1)),2)</f>
        <v/>
      </c>
      <c r="K35" s="18" t="n"/>
    </row>
    <row r="36" s="89">
      <c r="A36" s="18" t="n">
        <v>33</v>
      </c>
      <c r="B36" s="26" t="inlineStr">
        <is>
          <t>人工</t>
        </is>
      </c>
      <c r="C36" s="26" t="n"/>
      <c r="D36" s="27" t="n"/>
      <c r="E36" s="50" t="n"/>
      <c r="F36" s="18" t="n"/>
      <c r="G36" s="114" t="n"/>
      <c r="H36" s="29" t="n"/>
      <c r="I36" s="115" t="n"/>
      <c r="J36" s="115">
        <f>ROUND(2500,0)</f>
        <v/>
      </c>
      <c r="K36" s="18" t="n"/>
    </row>
    <row r="37" s="89">
      <c r="A37" s="18" t="n">
        <v>34</v>
      </c>
      <c r="B37" s="26" t="inlineStr">
        <is>
          <t>管理费</t>
        </is>
      </c>
      <c r="C37" s="26" t="n"/>
      <c r="D37" s="27" t="n"/>
      <c r="E37" s="50" t="n"/>
      <c r="F37" s="18" t="n"/>
      <c r="G37" s="114" t="n"/>
      <c r="H37" s="29" t="n"/>
      <c r="I37" s="115" t="n"/>
      <c r="J37" s="115">
        <f>ROUND(J35*0,2)</f>
        <v/>
      </c>
      <c r="K37" s="18" t="n"/>
    </row>
    <row r="38" s="89">
      <c r="A38" s="18" t="n">
        <v>35</v>
      </c>
      <c r="B38" s="26" t="inlineStr">
        <is>
          <t>利润</t>
        </is>
      </c>
      <c r="C38" s="26" t="n"/>
      <c r="D38" s="27" t="n"/>
      <c r="E38" s="50" t="n"/>
      <c r="F38" s="18" t="n"/>
      <c r="G38" s="114" t="n"/>
      <c r="H38" s="29" t="n"/>
      <c r="I38" s="115" t="n"/>
      <c r="J38" s="115">
        <f>ROUND(SUM(J35:J37)*0,2)</f>
        <v/>
      </c>
      <c r="K38" s="18" t="n"/>
    </row>
    <row r="39" s="89">
      <c r="A39" s="18" t="n">
        <v>36</v>
      </c>
      <c r="B39" s="26" t="inlineStr">
        <is>
          <t>税金</t>
        </is>
      </c>
      <c r="C39" s="26" t="n"/>
      <c r="D39" s="27" t="n"/>
      <c r="E39" s="50" t="n"/>
      <c r="F39" s="18" t="n"/>
      <c r="G39" s="114" t="n"/>
      <c r="H39" s="29" t="n"/>
      <c r="I39" s="115" t="n"/>
      <c r="J39" s="115">
        <f>ROUND(SUM(J35:J38)*0,2)</f>
        <v/>
      </c>
      <c r="K39" s="18" t="n"/>
    </row>
    <row r="40" s="89">
      <c r="A40" s="18" t="n">
        <v>37</v>
      </c>
      <c r="B40" s="26" t="inlineStr">
        <is>
          <t>单台合计</t>
        </is>
      </c>
      <c r="C40" s="26" t="n"/>
      <c r="D40" s="27" t="n"/>
      <c r="E40" s="50" t="n"/>
      <c r="F40" s="18" t="n"/>
      <c r="G40" s="114" t="n"/>
      <c r="H40" s="29" t="n"/>
      <c r="I40" s="115" t="n"/>
      <c r="J40" s="115">
        <f>ROUND(SUM(J35:J39),2)</f>
        <v/>
      </c>
      <c r="K40" s="18" t="n"/>
    </row>
    <row r="41" s="89">
      <c r="A41" s="16" t="inlineStr">
        <is>
          <t>设备名称:</t>
        </is>
      </c>
      <c r="B41" s="17" t="inlineStr">
        <is>
          <t>变频柜</t>
        </is>
      </c>
      <c r="C41" s="101" t="n"/>
      <c r="D41" s="17" t="inlineStr">
        <is>
          <t>BLOKSET</t>
        </is>
      </c>
      <c r="E41" s="17" t="n">
        <v>1</v>
      </c>
      <c r="F41" s="17" t="inlineStr">
        <is>
          <t>台</t>
        </is>
      </c>
      <c r="G41" s="17" t="n"/>
      <c r="H41" s="17" t="n"/>
      <c r="I41" s="17" t="n"/>
      <c r="J41" s="17" t="n"/>
      <c r="K41" s="31" t="n"/>
    </row>
    <row r="42" s="89">
      <c r="A42" s="18" t="inlineStr">
        <is>
          <t>序号</t>
        </is>
      </c>
      <c r="B42" s="50" t="inlineStr">
        <is>
          <t>元件名称</t>
        </is>
      </c>
      <c r="C42" s="50" t="inlineStr">
        <is>
          <t>元件规格及型号</t>
        </is>
      </c>
      <c r="D42" s="50" t="inlineStr">
        <is>
          <t>生产厂家</t>
        </is>
      </c>
      <c r="E42" s="18" t="inlineStr">
        <is>
          <t>数量</t>
        </is>
      </c>
      <c r="F42" s="18" t="inlineStr">
        <is>
          <t>单位</t>
        </is>
      </c>
      <c r="G42" s="18" t="inlineStr">
        <is>
          <t>面价</t>
        </is>
      </c>
      <c r="H42" s="18" t="inlineStr">
        <is>
          <t>折扣</t>
        </is>
      </c>
      <c r="I42" s="18" t="inlineStr">
        <is>
          <t>单价</t>
        </is>
      </c>
      <c r="J42" s="18" t="inlineStr">
        <is>
          <t>总价</t>
        </is>
      </c>
      <c r="K42" s="18" t="inlineStr">
        <is>
          <t>备注</t>
        </is>
      </c>
    </row>
    <row r="43" s="89">
      <c r="A43" s="18" t="n">
        <v>1</v>
      </c>
      <c r="B43" s="20" t="inlineStr">
        <is>
          <t>交流塑壳断路器</t>
        </is>
      </c>
      <c r="C43" s="20" t="inlineStr">
        <is>
          <t>NSX100N MA 100 3P3D F+Compact插入式套件</t>
        </is>
      </c>
      <c r="D43" s="21" t="inlineStr">
        <is>
          <t>施耐德甲供</t>
        </is>
      </c>
      <c r="E43" s="22" t="n">
        <v>1</v>
      </c>
      <c r="F43" s="23" t="inlineStr">
        <is>
          <t>只</t>
        </is>
      </c>
      <c r="G43" s="112">
        <f>ROUND(0,2)</f>
        <v/>
      </c>
      <c r="H43" s="25" t="n">
        <v>1</v>
      </c>
      <c r="I43" s="113">
        <f>ROUND(G43*1*H43,2)</f>
        <v/>
      </c>
      <c r="J43" s="113">
        <f>ROUND(E43*I43,2)</f>
        <v/>
      </c>
      <c r="K43" s="18" t="n"/>
    </row>
    <row r="44" s="89">
      <c r="A44" s="18" t="n">
        <v>2</v>
      </c>
      <c r="B44" s="20" t="inlineStr">
        <is>
          <t>手柄</t>
        </is>
      </c>
      <c r="C44" s="20" t="inlineStr">
        <is>
          <t>NSX100~250标准延伸旋转手柄</t>
        </is>
      </c>
      <c r="D44" s="21" t="inlineStr">
        <is>
          <t>施耐德甲供</t>
        </is>
      </c>
      <c r="E44" s="22" t="n">
        <v>1</v>
      </c>
      <c r="F44" s="23" t="inlineStr">
        <is>
          <t>只</t>
        </is>
      </c>
      <c r="G44" s="112">
        <f>ROUND(0,2)</f>
        <v/>
      </c>
      <c r="H44" s="25" t="n">
        <v>1</v>
      </c>
      <c r="I44" s="113">
        <f>ROUND(G44*1*H44,2)</f>
        <v/>
      </c>
      <c r="J44" s="113">
        <f>ROUND(E44*I44,2)</f>
        <v/>
      </c>
      <c r="K44" s="18" t="n"/>
    </row>
    <row r="45" s="89">
      <c r="A45" s="18" t="n">
        <v>3</v>
      </c>
      <c r="B45" s="20" t="inlineStr">
        <is>
          <t>辅助触点（NSX）</t>
        </is>
      </c>
      <c r="C45" s="20" t="inlineStr">
        <is>
          <t>OF</t>
        </is>
      </c>
      <c r="D45" s="21" t="inlineStr">
        <is>
          <t>施耐德甲供</t>
        </is>
      </c>
      <c r="E45" s="22" t="n">
        <v>2</v>
      </c>
      <c r="F45" s="23" t="inlineStr">
        <is>
          <t>只</t>
        </is>
      </c>
      <c r="G45" s="112">
        <f>ROUND(0,2)</f>
        <v/>
      </c>
      <c r="H45" s="25" t="n">
        <v>1</v>
      </c>
      <c r="I45" s="113">
        <f>ROUND(G45*1*H45,2)</f>
        <v/>
      </c>
      <c r="J45" s="113">
        <f>ROUND(E45*I45,2)</f>
        <v/>
      </c>
      <c r="K45" s="18" t="n"/>
    </row>
    <row r="46" s="89">
      <c r="A46" s="18" t="n">
        <v>4</v>
      </c>
      <c r="B46" s="20" t="inlineStr">
        <is>
          <t>变频器</t>
        </is>
      </c>
      <c r="C46" s="20" t="inlineStr">
        <is>
          <t>ATV930U55N4+高级面板安装套件VW3A1112+dv/dt滤波器VW3A5302</t>
        </is>
      </c>
      <c r="D46" s="21" t="inlineStr">
        <is>
          <t>施耐德甲供</t>
        </is>
      </c>
      <c r="E46" s="22" t="n">
        <v>1</v>
      </c>
      <c r="F46" s="23" t="inlineStr">
        <is>
          <t>只</t>
        </is>
      </c>
      <c r="G46" s="112">
        <f>ROUND(0,2)</f>
        <v/>
      </c>
      <c r="H46" s="25" t="n">
        <v>1</v>
      </c>
      <c r="I46" s="113">
        <f>ROUND(G46*1*H46,2)</f>
        <v/>
      </c>
      <c r="J46" s="113">
        <f>ROUND(E46*I46,2)</f>
        <v/>
      </c>
      <c r="K46" s="18" t="n"/>
    </row>
    <row r="47" s="89">
      <c r="A47" s="18" t="n">
        <v>5</v>
      </c>
      <c r="B47" s="20" t="inlineStr">
        <is>
          <t>交流接触器</t>
        </is>
      </c>
      <c r="C47" s="20" t="inlineStr">
        <is>
          <t>LC1D09B7C+LADN31C</t>
        </is>
      </c>
      <c r="D47" s="21" t="inlineStr">
        <is>
          <t>施耐德甲供</t>
        </is>
      </c>
      <c r="E47" s="22" t="n">
        <v>1</v>
      </c>
      <c r="F47" s="23" t="inlineStr">
        <is>
          <t>只</t>
        </is>
      </c>
      <c r="G47" s="112">
        <f>ROUND(0,2)</f>
        <v/>
      </c>
      <c r="H47" s="25" t="n">
        <v>1</v>
      </c>
      <c r="I47" s="113">
        <f>ROUND(G47*1*H47,2)</f>
        <v/>
      </c>
      <c r="J47" s="113">
        <f>ROUND(E47*I47,2)</f>
        <v/>
      </c>
      <c r="K47" s="18" t="n"/>
    </row>
    <row r="48" s="89">
      <c r="A48" s="18" t="n">
        <v>6</v>
      </c>
      <c r="B48" s="20" t="inlineStr">
        <is>
          <t>热过载继电器</t>
        </is>
      </c>
      <c r="C48" s="20" t="inlineStr">
        <is>
          <t>LRD06C</t>
        </is>
      </c>
      <c r="D48" s="21" t="inlineStr">
        <is>
          <t>施耐德甲供</t>
        </is>
      </c>
      <c r="E48" s="22" t="n">
        <v>1</v>
      </c>
      <c r="F48" s="23" t="inlineStr">
        <is>
          <t>只</t>
        </is>
      </c>
      <c r="G48" s="112">
        <f>ROUND(0,2)</f>
        <v/>
      </c>
      <c r="H48" s="25" t="n">
        <v>1</v>
      </c>
      <c r="I48" s="113">
        <f>ROUND(G48*1*H48,2)</f>
        <v/>
      </c>
      <c r="J48" s="113">
        <f>ROUND(E48*I48,2)</f>
        <v/>
      </c>
      <c r="K48" s="18" t="n"/>
    </row>
    <row r="49" s="89">
      <c r="A49" s="18" t="n">
        <v>7</v>
      </c>
      <c r="B49" s="26" t="inlineStr">
        <is>
          <t>指示灯</t>
        </is>
      </c>
      <c r="C49" s="26" t="inlineStr">
        <is>
          <t>XA2EVM3LC</t>
        </is>
      </c>
      <c r="D49" s="27" t="inlineStr">
        <is>
          <t>施耐德电气</t>
        </is>
      </c>
      <c r="E49" s="50" t="n">
        <v>1</v>
      </c>
      <c r="F49" s="18" t="inlineStr">
        <is>
          <t>只</t>
        </is>
      </c>
      <c r="G49" s="114">
        <f>ROUND(15.96,2)</f>
        <v/>
      </c>
      <c r="H49" s="29" t="n">
        <v>0.5</v>
      </c>
      <c r="I49" s="115">
        <f>ROUND(G49*1*H49,2)</f>
        <v/>
      </c>
      <c r="J49" s="115">
        <f>ROUND(E49*I49,2)</f>
        <v/>
      </c>
      <c r="K49" s="18" t="n"/>
    </row>
    <row r="50" s="89">
      <c r="A50" s="18" t="n">
        <v>8</v>
      </c>
      <c r="B50" s="26" t="inlineStr">
        <is>
          <t>指示灯</t>
        </is>
      </c>
      <c r="C50" s="26" t="inlineStr">
        <is>
          <t>XA2EVM4LC</t>
        </is>
      </c>
      <c r="D50" s="27" t="inlineStr">
        <is>
          <t>施耐德电气</t>
        </is>
      </c>
      <c r="E50" s="50" t="n">
        <v>1</v>
      </c>
      <c r="F50" s="18" t="inlineStr">
        <is>
          <t>只</t>
        </is>
      </c>
      <c r="G50" s="114">
        <f>ROUND(15.96,2)</f>
        <v/>
      </c>
      <c r="H50" s="29" t="n">
        <v>0.5</v>
      </c>
      <c r="I50" s="115">
        <f>ROUND(G50*1*H50,2)</f>
        <v/>
      </c>
      <c r="J50" s="115">
        <f>ROUND(E50*I50,2)</f>
        <v/>
      </c>
      <c r="K50" s="18" t="n"/>
    </row>
    <row r="51" s="89">
      <c r="A51" s="18" t="n">
        <v>9</v>
      </c>
      <c r="B51" s="26" t="inlineStr">
        <is>
          <t>控制变压器</t>
        </is>
      </c>
      <c r="C51" s="26" t="inlineStr">
        <is>
          <t>JBK3-63VA 380/24</t>
        </is>
      </c>
      <c r="D51" s="27" t="inlineStr">
        <is>
          <t>正泰电器</t>
        </is>
      </c>
      <c r="E51" s="50" t="n">
        <v>1</v>
      </c>
      <c r="F51" s="18" t="inlineStr">
        <is>
          <t>只</t>
        </is>
      </c>
      <c r="G51" s="114">
        <f>ROUND(143,2)</f>
        <v/>
      </c>
      <c r="H51" s="29" t="n">
        <v>0.5</v>
      </c>
      <c r="I51" s="115">
        <f>ROUND(G51*1*H51,2)</f>
        <v/>
      </c>
      <c r="J51" s="115">
        <f>ROUND(E51*I51,2)</f>
        <v/>
      </c>
      <c r="K51" s="18" t="n"/>
    </row>
    <row r="52" s="89">
      <c r="A52" s="18" t="n">
        <v>10</v>
      </c>
      <c r="B52" s="26" t="inlineStr">
        <is>
          <t>中间继电器</t>
        </is>
      </c>
      <c r="C52" s="26" t="inlineStr">
        <is>
          <t>REL-IR-BL/L-24DC/2x21</t>
        </is>
      </c>
      <c r="D52" s="27" t="inlineStr">
        <is>
          <t>菲尼克斯</t>
        </is>
      </c>
      <c r="E52" s="50" t="n">
        <v>1</v>
      </c>
      <c r="F52" s="18" t="inlineStr">
        <is>
          <t>只</t>
        </is>
      </c>
      <c r="G52" s="114">
        <f>ROUND(13.6,2)</f>
        <v/>
      </c>
      <c r="H52" s="29" t="n">
        <v>1</v>
      </c>
      <c r="I52" s="115">
        <f>ROUND(G52*1*H52,2)</f>
        <v/>
      </c>
      <c r="J52" s="115">
        <f>ROUND(E52*I52,2)</f>
        <v/>
      </c>
      <c r="K52" s="18" t="n"/>
    </row>
    <row r="53" s="89">
      <c r="A53" s="18" t="n">
        <v>11</v>
      </c>
      <c r="B53" s="26" t="inlineStr">
        <is>
          <t>继电器座</t>
        </is>
      </c>
      <c r="C53" s="26" t="inlineStr">
        <is>
          <t>ECOR-2-BSC2-RT/2x21</t>
        </is>
      </c>
      <c r="D53" s="27" t="inlineStr">
        <is>
          <t>菲尼克斯</t>
        </is>
      </c>
      <c r="E53" s="50" t="n">
        <v>1</v>
      </c>
      <c r="F53" s="18" t="inlineStr">
        <is>
          <t>只</t>
        </is>
      </c>
      <c r="G53" s="114">
        <f>ROUND(6.2,2)</f>
        <v/>
      </c>
      <c r="H53" s="29" t="n">
        <v>1</v>
      </c>
      <c r="I53" s="115">
        <f>ROUND(G53*1*H53,2)</f>
        <v/>
      </c>
      <c r="J53" s="115">
        <f>ROUND(E53*I53,2)</f>
        <v/>
      </c>
      <c r="K53" s="18" t="n"/>
    </row>
    <row r="54" s="89">
      <c r="A54" s="18" t="n">
        <v>12</v>
      </c>
      <c r="B54" s="26" t="inlineStr">
        <is>
          <t>熔断器</t>
        </is>
      </c>
      <c r="C54" s="26" t="inlineStr">
        <is>
          <t>UK5-HESI</t>
        </is>
      </c>
      <c r="D54" s="27" t="inlineStr">
        <is>
          <t>菲尼克斯</t>
        </is>
      </c>
      <c r="E54" s="50" t="n">
        <v>4</v>
      </c>
      <c r="F54" s="18" t="inlineStr">
        <is>
          <t>只</t>
        </is>
      </c>
      <c r="G54" s="114">
        <f>ROUND(7,2)</f>
        <v/>
      </c>
      <c r="H54" s="29" t="n">
        <v>1</v>
      </c>
      <c r="I54" s="115">
        <f>ROUND(G54*1*H54,2)</f>
        <v/>
      </c>
      <c r="J54" s="115">
        <f>ROUND(E54*I54,2)</f>
        <v/>
      </c>
      <c r="K54" s="18" t="n"/>
    </row>
    <row r="55" s="89">
      <c r="A55" s="18" t="n">
        <v>13</v>
      </c>
      <c r="B55" s="26" t="inlineStr">
        <is>
          <t>水平铜排</t>
        </is>
      </c>
      <c r="C55" s="26" t="inlineStr">
        <is>
          <t>TMY 4*(60*5)+50*5</t>
        </is>
      </c>
      <c r="D55" s="27" t="inlineStr">
        <is>
          <t>国产优质</t>
        </is>
      </c>
      <c r="E55" s="50" t="n">
        <v>0.5</v>
      </c>
      <c r="F55" s="18" t="inlineStr">
        <is>
          <t>米</t>
        </is>
      </c>
      <c r="G55" s="114">
        <f>ROUND(1079.180625,2)</f>
        <v/>
      </c>
      <c r="H55" s="29" t="n">
        <v>1</v>
      </c>
      <c r="I55" s="115">
        <f>ROUND(G55*1*H55,2)</f>
        <v/>
      </c>
      <c r="J55" s="115">
        <f>ROUND(E55*I55,2)</f>
        <v/>
      </c>
      <c r="K55" s="18" t="n"/>
    </row>
    <row r="56" s="89">
      <c r="A56" s="18" t="n">
        <v>14</v>
      </c>
      <c r="B56" s="26" t="inlineStr">
        <is>
          <t>电缆</t>
        </is>
      </c>
      <c r="C56" s="26" t="inlineStr">
        <is>
          <t>25mm²</t>
        </is>
      </c>
      <c r="D56" s="27" t="inlineStr">
        <is>
          <t>凯布斯</t>
        </is>
      </c>
      <c r="E56" s="50" t="n">
        <v>6</v>
      </c>
      <c r="F56" s="18" t="inlineStr">
        <is>
          <t>米</t>
        </is>
      </c>
      <c r="G56" s="114">
        <f>ROUND(23.67,2)</f>
        <v/>
      </c>
      <c r="H56" s="29" t="n">
        <v>1</v>
      </c>
      <c r="I56" s="115">
        <f>ROUND(G56*1*H56,2)</f>
        <v/>
      </c>
      <c r="J56" s="115">
        <f>ROUND(E56*I56,2)</f>
        <v/>
      </c>
      <c r="K56" s="18" t="n"/>
    </row>
    <row r="57" s="89">
      <c r="A57" s="18" t="n">
        <v>15</v>
      </c>
      <c r="B57" s="26" t="inlineStr">
        <is>
          <t>辅助材料</t>
        </is>
      </c>
      <c r="C57" s="26" t="n"/>
      <c r="D57" s="27" t="n"/>
      <c r="E57" s="50" t="n">
        <v>1</v>
      </c>
      <c r="F57" s="18" t="inlineStr">
        <is>
          <t>套</t>
        </is>
      </c>
      <c r="G57" s="114">
        <f>ROUND(500,2)</f>
        <v/>
      </c>
      <c r="H57" s="29" t="n">
        <v>1</v>
      </c>
      <c r="I57" s="115">
        <f>ROUND(G57*1*H57,2)</f>
        <v/>
      </c>
      <c r="J57" s="115">
        <f>ROUND(E57*I57,2)</f>
        <v/>
      </c>
      <c r="K57" s="18" t="n"/>
    </row>
    <row r="58" s="89">
      <c r="A58" s="18" t="n">
        <v>16</v>
      </c>
      <c r="B58" s="26" t="inlineStr">
        <is>
          <t>柜体</t>
        </is>
      </c>
      <c r="C58" s="26" t="inlineStr">
        <is>
          <t>Blokset 400*2200*600</t>
        </is>
      </c>
      <c r="D58" s="27" t="inlineStr">
        <is>
          <t>清科</t>
        </is>
      </c>
      <c r="E58" s="50" t="n">
        <v>1</v>
      </c>
      <c r="F58" s="18" t="inlineStr">
        <is>
          <t>台</t>
        </is>
      </c>
      <c r="G58" s="114">
        <f>ROUND(4627,2)</f>
        <v/>
      </c>
      <c r="H58" s="29" t="n">
        <v>1</v>
      </c>
      <c r="I58" s="115">
        <f>ROUND(G58*1*H58,2)</f>
        <v/>
      </c>
      <c r="J58" s="115">
        <f>ROUND(E58*I58,2)</f>
        <v/>
      </c>
      <c r="K58" s="18" t="n"/>
    </row>
    <row r="59" s="89">
      <c r="A59" s="18" t="n">
        <v>17</v>
      </c>
      <c r="B59" s="26" t="inlineStr">
        <is>
          <t>小计</t>
        </is>
      </c>
      <c r="C59" s="26" t="n"/>
      <c r="D59" s="27" t="n"/>
      <c r="E59" s="50" t="n"/>
      <c r="F59" s="18" t="n"/>
      <c r="G59" s="114" t="n"/>
      <c r="H59" s="29" t="n"/>
      <c r="I59" s="115" t="n"/>
      <c r="J59" s="115">
        <f>ROUND(SUM(J43:INDEX(J:J,ROW()-1)),2)</f>
        <v/>
      </c>
      <c r="K59" s="18" t="n"/>
    </row>
    <row r="60" s="89">
      <c r="A60" s="18" t="n">
        <v>18</v>
      </c>
      <c r="B60" s="26" t="inlineStr">
        <is>
          <t>人工</t>
        </is>
      </c>
      <c r="C60" s="26" t="n"/>
      <c r="D60" s="27" t="n"/>
      <c r="E60" s="50" t="n"/>
      <c r="F60" s="18" t="n"/>
      <c r="G60" s="114" t="n"/>
      <c r="H60" s="29" t="n"/>
      <c r="I60" s="115" t="n"/>
      <c r="J60" s="115">
        <f>ROUND(2500,0)</f>
        <v/>
      </c>
      <c r="K60" s="18" t="n"/>
    </row>
    <row r="61" s="89">
      <c r="A61" s="18" t="n">
        <v>19</v>
      </c>
      <c r="B61" s="26" t="inlineStr">
        <is>
          <t>管理费</t>
        </is>
      </c>
      <c r="C61" s="26" t="n"/>
      <c r="D61" s="27" t="n"/>
      <c r="E61" s="50" t="n"/>
      <c r="F61" s="18" t="n"/>
      <c r="G61" s="114" t="n"/>
      <c r="H61" s="29" t="n"/>
      <c r="I61" s="115" t="n"/>
      <c r="J61" s="115">
        <f>ROUND(J59*0,2)</f>
        <v/>
      </c>
      <c r="K61" s="18" t="n"/>
    </row>
    <row r="62" s="89">
      <c r="A62" s="18" t="n">
        <v>20</v>
      </c>
      <c r="B62" s="26" t="inlineStr">
        <is>
          <t>利润</t>
        </is>
      </c>
      <c r="C62" s="26" t="n"/>
      <c r="D62" s="27" t="n"/>
      <c r="E62" s="50" t="n"/>
      <c r="F62" s="18" t="n"/>
      <c r="G62" s="114" t="n"/>
      <c r="H62" s="29" t="n"/>
      <c r="I62" s="115" t="n"/>
      <c r="J62" s="115">
        <f>ROUND(SUM(J59:J61)*0,2)</f>
        <v/>
      </c>
      <c r="K62" s="18" t="n"/>
    </row>
    <row r="63" s="89">
      <c r="A63" s="18" t="n">
        <v>21</v>
      </c>
      <c r="B63" s="26" t="inlineStr">
        <is>
          <t>税金</t>
        </is>
      </c>
      <c r="C63" s="26" t="n"/>
      <c r="D63" s="27" t="n"/>
      <c r="E63" s="50" t="n"/>
      <c r="F63" s="18" t="n"/>
      <c r="G63" s="114" t="n"/>
      <c r="H63" s="29" t="n"/>
      <c r="I63" s="115" t="n"/>
      <c r="J63" s="115">
        <f>ROUND(SUM(J59:J62)*0,2)</f>
        <v/>
      </c>
      <c r="K63" s="18" t="n"/>
    </row>
    <row r="64" s="89">
      <c r="A64" s="18" t="n">
        <v>22</v>
      </c>
      <c r="B64" s="26" t="inlineStr">
        <is>
          <t>单台合计</t>
        </is>
      </c>
      <c r="C64" s="26" t="n"/>
      <c r="D64" s="27" t="n"/>
      <c r="E64" s="50" t="n"/>
      <c r="F64" s="18" t="n"/>
      <c r="G64" s="114" t="n"/>
      <c r="H64" s="29" t="n"/>
      <c r="I64" s="115" t="n"/>
      <c r="J64" s="115">
        <f>ROUND(SUM(J59:J63),2)</f>
        <v/>
      </c>
      <c r="K64" s="18" t="n"/>
    </row>
  </sheetData>
  <autoFilter ref="A1:K64"/>
  <mergeCells count="3">
    <mergeCell ref="B41:C41"/>
    <mergeCell ref="A1:K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C30" sqref="C30"/>
    </sheetView>
  </sheetViews>
  <sheetFormatPr baseColWidth="8" defaultColWidth="9" defaultRowHeight="14.25"/>
  <cols>
    <col width="9" customWidth="1" style="1" min="1" max="1"/>
    <col width="19.375" customWidth="1" style="1" min="2" max="2"/>
    <col width="42.125" customWidth="1" style="1" min="3" max="3"/>
    <col width="16" customWidth="1" style="1" min="4" max="4"/>
    <col width="37.875" customWidth="1" style="1" min="5" max="5"/>
    <col width="9" customWidth="1" style="1" min="6" max="16384"/>
  </cols>
  <sheetData>
    <row r="1" ht="20.25" customHeight="1" s="89">
      <c r="A1" s="2" t="inlineStr">
        <is>
          <t>配电柜 施耐德BOM表</t>
        </is>
      </c>
      <c r="B1" s="116" t="n"/>
      <c r="C1" s="116" t="n"/>
      <c r="D1" s="116" t="n"/>
      <c r="E1" s="116" t="n"/>
      <c r="F1" s="116" t="n"/>
    </row>
    <row r="2">
      <c r="A2" s="3" t="inlineStr">
        <is>
          <t>序号</t>
        </is>
      </c>
      <c r="B2" s="3" t="inlineStr">
        <is>
          <t>元件名称</t>
        </is>
      </c>
      <c r="C2" s="3" t="inlineStr">
        <is>
          <t>元件规格及型号</t>
        </is>
      </c>
      <c r="D2" s="4" t="inlineStr">
        <is>
          <t>数量</t>
        </is>
      </c>
      <c r="E2" s="3" t="inlineStr">
        <is>
          <t>订单号</t>
        </is>
      </c>
      <c r="F2" s="3" t="inlineStr">
        <is>
          <t>生产厂家</t>
        </is>
      </c>
    </row>
    <row r="3">
      <c r="A3" s="5" t="n">
        <v>1</v>
      </c>
      <c r="B3" s="6" t="inlineStr">
        <is>
          <t>MX分励脱扣器</t>
        </is>
      </c>
      <c r="C3" s="6" t="inlineStr">
        <is>
          <t>MX分励AC220-240V/208-277V/100-630A</t>
        </is>
      </c>
      <c r="D3" s="7" t="n">
        <v>12</v>
      </c>
      <c r="E3" s="8" t="inlineStr">
        <is>
          <t>LV429387</t>
        </is>
      </c>
      <c r="F3" s="9" t="inlineStr">
        <is>
          <t>施耐德</t>
        </is>
      </c>
    </row>
    <row r="4">
      <c r="A4" s="5" t="n">
        <v>1</v>
      </c>
      <c r="B4" s="6" t="inlineStr">
        <is>
          <t>变频器</t>
        </is>
      </c>
      <c r="C4" s="6" t="inlineStr">
        <is>
          <t>ATV930U55N4+高级面板安装套件VW3A1112+dv/dt滤波器VW3A5302</t>
        </is>
      </c>
      <c r="D4" s="7" t="n">
        <v>1</v>
      </c>
      <c r="E4" s="10" t="inlineStr">
        <is>
          <t>ATV930U55N4+VW3A1112+VW3A5302</t>
        </is>
      </c>
      <c r="F4" s="9" t="inlineStr">
        <is>
          <t>施耐德</t>
        </is>
      </c>
    </row>
    <row r="5">
      <c r="A5" s="5" t="n">
        <v>1</v>
      </c>
      <c r="B5" s="6" t="inlineStr">
        <is>
          <t>多功能表</t>
        </is>
      </c>
      <c r="C5" s="6" t="inlineStr">
        <is>
          <t>PM4101</t>
        </is>
      </c>
      <c r="D5" s="7" t="n">
        <v>5</v>
      </c>
      <c r="E5" s="10" t="inlineStr">
        <is>
          <t>METSEPM4101</t>
        </is>
      </c>
      <c r="F5" s="9" t="inlineStr">
        <is>
          <t>施耐德</t>
        </is>
      </c>
    </row>
    <row r="6">
      <c r="A6" s="5" t="n">
        <v>1</v>
      </c>
      <c r="B6" s="6" t="inlineStr">
        <is>
          <t>辅助触点（NSX）</t>
        </is>
      </c>
      <c r="C6" s="6" t="inlineStr">
        <is>
          <t>OF</t>
        </is>
      </c>
      <c r="D6" s="7" t="n">
        <v>26</v>
      </c>
      <c r="E6" s="11" t="n">
        <v>29450</v>
      </c>
      <c r="F6" s="9" t="inlineStr">
        <is>
          <t>施耐德</t>
        </is>
      </c>
    </row>
    <row r="7">
      <c r="A7" s="5" t="n">
        <v>1</v>
      </c>
      <c r="B7" s="6" t="inlineStr">
        <is>
          <t>交流接触器</t>
        </is>
      </c>
      <c r="C7" s="6" t="inlineStr">
        <is>
          <t>LC1D09B7C</t>
        </is>
      </c>
      <c r="D7" s="7" t="n">
        <v>3</v>
      </c>
      <c r="E7" s="10" t="inlineStr">
        <is>
          <t>LC1D09B7C</t>
        </is>
      </c>
      <c r="F7" s="9" t="inlineStr">
        <is>
          <t>施耐德</t>
        </is>
      </c>
    </row>
    <row r="8">
      <c r="A8" s="5" t="n">
        <v>1</v>
      </c>
      <c r="B8" s="6" t="inlineStr">
        <is>
          <t>交流接触器</t>
        </is>
      </c>
      <c r="C8" s="6" t="inlineStr">
        <is>
          <t>LC1D09B7C+LADN31C</t>
        </is>
      </c>
      <c r="D8" s="7" t="n">
        <v>1</v>
      </c>
      <c r="E8" s="10" t="inlineStr">
        <is>
          <t>LC1D09B7C+LADN31C</t>
        </is>
      </c>
      <c r="F8" s="9" t="inlineStr">
        <is>
          <t>施耐德</t>
        </is>
      </c>
    </row>
    <row r="9">
      <c r="A9" s="5" t="n">
        <v>1</v>
      </c>
      <c r="B9" s="6" t="inlineStr">
        <is>
          <t>交流接触器</t>
        </is>
      </c>
      <c r="C9" s="6" t="inlineStr">
        <is>
          <t>LC1D12B7C</t>
        </is>
      </c>
      <c r="D9" s="7" t="n">
        <v>2</v>
      </c>
      <c r="E9" s="10" t="inlineStr">
        <is>
          <t>LC1D12B7C</t>
        </is>
      </c>
      <c r="F9" s="9" t="inlineStr">
        <is>
          <t>施耐德</t>
        </is>
      </c>
    </row>
    <row r="10">
      <c r="A10" s="5" t="n">
        <v>1</v>
      </c>
      <c r="B10" s="6" t="inlineStr">
        <is>
          <t>交流接触器</t>
        </is>
      </c>
      <c r="C10" s="6" t="inlineStr">
        <is>
          <t>LC1D40AB7C</t>
        </is>
      </c>
      <c r="D10" s="7" t="n">
        <v>3</v>
      </c>
      <c r="E10" s="10" t="inlineStr">
        <is>
          <t>LC1D40AB7C</t>
        </is>
      </c>
      <c r="F10" s="9" t="inlineStr">
        <is>
          <t>施耐德</t>
        </is>
      </c>
    </row>
    <row r="11">
      <c r="A11" s="5" t="n">
        <v>1</v>
      </c>
      <c r="B11" s="6" t="inlineStr">
        <is>
          <t>交流塑壳断路器</t>
        </is>
      </c>
      <c r="C11" s="6" t="inlineStr">
        <is>
          <t>NSX100N MA 100 3P3D F+Compact插入式套件</t>
        </is>
      </c>
      <c r="D11" s="7" t="n">
        <v>1</v>
      </c>
      <c r="E11" s="12" t="inlineStr">
        <is>
          <t>C10N3MA100+LV429289</t>
        </is>
      </c>
      <c r="F11" s="9" t="inlineStr">
        <is>
          <t>施耐德</t>
        </is>
      </c>
    </row>
    <row r="12">
      <c r="A12" s="5" t="n">
        <v>1</v>
      </c>
      <c r="B12" s="6" t="inlineStr">
        <is>
          <t>交流塑壳断路器</t>
        </is>
      </c>
      <c r="C12" s="6" t="inlineStr">
        <is>
          <t>NSX100N MA 12.5 3P3D F</t>
        </is>
      </c>
      <c r="D12" s="7" t="n">
        <v>2</v>
      </c>
      <c r="E12" s="8" t="inlineStr">
        <is>
          <t>C10N3MA013</t>
        </is>
      </c>
      <c r="F12" s="9" t="inlineStr">
        <is>
          <t>施耐德</t>
        </is>
      </c>
    </row>
    <row r="13">
      <c r="A13" s="5" t="n">
        <v>1</v>
      </c>
      <c r="B13" s="6" t="inlineStr">
        <is>
          <t>交流塑壳断路器</t>
        </is>
      </c>
      <c r="C13" s="6" t="inlineStr">
        <is>
          <t>NSX100N MA 2.5 3P3D F</t>
        </is>
      </c>
      <c r="D13" s="7" t="n">
        <v>3</v>
      </c>
      <c r="E13" s="8" t="inlineStr">
        <is>
          <t>C10N3MA003</t>
        </is>
      </c>
      <c r="F13" s="9" t="inlineStr">
        <is>
          <t>施耐德</t>
        </is>
      </c>
    </row>
    <row r="14">
      <c r="A14" s="5" t="n">
        <v>1</v>
      </c>
      <c r="B14" s="6" t="inlineStr">
        <is>
          <t>交流塑壳断路器</t>
        </is>
      </c>
      <c r="C14" s="6" t="inlineStr">
        <is>
          <t>NSX100N MA 6.3 3P3D F</t>
        </is>
      </c>
      <c r="D14" s="7" t="n">
        <v>2</v>
      </c>
      <c r="E14" s="12" t="inlineStr">
        <is>
          <t>C10N3MA007</t>
        </is>
      </c>
      <c r="F14" s="9" t="inlineStr">
        <is>
          <t>施耐德</t>
        </is>
      </c>
    </row>
    <row r="15">
      <c r="A15" s="5" t="n">
        <v>1</v>
      </c>
      <c r="B15" s="6" t="inlineStr">
        <is>
          <t>交流塑壳断路器</t>
        </is>
      </c>
      <c r="C15" s="6" t="inlineStr">
        <is>
          <t>NSX100N MA 25 3P3D F</t>
        </is>
      </c>
      <c r="D15" s="7" t="n">
        <v>1</v>
      </c>
      <c r="E15" s="12" t="inlineStr">
        <is>
          <t>C10N3MA025</t>
        </is>
      </c>
      <c r="F15" s="9" t="inlineStr">
        <is>
          <t>施耐德</t>
        </is>
      </c>
    </row>
    <row r="16">
      <c r="A16" s="5" t="n">
        <v>1</v>
      </c>
      <c r="B16" s="6" t="inlineStr">
        <is>
          <t>交流塑壳断路器</t>
        </is>
      </c>
      <c r="C16" s="6" t="inlineStr">
        <is>
          <t>NSX100N TMD 25 3P3D F</t>
        </is>
      </c>
      <c r="D16" s="7" t="n">
        <v>2</v>
      </c>
      <c r="E16" s="8" t="inlineStr">
        <is>
          <t>C10N3TM025</t>
        </is>
      </c>
      <c r="F16" s="9" t="inlineStr">
        <is>
          <t>施耐德</t>
        </is>
      </c>
    </row>
    <row r="17">
      <c r="A17" s="5" t="n">
        <v>1</v>
      </c>
      <c r="B17" s="6" t="inlineStr">
        <is>
          <t>交流塑壳断路器</t>
        </is>
      </c>
      <c r="C17" s="6" t="inlineStr">
        <is>
          <t>NSX100N TMD 40 3P3D F</t>
        </is>
      </c>
      <c r="D17" s="7" t="n">
        <v>2</v>
      </c>
      <c r="E17" s="8" t="inlineStr">
        <is>
          <t>C10N3TM040</t>
        </is>
      </c>
      <c r="F17" s="9" t="inlineStr">
        <is>
          <t>施耐德</t>
        </is>
      </c>
    </row>
    <row r="18">
      <c r="A18" s="5" t="n">
        <v>1</v>
      </c>
      <c r="B18" s="6" t="inlineStr">
        <is>
          <t>交流塑壳断路器</t>
        </is>
      </c>
      <c r="C18" s="6" t="inlineStr">
        <is>
          <t>NSX100N TMD 50 3P3D F</t>
        </is>
      </c>
      <c r="D18" s="7" t="n">
        <v>1</v>
      </c>
      <c r="E18" s="8" t="inlineStr">
        <is>
          <t>C10N3TM050</t>
        </is>
      </c>
      <c r="F18" s="9" t="inlineStr">
        <is>
          <t>施耐德</t>
        </is>
      </c>
    </row>
    <row r="19">
      <c r="A19" s="5" t="n">
        <v>1</v>
      </c>
      <c r="B19" s="6" t="inlineStr">
        <is>
          <t>热过载继电器</t>
        </is>
      </c>
      <c r="C19" s="6" t="inlineStr">
        <is>
          <t>LRD06C</t>
        </is>
      </c>
      <c r="D19" s="7" t="n">
        <v>1</v>
      </c>
      <c r="E19" s="10" t="inlineStr">
        <is>
          <t>LRD06C</t>
        </is>
      </c>
      <c r="F19" s="9" t="inlineStr">
        <is>
          <t>施耐德</t>
        </is>
      </c>
    </row>
    <row r="20">
      <c r="A20" s="5" t="n">
        <v>1</v>
      </c>
      <c r="B20" s="6" t="inlineStr">
        <is>
          <t>热过载继电器</t>
        </is>
      </c>
      <c r="C20" s="6" t="inlineStr">
        <is>
          <t>LRD07C</t>
        </is>
      </c>
      <c r="D20" s="7" t="n">
        <v>3</v>
      </c>
      <c r="E20" s="10" t="inlineStr">
        <is>
          <t>LRD07C</t>
        </is>
      </c>
      <c r="F20" s="9" t="inlineStr">
        <is>
          <t>施耐德</t>
        </is>
      </c>
    </row>
    <row r="21">
      <c r="A21" s="5" t="n">
        <v>1</v>
      </c>
      <c r="B21" s="6" t="inlineStr">
        <is>
          <t>热过载继电器</t>
        </is>
      </c>
      <c r="C21" s="6" t="inlineStr">
        <is>
          <t>LRD08C</t>
        </is>
      </c>
      <c r="D21" s="7" t="n">
        <v>2</v>
      </c>
      <c r="E21" s="10" t="inlineStr">
        <is>
          <t>LRD08C</t>
        </is>
      </c>
      <c r="F21" s="9" t="inlineStr">
        <is>
          <t>施耐德</t>
        </is>
      </c>
    </row>
    <row r="22">
      <c r="A22" s="5" t="n">
        <v>1</v>
      </c>
      <c r="B22" s="6" t="inlineStr">
        <is>
          <t>热过载继电器</t>
        </is>
      </c>
      <c r="C22" s="6" t="inlineStr">
        <is>
          <t>LRD14C</t>
        </is>
      </c>
      <c r="D22" s="7" t="n">
        <v>2</v>
      </c>
      <c r="E22" s="10" t="inlineStr">
        <is>
          <t>LRD14C</t>
        </is>
      </c>
      <c r="F22" s="9" t="inlineStr">
        <is>
          <t>施耐德</t>
        </is>
      </c>
    </row>
    <row r="23">
      <c r="A23" s="5" t="n">
        <v>1</v>
      </c>
      <c r="B23" s="6" t="inlineStr">
        <is>
          <t>热过载继电器</t>
        </is>
      </c>
      <c r="C23" s="6" t="inlineStr">
        <is>
          <t>LRD325C</t>
        </is>
      </c>
      <c r="D23" s="7" t="n">
        <v>1</v>
      </c>
      <c r="E23" s="13" t="inlineStr">
        <is>
          <t>LRD325C</t>
        </is>
      </c>
      <c r="F23" s="9" t="inlineStr">
        <is>
          <t>施耐德</t>
        </is>
      </c>
    </row>
    <row r="24">
      <c r="A24" s="5" t="n">
        <v>1</v>
      </c>
      <c r="B24" s="6" t="inlineStr">
        <is>
          <t>手柄</t>
        </is>
      </c>
      <c r="C24" s="6" t="inlineStr">
        <is>
          <t>NSX100~250标准延伸旋转手柄</t>
        </is>
      </c>
      <c r="D24" s="7" t="n">
        <v>13</v>
      </c>
      <c r="E24" s="8" t="inlineStr">
        <is>
          <t>LV429338</t>
        </is>
      </c>
      <c r="F24" s="9" t="inlineStr">
        <is>
          <t>施耐德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terms:created xmlns:dcterms="http://purl.org/dc/terms/" xmlns:xsi="http://www.w3.org/2001/XMLSchema-instance" xsi:type="dcterms:W3CDTF">2008-06-17T05:29:00Z</dcterms:created>
  <dcterms:modified xmlns:dcterms="http://purl.org/dc/terms/" xmlns:xsi="http://www.w3.org/2001/XMLSchema-instance" xsi:type="dcterms:W3CDTF">2026-05-05T00:32:19Z</dcterms:modified>
  <cp:lastModifiedBy>anonymized</cp:lastModifiedBy>
  <cp:revision>1</cp:revision>
  <cp:lastPrinted>2010-07-29T02:42:00Z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2052-12.1.0.21541</vt:lpwstr>
  </property>
  <property name="ICV" fmtid="{D5CDD505-2E9C-101B-9397-08002B2CF9AE}" pid="3">
    <vt:lpwstr xmlns:vt="http://schemas.openxmlformats.org/officeDocument/2006/docPropsVTypes">B14578F6A4F547C48DC719CE81798B32</vt:lpwstr>
  </property>
  <property name="Generator" fmtid="{D5CDD505-2E9C-101B-9397-08002B2CF9AE}" pid="4">
    <vt:lpwstr xmlns:vt="http://schemas.openxmlformats.org/officeDocument/2006/docPropsVTypes">NPOI</vt:lpwstr>
  </property>
  <property name="Generator Version" fmtid="{D5CDD505-2E9C-101B-9397-08002B2CF9AE}" pid="5">
    <vt:lpwstr xmlns:vt="http://schemas.openxmlformats.org/officeDocument/2006/docPropsVTypes">2.5.24</vt:lpwstr>
  </property>
</Properties>
</file>