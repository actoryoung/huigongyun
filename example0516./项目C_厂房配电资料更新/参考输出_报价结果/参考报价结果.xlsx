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180" tabRatio="600" firstSheet="0" activeTab="1" autoFilterDateGrouping="1"/>
  </bookViews>
  <sheets>
    <sheet xmlns:r="http://schemas.openxmlformats.org/officeDocument/2006/relationships" name="项目信息" sheetId="1" state="visible" r:id="rId1"/>
    <sheet xmlns:r="http://schemas.openxmlformats.org/officeDocument/2006/relationships" name="低压柜" sheetId="2" state="visible" r:id="rId2"/>
  </sheets>
  <definedNames>
    <definedName name="cabinetData01b40e2573d2489c89b4fa12ebeea418" hidden="1">低压柜!$A$1212:$AC$1233</definedName>
    <definedName name="cabinetData02f954adf12841e7ad69c0b9eb89bc69" hidden="1">低压柜!$A$2424:$AC$2447</definedName>
    <definedName name="cabinetData03dadffc995c45aa935c34fa05dd1439" hidden="1">低压柜!$A$2919:$AC$2948</definedName>
    <definedName name="cabinetData040b47966fb04169831e91c85738a681" hidden="1">低压柜!$A$710:$AC$728</definedName>
    <definedName name="cabinetData0b3afaf0863645f3aad8c44ed632111b" hidden="1">低压柜!$A$520:$AC$544</definedName>
    <definedName name="cabinetData0dad45b95fbd43579fccdfbe1c901808" hidden="1">低压柜!$A$1612:$AC$1635</definedName>
    <definedName name="cabinetData0e168a105b344c8c90c459a71739ff02" hidden="1">低压柜!$A$1399:$AC$1421</definedName>
    <definedName name="cabinetData1b90cdd2e8884a18ba037cb57b8ba30c" hidden="1">低压柜!$A$1055:$AC$1078</definedName>
    <definedName name="cabinetData1c80bf5bd2514170aafa6860c200da1b" hidden="1">低压柜!$A$2396:$AC$2413</definedName>
    <definedName name="cabinetData1f277970844f411c83304db6d0e5e946" hidden="1">低压柜!$A$2588:$AC$2611</definedName>
    <definedName name="cabinetData21f2fff862ba42a2a897d8a3ced3c214" hidden="1">低压柜!$A$1338:$AC$1355</definedName>
    <definedName name="cabinetData2333655972404404a72bbb84d1ba51e0" hidden="1">低压柜!$A$2518:$AC$2543</definedName>
    <definedName name="cabinetData23b8457c48ed4a3588e6c41c7a5c58b1" hidden="1">低压柜!$A$1089:$AC$1109</definedName>
    <definedName name="cabinetData26f33d0bbfd2476a8f7f0ed366afe4d5" hidden="1">低压柜!$A$1956:$AC$1976</definedName>
    <definedName name="cabinetData2860e15a7e954c87a3756bc0932b9835" hidden="1">低压柜!$A$2049:$AC$2073</definedName>
    <definedName name="cabinetData2c0baee9fd3940c4b14b33f0e45d1c29" hidden="1">低压柜!$A$152:$AC$170</definedName>
    <definedName name="cabinetData2da37c7ea19546d4b9ced62829094096" hidden="1">低压柜!$A$181:$AC$198</definedName>
    <definedName name="cabinetData301ebf4788094bc59ed76e409cd91d16" hidden="1">低压柜!$A$969:$AC$987</definedName>
    <definedName name="cabinetData31d265d7179f43318a03e4ef541f903a" hidden="1">低压柜!$A$2268:$AC$2288</definedName>
    <definedName name="cabinetData32b4db4a47854c819fe806d9aa2be05c" hidden="1">低压柜!$A$1894:$AC$1917</definedName>
    <definedName name="cabinetData339803a5f5eb4b4e8146a5b45d7f4673" hidden="1">低压柜!$A$2458:$AC$2477</definedName>
    <definedName name="cabinetData342e2148df1b4485915a909e69789dca" hidden="1">低压柜!$A$295:$AC$315</definedName>
    <definedName name="cabinetData3e80e97e8e954d0fa964fb8e79490973" hidden="1">低压柜!$A$391:$AC$411</definedName>
    <definedName name="cabinetData3f90036af53f4d3499611323b4e1be0a" hidden="1">低压柜!$A$2299:$AC$2322</definedName>
    <definedName name="cabinetData441bdbfb53e249c384b9a619c1dd9b25" hidden="1">低压柜!$A$2997:$AC$3017</definedName>
    <definedName name="cabinetData44c55af62375462a8dc3a79f94b91bad" hidden="1">低压柜!$A$1680:$AC$1700</definedName>
    <definedName name="cabinetData44edd0729b974c78891ac90cdf35939d" hidden="1">低压柜!$A$1581:$AC$1601</definedName>
    <definedName name="cabinetData4834befc2610459d9951e7aab1d77fc9" hidden="1">低压柜!$A$2959:$AC$2986</definedName>
    <definedName name="cabinetData48fdb7a10e6a49a0a05d5d923e76b7c4" hidden="1">低压柜!$A$1525:$AC$1542</definedName>
    <definedName name="cabinetData49878b3f27bf456ab9fb39d0dce99d67" hidden="1">低压柜!$A$3065:$AC$3091</definedName>
    <definedName name="cabinetData4b03b663545d479abcf0720f5693f4c9" hidden="1">低压柜!$A$485:$AC$509</definedName>
    <definedName name="cabinetData546a96e8c7fe48389bfd4749cbf7d1b2" hidden="1">低压柜!$A$1928:$AC$1945</definedName>
    <definedName name="cabinetData5482250255a9426aa80790b8b9217b9e" hidden="1">低压柜!$A$1866:$AC$1883</definedName>
    <definedName name="cabinetData57b16b31ed9c4266a37666d22dae88c6" hidden="1">低压柜!$A$809:$AC$833</definedName>
    <definedName name="cabinetData5a631dc81ae746ce9575b4257a9a8397" hidden="1">低压柜!$A$904:$AC$924</definedName>
    <definedName name="cabinetData5c042accb3d4428994eb9195eb9ce67a" hidden="1">低压柜!$A$2554:$AC$2577</definedName>
    <definedName name="cabinetData61d60d19518d4e248f002098c16cd481" hidden="1">低压柜!$A$1155:$AC$1173</definedName>
    <definedName name="cabinetData62c06a7d1efb4b4f8bccfda93b9f013e" hidden="1">低压柜!$A$237:$AC$253</definedName>
    <definedName name="cabinetData637a291ff4d546ac9e0528acd8b01080" hidden="1">低压柜!$A$773:$AC$798</definedName>
    <definedName name="cabinetData6491088894b44970a76df2d3ae74bbb6" hidden="1">低压柜!$A$1432:$AC$1453</definedName>
    <definedName name="cabinetData6a42f7b726e64e109fa6f1638de6edc7" hidden="1">低压柜!$A$455:$AC$474</definedName>
    <definedName name="cabinetData6b20307add1546209e38b72db8c70815" hidden="1">低压柜!$A$264:$AC$284</definedName>
    <definedName name="cabinetData6c534041e24d4a2d88e415d6e08f22de" hidden="1">低压柜!$A$422:$AC$444</definedName>
    <definedName name="cabinetData706219ac2ad24f2f8d822912f1c33155" hidden="1">低压柜!$A$1987:$AC$2010</definedName>
    <definedName name="cabinetData74032fe84bb94a7db2a563b131a7762e" hidden="1">低压柜!$A$1497:$AC$1514</definedName>
    <definedName name="cabinetData789609bce56a427ba4d038055582405d" hidden="1">低压柜!$A$2112:$AC$2132</definedName>
    <definedName name="cabinetData7b474c11e6694e62815337e4181f2406" hidden="1">低压柜!$A$2887:$AC$2908</definedName>
    <definedName name="cabinetData7ed2b6cf611c44338eb18c587d717046" hidden="1">低压柜!$A$2177:$AC$2194</definedName>
    <definedName name="cabinetData826ec2021b0042f9b4392e3c3c3576c1" hidden="1">低压柜!$A$117:$AC$141</definedName>
    <definedName name="cabinetData8702ae1e6b5c46ad8892d99fe0cb4eae" hidden="1">低压柜!$A$614:$AC$637</definedName>
    <definedName name="cabinetData8897d84575344bf89af1ebd341ed5bc0" hidden="1">低压柜!$A$583:$AC$603</definedName>
    <definedName name="cabinetData8cea3a5c93c8459bb0e54b606a2ad9d3" hidden="1">低压柜!$A$1801:$AC$1821</definedName>
    <definedName name="cabinetData903ddaf83fd646b983aca467e5212342" hidden="1">低压柜!$A$872:$AC$893</definedName>
    <definedName name="cabinetData91671449a2df4ada964769ee758d412b" hidden="1">低压柜!$A$1646:$AC$1669</definedName>
    <definedName name="cabinetData9173f496a14f4e5d80a0a5a4d2477f0e" hidden="1">低压柜!$A$998:$AC$1015</definedName>
    <definedName name="cabinetData94ba4b176c244853925789b9229c15b6" hidden="1">低压柜!$A$2084:$AC$2101</definedName>
    <definedName name="cabinetData963b95d7879c4091995b55b292fccc9d" hidden="1">低压柜!$A$2240:$AC$2257</definedName>
    <definedName name="cabinetData9672929469ab4bdf9d753c90cb411151" hidden="1">低压柜!$A$3028:$AC$3054</definedName>
    <definedName name="cabinetData9679701d50a546b495e3940bc1e83652" hidden="1">低压柜!$A$1553:$AC$1570</definedName>
    <definedName name="cabinetData99b9c28c006e46f48b158a3825b7a9a2" hidden="1">低压柜!$A$1464:$AC$1486</definedName>
    <definedName name="cabinetData9bc49df894b34e46814de5656268098f" hidden="1">低压柜!$A$1711:$AC$1734</definedName>
    <definedName name="cabinetData9c1724936fdd48328678f3423e91ea91" hidden="1">低压柜!$A$1309:$AC$1327</definedName>
    <definedName name="cabinetData9cf4bbdc65db41b0925e91687c4f2537" hidden="1">低压柜!$A$2722:$AC$2745</definedName>
    <definedName name="cabinetData9f89e69267c343e59c64d0aebcabbb0b" hidden="1">低压柜!$A$2688:$AC$2711</definedName>
    <definedName name="cabinetData9fd24479ed9743088a9bc44384237485" hidden="1">低压柜!$A$209:$AC$226</definedName>
    <definedName name="cabinetDataa07af10b6d224d128fde6e5bf2d58069" hidden="1">低压柜!$A$1773:$AC$1790</definedName>
    <definedName name="cabinetDataa090c0ac3b3744ea8a348c791f8eb0d4" hidden="1">低压柜!$A$1275:$AC$1298</definedName>
    <definedName name="cabinetDataa7b1c55f7b5843189677acf443b5bdba" hidden="1">低压柜!$A$2021:$AC$2038</definedName>
    <definedName name="cabinetDataab117b26d5364ee49a43a40bfdd04854" hidden="1">低压柜!$A$682:$AC$699</definedName>
    <definedName name="cabinetDatab89c9d3433e54cf59e66c1698bec4f1b" hidden="1">低压柜!$A$2822:$AC$2845</definedName>
    <definedName name="cabinetDatac9c7d81fd2f240dcad99924ab843c150" hidden="1">低压柜!$A$2205:$AC$2229</definedName>
    <definedName name="cabinetDatacb911359a9a449c3a18892653946e0c6" hidden="1">低压柜!$A$1745:$AC$1762</definedName>
    <definedName name="cabinetDatacc545705c1de46aba155b80729578010" hidden="1">低压柜!$A$935:$AC$958</definedName>
    <definedName name="cabinetDatacd4f5022891141b58ad7f9f1538b9ba9" hidden="1">低压柜!$A$2622:$AC$2642</definedName>
    <definedName name="cabinetDatad2c813edf6bd4d2e87cf784b470710d7" hidden="1">低压柜!$A$844:$AC$861</definedName>
    <definedName name="cabinetDatad2e822f7d7934832b23cf2545183bbfd" hidden="1">低压柜!$A$2788:$AC$2811</definedName>
    <definedName name="cabinetDatad3dfc386501f4e87a8cf2e4f3bc59173" hidden="1">低压柜!$A$359:$AC$380</definedName>
    <definedName name="cabinetDatad5b13f792a92407fad4d441559c86e7e" hidden="1">低压柜!$A$1244:$AC$1264</definedName>
    <definedName name="cabinetDatad7ae4ff1778546bd8d6572e4d20ec06e" hidden="1">低压柜!$A$648:$AC$671</definedName>
    <definedName name="cabinetDatad8a520249a6c424a829ad7fa969203dc" hidden="1">低压柜!$A$1184:$AC$1201</definedName>
    <definedName name="cabinetDatadad712436fb441d2a989dc5a202f4626" hidden="1">低压柜!$A$3102:$AC$3127</definedName>
    <definedName name="cabinetDatadcfab05de5394e7bb4dd71fa753ec299" hidden="1">低压柜!$A$2756:$AC$2777</definedName>
    <definedName name="cabinetDatae2e590cc207f41a2bd7597675ba56b18" hidden="1">低压柜!$A$1832:$AC$1855</definedName>
    <definedName name="cabinetDatae506d1df0c784f28996890c1fff5f8e2" hidden="1">低压柜!$A$1120:$AC$1144</definedName>
    <definedName name="cabinetDataea7b2ff2ecee4035b41834a760455e06" hidden="1">低压柜!$A$2361:$AC$2385</definedName>
    <definedName name="cabinetDataeb5a1b95a0524c2f8505e517f7569e0e" hidden="1">低压柜!$A$2333:$AC$2350</definedName>
    <definedName name="cabinetDataec25910da7ed4030b3c4b574008409e6" hidden="1">低压柜!$A$2856:$AC$2876</definedName>
    <definedName name="cabinetDataecd499f3b6124ecdb57623c36ae06fa6" hidden="1">低压柜!$A$2143:$AC$2166</definedName>
    <definedName name="cabinetDataf143445cb81e497b8e2cb6fa0114ad51" hidden="1">低压柜!$A$1366:$AC$1388</definedName>
    <definedName name="cabinetDataf8739b50ce084b6aba67ae6528df630a" hidden="1">低压柜!$A$555:$AC$572</definedName>
    <definedName name="cabinetDataf8faa93bf9a34fca963343ac5464a5b3" hidden="1">低压柜!$A$1026:$AC$1044</definedName>
    <definedName name="cabinetDatafb1d5c788fc547bc98f7feb18c2abf29" hidden="1">低压柜!$A$739:$AC$762</definedName>
    <definedName name="cabinetDatafcf697f4d22c47968bf6d894ec950086" hidden="1">低压柜!$A$2653:$AC$2677</definedName>
    <definedName name="cabinetDatafde04fbb37fc421ea8d5e84209d8e7d7" hidden="1">低压柜!$A$326:$AC$348</definedName>
    <definedName name="cabinetDatafee38089dc6147f686fba1144fd75c95" hidden="1">低压柜!$A$2488:$AC$2507</definedName>
    <definedName name="cabinetReserve01b40e2573d2489c89b4fa12ebeea418" hidden="1">低压柜!$A$1233:$AC$1236</definedName>
    <definedName name="cabinetReserve02f954adf12841e7ad69c0b9eb89bc69" hidden="1">低压柜!$A$2447:$AC$2450</definedName>
    <definedName name="cabinetReserve03dadffc995c45aa935c34fa05dd1439" hidden="1">低压柜!$A$2948:$AC$2951</definedName>
    <definedName name="cabinetReserve040b47966fb04169831e91c85738a681" hidden="1">低压柜!$A$728:$AC$731</definedName>
    <definedName name="cabinetReserve0b3afaf0863645f3aad8c44ed632111b" hidden="1">低压柜!$A$544:$AC$547</definedName>
    <definedName name="cabinetReserve0dad45b95fbd43579fccdfbe1c901808" hidden="1">低压柜!$A$1635:$AC$1638</definedName>
    <definedName name="cabinetReserve0e168a105b344c8c90c459a71739ff02" hidden="1">低压柜!$A$1421:$AC$1424</definedName>
    <definedName name="cabinetReserve1b90cdd2e8884a18ba037cb57b8ba30c" hidden="1">低压柜!$A$1078:$AC$1081</definedName>
    <definedName name="cabinetReserve1c80bf5bd2514170aafa6860c200da1b" hidden="1">低压柜!$A$2413:$AC$2416</definedName>
    <definedName name="cabinetReserve1f277970844f411c83304db6d0e5e946" hidden="1">低压柜!$A$2611:$AC$2614</definedName>
    <definedName name="cabinetReserve21f2fff862ba42a2a897d8a3ced3c214" hidden="1">低压柜!$A$1355:$AC$1358</definedName>
    <definedName name="cabinetReserve2333655972404404a72bbb84d1ba51e0" hidden="1">低压柜!$A$2543:$AC$2546</definedName>
    <definedName name="cabinetReserve23b8457c48ed4a3588e6c41c7a5c58b1" hidden="1">低压柜!$A$1109:$AC$1112</definedName>
    <definedName name="cabinetReserve26f33d0bbfd2476a8f7f0ed366afe4d5" hidden="1">低压柜!$A$1976:$AC$1979</definedName>
    <definedName name="cabinetReserve2860e15a7e954c87a3756bc0932b9835" hidden="1">低压柜!$A$2073:$AC$2076</definedName>
    <definedName name="cabinetReserve2c0baee9fd3940c4b14b33f0e45d1c29" hidden="1">低压柜!$A$170:$AC$173</definedName>
    <definedName name="cabinetReserve2da37c7ea19546d4b9ced62829094096" hidden="1">低压柜!$A$198:$AC$201</definedName>
    <definedName name="cabinetReserve301ebf4788094bc59ed76e409cd91d16" hidden="1">低压柜!$A$987:$AC$990</definedName>
    <definedName name="cabinetReserve31d265d7179f43318a03e4ef541f903a" hidden="1">低压柜!$A$2288:$AC$2291</definedName>
    <definedName name="cabinetReserve32b4db4a47854c819fe806d9aa2be05c" hidden="1">低压柜!$A$1917:$AC$1920</definedName>
    <definedName name="cabinetReserve339803a5f5eb4b4e8146a5b45d7f4673" hidden="1">低压柜!$A$2477:$AC$2480</definedName>
    <definedName name="cabinetReserve342e2148df1b4485915a909e69789dca" hidden="1">低压柜!$A$315:$AC$318</definedName>
    <definedName name="cabinetReserve3e80e97e8e954d0fa964fb8e79490973" hidden="1">低压柜!$A$411:$AC$414</definedName>
    <definedName name="cabinetReserve3f90036af53f4d3499611323b4e1be0a" hidden="1">低压柜!$A$2322:$AC$2325</definedName>
    <definedName name="cabinetReserve441bdbfb53e249c384b9a619c1dd9b25" hidden="1">低压柜!$A$3017:$AC$3020</definedName>
    <definedName name="cabinetReserve44c55af62375462a8dc3a79f94b91bad" hidden="1">低压柜!$A$1700:$AC$1703</definedName>
    <definedName name="cabinetReserve44edd0729b974c78891ac90cdf35939d" hidden="1">低压柜!$A$1601:$AC$1604</definedName>
    <definedName name="cabinetReserve4834befc2610459d9951e7aab1d77fc9" hidden="1">低压柜!$A$2986:$AC$2989</definedName>
    <definedName name="cabinetReserve48fdb7a10e6a49a0a05d5d923e76b7c4" hidden="1">低压柜!$A$1542:$AC$1545</definedName>
    <definedName name="cabinetReserve49878b3f27bf456ab9fb39d0dce99d67" hidden="1">低压柜!$A$3091:$AC$3094</definedName>
    <definedName name="cabinetReserve4b03b663545d479abcf0720f5693f4c9" hidden="1">低压柜!$A$509:$AC$512</definedName>
    <definedName name="cabinetReserve546a96e8c7fe48389bfd4749cbf7d1b2" hidden="1">低压柜!$A$1945:$AC$1948</definedName>
    <definedName name="cabinetReserve5482250255a9426aa80790b8b9217b9e" hidden="1">低压柜!$A$1883:$AC$1886</definedName>
    <definedName name="cabinetReserve57b16b31ed9c4266a37666d22dae88c6" hidden="1">低压柜!$A$833:$AC$836</definedName>
    <definedName name="cabinetReserve5a631dc81ae746ce9575b4257a9a8397" hidden="1">低压柜!$A$924:$AC$927</definedName>
    <definedName name="cabinetReserve5c042accb3d4428994eb9195eb9ce67a" hidden="1">低压柜!$A$2577:$AC$2580</definedName>
    <definedName name="cabinetReserve61d60d19518d4e248f002098c16cd481" hidden="1">低压柜!$A$1173:$AC$1176</definedName>
    <definedName name="cabinetReserve62c06a7d1efb4b4f8bccfda93b9f013e" hidden="1">低压柜!$A$253:$AC$256</definedName>
    <definedName name="cabinetReserve637a291ff4d546ac9e0528acd8b01080" hidden="1">低压柜!$A$798:$AC$801</definedName>
    <definedName name="cabinetReserve6491088894b44970a76df2d3ae74bbb6" hidden="1">低压柜!$A$1453:$AC$1456</definedName>
    <definedName name="cabinetReserve6a42f7b726e64e109fa6f1638de6edc7" hidden="1">低压柜!$A$474:$AC$477</definedName>
    <definedName name="cabinetReserve6b20307add1546209e38b72db8c70815" hidden="1">低压柜!$A$284:$AC$287</definedName>
    <definedName name="cabinetReserve6c534041e24d4a2d88e415d6e08f22de" hidden="1">低压柜!$A$444:$AC$447</definedName>
    <definedName name="cabinetReserve706219ac2ad24f2f8d822912f1c33155" hidden="1">低压柜!$A$2010:$AC$2013</definedName>
    <definedName name="cabinetReserve74032fe84bb94a7db2a563b131a7762e" hidden="1">低压柜!$A$1514:$AC$1517</definedName>
    <definedName name="cabinetReserve789609bce56a427ba4d038055582405d" hidden="1">低压柜!$A$2132:$AC$2135</definedName>
    <definedName name="cabinetReserve7b474c11e6694e62815337e4181f2406" hidden="1">低压柜!$A$2908:$AC$2911</definedName>
    <definedName name="cabinetReserve7ed2b6cf611c44338eb18c587d717046" hidden="1">低压柜!$A$2194:$AC$2197</definedName>
    <definedName name="cabinetReserve826ec2021b0042f9b4392e3c3c3576c1" hidden="1">低压柜!$A$141:$AC$144</definedName>
    <definedName name="cabinetReserve8702ae1e6b5c46ad8892d99fe0cb4eae" hidden="1">低压柜!$A$637:$AC$640</definedName>
    <definedName name="cabinetReserve8897d84575344bf89af1ebd341ed5bc0" hidden="1">低压柜!$A$603:$AC$606</definedName>
    <definedName name="cabinetReserve8cea3a5c93c8459bb0e54b606a2ad9d3" hidden="1">低压柜!$A$1821:$AC$1824</definedName>
    <definedName name="cabinetReserve903ddaf83fd646b983aca467e5212342" hidden="1">低压柜!$A$893:$AC$896</definedName>
    <definedName name="cabinetReserve91671449a2df4ada964769ee758d412b" hidden="1">低压柜!$A$1669:$AC$1672</definedName>
    <definedName name="cabinetReserve9173f496a14f4e5d80a0a5a4d2477f0e" hidden="1">低压柜!$A$1015:$AC$1018</definedName>
    <definedName name="cabinetReserve94ba4b176c244853925789b9229c15b6" hidden="1">低压柜!$A$2101:$AC$2104</definedName>
    <definedName name="cabinetReserve963b95d7879c4091995b55b292fccc9d" hidden="1">低压柜!$A$2257:$AC$2260</definedName>
    <definedName name="cabinetReserve9672929469ab4bdf9d753c90cb411151" hidden="1">低压柜!$A$3054:$AC$3057</definedName>
    <definedName name="cabinetReserve9679701d50a546b495e3940bc1e83652" hidden="1">低压柜!$A$1570:$AC$1573</definedName>
    <definedName name="cabinetReserve99b9c28c006e46f48b158a3825b7a9a2" hidden="1">低压柜!$A$1486:$AC$1489</definedName>
    <definedName name="cabinetReserve9bc49df894b34e46814de5656268098f" hidden="1">低压柜!$A$1734:$AC$1737</definedName>
    <definedName name="cabinetReserve9c1724936fdd48328678f3423e91ea91" hidden="1">低压柜!$A$1327:$AC$1330</definedName>
    <definedName name="cabinetReserve9cf4bbdc65db41b0925e91687c4f2537" hidden="1">低压柜!$A$2745:$AC$2748</definedName>
    <definedName name="cabinetReserve9f89e69267c343e59c64d0aebcabbb0b" hidden="1">低压柜!$A$2711:$AC$2714</definedName>
    <definedName name="cabinetReserve9fd24479ed9743088a9bc44384237485" hidden="1">低压柜!$A$226:$AC$229</definedName>
    <definedName name="cabinetReservea07af10b6d224d128fde6e5bf2d58069" hidden="1">低压柜!$A$1790:$AC$1793</definedName>
    <definedName name="cabinetReservea090c0ac3b3744ea8a348c791f8eb0d4" hidden="1">低压柜!$A$1298:$AC$1301</definedName>
    <definedName name="cabinetReservea7b1c55f7b5843189677acf443b5bdba" hidden="1">低压柜!$A$2038:$AC$2041</definedName>
    <definedName name="cabinetReserveab117b26d5364ee49a43a40bfdd04854" hidden="1">低压柜!$A$699:$AC$702</definedName>
    <definedName name="cabinetReserveb89c9d3433e54cf59e66c1698bec4f1b" hidden="1">低压柜!$A$2845:$AC$2848</definedName>
    <definedName name="cabinetReservec9c7d81fd2f240dcad99924ab843c150" hidden="1">低压柜!$A$2229:$AC$2232</definedName>
    <definedName name="cabinetReservecb911359a9a449c3a18892653946e0c6" hidden="1">低压柜!$A$1762:$AC$1765</definedName>
    <definedName name="cabinetReservecc545705c1de46aba155b80729578010" hidden="1">低压柜!$A$958:$AC$961</definedName>
    <definedName name="cabinetReservecd4f5022891141b58ad7f9f1538b9ba9" hidden="1">低压柜!$A$2642:$AC$2645</definedName>
    <definedName name="cabinetReserved2c813edf6bd4d2e87cf784b470710d7" hidden="1">低压柜!$A$861:$AC$864</definedName>
    <definedName name="cabinetReserved2e822f7d7934832b23cf2545183bbfd" hidden="1">低压柜!$A$2811:$AC$2814</definedName>
    <definedName name="cabinetReserved3dfc386501f4e87a8cf2e4f3bc59173" hidden="1">低压柜!$A$380:$AC$383</definedName>
    <definedName name="cabinetReserved5b13f792a92407fad4d441559c86e7e" hidden="1">低压柜!$A$1264:$AC$1267</definedName>
    <definedName name="cabinetReserved7ae4ff1778546bd8d6572e4d20ec06e" hidden="1">低压柜!$A$671:$AC$674</definedName>
    <definedName name="cabinetReserved8a520249a6c424a829ad7fa969203dc" hidden="1">低压柜!$A$1201:$AC$1204</definedName>
    <definedName name="cabinetReservedad712436fb441d2a989dc5a202f4626" hidden="1">低压柜!$A$3127:$AC$3130</definedName>
    <definedName name="cabinetReservedcfab05de5394e7bb4dd71fa753ec299" hidden="1">低压柜!$A$2777:$AC$2780</definedName>
    <definedName name="cabinetReservee2e590cc207f41a2bd7597675ba56b18" hidden="1">低压柜!$A$1855:$AC$1858</definedName>
    <definedName name="cabinetReservee506d1df0c784f28996890c1fff5f8e2" hidden="1">低压柜!$A$1144:$AC$1147</definedName>
    <definedName name="cabinetReserveea7b2ff2ecee4035b41834a760455e06" hidden="1">低压柜!$A$2385:$AC$2388</definedName>
    <definedName name="cabinetReserveeb5a1b95a0524c2f8505e517f7569e0e" hidden="1">低压柜!$A$2350:$AC$2353</definedName>
    <definedName name="cabinetReserveec25910da7ed4030b3c4b574008409e6" hidden="1">低压柜!$A$2876:$AC$2879</definedName>
    <definedName name="cabinetReserveecd499f3b6124ecdb57623c36ae06fa6" hidden="1">低压柜!$A$2166:$AC$2169</definedName>
    <definedName name="cabinetReservef143445cb81e497b8e2cb6fa0114ad51" hidden="1">低压柜!$A$1388:$AC$1391</definedName>
    <definedName name="cabinetReservef8739b50ce084b6aba67ae6528df630a" hidden="1">低压柜!$A$572:$AC$575</definedName>
    <definedName name="cabinetReservef8faa93bf9a34fca963343ac5464a5b3" hidden="1">低压柜!$A$1044:$AC$1047</definedName>
    <definedName name="cabinetReservefb1d5c788fc547bc98f7feb18c2abf29" hidden="1">低压柜!$A$762:$AC$765</definedName>
    <definedName name="cabinetReservefcf697f4d22c47968bf6d894ec950086" hidden="1">低压柜!$A$2677:$AC$2680</definedName>
    <definedName name="cabinetReservefde04fbb37fc421ea8d5e84209d8e7d7" hidden="1">低压柜!$A$348:$AC$351</definedName>
    <definedName name="cabinetReservefee38089dc6147f686fba1144fd75c95" hidden="1">低压柜!$A$2507:$AC$2510</definedName>
    <definedName name="cabinetTable01b40e2573d2489c89b4fa12ebeea418" hidden="1">低压柜!$A$1208:$AC$1239</definedName>
    <definedName name="cabinetTable02f954adf12841e7ad69c0b9eb89bc69" hidden="1">低压柜!$A$2420:$AC$2453</definedName>
    <definedName name="cabinetTable03dadffc995c45aa935c34fa05dd1439" hidden="1">低压柜!$A$2915:$AC$2954</definedName>
    <definedName name="cabinetTable040b47966fb04169831e91c85738a681" hidden="1">低压柜!$A$706:$AC$734</definedName>
    <definedName name="cabinetTable0b3afaf0863645f3aad8c44ed632111b" hidden="1">低压柜!$A$516:$AC$550</definedName>
    <definedName name="cabinetTable0dad45b95fbd43579fccdfbe1c901808" hidden="1">低压柜!$A$1608:$AC$1641</definedName>
    <definedName name="cabinetTable0e168a105b344c8c90c459a71739ff02" hidden="1">低压柜!$A$1395:$AC$1427</definedName>
    <definedName name="cabinetTable1b90cdd2e8884a18ba037cb57b8ba30c" hidden="1">低压柜!$A$1051:$AC$1084</definedName>
    <definedName name="cabinetTable1c80bf5bd2514170aafa6860c200da1b" hidden="1">低压柜!$A$2392:$AC$2419</definedName>
    <definedName name="cabinetTable1f277970844f411c83304db6d0e5e946" hidden="1">低压柜!$A$2584:$AC$2617</definedName>
    <definedName name="cabinetTable21f2fff862ba42a2a897d8a3ced3c214" hidden="1">低压柜!$A$1334:$AC$1361</definedName>
    <definedName name="cabinetTable2333655972404404a72bbb84d1ba51e0" hidden="1">低压柜!$A$2514:$AC$2549</definedName>
    <definedName name="cabinetTable23b8457c48ed4a3588e6c41c7a5c58b1" hidden="1">低压柜!$A$1085:$AC$1115</definedName>
    <definedName name="cabinetTable26f33d0bbfd2476a8f7f0ed366afe4d5" hidden="1">低压柜!$A$1952:$AC$1982</definedName>
    <definedName name="cabinetTable2860e15a7e954c87a3756bc0932b9835" hidden="1">低压柜!$A$2045:$AC$2079</definedName>
    <definedName name="cabinetTable2c0baee9fd3940c4b14b33f0e45d1c29" hidden="1">低压柜!$A$148:$AC$176</definedName>
    <definedName name="cabinetTable2da37c7ea19546d4b9ced62829094096" hidden="1">低压柜!$A$177:$AC$204</definedName>
    <definedName name="cabinetTable301ebf4788094bc59ed76e409cd91d16" hidden="1">低压柜!$A$965:$AC$993</definedName>
    <definedName name="cabinetTable31d265d7179f43318a03e4ef541f903a" hidden="1">低压柜!$A$2264:$AC$2294</definedName>
    <definedName name="cabinetTable32b4db4a47854c819fe806d9aa2be05c" hidden="1">低压柜!$A$1890:$AC$1923</definedName>
    <definedName name="cabinetTable339803a5f5eb4b4e8146a5b45d7f4673" hidden="1">低压柜!$A$2454:$AC$2483</definedName>
    <definedName name="cabinetTable342e2148df1b4485915a909e69789dca" hidden="1">低压柜!$A$291:$AC$321</definedName>
    <definedName name="cabinetTable3e80e97e8e954d0fa964fb8e79490973" hidden="1">低压柜!$A$387:$AC$417</definedName>
    <definedName name="cabinetTable3f90036af53f4d3499611323b4e1be0a" hidden="1">低压柜!$A$2295:$AC$2328</definedName>
    <definedName name="cabinetTable441bdbfb53e249c384b9a619c1dd9b25" hidden="1">低压柜!$A$2993:$AC$3023</definedName>
    <definedName name="cabinetTable44c55af62375462a8dc3a79f94b91bad" hidden="1">低压柜!$A$1676:$AC$1706</definedName>
    <definedName name="cabinetTable44edd0729b974c78891ac90cdf35939d" hidden="1">低压柜!$A$1577:$AC$1607</definedName>
    <definedName name="cabinetTable4834befc2610459d9951e7aab1d77fc9" hidden="1">低压柜!$A$2955:$AC$2992</definedName>
    <definedName name="cabinetTable48fdb7a10e6a49a0a05d5d923e76b7c4" hidden="1">低压柜!$A$1521:$AC$1548</definedName>
    <definedName name="cabinetTable49878b3f27bf456ab9fb39d0dce99d67" hidden="1">低压柜!$A$3061:$AC$3097</definedName>
    <definedName name="cabinetTable4b03b663545d479abcf0720f5693f4c9" hidden="1">低压柜!$A$481:$AC$515</definedName>
    <definedName name="cabinetTable546a96e8c7fe48389bfd4749cbf7d1b2" hidden="1">低压柜!$A$1924:$AC$1951</definedName>
    <definedName name="cabinetTable5482250255a9426aa80790b8b9217b9e" hidden="1">低压柜!$A$1862:$AC$1889</definedName>
    <definedName name="cabinetTable57b16b31ed9c4266a37666d22dae88c6" hidden="1">低压柜!$A$805:$AC$839</definedName>
    <definedName name="cabinetTable5a631dc81ae746ce9575b4257a9a8397" hidden="1">低压柜!$A$900:$AC$930</definedName>
    <definedName name="cabinetTable5c042accb3d4428994eb9195eb9ce67a" hidden="1">低压柜!$A$2550:$AC$2583</definedName>
    <definedName name="cabinetTable61d60d19518d4e248f002098c16cd481" hidden="1">低压柜!$A$1151:$AC$1179</definedName>
    <definedName name="cabinetTable62c06a7d1efb4b4f8bccfda93b9f013e" hidden="1">低压柜!$A$233:$AC$259</definedName>
    <definedName name="cabinetTable637a291ff4d546ac9e0528acd8b01080" hidden="1">低压柜!$A$769:$AC$804</definedName>
    <definedName name="cabinetTable6491088894b44970a76df2d3ae74bbb6" hidden="1">低压柜!$A$1428:$AC$1459</definedName>
    <definedName name="cabinetTable6a42f7b726e64e109fa6f1638de6edc7" hidden="1">低压柜!$A$451:$AC$480</definedName>
    <definedName name="cabinetTable6b20307add1546209e38b72db8c70815" hidden="1">低压柜!$A$260:$AC$290</definedName>
    <definedName name="cabinetTable6c534041e24d4a2d88e415d6e08f22de" hidden="1">低压柜!$A$418:$AC$450</definedName>
    <definedName name="cabinetTable706219ac2ad24f2f8d822912f1c33155" hidden="1">低压柜!$A$1983:$AC$2016</definedName>
    <definedName name="cabinetTable74032fe84bb94a7db2a563b131a7762e" hidden="1">低压柜!$A$1493:$AC$1520</definedName>
    <definedName name="cabinetTable789609bce56a427ba4d038055582405d" hidden="1">低压柜!$A$2108:$AC$2138</definedName>
    <definedName name="cabinetTable7b474c11e6694e62815337e4181f2406" hidden="1">低压柜!$A$2883:$AC$2914</definedName>
    <definedName name="cabinetTable7ed2b6cf611c44338eb18c587d717046" hidden="1">低压柜!$A$2173:$AC$2200</definedName>
    <definedName name="cabinetTable826ec2021b0042f9b4392e3c3c3576c1" hidden="1">低压柜!$A$113:$AC$147</definedName>
    <definedName name="cabinetTable8702ae1e6b5c46ad8892d99fe0cb4eae" hidden="1">低压柜!$A$610:$AC$643</definedName>
    <definedName name="cabinetTable8897d84575344bf89af1ebd341ed5bc0" hidden="1">低压柜!$A$579:$AC$609</definedName>
    <definedName name="cabinetTable8cea3a5c93c8459bb0e54b606a2ad9d3" hidden="1">低压柜!$A$1797:$AC$1827</definedName>
    <definedName name="cabinetTable903ddaf83fd646b983aca467e5212342" hidden="1">低压柜!$A$868:$AC$899</definedName>
    <definedName name="cabinetTable91671449a2df4ada964769ee758d412b" hidden="1">低压柜!$A$1642:$AC$1675</definedName>
    <definedName name="cabinetTable9173f496a14f4e5d80a0a5a4d2477f0e" hidden="1">低压柜!$A$994:$AC$1021</definedName>
    <definedName name="cabinetTable94ba4b176c244853925789b9229c15b6" hidden="1">低压柜!$A$2080:$AC$2107</definedName>
    <definedName name="cabinetTable963b95d7879c4091995b55b292fccc9d" hidden="1">低压柜!$A$2236:$AC$2263</definedName>
    <definedName name="cabinetTable9672929469ab4bdf9d753c90cb411151" hidden="1">低压柜!$A$3024:$AC$3060</definedName>
    <definedName name="cabinetTable9679701d50a546b495e3940bc1e83652" hidden="1">低压柜!$A$1549:$AC$1576</definedName>
    <definedName name="cabinetTable99b9c28c006e46f48b158a3825b7a9a2" hidden="1">低压柜!$A$1460:$AC$1492</definedName>
    <definedName name="cabinetTable9bc49df894b34e46814de5656268098f" hidden="1">低压柜!$A$1707:$AC$1740</definedName>
    <definedName name="cabinetTable9c1724936fdd48328678f3423e91ea91" hidden="1">低压柜!$A$1305:$AC$1333</definedName>
    <definedName name="cabinetTable9cf4bbdc65db41b0925e91687c4f2537" hidden="1">低压柜!$A$2718:$AC$2751</definedName>
    <definedName name="cabinetTable9f89e69267c343e59c64d0aebcabbb0b" hidden="1">低压柜!$A$2684:$AC$2717</definedName>
    <definedName name="cabinetTable9fd24479ed9743088a9bc44384237485" hidden="1">低压柜!$A$205:$AC$232</definedName>
    <definedName name="cabinetTablea07af10b6d224d128fde6e5bf2d58069" hidden="1">低压柜!$A$1769:$AC$1796</definedName>
    <definedName name="cabinetTablea090c0ac3b3744ea8a348c791f8eb0d4" hidden="1">低压柜!$A$1271:$AC$1304</definedName>
    <definedName name="cabinetTablea7b1c55f7b5843189677acf443b5bdba" hidden="1">低压柜!$A$2017:$AC$2044</definedName>
    <definedName name="cabinetTableab117b26d5364ee49a43a40bfdd04854" hidden="1">低压柜!$A$678:$AC$705</definedName>
    <definedName name="cabinetTableb89c9d3433e54cf59e66c1698bec4f1b" hidden="1">低压柜!$A$2818:$AC$2851</definedName>
    <definedName name="cabinetTablec9c7d81fd2f240dcad99924ab843c150" hidden="1">低压柜!$A$2201:$AC$2235</definedName>
    <definedName name="cabinetTablecb911359a9a449c3a18892653946e0c6" hidden="1">低压柜!$A$1741:$AC$1768</definedName>
    <definedName name="cabinetTablecc545705c1de46aba155b80729578010" hidden="1">低压柜!$A$931:$AC$964</definedName>
    <definedName name="cabinetTablecd4f5022891141b58ad7f9f1538b9ba9" hidden="1">低压柜!$A$2618:$AC$2648</definedName>
    <definedName name="cabinetTabled2c813edf6bd4d2e87cf784b470710d7" hidden="1">低压柜!$A$840:$AC$867</definedName>
    <definedName name="cabinetTabled2e822f7d7934832b23cf2545183bbfd" hidden="1">低压柜!$A$2784:$AC$2817</definedName>
    <definedName name="cabinetTabled3dfc386501f4e87a8cf2e4f3bc59173" hidden="1">低压柜!$A$355:$AC$386</definedName>
    <definedName name="cabinetTabled5b13f792a92407fad4d441559c86e7e" hidden="1">低压柜!$A$1240:$AC$1270</definedName>
    <definedName name="cabinetTabled7ae4ff1778546bd8d6572e4d20ec06e" hidden="1">低压柜!$A$644:$AC$677</definedName>
    <definedName name="cabinetTabled8a520249a6c424a829ad7fa969203dc" hidden="1">低压柜!$A$1180:$AC$1207</definedName>
    <definedName name="cabinetTabledad712436fb441d2a989dc5a202f4626" hidden="1">低压柜!$A$3098:$AC$3133</definedName>
    <definedName name="cabinetTabledcfab05de5394e7bb4dd71fa753ec299" hidden="1">低压柜!$A$2752:$AC$2783</definedName>
    <definedName name="cabinetTablee2e590cc207f41a2bd7597675ba56b18" hidden="1">低压柜!$A$1828:$AC$1861</definedName>
    <definedName name="cabinetTablee506d1df0c784f28996890c1fff5f8e2" hidden="1">低压柜!$A$1116:$AC$1150</definedName>
    <definedName name="cabinetTableea7b2ff2ecee4035b41834a760455e06" hidden="1">低压柜!$A$2357:$AC$2391</definedName>
    <definedName name="cabinetTableeb5a1b95a0524c2f8505e517f7569e0e" hidden="1">低压柜!$A$2329:$AC$2356</definedName>
    <definedName name="cabinetTableec25910da7ed4030b3c4b574008409e6" hidden="1">低压柜!$A$2852:$AC$2882</definedName>
    <definedName name="cabinetTableecd499f3b6124ecdb57623c36ae06fa6" hidden="1">低压柜!$A$2139:$AC$2172</definedName>
    <definedName name="cabinetTablef143445cb81e497b8e2cb6fa0114ad51" hidden="1">低压柜!$A$1362:$AC$1394</definedName>
    <definedName name="cabinetTablef8739b50ce084b6aba67ae6528df630a" hidden="1">低压柜!$A$551:$AC$578</definedName>
    <definedName name="cabinetTablef8faa93bf9a34fca963343ac5464a5b3" hidden="1">低压柜!$A$1022:$AC$1050</definedName>
    <definedName name="cabinetTablefb1d5c788fc547bc98f7feb18c2abf29" hidden="1">低压柜!$A$735:$AC$768</definedName>
    <definedName name="cabinetTablefcf697f4d22c47968bf6d894ec950086" hidden="1">低压柜!$A$2649:$AC$2683</definedName>
    <definedName name="cabinetTablefde04fbb37fc421ea8d5e84209d8e7d7" hidden="1">低压柜!$A$322:$AC$354</definedName>
    <definedName name="cabinetTablefee38089dc6147f686fba1144fd75c95" hidden="1">低压柜!$A$2484:$AC$2513</definedName>
    <definedName name="folderDatae32ba25eda8d4a59a0a0201137327f11" hidden="1">低压柜!$A$6:$Q$103</definedName>
    <definedName name="folderReservee32ba25eda8d4a59a0a0201137327f11" hidden="1">低压柜!$A$103:$Q$107</definedName>
    <definedName name="folderTablee32ba25eda8d4a59a0a0201137327f11" hidden="1">低压柜!$A$1:$Q$112</definedName>
    <definedName name="projectData" hidden="1">项目信息!$A$28:$Q$53</definedName>
    <definedName name="projectReserve" hidden="1">项目信息!$A$53:$Q$55</definedName>
  </definedNames>
  <calcPr calcId="191029" fullCalcOnLoad="1"/>
</workbook>
</file>

<file path=xl/styles.xml><?xml version="1.0" encoding="utf-8"?>
<styleSheet xmlns="http://schemas.openxmlformats.org/spreadsheetml/2006/main">
  <numFmts count="9">
    <numFmt numFmtId="164" formatCode="0.00_ ;[Red]\-0.00\ "/>
    <numFmt numFmtId="165" formatCode="0.00_);"/>
    <numFmt numFmtId="166" formatCode="0.00_);[Red]\-0.00_)"/>
    <numFmt numFmtId="167" formatCode="0_);[Red]\(0\)"/>
    <numFmt numFmtId="168" formatCode="\¥#,##0;\¥\-#,##0"/>
    <numFmt numFmtId="169" formatCode="0_ ;[Red]\-0\ "/>
    <numFmt numFmtId="170" formatCode="&quot;备注:&quot;@"/>
    <numFmt numFmtId="171" formatCode="&quot;图号:&quot;@"/>
    <numFmt numFmtId="172" formatCode="0.00_);[Red]\(0.00\)"/>
  </numFmts>
  <fonts count="42">
    <font>
      <name val="宋体"/>
      <charset val="134"/>
      <color theme="1"/>
      <sz val="11"/>
      <scheme val="minor"/>
    </font>
    <font>
      <name val="宋体"/>
      <charset val="134"/>
      <color rgb="FF000000"/>
      <sz val="11"/>
      <scheme val="minor"/>
    </font>
    <font>
      <name val="宋体"/>
      <charset val="134"/>
      <color theme="1"/>
      <sz val="11"/>
      <scheme val="minor"/>
    </font>
    <font>
      <name val="宋体"/>
      <charset val="134"/>
      <sz val="11"/>
      <scheme val="minor"/>
    </font>
    <font>
      <name val="宋体"/>
      <charset val="134"/>
      <b val="1"/>
      <color indexed="8"/>
      <sz val="16"/>
      <scheme val="minor"/>
    </font>
    <font>
      <name val="Arial"/>
      <charset val="134"/>
      <b val="1"/>
      <color indexed="8"/>
      <sz val="12"/>
    </font>
    <font>
      <name val="宋体"/>
      <charset val="134"/>
      <color indexed="8"/>
      <sz val="12"/>
      <scheme val="minor"/>
    </font>
    <font>
      <name val="宋体"/>
      <charset val="134"/>
      <sz val="12"/>
      <scheme val="minor"/>
    </font>
    <font>
      <name val="宋体"/>
      <charset val="134"/>
      <color rgb="FF0000FF"/>
      <sz val="11"/>
      <u val="single"/>
      <scheme val="minor"/>
    </font>
    <font>
      <name val="宋体"/>
      <charset val="134"/>
      <color indexed="8"/>
      <sz val="11"/>
      <scheme val="minor"/>
    </font>
    <font>
      <name val="宋体"/>
      <charset val="134"/>
      <b val="1"/>
      <color indexed="8"/>
      <sz val="11"/>
      <scheme val="minor"/>
    </font>
    <font>
      <name val="宋体"/>
      <charset val="134"/>
      <color rgb="FF800080"/>
      <sz val="11"/>
      <u val="single"/>
      <scheme val="minor"/>
    </font>
    <font>
      <name val="宋体"/>
      <charset val="134"/>
      <color theme="10"/>
      <sz val="11"/>
      <u val="single"/>
      <scheme val="minor"/>
    </font>
    <font>
      <name val="Arial"/>
      <charset val="134"/>
      <b val="1"/>
      <sz val="12"/>
    </font>
    <font>
      <name val="宋体"/>
      <charset val="134"/>
      <b val="1"/>
      <color theme="0" tint="-0.149998474074526"/>
      <sz val="11"/>
      <scheme val="minor"/>
    </font>
    <font>
      <name val="宋体"/>
      <charset val="134"/>
      <sz val="9"/>
      <scheme val="minor"/>
    </font>
    <font>
      <name val="宋体"/>
      <charset val="134"/>
      <b val="1"/>
      <sz val="9"/>
      <scheme val="minor"/>
    </font>
    <font>
      <name val="宋体"/>
      <charset val="134"/>
      <b val="1"/>
      <sz val="11"/>
      <scheme val="minor"/>
    </font>
    <font>
      <name val="宋体"/>
      <charset val="134"/>
      <color indexed="8"/>
      <sz val="14"/>
      <scheme val="minor"/>
    </font>
    <font>
      <name val="宋体"/>
      <charset val="134"/>
      <b val="1"/>
      <color theme="1"/>
      <sz val="11"/>
      <scheme val="minor"/>
    </font>
    <font>
      <name val="宋体"/>
      <charset val="134"/>
      <b val="1"/>
      <color indexed="8"/>
      <sz val="9"/>
      <scheme val="minor"/>
    </font>
    <font>
      <name val="宋体"/>
      <charset val="134"/>
      <color indexed="8"/>
      <sz val="11"/>
    </font>
    <font>
      <name val="宋体"/>
      <charset val="134"/>
      <color theme="1"/>
      <sz val="11"/>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libri"/>
      <charset val="134"/>
      <sz val="11"/>
    </font>
  </fonts>
  <fills count="51">
    <fill>
      <patternFill/>
    </fill>
    <fill>
      <patternFill patternType="gray125"/>
    </fill>
    <fill>
      <patternFill patternType="solid">
        <fgColor theme="0" tint="-0.149998474074526"/>
        <bgColor indexed="64"/>
      </patternFill>
    </fill>
    <fill>
      <patternFill patternType="solid">
        <fgColor theme="0"/>
        <bgColor indexed="64"/>
      </patternFill>
    </fill>
    <fill>
      <patternFill patternType="solid">
        <fgColor theme="4" tint="0.399945066682943"/>
        <bgColor indexed="64"/>
      </patternFill>
    </fill>
    <fill>
      <patternFill patternType="solid">
        <fgColor theme="0" tint="-0.0499893185216834"/>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0" tint="-0.14996795556505"/>
        <bgColor indexed="64"/>
      </patternFill>
    </fill>
    <fill>
      <patternFill patternType="solid">
        <fgColor theme="5"/>
        <bgColor indexed="64"/>
      </patternFill>
    </fill>
    <fill>
      <patternFill patternType="solid">
        <fgColor rgb="FFCEAEE0"/>
        <bgColor indexed="64"/>
      </patternFill>
    </fill>
    <fill>
      <patternFill patternType="solid">
        <fgColor theme="6"/>
        <bgColor indexed="64"/>
      </patternFill>
    </fill>
    <fill>
      <patternFill patternType="solid">
        <fgColor rgb="FFFFFF99"/>
        <bgColor indexed="64"/>
      </patternFill>
    </fill>
    <fill>
      <patternFill patternType="solid">
        <fgColor theme="4" tint="0.599963377788629"/>
        <bgColor indexed="64"/>
      </patternFill>
    </fill>
    <fill>
      <patternFill patternType="solid">
        <fgColor theme="7" tint="0.799951170384838"/>
        <bgColor indexed="64"/>
      </patternFill>
    </fill>
    <fill>
      <patternFill patternType="solid">
        <fgColor theme="9" tint="0.799951170384838"/>
        <bgColor indexed="64"/>
      </patternFill>
    </fill>
    <fill>
      <patternFill patternType="solid">
        <fgColor theme="8" tint="0.799951170384838"/>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top style="hair">
        <color auto="1"/>
      </top>
      <bottom style="thin">
        <color auto="1"/>
      </bottom>
      <diagonal/>
    </border>
    <border>
      <left style="hair">
        <color auto="1"/>
      </left>
      <right style="hair">
        <color auto="1"/>
      </right>
      <top/>
      <bottom style="thin">
        <color auto="1"/>
      </bottom>
      <diagonal/>
    </border>
    <border>
      <left/>
      <right style="hair">
        <color auto="1"/>
      </right>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style="hair">
        <color auto="1"/>
      </bottom>
      <diagonal/>
    </border>
    <border>
      <left/>
      <right style="hair">
        <color auto="1"/>
      </right>
      <top/>
      <bottom style="hair">
        <color auto="1"/>
      </bottom>
      <diagonal/>
    </border>
    <border>
      <left style="hair">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hair">
        <color auto="1"/>
      </left>
      <right/>
      <top/>
      <bottom style="hair">
        <color auto="1"/>
      </bottom>
      <diagonal/>
    </border>
    <border>
      <left/>
      <right style="thin">
        <color auto="1"/>
      </right>
      <top style="hair">
        <color auto="1"/>
      </top>
      <bottom style="hair">
        <color auto="1"/>
      </bottom>
      <diagonal/>
    </border>
    <border>
      <left style="hair">
        <color auto="1"/>
      </left>
      <right style="hair">
        <color auto="1"/>
      </right>
      <top style="hair">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style="thin">
        <color auto="1"/>
      </right>
      <top style="thin">
        <color auto="1"/>
      </top>
      <bottom/>
      <diagonal/>
    </border>
    <border>
      <left/>
      <right/>
      <top style="hair">
        <color auto="1"/>
      </top>
      <bottom/>
      <diagonal/>
    </border>
    <border>
      <left/>
      <right style="thin">
        <color auto="1"/>
      </right>
      <top style="hair">
        <color auto="1"/>
      </top>
      <bottom/>
      <diagonal/>
    </border>
    <border>
      <left style="hair">
        <color auto="1"/>
      </left>
      <right/>
      <top/>
      <bottom/>
      <diagonal/>
    </border>
    <border>
      <left style="hair">
        <color auto="1"/>
      </left>
      <right style="hair">
        <color auto="1"/>
      </right>
      <top/>
      <bottom/>
      <diagonal/>
    </border>
    <border>
      <left/>
      <right style="hair">
        <color auto="1"/>
      </right>
      <top style="hair">
        <color auto="1"/>
      </top>
      <bottom/>
      <diagonal/>
    </border>
    <border>
      <left/>
      <right style="hair">
        <color auto="1"/>
      </right>
      <top/>
      <bottom/>
      <diagonal/>
    </border>
    <border>
      <left/>
      <right/>
      <top/>
      <bottom style="hair">
        <color auto="1"/>
      </bottom>
      <diagonal/>
    </border>
    <border>
      <left style="thin">
        <color auto="1"/>
      </left>
      <right style="hair">
        <color auto="1"/>
      </right>
      <top/>
      <bottom/>
      <diagonal/>
    </border>
  </borders>
  <cellStyleXfs count="50">
    <xf numFmtId="0" fontId="22" fillId="0" borderId="0" applyAlignment="1">
      <alignment vertical="center"/>
    </xf>
    <xf numFmtId="43" fontId="22" fillId="0" borderId="0" applyAlignment="1">
      <alignment vertical="center"/>
    </xf>
    <xf numFmtId="44" fontId="22" fillId="0" borderId="0" applyAlignment="1">
      <alignment vertical="center"/>
    </xf>
    <xf numFmtId="9" fontId="22" fillId="0" borderId="0" applyAlignment="1">
      <alignment vertical="center"/>
    </xf>
    <xf numFmtId="41" fontId="22" fillId="0" borderId="0" applyAlignment="1">
      <alignment vertical="center"/>
    </xf>
    <xf numFmtId="42" fontId="22" fillId="0" borderId="0" applyAlignment="1">
      <alignment vertical="center"/>
    </xf>
    <xf numFmtId="0" fontId="12" fillId="0" borderId="0" applyAlignment="1">
      <alignment vertical="center"/>
    </xf>
    <xf numFmtId="0" fontId="23" fillId="0" borderId="0" applyAlignment="1">
      <alignment vertical="center"/>
    </xf>
    <xf numFmtId="0" fontId="22" fillId="20" borderId="32" applyAlignment="1">
      <alignment vertical="center"/>
    </xf>
    <xf numFmtId="0" fontId="24" fillId="0" borderId="0" applyAlignment="1">
      <alignment vertical="center"/>
    </xf>
    <xf numFmtId="0" fontId="25" fillId="0" borderId="0" applyAlignment="1">
      <alignment vertical="center"/>
    </xf>
    <xf numFmtId="0" fontId="26" fillId="0" borderId="0" applyAlignment="1">
      <alignment vertical="center"/>
    </xf>
    <xf numFmtId="0" fontId="27" fillId="0" borderId="33" applyAlignment="1">
      <alignment vertical="center"/>
    </xf>
    <xf numFmtId="0" fontId="28" fillId="0" borderId="33" applyAlignment="1">
      <alignment vertical="center"/>
    </xf>
    <xf numFmtId="0" fontId="29" fillId="0" borderId="34" applyAlignment="1">
      <alignment vertical="center"/>
    </xf>
    <xf numFmtId="0" fontId="29" fillId="0" borderId="0" applyAlignment="1">
      <alignment vertical="center"/>
    </xf>
    <xf numFmtId="0" fontId="30" fillId="21" borderId="35" applyAlignment="1">
      <alignment vertical="center"/>
    </xf>
    <xf numFmtId="0" fontId="31" fillId="22" borderId="36" applyAlignment="1">
      <alignment vertical="center"/>
    </xf>
    <xf numFmtId="0" fontId="32" fillId="22" borderId="35" applyAlignment="1">
      <alignment vertical="center"/>
    </xf>
    <xf numFmtId="0" fontId="33" fillId="23" borderId="37" applyAlignment="1">
      <alignment vertical="center"/>
    </xf>
    <xf numFmtId="0" fontId="34" fillId="0" borderId="38" applyAlignment="1">
      <alignment vertical="center"/>
    </xf>
    <xf numFmtId="0" fontId="35" fillId="0" borderId="39" applyAlignment="1">
      <alignment vertical="center"/>
    </xf>
    <xf numFmtId="0" fontId="36" fillId="24" borderId="0" applyAlignment="1">
      <alignment vertical="center"/>
    </xf>
    <xf numFmtId="0" fontId="37" fillId="25" borderId="0" applyAlignment="1">
      <alignment vertical="center"/>
    </xf>
    <xf numFmtId="0" fontId="38" fillId="26" borderId="0" applyAlignment="1">
      <alignment vertical="center"/>
    </xf>
    <xf numFmtId="0" fontId="39" fillId="27" borderId="0" applyAlignment="1">
      <alignment vertical="center"/>
    </xf>
    <xf numFmtId="0" fontId="40" fillId="28" borderId="0" applyAlignment="1">
      <alignment vertical="center"/>
    </xf>
    <xf numFmtId="0" fontId="40" fillId="29" borderId="0" applyAlignment="1">
      <alignment vertical="center"/>
    </xf>
    <xf numFmtId="0" fontId="39" fillId="30" borderId="0" applyAlignment="1">
      <alignment vertical="center"/>
    </xf>
    <xf numFmtId="0" fontId="39" fillId="31" borderId="0" applyAlignment="1">
      <alignment vertical="center"/>
    </xf>
    <xf numFmtId="0" fontId="40" fillId="32" borderId="0" applyAlignment="1">
      <alignment vertical="center"/>
    </xf>
    <xf numFmtId="0" fontId="40" fillId="33" borderId="0" applyAlignment="1">
      <alignment vertical="center"/>
    </xf>
    <xf numFmtId="0" fontId="39" fillId="34" borderId="0" applyAlignment="1">
      <alignment vertical="center"/>
    </xf>
    <xf numFmtId="0" fontId="39" fillId="35" borderId="0" applyAlignment="1">
      <alignment vertical="center"/>
    </xf>
    <xf numFmtId="0" fontId="40" fillId="36" borderId="0" applyAlignment="1">
      <alignment vertical="center"/>
    </xf>
    <xf numFmtId="0" fontId="40" fillId="37" borderId="0" applyAlignment="1">
      <alignment vertical="center"/>
    </xf>
    <xf numFmtId="0" fontId="39" fillId="38" borderId="0" applyAlignment="1">
      <alignment vertical="center"/>
    </xf>
    <xf numFmtId="0" fontId="39" fillId="39" borderId="0" applyAlignment="1">
      <alignment vertical="center"/>
    </xf>
    <xf numFmtId="0" fontId="40" fillId="40" borderId="0" applyAlignment="1">
      <alignment vertical="center"/>
    </xf>
    <xf numFmtId="0" fontId="40" fillId="41" borderId="0" applyAlignment="1">
      <alignment vertical="center"/>
    </xf>
    <xf numFmtId="0" fontId="39" fillId="42" borderId="0" applyAlignment="1">
      <alignment vertical="center"/>
    </xf>
    <xf numFmtId="0" fontId="39" fillId="43" borderId="0" applyAlignment="1">
      <alignment vertical="center"/>
    </xf>
    <xf numFmtId="0" fontId="40" fillId="44" borderId="0" applyAlignment="1">
      <alignment vertical="center"/>
    </xf>
    <xf numFmtId="0" fontId="40" fillId="45" borderId="0" applyAlignment="1">
      <alignment vertical="center"/>
    </xf>
    <xf numFmtId="0" fontId="39" fillId="46" borderId="0" applyAlignment="1">
      <alignment vertical="center"/>
    </xf>
    <xf numFmtId="0" fontId="39" fillId="47" borderId="0" applyAlignment="1">
      <alignment vertical="center"/>
    </xf>
    <xf numFmtId="0" fontId="40" fillId="48" borderId="0" applyAlignment="1">
      <alignment vertical="center"/>
    </xf>
    <xf numFmtId="0" fontId="40" fillId="49" borderId="0" applyAlignment="1">
      <alignment vertical="center"/>
    </xf>
    <xf numFmtId="0" fontId="39" fillId="50" borderId="0" applyAlignment="1">
      <alignment vertical="center"/>
    </xf>
    <xf numFmtId="0" fontId="41" fillId="0" borderId="0"/>
  </cellStyleXfs>
  <cellXfs count="428">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xf>
    <xf numFmtId="0" fontId="0" fillId="0" borderId="0" applyAlignment="1" pivotButton="0" quotePrefix="0" xfId="0">
      <alignment horizontal="left" vertical="center"/>
    </xf>
    <xf numFmtId="0" fontId="3" fillId="0" borderId="0" applyAlignment="1" pivotButton="0" quotePrefix="0" xfId="0">
      <alignment vertical="center"/>
    </xf>
    <xf numFmtId="1" fontId="0" fillId="0" borderId="0" applyAlignment="1" pivotButton="0" quotePrefix="0" xfId="0">
      <alignment horizontal="center" vertical="center"/>
    </xf>
    <xf numFmtId="1" fontId="0"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applyProtection="1" pivotButton="0" quotePrefix="0" xfId="0">
      <alignment horizontal="right"/>
      <protection locked="0" hidden="0"/>
    </xf>
    <xf numFmtId="0" fontId="7" fillId="0" borderId="1" applyAlignment="1" pivotButton="0" quotePrefix="0" xfId="0">
      <alignment horizontal="right"/>
    </xf>
    <xf numFmtId="0" fontId="8" fillId="0" borderId="2" applyAlignment="1" pivotButton="0" quotePrefix="0" xfId="0">
      <alignment horizontal="left" vertical="center"/>
    </xf>
    <xf numFmtId="0" fontId="8" fillId="0" borderId="3" applyAlignment="1" pivotButton="0" quotePrefix="0" xfId="0">
      <alignment horizontal="left" vertical="center"/>
    </xf>
    <xf numFmtId="0" fontId="8" fillId="0" borderId="4" applyAlignment="1" pivotButton="0" quotePrefix="0" xfId="0">
      <alignment horizontal="left" vertical="center"/>
    </xf>
    <xf numFmtId="0" fontId="9" fillId="0" borderId="2" applyAlignment="1" pivotButton="0" quotePrefix="0" xfId="0">
      <alignment horizontal="left" vertical="center"/>
    </xf>
    <xf numFmtId="1" fontId="10" fillId="2" borderId="5" applyAlignment="1" pivotButton="0" quotePrefix="0" xfId="0">
      <alignment horizontal="center" vertical="center"/>
    </xf>
    <xf numFmtId="49" fontId="10" fillId="2" borderId="5" applyAlignment="1" pivotButton="0" quotePrefix="0" xfId="0">
      <alignment horizontal="center" vertical="center"/>
    </xf>
    <xf numFmtId="0" fontId="10" fillId="2" borderId="5" applyAlignment="1" pivotButton="0" quotePrefix="0" xfId="0">
      <alignment horizontal="center" vertical="center" wrapText="1"/>
    </xf>
    <xf numFmtId="164" fontId="10" fillId="2" borderId="5" applyAlignment="1" pivotButton="0" quotePrefix="0" xfId="0">
      <alignment horizontal="center" vertical="center"/>
    </xf>
    <xf numFmtId="164" fontId="10" fillId="2" borderId="5" applyAlignment="1" pivotButton="0" quotePrefix="0" xfId="0">
      <alignment horizontal="center" vertical="center" wrapText="1"/>
    </xf>
    <xf numFmtId="1" fontId="11" fillId="0" borderId="6" applyAlignment="1" pivotButton="0" quotePrefix="0" xfId="6">
      <alignment horizontal="center" vertical="center"/>
    </xf>
    <xf numFmtId="49" fontId="3" fillId="0" borderId="7" applyAlignment="1" pivotButton="0" quotePrefix="0" xfId="0">
      <alignment horizontal="left" vertical="center"/>
    </xf>
    <xf numFmtId="0" fontId="3" fillId="0" borderId="7" applyAlignment="1" pivotButton="0" quotePrefix="0" xfId="0">
      <alignment horizontal="center" vertical="center"/>
    </xf>
    <xf numFmtId="165" fontId="3" fillId="0" borderId="7" applyAlignment="1" pivotButton="0" quotePrefix="0" xfId="0">
      <alignment horizontal="right" vertical="center"/>
    </xf>
    <xf numFmtId="166" fontId="3" fillId="0" borderId="7" applyAlignment="1" pivotButton="0" quotePrefix="0" xfId="0">
      <alignment horizontal="right" vertical="center"/>
    </xf>
    <xf numFmtId="1" fontId="12" fillId="0" borderId="6" applyAlignment="1" pivotButton="0" quotePrefix="0" xfId="6">
      <alignment horizontal="center" vertical="center"/>
    </xf>
    <xf numFmtId="49" fontId="2" fillId="0" borderId="7" applyAlignment="1" pivotButton="0" quotePrefix="0" xfId="0">
      <alignment horizontal="left" vertical="center"/>
    </xf>
    <xf numFmtId="0" fontId="2" fillId="0" borderId="7" applyAlignment="1" pivotButton="0" quotePrefix="0" xfId="0">
      <alignment horizontal="center" vertical="center"/>
    </xf>
    <xf numFmtId="0" fontId="3" fillId="0" borderId="7" applyAlignment="1" applyProtection="1" pivotButton="0" quotePrefix="0" xfId="0">
      <alignment horizontal="center" vertical="center"/>
      <protection locked="0" hidden="0"/>
    </xf>
    <xf numFmtId="165" fontId="2" fillId="0" borderId="7" applyAlignment="1" pivotButton="0" quotePrefix="0" xfId="0">
      <alignment horizontal="right" vertical="center"/>
    </xf>
    <xf numFmtId="166" fontId="2" fillId="0" borderId="7" applyAlignment="1" pivotButton="0" quotePrefix="0" xfId="0">
      <alignment horizontal="right" vertical="center"/>
    </xf>
    <xf numFmtId="0" fontId="2" fillId="0" borderId="7" applyAlignment="1" applyProtection="1" pivotButton="0" quotePrefix="0" xfId="0">
      <alignment horizontal="center" vertical="center"/>
      <protection locked="0" hidden="0"/>
    </xf>
    <xf numFmtId="49" fontId="3" fillId="3" borderId="7" applyAlignment="1" pivotButton="0" quotePrefix="0" xfId="0">
      <alignment horizontal="left" vertical="center"/>
    </xf>
    <xf numFmtId="49" fontId="1" fillId="0" borderId="7" applyAlignment="1" pivotButton="0" quotePrefix="0" xfId="0">
      <alignment horizontal="left" vertical="center"/>
    </xf>
    <xf numFmtId="0" fontId="1" fillId="0" borderId="7" applyAlignment="1" pivotButton="0" quotePrefix="0" xfId="0">
      <alignment horizontal="center" vertical="center"/>
    </xf>
    <xf numFmtId="165" fontId="1" fillId="0" borderId="7" applyAlignment="1" pivotButton="0" quotePrefix="0" xfId="0">
      <alignment horizontal="right" vertical="center"/>
    </xf>
    <xf numFmtId="166" fontId="1" fillId="0" borderId="7" applyAlignment="1" pivotButton="0" quotePrefix="0" xfId="0">
      <alignment horizontal="right" vertical="center"/>
    </xf>
    <xf numFmtId="0" fontId="13" fillId="0" borderId="0" applyAlignment="1" pivotButton="0" quotePrefix="0" xfId="0">
      <alignment horizontal="center" vertical="center"/>
    </xf>
    <xf numFmtId="0" fontId="9" fillId="0" borderId="4" applyAlignment="1" pivotButton="0" quotePrefix="0" xfId="0">
      <alignment horizontal="left" vertical="center"/>
    </xf>
    <xf numFmtId="164" fontId="10" fillId="4" borderId="5" applyAlignment="1" pivotButton="0" quotePrefix="0" xfId="0">
      <alignment horizontal="center" vertical="center" wrapText="1"/>
    </xf>
    <xf numFmtId="164" fontId="10" fillId="4" borderId="5" applyAlignment="1" pivotButton="0" quotePrefix="0" xfId="0">
      <alignment horizontal="center" vertical="center"/>
    </xf>
    <xf numFmtId="0" fontId="10" fillId="4" borderId="5" applyAlignment="1" pivotButton="0" quotePrefix="0" xfId="0">
      <alignment horizontal="center" vertical="center" wrapText="1"/>
    </xf>
    <xf numFmtId="49" fontId="10" fillId="4" borderId="5" applyAlignment="1" pivotButton="0" quotePrefix="0" xfId="0">
      <alignment horizontal="center" vertical="center" wrapText="1"/>
    </xf>
    <xf numFmtId="49" fontId="14" fillId="5" borderId="5" applyAlignment="1" pivotButton="0" quotePrefix="0" xfId="0">
      <alignment horizontal="center" vertical="center" wrapText="1"/>
    </xf>
    <xf numFmtId="49" fontId="3" fillId="0" borderId="8" applyAlignment="1" pivotButton="0" quotePrefix="0" xfId="0">
      <alignment horizontal="left" vertical="center"/>
    </xf>
    <xf numFmtId="166" fontId="2" fillId="6" borderId="6" applyAlignment="1" pivotButton="0" quotePrefix="0" xfId="0">
      <alignment horizontal="right" vertical="center"/>
    </xf>
    <xf numFmtId="166" fontId="2" fillId="7" borderId="7" applyAlignment="1" pivotButton="0" quotePrefix="0" xfId="0">
      <alignment horizontal="right" vertical="center"/>
    </xf>
    <xf numFmtId="10" fontId="2" fillId="8" borderId="7" applyAlignment="1" pivotButton="0" quotePrefix="0" xfId="0">
      <alignment horizontal="right" vertical="center"/>
    </xf>
    <xf numFmtId="49" fontId="2" fillId="7" borderId="9" applyAlignment="1" pivotButton="0" quotePrefix="0" xfId="0">
      <alignment horizontal="left" vertical="center"/>
    </xf>
    <xf numFmtId="49" fontId="2" fillId="7" borderId="7" applyAlignment="1" pivotButton="0" quotePrefix="0" xfId="0">
      <alignment horizontal="left" vertical="center"/>
    </xf>
    <xf numFmtId="0" fontId="2" fillId="5" borderId="7" applyAlignment="1" pivotButton="0" quotePrefix="0" xfId="0">
      <alignment vertical="center"/>
    </xf>
    <xf numFmtId="0" fontId="2" fillId="5" borderId="10" applyAlignment="1" pivotButton="0" quotePrefix="0" xfId="0">
      <alignment vertical="center"/>
    </xf>
    <xf numFmtId="10" fontId="2" fillId="8" borderId="9" applyAlignment="1" pivotButton="0" quotePrefix="0" xfId="0">
      <alignment horizontal="right" vertical="center"/>
    </xf>
    <xf numFmtId="49" fontId="1" fillId="0" borderId="8" applyAlignment="1" pivotButton="0" quotePrefix="0" xfId="0">
      <alignment horizontal="left" vertical="center"/>
    </xf>
    <xf numFmtId="166" fontId="1" fillId="6" borderId="6" applyAlignment="1" pivotButton="0" quotePrefix="0" xfId="0">
      <alignment horizontal="right" vertical="center"/>
    </xf>
    <xf numFmtId="166" fontId="1" fillId="7" borderId="7" applyAlignment="1" pivotButton="0" quotePrefix="0" xfId="0">
      <alignment horizontal="right" vertical="center"/>
    </xf>
    <xf numFmtId="10" fontId="1" fillId="8" borderId="7" applyAlignment="1" pivotButton="0" quotePrefix="0" xfId="0">
      <alignment horizontal="right" vertical="center"/>
    </xf>
    <xf numFmtId="49" fontId="1" fillId="7" borderId="9" applyAlignment="1" pivotButton="0" quotePrefix="0" xfId="0">
      <alignment horizontal="left" vertical="center"/>
    </xf>
    <xf numFmtId="49" fontId="1" fillId="7" borderId="7" applyAlignment="1" pivotButton="0" quotePrefix="0" xfId="0">
      <alignment horizontal="left" vertical="center"/>
    </xf>
    <xf numFmtId="0" fontId="1" fillId="5" borderId="7" applyAlignment="1" pivotButton="0" quotePrefix="0" xfId="0">
      <alignment vertical="center"/>
    </xf>
    <xf numFmtId="0" fontId="1" fillId="5" borderId="10" applyAlignment="1" pivotButton="0" quotePrefix="0" xfId="0">
      <alignment vertical="center"/>
    </xf>
    <xf numFmtId="49" fontId="2" fillId="7" borderId="8" applyAlignment="1" pivotButton="0" quotePrefix="0" xfId="0">
      <alignment horizontal="left" vertical="center"/>
    </xf>
    <xf numFmtId="49" fontId="1" fillId="7" borderId="8" applyAlignment="1" pivotButton="0" quotePrefix="0" xfId="0">
      <alignment horizontal="left" vertical="center"/>
    </xf>
    <xf numFmtId="1" fontId="3" fillId="0" borderId="6" applyAlignment="1" pivotButton="0" quotePrefix="0" xfId="0">
      <alignment horizontal="center" vertical="center"/>
    </xf>
    <xf numFmtId="49" fontId="2" fillId="0" borderId="7" applyAlignment="1" pivotButton="0" quotePrefix="0" xfId="0">
      <alignment horizontal="left"/>
    </xf>
    <xf numFmtId="49" fontId="3" fillId="0" borderId="7" applyAlignment="1" pivotButton="0" quotePrefix="0" xfId="0">
      <alignment horizontal="left"/>
    </xf>
    <xf numFmtId="0" fontId="2" fillId="0" borderId="7" applyAlignment="1" pivotButton="0" quotePrefix="0" xfId="0">
      <alignment horizontal="center"/>
    </xf>
    <xf numFmtId="165" fontId="3" fillId="0" borderId="7" applyAlignment="1" pivotButton="0" quotePrefix="0" xfId="0">
      <alignment horizontal="right"/>
    </xf>
    <xf numFmtId="166" fontId="2" fillId="0" borderId="7" applyAlignment="1" pivotButton="0" quotePrefix="0" xfId="0">
      <alignment horizontal="right"/>
    </xf>
    <xf numFmtId="1" fontId="2" fillId="0" borderId="7" applyAlignment="1" pivotButton="0" quotePrefix="0" xfId="0">
      <alignment horizontal="left"/>
    </xf>
    <xf numFmtId="1" fontId="3" fillId="0" borderId="7" applyAlignment="1" pivotButton="0" quotePrefix="0" xfId="0">
      <alignment horizontal="left"/>
    </xf>
    <xf numFmtId="165" fontId="2" fillId="0" borderId="7" applyAlignment="1" pivotButton="0" quotePrefix="0" xfId="0">
      <alignment horizontal="right"/>
    </xf>
    <xf numFmtId="0" fontId="15" fillId="0" borderId="7" applyAlignment="1" pivotButton="0" quotePrefix="0" xfId="0">
      <alignment horizontal="left" shrinkToFit="1"/>
    </xf>
    <xf numFmtId="0" fontId="16" fillId="0" borderId="9" applyAlignment="1" pivotButton="0" quotePrefix="0" xfId="0">
      <alignment shrinkToFit="1"/>
    </xf>
    <xf numFmtId="0" fontId="16" fillId="0" borderId="10" applyAlignment="1" pivotButton="0" quotePrefix="0" xfId="0">
      <alignment shrinkToFit="1"/>
    </xf>
    <xf numFmtId="0" fontId="17" fillId="0" borderId="7" applyAlignment="1" pivotButton="0" quotePrefix="0" xfId="0">
      <alignment horizontal="center"/>
    </xf>
    <xf numFmtId="0" fontId="3" fillId="0" borderId="7" applyAlignment="1" pivotButton="0" quotePrefix="0" xfId="0">
      <alignment horizontal="center" shrinkToFit="1"/>
    </xf>
    <xf numFmtId="165" fontId="17" fillId="0" borderId="7" applyAlignment="1" pivotButton="0" quotePrefix="0" xfId="0">
      <alignment horizontal="right" shrinkToFit="1"/>
    </xf>
    <xf numFmtId="166" fontId="17" fillId="0" borderId="7" applyAlignment="1" pivotButton="0" quotePrefix="0" xfId="0">
      <alignment horizontal="right" shrinkToFit="1"/>
    </xf>
    <xf numFmtId="1" fontId="3" fillId="0" borderId="6" applyAlignment="1" pivotButton="0" quotePrefix="0" xfId="0">
      <alignment horizontal="center" vertical="center" textRotation="255"/>
    </xf>
    <xf numFmtId="0" fontId="17" fillId="0" borderId="7" applyAlignment="1" pivotButton="0" quotePrefix="0" xfId="0">
      <alignment horizontal="left" vertical="center"/>
    </xf>
    <xf numFmtId="0" fontId="2" fillId="0" borderId="7" applyAlignment="1" pivotButton="0" quotePrefix="0" xfId="0">
      <alignment horizontal="left" vertical="center"/>
    </xf>
    <xf numFmtId="165" fontId="2" fillId="0" borderId="7" applyAlignment="1" pivotButton="0" quotePrefix="0" xfId="0">
      <alignment horizontal="left" vertical="center"/>
    </xf>
    <xf numFmtId="166" fontId="2" fillId="0" borderId="7" applyAlignment="1" pivotButton="0" quotePrefix="0" xfId="0">
      <alignment horizontal="left" vertical="center"/>
    </xf>
    <xf numFmtId="1" fontId="3" fillId="0" borderId="11" applyAlignment="1" pivotButton="0" quotePrefix="0" xfId="0">
      <alignment horizontal="center" vertical="center" textRotation="255"/>
    </xf>
    <xf numFmtId="0" fontId="2" fillId="0" borderId="12" applyAlignment="1" pivotButton="0" quotePrefix="0" xfId="0">
      <alignment horizontal="left" vertical="center"/>
    </xf>
    <xf numFmtId="165" fontId="2" fillId="0" borderId="12" applyAlignment="1" pivotButton="0" quotePrefix="0" xfId="0">
      <alignment horizontal="left" vertical="center"/>
    </xf>
    <xf numFmtId="166" fontId="2" fillId="0" borderId="12" applyAlignment="1" pivotButton="0" quotePrefix="0" xfId="0">
      <alignment horizontal="left" vertical="center"/>
    </xf>
    <xf numFmtId="1" fontId="2" fillId="0" borderId="0" applyAlignment="1" pivotButton="0" quotePrefix="0" xfId="0">
      <alignment horizontal="center" vertical="center"/>
    </xf>
    <xf numFmtId="165" fontId="2" fillId="0" borderId="0" applyAlignment="1" pivotButton="0" quotePrefix="0" xfId="0">
      <alignment vertical="center"/>
    </xf>
    <xf numFmtId="166" fontId="2" fillId="0" borderId="0" applyAlignment="1" pivotButton="0" quotePrefix="0" xfId="0">
      <alignment vertical="center"/>
    </xf>
    <xf numFmtId="1" fontId="2" fillId="0" borderId="0" applyAlignment="1" pivotButton="0" quotePrefix="0" xfId="0">
      <alignment horizontal="left" vertical="center"/>
    </xf>
    <xf numFmtId="1" fontId="2" fillId="0" borderId="0" pivotButton="0" quotePrefix="0" xfId="0"/>
    <xf numFmtId="0" fontId="2" fillId="0" borderId="0" applyAlignment="1" pivotButton="0" quotePrefix="0" xfId="0">
      <alignment horizontal="left"/>
    </xf>
    <xf numFmtId="0" fontId="2" fillId="0" borderId="0" pivotButton="0" quotePrefix="0" xfId="0"/>
    <xf numFmtId="0" fontId="3" fillId="0" borderId="0" applyAlignment="1" pivotButton="0" quotePrefix="0" xfId="0">
      <alignment horizontal="right" shrinkToFit="1"/>
    </xf>
    <xf numFmtId="0" fontId="18" fillId="0" borderId="0" applyAlignment="1" applyProtection="1" pivotButton="0" quotePrefix="0" xfId="0">
      <alignment horizontal="center" vertical="center"/>
      <protection locked="0" hidden="0"/>
    </xf>
    <xf numFmtId="1" fontId="8" fillId="0" borderId="0" applyAlignment="1" pivotButton="0" quotePrefix="0" xfId="0">
      <alignment horizontal="left" vertical="center"/>
    </xf>
    <xf numFmtId="49" fontId="3" fillId="0" borderId="1" applyAlignment="1" pivotButton="0" quotePrefix="0" xfId="0">
      <alignment horizontal="left" vertical="center"/>
    </xf>
    <xf numFmtId="0" fontId="3" fillId="0" borderId="1" applyAlignment="1" pivotButton="0" quotePrefix="0" xfId="0">
      <alignment horizontal="right" vertical="center"/>
    </xf>
    <xf numFmtId="0" fontId="3" fillId="0" borderId="1" applyAlignment="1" pivotButton="0" quotePrefix="0" xfId="0">
      <alignment vertical="center"/>
    </xf>
    <xf numFmtId="1" fontId="10" fillId="9" borderId="5" applyAlignment="1" pivotButton="0" quotePrefix="0" xfId="0">
      <alignment horizontal="center" vertical="center"/>
    </xf>
    <xf numFmtId="0" fontId="10" fillId="9" borderId="5" applyAlignment="1" pivotButton="0" quotePrefix="0" xfId="0">
      <alignment horizontal="center" vertical="center"/>
    </xf>
    <xf numFmtId="0" fontId="17" fillId="9" borderId="5" applyAlignment="1" pivotButton="0" quotePrefix="0" xfId="0">
      <alignment horizontal="center" vertical="center"/>
    </xf>
    <xf numFmtId="0" fontId="10" fillId="9" borderId="5" applyAlignment="1" pivotButton="0" quotePrefix="0" xfId="0">
      <alignment horizontal="center" vertical="center" wrapText="1"/>
    </xf>
    <xf numFmtId="164" fontId="10" fillId="9" borderId="5" applyAlignment="1" pivotButton="0" quotePrefix="0" xfId="0">
      <alignment horizontal="center" vertical="center"/>
    </xf>
    <xf numFmtId="164" fontId="10" fillId="9" borderId="5" applyAlignment="1" pivotButton="0" quotePrefix="0" xfId="0">
      <alignment horizontal="center" vertical="center" wrapText="1"/>
    </xf>
    <xf numFmtId="1" fontId="3" fillId="0" borderId="13" applyAlignment="1" pivotButton="0" quotePrefix="0" xfId="0">
      <alignment horizontal="center" vertical="center"/>
    </xf>
    <xf numFmtId="49" fontId="3" fillId="0" borderId="14" applyAlignment="1" pivotButton="0" quotePrefix="0" xfId="0">
      <alignment horizontal="left" vertical="center"/>
    </xf>
    <xf numFmtId="0" fontId="3" fillId="0" borderId="14" applyAlignment="1" pivotButton="0" quotePrefix="0" xfId="0">
      <alignment horizontal="center" vertical="center"/>
    </xf>
    <xf numFmtId="166" fontId="3" fillId="0" borderId="14" applyAlignment="1" pivotButton="0" quotePrefix="0" xfId="0">
      <alignment horizontal="right" vertical="center"/>
    </xf>
    <xf numFmtId="49" fontId="0" fillId="0" borderId="7" applyAlignment="1" pivotButton="0" quotePrefix="0" xfId="0">
      <alignment horizontal="left" vertical="center"/>
    </xf>
    <xf numFmtId="166" fontId="0" fillId="0" borderId="7" applyAlignment="1" pivotButton="0" quotePrefix="0" xfId="0">
      <alignment horizontal="right" vertical="center"/>
    </xf>
    <xf numFmtId="0" fontId="0" fillId="0" borderId="7" applyAlignment="1" pivotButton="0" quotePrefix="0" xfId="0">
      <alignment horizontal="center" vertical="center"/>
    </xf>
    <xf numFmtId="49" fontId="3" fillId="0" borderId="8" applyAlignment="1" pivotButton="0" quotePrefix="0" xfId="0">
      <alignment horizontal="left"/>
    </xf>
    <xf numFmtId="0" fontId="3" fillId="0" borderId="8" applyAlignment="1" pivotButton="0" quotePrefix="0" xfId="0">
      <alignment horizontal="left"/>
    </xf>
    <xf numFmtId="167" fontId="2" fillId="7" borderId="9" applyAlignment="1" pivotButton="0" quotePrefix="0" xfId="0">
      <alignment horizontal="left" vertical="center"/>
    </xf>
    <xf numFmtId="167" fontId="2" fillId="7" borderId="7" applyAlignment="1" pivotButton="0" quotePrefix="0" xfId="0">
      <alignment horizontal="left" vertical="center"/>
    </xf>
    <xf numFmtId="168" fontId="3" fillId="0" borderId="8" applyAlignment="1" pivotButton="0" quotePrefix="0" xfId="0">
      <alignment horizontal="left"/>
    </xf>
    <xf numFmtId="168" fontId="3" fillId="0" borderId="8" applyAlignment="1" pivotButton="0" quotePrefix="0" xfId="0">
      <alignment horizontal="left" shrinkToFit="1"/>
    </xf>
    <xf numFmtId="166" fontId="2" fillId="6" borderId="11" applyAlignment="1" pivotButton="0" quotePrefix="0" xfId="0">
      <alignment horizontal="right" vertical="center" shrinkToFit="1"/>
    </xf>
    <xf numFmtId="166" fontId="2" fillId="7" borderId="12" applyAlignment="1" pivotButton="0" quotePrefix="0" xfId="0">
      <alignment horizontal="right" vertical="center" shrinkToFit="1"/>
    </xf>
    <xf numFmtId="10" fontId="2" fillId="8" borderId="12" applyAlignment="1" pivotButton="0" quotePrefix="0" xfId="0">
      <alignment horizontal="right" vertical="center" shrinkToFit="1"/>
    </xf>
    <xf numFmtId="169" fontId="2" fillId="7" borderId="15" applyAlignment="1" pivotButton="0" quotePrefix="0" xfId="0">
      <alignment horizontal="left" vertical="center"/>
    </xf>
    <xf numFmtId="169" fontId="2" fillId="7" borderId="12" applyAlignment="1" pivotButton="0" quotePrefix="0" xfId="0">
      <alignment horizontal="left" vertical="center"/>
    </xf>
    <xf numFmtId="0" fontId="2" fillId="5" borderId="16" applyAlignment="1" pivotButton="0" quotePrefix="0" xfId="0">
      <alignment vertical="center"/>
    </xf>
    <xf numFmtId="0" fontId="2" fillId="5" borderId="17" applyAlignment="1" pivotButton="0" quotePrefix="0" xfId="0">
      <alignment vertical="center"/>
    </xf>
    <xf numFmtId="0" fontId="2" fillId="0" borderId="8" applyAlignment="1" pivotButton="0" quotePrefix="0" xfId="0">
      <alignment horizontal="left" vertical="center"/>
    </xf>
    <xf numFmtId="0" fontId="2" fillId="0" borderId="18" applyAlignment="1" pivotButton="0" quotePrefix="0" xfId="0">
      <alignment horizontal="left" vertical="center"/>
    </xf>
    <xf numFmtId="170" fontId="2" fillId="0" borderId="0" applyAlignment="1" pivotButton="0" quotePrefix="0" xfId="0">
      <alignment horizontal="left" vertical="center"/>
    </xf>
    <xf numFmtId="0" fontId="2" fillId="0" borderId="0" applyAlignment="1" pivotButton="0" quotePrefix="0" xfId="0">
      <alignment horizontal="right" vertical="center"/>
    </xf>
    <xf numFmtId="49" fontId="2" fillId="0" borderId="0" applyAlignment="1" pivotButton="0" quotePrefix="0" xfId="0">
      <alignment horizontal="left" vertical="center"/>
    </xf>
    <xf numFmtId="171" fontId="2" fillId="0" borderId="0" applyAlignment="1" pivotButton="0" quotePrefix="0" xfId="0">
      <alignment horizontal="left" vertical="center"/>
    </xf>
    <xf numFmtId="49" fontId="19" fillId="9" borderId="5" applyAlignment="1" pivotButton="0" quotePrefix="0" xfId="0">
      <alignment horizontal="center" vertical="center"/>
    </xf>
    <xf numFmtId="164" fontId="10" fillId="10" borderId="5" applyAlignment="1" pivotButton="0" quotePrefix="0" xfId="0">
      <alignment horizontal="center" vertical="center" wrapText="1"/>
    </xf>
    <xf numFmtId="0" fontId="20" fillId="10" borderId="5" applyAlignment="1" pivotButton="0" quotePrefix="0" xfId="0">
      <alignment horizontal="center" vertical="center" wrapText="1" shrinkToFit="1"/>
    </xf>
    <xf numFmtId="0" fontId="20" fillId="10" borderId="4" applyAlignment="1" pivotButton="0" quotePrefix="0" xfId="0">
      <alignment horizontal="center" vertical="center" wrapText="1" shrinkToFit="1"/>
    </xf>
    <xf numFmtId="49" fontId="2" fillId="0" borderId="19" applyAlignment="1" pivotButton="0" quotePrefix="0" xfId="0">
      <alignment horizontal="left" vertical="center"/>
    </xf>
    <xf numFmtId="166" fontId="2" fillId="11" borderId="13" applyAlignment="1" pivotButton="0" quotePrefix="0" xfId="0">
      <alignment horizontal="right" vertical="center"/>
    </xf>
    <xf numFmtId="166" fontId="2" fillId="12" borderId="14" applyAlignment="1" pivotButton="0" quotePrefix="0" xfId="0">
      <alignment horizontal="right" vertical="center"/>
    </xf>
    <xf numFmtId="0" fontId="2" fillId="13" borderId="14" applyAlignment="1" pivotButton="0" quotePrefix="0" xfId="0">
      <alignment horizontal="center" vertical="center"/>
    </xf>
    <xf numFmtId="166" fontId="2" fillId="14" borderId="14" applyAlignment="1" pivotButton="0" quotePrefix="0" xfId="0">
      <alignment horizontal="right" vertical="center"/>
    </xf>
    <xf numFmtId="0" fontId="2" fillId="15" borderId="19" applyAlignment="1" pivotButton="0" quotePrefix="0" xfId="0">
      <alignment horizontal="center" vertical="center"/>
    </xf>
    <xf numFmtId="0" fontId="2" fillId="16" borderId="20" applyAlignment="1" pivotButton="0" quotePrefix="0" xfId="0">
      <alignment horizontal="center" vertical="center"/>
    </xf>
    <xf numFmtId="166" fontId="2" fillId="17" borderId="19" applyAlignment="1" pivotButton="0" quotePrefix="0" xfId="0">
      <alignment horizontal="right" vertical="center"/>
    </xf>
    <xf numFmtId="166" fontId="2" fillId="11" borderId="6" applyAlignment="1" pivotButton="0" quotePrefix="0" xfId="0">
      <alignment horizontal="right" vertical="center"/>
    </xf>
    <xf numFmtId="166" fontId="2" fillId="12" borderId="7" applyAlignment="1" pivotButton="0" quotePrefix="0" xfId="0">
      <alignment horizontal="right" vertical="center"/>
    </xf>
    <xf numFmtId="166" fontId="2" fillId="14" borderId="7" applyAlignment="1" pivotButton="0" quotePrefix="0" xfId="0">
      <alignment horizontal="right" vertical="center"/>
    </xf>
    <xf numFmtId="166" fontId="2" fillId="17" borderId="8" applyAlignment="1" pivotButton="0" quotePrefix="0" xfId="0">
      <alignment horizontal="right" vertical="center"/>
    </xf>
    <xf numFmtId="49" fontId="0" fillId="0" borderId="8" applyAlignment="1" pivotButton="0" quotePrefix="0" xfId="0">
      <alignment horizontal="center" vertical="center"/>
    </xf>
    <xf numFmtId="166" fontId="0" fillId="11" borderId="6" applyAlignment="1" pivotButton="0" quotePrefix="0" xfId="0">
      <alignment horizontal="right" vertical="center"/>
    </xf>
    <xf numFmtId="166" fontId="0" fillId="12" borderId="7" applyAlignment="1" pivotButton="0" quotePrefix="0" xfId="0">
      <alignment horizontal="right" vertical="center"/>
    </xf>
    <xf numFmtId="166" fontId="0" fillId="14" borderId="7" applyAlignment="1" pivotButton="0" quotePrefix="0" xfId="0">
      <alignment horizontal="right" vertical="center"/>
    </xf>
    <xf numFmtId="0" fontId="0" fillId="15" borderId="19" applyAlignment="1" pivotButton="0" quotePrefix="0" xfId="0">
      <alignment horizontal="center" vertical="center"/>
    </xf>
    <xf numFmtId="0" fontId="0" fillId="16" borderId="20" applyAlignment="1" pivotButton="0" quotePrefix="0" xfId="0">
      <alignment horizontal="center" vertical="center"/>
    </xf>
    <xf numFmtId="166" fontId="0" fillId="17" borderId="8" applyAlignment="1" pivotButton="0" quotePrefix="0" xfId="0">
      <alignment horizontal="right" vertical="center"/>
    </xf>
    <xf numFmtId="167" fontId="2" fillId="7" borderId="8" applyAlignment="1" pivotButton="0" quotePrefix="0" xfId="0">
      <alignment horizontal="left" vertical="center"/>
    </xf>
    <xf numFmtId="169" fontId="2" fillId="7" borderId="18" applyAlignment="1" pivotButton="0" quotePrefix="0" xfId="0">
      <alignment horizontal="left" vertical="center"/>
    </xf>
    <xf numFmtId="0" fontId="0" fillId="0" borderId="0" applyAlignment="1" pivotButton="0" quotePrefix="0" xfId="0">
      <alignment horizontal="center" vertical="center"/>
    </xf>
    <xf numFmtId="0" fontId="2" fillId="0" borderId="0" applyAlignment="1" pivotButton="0" quotePrefix="0" xfId="0">
      <alignment horizontal="center" vertical="center"/>
    </xf>
    <xf numFmtId="0" fontId="10" fillId="10" borderId="5" applyAlignment="1" pivotButton="0" quotePrefix="0" xfId="0">
      <alignment horizontal="center" vertical="center" wrapText="1"/>
    </xf>
    <xf numFmtId="49" fontId="2" fillId="0" borderId="0" applyAlignment="1" pivotButton="0" quotePrefix="0" xfId="0">
      <alignment vertical="center"/>
    </xf>
    <xf numFmtId="164" fontId="2" fillId="17" borderId="19" applyAlignment="1" pivotButton="0" quotePrefix="0" xfId="0">
      <alignment horizontal="center" vertical="center"/>
    </xf>
    <xf numFmtId="49" fontId="2" fillId="17" borderId="19" applyAlignment="1" pivotButton="0" quotePrefix="0" xfId="0">
      <alignment horizontal="left" vertical="center"/>
    </xf>
    <xf numFmtId="172" fontId="2" fillId="17" borderId="19" applyAlignment="1" pivotButton="0" quotePrefix="0" xfId="0">
      <alignment horizontal="right" vertical="center"/>
    </xf>
    <xf numFmtId="49" fontId="2" fillId="0" borderId="0" applyAlignment="1" pivotButton="0" quotePrefix="0" xfId="0">
      <alignment vertical="top" wrapText="1"/>
    </xf>
    <xf numFmtId="164" fontId="0" fillId="17" borderId="19" applyAlignment="1" pivotButton="0" quotePrefix="0" xfId="0">
      <alignment horizontal="center" vertical="center"/>
    </xf>
    <xf numFmtId="49" fontId="0" fillId="17" borderId="19" applyAlignment="1" pivotButton="0" quotePrefix="0" xfId="0">
      <alignment horizontal="left" vertical="center"/>
    </xf>
    <xf numFmtId="172" fontId="0" fillId="17" borderId="19" applyAlignment="1" pivotButton="0" quotePrefix="0" xfId="0">
      <alignment horizontal="right" vertical="center"/>
    </xf>
    <xf numFmtId="49" fontId="0" fillId="0" borderId="0" applyAlignment="1" pivotButton="0" quotePrefix="0" xfId="0">
      <alignment vertical="top" wrapText="1"/>
    </xf>
    <xf numFmtId="0" fontId="21" fillId="0" borderId="7" applyAlignment="1" pivotButton="0" quotePrefix="0" xfId="0">
      <alignment horizontal="left" vertical="center"/>
    </xf>
    <xf numFmtId="0" fontId="3" fillId="0" borderId="7" applyAlignment="1" pivotButton="0" quotePrefix="0" xfId="0">
      <alignment horizontal="left" vertical="center"/>
    </xf>
    <xf numFmtId="1" fontId="3" fillId="0" borderId="11" applyAlignment="1" pivotButton="0" quotePrefix="0" xfId="0">
      <alignment horizontal="center" vertical="center"/>
    </xf>
    <xf numFmtId="0" fontId="2" fillId="0" borderId="12" applyAlignment="1" pivotButton="0" quotePrefix="0" xfId="0">
      <alignment vertical="center"/>
    </xf>
    <xf numFmtId="0" fontId="3" fillId="0" borderId="12" applyAlignment="1" pivotButton="0" quotePrefix="0" xfId="0">
      <alignment vertical="center"/>
    </xf>
    <xf numFmtId="0" fontId="2" fillId="0" borderId="12" applyAlignment="1" pivotButton="0" quotePrefix="0" xfId="0">
      <alignment horizontal="center" vertical="center"/>
    </xf>
    <xf numFmtId="166" fontId="2" fillId="0" borderId="12" applyAlignment="1" pivotButton="0" quotePrefix="0" xfId="0">
      <alignment horizontal="right" vertical="center"/>
    </xf>
    <xf numFmtId="0" fontId="3" fillId="0" borderId="0" applyAlignment="1" pivotButton="0" quotePrefix="0" xfId="0">
      <alignment horizontal="left" vertical="center" shrinkToFit="1"/>
    </xf>
    <xf numFmtId="49" fontId="3" fillId="0" borderId="8" applyAlignment="1" pivotButton="0" quotePrefix="0" xfId="0">
      <alignment horizontal="center" vertical="center"/>
    </xf>
    <xf numFmtId="49" fontId="2" fillId="0" borderId="8" applyAlignment="1" pivotButton="0" quotePrefix="0" xfId="0">
      <alignment horizontal="left" vertical="center"/>
    </xf>
    <xf numFmtId="0" fontId="3" fillId="0" borderId="8" applyAlignment="1" pivotButton="0" quotePrefix="0" xfId="0">
      <alignment horizontal="left" vertical="center"/>
    </xf>
    <xf numFmtId="0" fontId="2" fillId="13" borderId="7" applyAlignment="1" pivotButton="0" quotePrefix="0" xfId="0">
      <alignment horizontal="center" vertical="center"/>
    </xf>
    <xf numFmtId="0" fontId="2" fillId="15" borderId="8" applyAlignment="1" pivotButton="0" quotePrefix="0" xfId="0">
      <alignment horizontal="center" vertical="center"/>
    </xf>
    <xf numFmtId="0" fontId="2" fillId="16" borderId="10" applyAlignment="1" pivotButton="0" quotePrefix="0" xfId="0">
      <alignment horizontal="center" vertical="center"/>
    </xf>
    <xf numFmtId="0" fontId="3" fillId="0" borderId="18" applyAlignment="1" pivotButton="0" quotePrefix="0" xfId="0">
      <alignment horizontal="left" vertical="center"/>
    </xf>
    <xf numFmtId="166" fontId="2" fillId="11" borderId="11" applyAlignment="1" pivotButton="0" quotePrefix="0" xfId="0">
      <alignment horizontal="right" vertical="center"/>
    </xf>
    <xf numFmtId="166" fontId="2" fillId="12" borderId="12" applyAlignment="1" pivotButton="0" quotePrefix="0" xfId="0">
      <alignment horizontal="right" vertical="center"/>
    </xf>
    <xf numFmtId="0" fontId="2" fillId="13" borderId="16" applyAlignment="1" pivotButton="0" quotePrefix="0" xfId="0">
      <alignment horizontal="center" vertical="center"/>
    </xf>
    <xf numFmtId="166" fontId="2" fillId="14" borderId="12" applyAlignment="1" pivotButton="0" quotePrefix="0" xfId="0">
      <alignment horizontal="right" vertical="center"/>
    </xf>
    <xf numFmtId="0" fontId="2" fillId="15" borderId="21" applyAlignment="1" pivotButton="0" quotePrefix="0" xfId="0">
      <alignment horizontal="center" vertical="center"/>
    </xf>
    <xf numFmtId="0" fontId="2" fillId="16" borderId="17" applyAlignment="1" pivotButton="0" quotePrefix="0" xfId="0">
      <alignment horizontal="center" vertical="center"/>
    </xf>
    <xf numFmtId="166" fontId="2" fillId="17" borderId="18" applyAlignment="1" pivotButton="0" quotePrefix="0" xfId="0">
      <alignment horizontal="right" vertical="center"/>
    </xf>
    <xf numFmtId="170" fontId="0" fillId="0" borderId="0" applyAlignment="1" pivotButton="0" quotePrefix="0" xfId="0">
      <alignment horizontal="left" vertical="center"/>
    </xf>
    <xf numFmtId="0" fontId="0" fillId="0" borderId="0" applyAlignment="1" pivotButton="0" quotePrefix="0" xfId="0">
      <alignment horizontal="right" vertical="center"/>
    </xf>
    <xf numFmtId="49" fontId="0" fillId="0" borderId="0" applyAlignment="1" pivotButton="0" quotePrefix="0" xfId="0">
      <alignment horizontal="left" vertical="center"/>
    </xf>
    <xf numFmtId="171" fontId="0" fillId="0" borderId="0" applyAlignment="1" pivotButton="0" quotePrefix="0" xfId="0">
      <alignment horizontal="left" vertical="center"/>
    </xf>
    <xf numFmtId="49" fontId="0" fillId="0" borderId="19" applyAlignment="1" pivotButton="0" quotePrefix="0" xfId="0">
      <alignment horizontal="left" vertical="center"/>
    </xf>
    <xf numFmtId="166" fontId="0" fillId="11" borderId="13" applyAlignment="1" pivotButton="0" quotePrefix="0" xfId="0">
      <alignment horizontal="right" vertical="center"/>
    </xf>
    <xf numFmtId="166" fontId="0" fillId="12" borderId="14" applyAlignment="1" pivotButton="0" quotePrefix="0" xfId="0">
      <alignment horizontal="right" vertical="center"/>
    </xf>
    <xf numFmtId="0" fontId="0" fillId="13" borderId="14" applyAlignment="1" pivotButton="0" quotePrefix="0" xfId="0">
      <alignment horizontal="center" vertical="center"/>
    </xf>
    <xf numFmtId="166" fontId="0" fillId="14" borderId="14" applyAlignment="1" pivotButton="0" quotePrefix="0" xfId="0">
      <alignment horizontal="right" vertical="center"/>
    </xf>
    <xf numFmtId="166" fontId="0" fillId="17" borderId="19" applyAlignment="1" pivotButton="0" quotePrefix="0" xfId="0">
      <alignment horizontal="right" vertical="center"/>
    </xf>
    <xf numFmtId="49" fontId="0" fillId="0" borderId="0" applyAlignment="1" pivotButton="0" quotePrefix="0" xfId="0">
      <alignment vertical="center"/>
    </xf>
    <xf numFmtId="0" fontId="0" fillId="0" borderId="7" applyAlignment="1" pivotButton="0" quotePrefix="0" xfId="0">
      <alignment horizontal="left" vertical="center"/>
    </xf>
    <xf numFmtId="0" fontId="0" fillId="0" borderId="12" applyAlignment="1" pivotButton="0" quotePrefix="0" xfId="0">
      <alignment vertical="center"/>
    </xf>
    <xf numFmtId="0" fontId="0" fillId="0" borderId="12" applyAlignment="1" pivotButton="0" quotePrefix="0" xfId="0">
      <alignment horizontal="center" vertical="center"/>
    </xf>
    <xf numFmtId="166" fontId="0" fillId="0" borderId="12" applyAlignment="1" pivotButton="0" quotePrefix="0" xfId="0">
      <alignment horizontal="right" vertical="center"/>
    </xf>
    <xf numFmtId="1" fontId="0" fillId="0" borderId="0" applyAlignment="1" pivotButton="0" quotePrefix="0" xfId="0">
      <alignment horizontal="left" vertical="center"/>
    </xf>
    <xf numFmtId="0" fontId="0" fillId="13" borderId="7" applyAlignment="1" pivotButton="0" quotePrefix="0" xfId="0">
      <alignment horizontal="center" vertical="center"/>
    </xf>
    <xf numFmtId="0" fontId="0" fillId="15" borderId="8" applyAlignment="1" pivotButton="0" quotePrefix="0" xfId="0">
      <alignment horizontal="center" vertical="center"/>
    </xf>
    <xf numFmtId="0" fontId="0" fillId="16" borderId="10" applyAlignment="1" pivotButton="0" quotePrefix="0" xfId="0">
      <alignment horizontal="center" vertical="center"/>
    </xf>
    <xf numFmtId="166" fontId="0" fillId="11" borderId="11" applyAlignment="1" pivotButton="0" quotePrefix="0" xfId="0">
      <alignment horizontal="right" vertical="center"/>
    </xf>
    <xf numFmtId="166" fontId="0" fillId="12" borderId="12" applyAlignment="1" pivotButton="0" quotePrefix="0" xfId="0">
      <alignment horizontal="right" vertical="center"/>
    </xf>
    <xf numFmtId="0" fontId="0" fillId="13" borderId="16" applyAlignment="1" pivotButton="0" quotePrefix="0" xfId="0">
      <alignment horizontal="center" vertical="center"/>
    </xf>
    <xf numFmtId="166" fontId="0" fillId="14" borderId="12" applyAlignment="1" pivotButton="0" quotePrefix="0" xfId="0">
      <alignment horizontal="right" vertical="center"/>
    </xf>
    <xf numFmtId="0" fontId="0" fillId="15" borderId="21" applyAlignment="1" pivotButton="0" quotePrefix="0" xfId="0">
      <alignment horizontal="center" vertical="center"/>
    </xf>
    <xf numFmtId="0" fontId="0" fillId="16" borderId="17" applyAlignment="1" pivotButton="0" quotePrefix="0" xfId="0">
      <alignment horizontal="center" vertical="center"/>
    </xf>
    <xf numFmtId="166" fontId="0" fillId="17" borderId="18" applyAlignment="1" pivotButton="0" quotePrefix="0" xfId="0">
      <alignment horizontal="right" vertical="center"/>
    </xf>
    <xf numFmtId="49" fontId="0" fillId="0" borderId="8" applyAlignment="1" pivotButton="0" quotePrefix="0" xfId="0">
      <alignment horizontal="left" vertical="center"/>
    </xf>
    <xf numFmtId="0" fontId="2" fillId="6" borderId="19" applyAlignment="1" pivotButton="0" quotePrefix="0" xfId="0">
      <alignment horizontal="center" vertical="center"/>
    </xf>
    <xf numFmtId="0" fontId="2" fillId="18" borderId="20" applyAlignment="1" pivotButton="0" quotePrefix="0" xfId="0">
      <alignment horizontal="center" vertical="center"/>
    </xf>
    <xf numFmtId="166" fontId="2" fillId="19" borderId="8" applyAlignment="1" pivotButton="0" quotePrefix="0" xfId="0">
      <alignment horizontal="right" vertical="center"/>
    </xf>
    <xf numFmtId="166" fontId="3" fillId="11" borderId="6" applyAlignment="1" pivotButton="0" quotePrefix="0" xfId="0">
      <alignment horizontal="right" vertical="center"/>
    </xf>
    <xf numFmtId="166" fontId="3" fillId="12" borderId="7" applyAlignment="1" pivotButton="0" quotePrefix="0" xfId="0">
      <alignment horizontal="right" vertical="center"/>
    </xf>
    <xf numFmtId="0" fontId="3" fillId="13" borderId="14" applyAlignment="1" pivotButton="0" quotePrefix="0" xfId="0">
      <alignment horizontal="center" vertical="center"/>
    </xf>
    <xf numFmtId="166" fontId="3" fillId="14" borderId="7" applyAlignment="1" pivotButton="0" quotePrefix="0" xfId="0">
      <alignment horizontal="right" vertical="center"/>
    </xf>
    <xf numFmtId="0" fontId="3" fillId="15" borderId="19" applyAlignment="1" pivotButton="0" quotePrefix="0" xfId="0">
      <alignment horizontal="center" vertical="center"/>
    </xf>
    <xf numFmtId="0" fontId="3" fillId="16" borderId="20" applyAlignment="1" pivotButton="0" quotePrefix="0" xfId="0">
      <alignment horizontal="center" vertical="center"/>
    </xf>
    <xf numFmtId="166" fontId="3" fillId="17" borderId="8" applyAlignment="1" pivotButton="0" quotePrefix="0" xfId="0">
      <alignment horizontal="right" vertical="center"/>
    </xf>
    <xf numFmtId="164" fontId="2" fillId="19" borderId="19" applyAlignment="1" pivotButton="0" quotePrefix="0" xfId="0">
      <alignment horizontal="center" vertical="center"/>
    </xf>
    <xf numFmtId="49" fontId="2" fillId="19" borderId="19" applyAlignment="1" pivotButton="0" quotePrefix="0" xfId="0">
      <alignment horizontal="left" vertical="center"/>
    </xf>
    <xf numFmtId="172" fontId="2" fillId="19" borderId="19" applyAlignment="1" pivotButton="0" quotePrefix="0" xfId="0">
      <alignment horizontal="right" vertical="center"/>
    </xf>
    <xf numFmtId="164" fontId="3" fillId="17" borderId="19" applyAlignment="1" pivotButton="0" quotePrefix="0" xfId="0">
      <alignment horizontal="center" vertical="center"/>
    </xf>
    <xf numFmtId="49" fontId="3" fillId="17" borderId="19" applyAlignment="1" pivotButton="0" quotePrefix="0" xfId="0">
      <alignment horizontal="left" vertical="center"/>
    </xf>
    <xf numFmtId="49" fontId="3" fillId="0" borderId="19" applyAlignment="1" pivotButton="0" quotePrefix="0" xfId="0">
      <alignment horizontal="left" vertical="center"/>
    </xf>
    <xf numFmtId="172" fontId="3" fillId="0" borderId="19" applyAlignment="1" pivotButton="0" quotePrefix="0" xfId="0">
      <alignment horizontal="right" vertical="center"/>
    </xf>
    <xf numFmtId="49" fontId="3" fillId="0" borderId="0" applyAlignment="1" pivotButton="0" quotePrefix="0" xfId="0">
      <alignment vertical="top" wrapText="1"/>
    </xf>
    <xf numFmtId="0" fontId="4" fillId="0" borderId="0" applyAlignment="1" pivotButton="0" quotePrefix="0" xfId="0">
      <alignment horizontal="center"/>
    </xf>
    <xf numFmtId="0" fontId="5" fillId="0" borderId="0" applyAlignment="1" pivotButton="0" quotePrefix="0" xfId="0">
      <alignment horizontal="center"/>
    </xf>
    <xf numFmtId="1" fontId="10" fillId="0" borderId="1" applyAlignment="1" pivotButton="0" quotePrefix="0" xfId="0">
      <alignment horizontal="center"/>
    </xf>
    <xf numFmtId="0" fontId="10" fillId="0" borderId="1" applyAlignment="1" pivotButton="0" quotePrefix="0" xfId="0">
      <alignment horizontal="center"/>
    </xf>
    <xf numFmtId="0" fontId="10" fillId="2" borderId="5" applyAlignment="1" applyProtection="1" pivotButton="0" quotePrefix="0" xfId="0">
      <alignment horizontal="center" vertical="center"/>
      <protection locked="0" hidden="0"/>
    </xf>
    <xf numFmtId="1" fontId="9" fillId="5" borderId="5" applyAlignment="1" pivotButton="0" quotePrefix="0" xfId="0">
      <alignment horizontal="right" vertical="center"/>
    </xf>
    <xf numFmtId="49" fontId="9" fillId="0" borderId="2" applyAlignment="1" pivotButton="0" quotePrefix="0" xfId="0">
      <alignment horizontal="left" vertical="center"/>
    </xf>
    <xf numFmtId="49" fontId="9" fillId="0" borderId="3" applyAlignment="1" pivotButton="0" quotePrefix="0" xfId="0">
      <alignment horizontal="left" vertical="center"/>
    </xf>
    <xf numFmtId="49" fontId="9" fillId="0" borderId="4" applyAlignment="1" pivotButton="0" quotePrefix="0" xfId="0">
      <alignment horizontal="left" vertical="center"/>
    </xf>
    <xf numFmtId="49" fontId="9" fillId="0" borderId="5" applyAlignment="1" pivotButton="0" quotePrefix="0" xfId="0">
      <alignment horizontal="left" vertical="center"/>
    </xf>
    <xf numFmtId="0" fontId="9" fillId="0" borderId="3" applyAlignment="1" pivotButton="0" quotePrefix="0" xfId="0">
      <alignment horizontal="left" vertical="center"/>
    </xf>
    <xf numFmtId="0" fontId="9" fillId="0" borderId="5" applyAlignment="1" pivotButton="0" quotePrefix="0" xfId="0">
      <alignment horizontal="left" vertical="center"/>
    </xf>
    <xf numFmtId="0" fontId="2" fillId="0" borderId="22" applyAlignment="1" pivotButton="0" quotePrefix="0" xfId="0">
      <alignment vertical="center"/>
    </xf>
    <xf numFmtId="0" fontId="2" fillId="0" borderId="23" applyAlignment="1" pivotButton="0" quotePrefix="0" xfId="0">
      <alignment vertical="center"/>
    </xf>
    <xf numFmtId="0" fontId="2" fillId="0" borderId="24" applyAlignment="1" pivotButton="0" quotePrefix="0" xfId="0">
      <alignment vertical="center"/>
    </xf>
    <xf numFmtId="0" fontId="2" fillId="0" borderId="25" applyAlignment="1" pivotButton="0" quotePrefix="0" xfId="0">
      <alignment vertical="center"/>
    </xf>
    <xf numFmtId="0" fontId="10" fillId="2" borderId="2" applyAlignment="1" applyProtection="1" pivotButton="0" quotePrefix="0" xfId="0">
      <alignment horizontal="center" vertical="center"/>
      <protection locked="0" hidden="0"/>
    </xf>
    <xf numFmtId="0" fontId="10" fillId="2" borderId="3" applyAlignment="1" applyProtection="1" pivotButton="0" quotePrefix="0" xfId="0">
      <alignment horizontal="center" vertical="center"/>
      <protection locked="0" hidden="0"/>
    </xf>
    <xf numFmtId="0" fontId="10" fillId="2" borderId="4" applyAlignment="1" applyProtection="1" pivotButton="0" quotePrefix="0" xfId="0">
      <alignment horizontal="center" vertical="center"/>
      <protection locked="0" hidden="0"/>
    </xf>
    <xf numFmtId="0" fontId="10" fillId="2" borderId="22" applyAlignment="1" applyProtection="1" pivotButton="0" quotePrefix="0" xfId="0">
      <alignment horizontal="center" vertical="center"/>
      <protection locked="0" hidden="0"/>
    </xf>
    <xf numFmtId="0" fontId="10" fillId="2" borderId="26" applyAlignment="1" applyProtection="1" pivotButton="0" quotePrefix="0" xfId="0">
      <alignment horizontal="center" vertical="center"/>
      <protection locked="0" hidden="0"/>
    </xf>
    <xf numFmtId="0" fontId="10" fillId="2" borderId="23" applyAlignment="1" applyProtection="1" pivotButton="0" quotePrefix="0" xfId="0">
      <alignment horizontal="center" vertical="center"/>
      <protection locked="0" hidden="0"/>
    </xf>
    <xf numFmtId="0" fontId="2" fillId="0" borderId="27" applyAlignment="1" pivotButton="0" quotePrefix="0" xfId="0">
      <alignment vertical="center"/>
    </xf>
    <xf numFmtId="0" fontId="2" fillId="0" borderId="28" applyAlignment="1" pivotButton="0" quotePrefix="0" xfId="0">
      <alignment vertical="center"/>
    </xf>
    <xf numFmtId="0" fontId="10" fillId="2" borderId="5" applyAlignment="1" pivotButton="0" quotePrefix="0" xfId="0">
      <alignment horizontal="center" vertical="center"/>
    </xf>
    <xf numFmtId="1" fontId="12" fillId="0" borderId="13" applyAlignment="1" pivotButton="0" quotePrefix="0" xfId="6">
      <alignment horizontal="center" vertical="center" wrapText="1"/>
    </xf>
    <xf numFmtId="0" fontId="3" fillId="0" borderId="14" applyAlignment="1" pivotButton="0" quotePrefix="0" xfId="0">
      <alignment horizontal="left" vertical="center" wrapText="1"/>
    </xf>
    <xf numFmtId="0" fontId="3" fillId="0" borderId="29" applyAlignment="1" pivotButton="0" quotePrefix="0" xfId="0">
      <alignment horizontal="center" vertical="center" wrapText="1"/>
    </xf>
    <xf numFmtId="166" fontId="3" fillId="0" borderId="19" applyAlignment="1" pivotButton="0" quotePrefix="0" xfId="0">
      <alignment vertical="center" wrapText="1"/>
    </xf>
    <xf numFmtId="164" fontId="2" fillId="6" borderId="13" applyAlignment="1" pivotButton="0" quotePrefix="0" xfId="0">
      <alignment horizontal="right" vertical="center" wrapText="1"/>
    </xf>
    <xf numFmtId="164" fontId="2" fillId="7" borderId="14" applyAlignment="1" pivotButton="0" quotePrefix="0" xfId="0">
      <alignment horizontal="right" vertical="center" wrapText="1"/>
    </xf>
    <xf numFmtId="10" fontId="2" fillId="8" borderId="14" applyAlignment="1" pivotButton="0" quotePrefix="0" xfId="0">
      <alignment horizontal="right" vertical="center" wrapText="1"/>
    </xf>
    <xf numFmtId="164" fontId="2" fillId="7" borderId="14" applyAlignment="1" pivotButton="0" quotePrefix="0" xfId="0">
      <alignment horizontal="center" vertical="center" wrapText="1"/>
    </xf>
    <xf numFmtId="1" fontId="3" fillId="0" borderId="6" applyAlignment="1" pivotButton="0" quotePrefix="0" xfId="0">
      <alignment horizontal="center" vertical="center" wrapText="1"/>
    </xf>
    <xf numFmtId="0" fontId="3" fillId="0" borderId="7" applyAlignment="1" pivotButton="0" quotePrefix="0" xfId="0">
      <alignment horizontal="left" vertical="center" wrapText="1"/>
    </xf>
    <xf numFmtId="0" fontId="3" fillId="0" borderId="9" applyAlignment="1" pivotButton="0" quotePrefix="0" xfId="0">
      <alignment horizontal="center" vertical="center" wrapText="1"/>
    </xf>
    <xf numFmtId="166" fontId="3" fillId="0" borderId="8" applyAlignment="1" pivotButton="0" quotePrefix="0" xfId="0">
      <alignment vertical="center" wrapText="1"/>
    </xf>
    <xf numFmtId="164" fontId="2" fillId="6" borderId="6" applyAlignment="1" pivotButton="0" quotePrefix="0" xfId="0">
      <alignment horizontal="right" vertical="center" wrapText="1"/>
    </xf>
    <xf numFmtId="164" fontId="2" fillId="7" borderId="7" applyAlignment="1" pivotButton="0" quotePrefix="0" xfId="0">
      <alignment horizontal="right" vertical="center" wrapText="1"/>
    </xf>
    <xf numFmtId="10" fontId="2" fillId="8" borderId="7" applyAlignment="1" pivotButton="0" quotePrefix="0" xfId="0">
      <alignment horizontal="right" vertical="center" wrapText="1"/>
    </xf>
    <xf numFmtId="0" fontId="2" fillId="0" borderId="7" applyAlignment="1" pivotButton="0" quotePrefix="0" xfId="0">
      <alignment vertical="center" wrapText="1"/>
    </xf>
    <xf numFmtId="0" fontId="2" fillId="0" borderId="9" applyAlignment="1" pivotButton="0" quotePrefix="0" xfId="0">
      <alignment horizontal="center" vertical="center" wrapText="1"/>
    </xf>
    <xf numFmtId="166" fontId="2" fillId="0" borderId="8" applyAlignment="1" pivotButton="0" quotePrefix="0" xfId="0">
      <alignment vertical="center" wrapText="1"/>
    </xf>
    <xf numFmtId="0" fontId="3" fillId="0" borderId="7" applyAlignment="1" pivotButton="0" quotePrefix="0" xfId="0">
      <alignment vertical="center" wrapText="1"/>
    </xf>
    <xf numFmtId="166" fontId="3" fillId="0" borderId="8" applyAlignment="1" pivotButton="0" quotePrefix="0" xfId="0">
      <alignment horizontal="right" vertical="center" wrapText="1"/>
    </xf>
    <xf numFmtId="1" fontId="2" fillId="0" borderId="7" applyAlignment="1" pivotButton="0" quotePrefix="0" xfId="0">
      <alignment horizontal="left" vertical="center" wrapText="1"/>
    </xf>
    <xf numFmtId="166" fontId="2" fillId="0" borderId="8" applyAlignment="1" pivotButton="0" quotePrefix="0" xfId="0">
      <alignment horizontal="right" vertical="center" wrapText="1"/>
    </xf>
    <xf numFmtId="164" fontId="2" fillId="7" borderId="7" applyAlignment="1" pivotButton="0" quotePrefix="0" xfId="0">
      <alignment horizontal="center" vertical="center" wrapText="1"/>
    </xf>
    <xf numFmtId="164" fontId="2" fillId="6" borderId="6" applyAlignment="1" pivotButton="0" quotePrefix="0" xfId="0">
      <alignment vertical="center" wrapText="1"/>
    </xf>
    <xf numFmtId="164" fontId="2" fillId="7" borderId="7" applyAlignment="1" pivotButton="0" quotePrefix="0" xfId="0">
      <alignment vertical="center" wrapText="1"/>
    </xf>
    <xf numFmtId="10" fontId="2" fillId="8" borderId="7" applyAlignment="1" pivotButton="0" quotePrefix="0" xfId="0">
      <alignment vertical="center" wrapText="1"/>
    </xf>
    <xf numFmtId="0" fontId="3" fillId="0" borderId="7" applyAlignment="1" pivotButton="0" quotePrefix="0" xfId="0">
      <alignment vertical="center"/>
    </xf>
    <xf numFmtId="0" fontId="3" fillId="0" borderId="9" applyAlignment="1" pivotButton="0" quotePrefix="0" xfId="0">
      <alignment horizontal="center" vertical="center"/>
    </xf>
    <xf numFmtId="166" fontId="17" fillId="0" borderId="8" applyAlignment="1" pivotButton="0" quotePrefix="0" xfId="0">
      <alignment horizontal="right" vertical="center"/>
    </xf>
    <xf numFmtId="167" fontId="2" fillId="6" borderId="11" applyAlignment="1" pivotButton="0" quotePrefix="0" xfId="0">
      <alignment vertical="center"/>
    </xf>
    <xf numFmtId="167" fontId="2" fillId="7" borderId="12" applyAlignment="1" pivotButton="0" quotePrefix="0" xfId="0">
      <alignment vertical="center"/>
    </xf>
    <xf numFmtId="10" fontId="2" fillId="8" borderId="12" applyAlignment="1" pivotButton="0" quotePrefix="0" xfId="0">
      <alignment vertical="center"/>
    </xf>
    <xf numFmtId="167" fontId="2" fillId="7" borderId="12" applyAlignment="1" pivotButton="0" quotePrefix="0" xfId="0">
      <alignment horizontal="center" vertical="center"/>
    </xf>
    <xf numFmtId="0" fontId="17" fillId="0" borderId="9" applyAlignment="1" pivotButton="0" quotePrefix="0" xfId="0">
      <alignment horizontal="left" vertical="center" shrinkToFit="1"/>
    </xf>
    <xf numFmtId="0" fontId="17" fillId="0" borderId="30" applyAlignment="1" pivotButton="0" quotePrefix="0" xfId="0">
      <alignment horizontal="left" vertical="center" shrinkToFit="1"/>
    </xf>
    <xf numFmtId="1" fontId="3" fillId="0" borderId="31" applyAlignment="1" pivotButton="0" quotePrefix="0" xfId="0">
      <alignment horizontal="center" vertical="center" wrapText="1"/>
    </xf>
    <xf numFmtId="0" fontId="17" fillId="0" borderId="7" applyAlignment="1" pivotButton="0" quotePrefix="0" xfId="0">
      <alignment horizontal="left" vertical="center" wrapText="1"/>
    </xf>
    <xf numFmtId="0" fontId="17" fillId="0" borderId="9" applyAlignment="1" pivotButton="0" quotePrefix="0" xfId="0">
      <alignment horizontal="left" vertical="center" wrapText="1"/>
    </xf>
    <xf numFmtId="0" fontId="17" fillId="0" borderId="8" applyAlignment="1" pivotButton="0" quotePrefix="0" xfId="0">
      <alignment horizontal="left" vertical="center"/>
    </xf>
    <xf numFmtId="1" fontId="3" fillId="0" borderId="16" applyAlignment="1" pivotButton="0" quotePrefix="0" xfId="0">
      <alignment horizontal="center" vertical="center"/>
    </xf>
    <xf numFmtId="0" fontId="17" fillId="0" borderId="12" applyAlignment="1" pivotButton="0" quotePrefix="0" xfId="0">
      <alignment horizontal="left" vertical="center"/>
    </xf>
    <xf numFmtId="0" fontId="17" fillId="0" borderId="15" applyAlignment="1" pivotButton="0" quotePrefix="0" xfId="0">
      <alignment horizontal="left" vertical="center"/>
    </xf>
    <xf numFmtId="0" fontId="17" fillId="0" borderId="18" applyAlignment="1" pivotButton="0" quotePrefix="0" xfId="0">
      <alignment horizontal="left" vertical="center"/>
    </xf>
    <xf numFmtId="1" fontId="0" fillId="0" borderId="0" pivotButton="0" quotePrefix="0" xfId="0"/>
    <xf numFmtId="0" fontId="7" fillId="0" borderId="0" applyAlignment="1" pivotButton="0" quotePrefix="0" xfId="0">
      <alignment horizontal="right"/>
    </xf>
    <xf numFmtId="0" fontId="0" fillId="0" borderId="0" pivotButton="0" quotePrefix="0" xfId="0"/>
    <xf numFmtId="0" fontId="0" fillId="0" borderId="3" applyProtection="1" pivotButton="0" quotePrefix="0" xfId="0">
      <protection locked="0" hidden="0"/>
    </xf>
    <xf numFmtId="0" fontId="0" fillId="0" borderId="4" applyProtection="1" pivotButton="0" quotePrefix="0" xfId="0">
      <protection locked="0" hidden="0"/>
    </xf>
    <xf numFmtId="0" fontId="0" fillId="0" borderId="3" pivotButton="0" quotePrefix="0" xfId="0"/>
    <xf numFmtId="0" fontId="0" fillId="0" borderId="4" pivotButton="0" quotePrefix="0" xfId="0"/>
    <xf numFmtId="0" fontId="10" fillId="2" borderId="40" applyAlignment="1" applyProtection="1" pivotButton="0" quotePrefix="0" xfId="0">
      <alignment horizontal="center" vertical="center"/>
      <protection locked="0" hidden="0"/>
    </xf>
    <xf numFmtId="0" fontId="0" fillId="0" borderId="26" applyProtection="1" pivotButton="0" quotePrefix="0" xfId="0">
      <protection locked="0" hidden="0"/>
    </xf>
    <xf numFmtId="0" fontId="0" fillId="0" borderId="23" applyProtection="1" pivotButton="0" quotePrefix="0" xfId="0">
      <protection locked="0" hidden="0"/>
    </xf>
    <xf numFmtId="164" fontId="10" fillId="2" borderId="5" applyAlignment="1" pivotButton="0" quotePrefix="0" xfId="0">
      <alignment horizontal="center" vertical="center" wrapText="1"/>
    </xf>
    <xf numFmtId="164" fontId="10" fillId="4" borderId="5" applyAlignment="1" pivotButton="0" quotePrefix="0" xfId="0">
      <alignment horizontal="center" vertical="center" wrapText="1"/>
    </xf>
    <xf numFmtId="164" fontId="10" fillId="4" borderId="5" applyAlignment="1" pivotButton="0" quotePrefix="0" xfId="0">
      <alignment horizontal="center" vertical="center"/>
    </xf>
    <xf numFmtId="166" fontId="3" fillId="0" borderId="19" applyAlignment="1" pivotButton="0" quotePrefix="0" xfId="0">
      <alignment vertical="center" wrapText="1"/>
    </xf>
    <xf numFmtId="164" fontId="2" fillId="6" borderId="13" applyAlignment="1" pivotButton="0" quotePrefix="0" xfId="0">
      <alignment horizontal="right" vertical="center" wrapText="1"/>
    </xf>
    <xf numFmtId="164" fontId="2" fillId="7" borderId="14" applyAlignment="1" pivotButton="0" quotePrefix="0" xfId="0">
      <alignment horizontal="right" vertical="center" wrapText="1"/>
    </xf>
    <xf numFmtId="164" fontId="2" fillId="7" borderId="14" applyAlignment="1" pivotButton="0" quotePrefix="0" xfId="0">
      <alignment horizontal="center" vertical="center" wrapText="1"/>
    </xf>
    <xf numFmtId="166" fontId="3" fillId="0" borderId="8" applyAlignment="1" pivotButton="0" quotePrefix="0" xfId="0">
      <alignment vertical="center" wrapText="1"/>
    </xf>
    <xf numFmtId="164" fontId="2" fillId="6" borderId="6" applyAlignment="1" pivotButton="0" quotePrefix="0" xfId="0">
      <alignment horizontal="right" vertical="center" wrapText="1"/>
    </xf>
    <xf numFmtId="164" fontId="2" fillId="7" borderId="7" applyAlignment="1" pivotButton="0" quotePrefix="0" xfId="0">
      <alignment horizontal="right" vertical="center" wrapText="1"/>
    </xf>
    <xf numFmtId="166" fontId="2" fillId="0" borderId="8" applyAlignment="1" pivotButton="0" quotePrefix="0" xfId="0">
      <alignment vertical="center" wrapText="1"/>
    </xf>
    <xf numFmtId="166" fontId="3" fillId="0" borderId="8" applyAlignment="1" pivotButton="0" quotePrefix="0" xfId="0">
      <alignment horizontal="right" vertical="center" wrapText="1"/>
    </xf>
    <xf numFmtId="166" fontId="2" fillId="0" borderId="8" applyAlignment="1" pivotButton="0" quotePrefix="0" xfId="0">
      <alignment horizontal="right" vertical="center" wrapText="1"/>
    </xf>
    <xf numFmtId="164" fontId="2" fillId="7" borderId="7" applyAlignment="1" pivotButton="0" quotePrefix="0" xfId="0">
      <alignment horizontal="center" vertical="center" wrapText="1"/>
    </xf>
    <xf numFmtId="164" fontId="2" fillId="6" borderId="6" applyAlignment="1" pivotButton="0" quotePrefix="0" xfId="0">
      <alignment vertical="center" wrapText="1"/>
    </xf>
    <xf numFmtId="164" fontId="2" fillId="7" borderId="7" applyAlignment="1" pivotButton="0" quotePrefix="0" xfId="0">
      <alignment vertical="center" wrapText="1"/>
    </xf>
    <xf numFmtId="166" fontId="17" fillId="0" borderId="8" applyAlignment="1" pivotButton="0" quotePrefix="0" xfId="0">
      <alignment horizontal="right" vertical="center"/>
    </xf>
    <xf numFmtId="167" fontId="2" fillId="6" borderId="11" applyAlignment="1" pivotButton="0" quotePrefix="0" xfId="0">
      <alignment vertical="center"/>
    </xf>
    <xf numFmtId="167" fontId="2" fillId="7" borderId="12" applyAlignment="1" pivotButton="0" quotePrefix="0" xfId="0">
      <alignment vertical="center"/>
    </xf>
    <xf numFmtId="167" fontId="2" fillId="7" borderId="12" applyAlignment="1" pivotButton="0" quotePrefix="0" xfId="0">
      <alignment horizontal="center" vertical="center"/>
    </xf>
    <xf numFmtId="0" fontId="17" fillId="0" borderId="8" applyAlignment="1" pivotButton="0" quotePrefix="0" xfId="0">
      <alignment horizontal="left" vertical="center" shrinkToFit="1"/>
    </xf>
    <xf numFmtId="0" fontId="0" fillId="0" borderId="30" pivotButton="0" quotePrefix="0" xfId="0"/>
    <xf numFmtId="1" fontId="3" fillId="0" borderId="12" applyAlignment="1" pivotButton="0" quotePrefix="0" xfId="0">
      <alignment horizontal="center" vertical="center" wrapText="1"/>
    </xf>
    <xf numFmtId="0" fontId="0" fillId="0" borderId="41" pivotButton="0" quotePrefix="0" xfId="0"/>
    <xf numFmtId="0" fontId="0" fillId="0" borderId="45" pivotButton="0" quotePrefix="0" xfId="0"/>
    <xf numFmtId="0" fontId="0" fillId="0" borderId="16" pivotButton="0" quotePrefix="0" xfId="0"/>
    <xf numFmtId="0" fontId="0" fillId="0" borderId="29" pivotButton="0" quotePrefix="0" xfId="0"/>
    <xf numFmtId="0" fontId="0" fillId="0" borderId="47" pivotButton="0" quotePrefix="0" xfId="0"/>
    <xf numFmtId="0" fontId="0" fillId="0" borderId="20" pivotButton="0" quotePrefix="0" xfId="0"/>
    <xf numFmtId="0" fontId="0" fillId="0" borderId="1" applyProtection="1" pivotButton="0" quotePrefix="0" xfId="0">
      <protection locked="0" hidden="0"/>
    </xf>
    <xf numFmtId="0" fontId="8" fillId="0" borderId="5" applyAlignment="1" pivotButton="0" quotePrefix="0" xfId="0">
      <alignment horizontal="left" vertical="center"/>
    </xf>
    <xf numFmtId="164" fontId="10" fillId="2" borderId="5" applyAlignment="1" pivotButton="0" quotePrefix="0" xfId="0">
      <alignment horizontal="center" vertical="center"/>
    </xf>
    <xf numFmtId="165" fontId="3" fillId="0" borderId="7" applyAlignment="1" pivotButton="0" quotePrefix="0" xfId="0">
      <alignment horizontal="right" vertical="center"/>
    </xf>
    <xf numFmtId="166" fontId="3" fillId="0" borderId="7" applyAlignment="1" pivotButton="0" quotePrefix="0" xfId="0">
      <alignment horizontal="right" vertical="center"/>
    </xf>
    <xf numFmtId="166" fontId="2" fillId="6" borderId="6" applyAlignment="1" pivotButton="0" quotePrefix="0" xfId="0">
      <alignment horizontal="right" vertical="center"/>
    </xf>
    <xf numFmtId="166" fontId="2" fillId="7" borderId="7" applyAlignment="1" pivotButton="0" quotePrefix="0" xfId="0">
      <alignment horizontal="right" vertical="center"/>
    </xf>
    <xf numFmtId="165" fontId="2" fillId="0" borderId="7" applyAlignment="1" pivotButton="0" quotePrefix="0" xfId="0">
      <alignment horizontal="right" vertical="center"/>
    </xf>
    <xf numFmtId="166" fontId="2" fillId="0" borderId="7" applyAlignment="1" pivotButton="0" quotePrefix="0" xfId="0">
      <alignment horizontal="right" vertical="center"/>
    </xf>
    <xf numFmtId="165" fontId="1" fillId="0" borderId="7" applyAlignment="1" pivotButton="0" quotePrefix="0" xfId="0">
      <alignment horizontal="right" vertical="center"/>
    </xf>
    <xf numFmtId="166" fontId="1" fillId="0" borderId="7" applyAlignment="1" pivotButton="0" quotePrefix="0" xfId="0">
      <alignment horizontal="right" vertical="center"/>
    </xf>
    <xf numFmtId="166" fontId="1" fillId="6" borderId="6" applyAlignment="1" pivotButton="0" quotePrefix="0" xfId="0">
      <alignment horizontal="right" vertical="center"/>
    </xf>
    <xf numFmtId="166" fontId="1" fillId="7" borderId="7" applyAlignment="1" pivotButton="0" quotePrefix="0" xfId="0">
      <alignment horizontal="right" vertical="center"/>
    </xf>
    <xf numFmtId="165" fontId="3" fillId="0" borderId="7" applyAlignment="1" pivotButton="0" quotePrefix="0" xfId="0">
      <alignment horizontal="right"/>
    </xf>
    <xf numFmtId="166" fontId="2" fillId="0" borderId="7" applyAlignment="1" pivotButton="0" quotePrefix="0" xfId="0">
      <alignment horizontal="right"/>
    </xf>
    <xf numFmtId="165" fontId="2" fillId="0" borderId="7" applyAlignment="1" pivotButton="0" quotePrefix="0" xfId="0">
      <alignment horizontal="right"/>
    </xf>
    <xf numFmtId="167" fontId="2" fillId="7" borderId="9" applyAlignment="1" pivotButton="0" quotePrefix="0" xfId="0">
      <alignment horizontal="left" vertical="center"/>
    </xf>
    <xf numFmtId="167" fontId="2" fillId="7" borderId="7" applyAlignment="1" pivotButton="0" quotePrefix="0" xfId="0">
      <alignment horizontal="left" vertical="center"/>
    </xf>
    <xf numFmtId="167" fontId="2" fillId="7" borderId="8" applyAlignment="1" pivotButton="0" quotePrefix="0" xfId="0">
      <alignment horizontal="left" vertical="center"/>
    </xf>
    <xf numFmtId="168" fontId="3" fillId="0" borderId="8" applyAlignment="1" pivotButton="0" quotePrefix="0" xfId="0">
      <alignment horizontal="left"/>
    </xf>
    <xf numFmtId="0" fontId="16" fillId="0" borderId="7" applyAlignment="1" pivotButton="0" quotePrefix="0" xfId="0">
      <alignment shrinkToFit="1"/>
    </xf>
    <xf numFmtId="0" fontId="0" fillId="0" borderId="10" pivotButton="0" quotePrefix="0" xfId="0"/>
    <xf numFmtId="165" fontId="17" fillId="0" borderId="7" applyAlignment="1" pivotButton="0" quotePrefix="0" xfId="0">
      <alignment horizontal="right" shrinkToFit="1"/>
    </xf>
    <xf numFmtId="166" fontId="17" fillId="0" borderId="7" applyAlignment="1" pivotButton="0" quotePrefix="0" xfId="0">
      <alignment horizontal="right" shrinkToFit="1"/>
    </xf>
    <xf numFmtId="168" fontId="3" fillId="0" borderId="8" applyAlignment="1" pivotButton="0" quotePrefix="0" xfId="0">
      <alignment horizontal="left" shrinkToFit="1"/>
    </xf>
    <xf numFmtId="166" fontId="2" fillId="6" borderId="11" applyAlignment="1" pivotButton="0" quotePrefix="0" xfId="0">
      <alignment horizontal="right" vertical="center" shrinkToFit="1"/>
    </xf>
    <xf numFmtId="166" fontId="2" fillId="7" borderId="12" applyAlignment="1" pivotButton="0" quotePrefix="0" xfId="0">
      <alignment horizontal="right" vertical="center" shrinkToFit="1"/>
    </xf>
    <xf numFmtId="169" fontId="2" fillId="7" borderId="15" applyAlignment="1" pivotButton="0" quotePrefix="0" xfId="0">
      <alignment horizontal="left" vertical="center"/>
    </xf>
    <xf numFmtId="169" fontId="2" fillId="7" borderId="12" applyAlignment="1" pivotButton="0" quotePrefix="0" xfId="0">
      <alignment horizontal="left" vertical="center"/>
    </xf>
    <xf numFmtId="169" fontId="2" fillId="7" borderId="18" applyAlignment="1" pivotButton="0" quotePrefix="0" xfId="0">
      <alignment horizontal="left" vertical="center"/>
    </xf>
    <xf numFmtId="166" fontId="2" fillId="0" borderId="0" applyAlignment="1" pivotButton="0" quotePrefix="0" xfId="0">
      <alignment vertical="center"/>
    </xf>
    <xf numFmtId="0" fontId="0" fillId="0" borderId="13" pivotButton="0" quotePrefix="0" xfId="0"/>
    <xf numFmtId="165" fontId="2" fillId="0" borderId="0" applyAlignment="1" pivotButton="0" quotePrefix="0" xfId="0">
      <alignment vertical="center"/>
    </xf>
    <xf numFmtId="0" fontId="0" fillId="0" borderId="0" applyProtection="1" pivotButton="0" quotePrefix="0" xfId="0">
      <protection locked="0" hidden="0"/>
    </xf>
    <xf numFmtId="0" fontId="0" fillId="0" borderId="1" pivotButton="0" quotePrefix="0" xfId="0"/>
    <xf numFmtId="170" fontId="2" fillId="0" borderId="0" applyAlignment="1" pivotButton="0" quotePrefix="0" xfId="0">
      <alignment horizontal="left" vertical="center"/>
    </xf>
    <xf numFmtId="171" fontId="2" fillId="0" borderId="0" applyAlignment="1" pivotButton="0" quotePrefix="0" xfId="0">
      <alignment horizontal="left" vertical="center"/>
    </xf>
    <xf numFmtId="164" fontId="10" fillId="9" borderId="5" applyAlignment="1" pivotButton="0" quotePrefix="0" xfId="0">
      <alignment horizontal="center" vertical="center"/>
    </xf>
    <xf numFmtId="164" fontId="10" fillId="9" borderId="5" applyAlignment="1" pivotButton="0" quotePrefix="0" xfId="0">
      <alignment horizontal="center" vertical="center" wrapText="1"/>
    </xf>
    <xf numFmtId="164" fontId="10" fillId="10" borderId="5" applyAlignment="1" pivotButton="0" quotePrefix="0" xfId="0">
      <alignment horizontal="center" vertical="center" wrapText="1"/>
    </xf>
    <xf numFmtId="166" fontId="3" fillId="0" borderId="14" applyAlignment="1" pivotButton="0" quotePrefix="0" xfId="0">
      <alignment horizontal="right" vertical="center"/>
    </xf>
    <xf numFmtId="166" fontId="2" fillId="11" borderId="13" applyAlignment="1" pivotButton="0" quotePrefix="0" xfId="0">
      <alignment horizontal="right" vertical="center"/>
    </xf>
    <xf numFmtId="166" fontId="2" fillId="12" borderId="14" applyAlignment="1" pivotButton="0" quotePrefix="0" xfId="0">
      <alignment horizontal="right" vertical="center"/>
    </xf>
    <xf numFmtId="166" fontId="2" fillId="14" borderId="14" applyAlignment="1" pivotButton="0" quotePrefix="0" xfId="0">
      <alignment horizontal="right" vertical="center"/>
    </xf>
    <xf numFmtId="166" fontId="2" fillId="17" borderId="19" applyAlignment="1" pivotButton="0" quotePrefix="0" xfId="0">
      <alignment horizontal="right" vertical="center"/>
    </xf>
    <xf numFmtId="164" fontId="2" fillId="17" borderId="19" applyAlignment="1" pivotButton="0" quotePrefix="0" xfId="0">
      <alignment horizontal="center" vertical="center"/>
    </xf>
    <xf numFmtId="172" fontId="2" fillId="17" borderId="19" applyAlignment="1" pivotButton="0" quotePrefix="0" xfId="0">
      <alignment horizontal="right" vertical="center"/>
    </xf>
    <xf numFmtId="166" fontId="2" fillId="11" borderId="6" applyAlignment="1" pivotButton="0" quotePrefix="0" xfId="0">
      <alignment horizontal="right" vertical="center"/>
    </xf>
    <xf numFmtId="166" fontId="2" fillId="12" borderId="7" applyAlignment="1" pivotButton="0" quotePrefix="0" xfId="0">
      <alignment horizontal="right" vertical="center"/>
    </xf>
    <xf numFmtId="166" fontId="2" fillId="14" borderId="7" applyAlignment="1" pivotButton="0" quotePrefix="0" xfId="0">
      <alignment horizontal="right" vertical="center"/>
    </xf>
    <xf numFmtId="166" fontId="2" fillId="17" borderId="8" applyAlignment="1" pivotButton="0" quotePrefix="0" xfId="0">
      <alignment horizontal="right" vertical="center"/>
    </xf>
    <xf numFmtId="166" fontId="0" fillId="0" borderId="7" applyAlignment="1" pivotButton="0" quotePrefix="0" xfId="0">
      <alignment horizontal="right" vertical="center"/>
    </xf>
    <xf numFmtId="166" fontId="0" fillId="11" borderId="6" applyAlignment="1" pivotButton="0" quotePrefix="0" xfId="0">
      <alignment horizontal="right" vertical="center"/>
    </xf>
    <xf numFmtId="166" fontId="0" fillId="12" borderId="7" applyAlignment="1" pivotButton="0" quotePrefix="0" xfId="0">
      <alignment horizontal="right" vertical="center"/>
    </xf>
    <xf numFmtId="166" fontId="0" fillId="14" borderId="7" applyAlignment="1" pivotButton="0" quotePrefix="0" xfId="0">
      <alignment horizontal="right" vertical="center"/>
    </xf>
    <xf numFmtId="166" fontId="0" fillId="17" borderId="8" applyAlignment="1" pivotButton="0" quotePrefix="0" xfId="0">
      <alignment horizontal="right" vertical="center"/>
    </xf>
    <xf numFmtId="164" fontId="0" fillId="17" borderId="19" applyAlignment="1" pivotButton="0" quotePrefix="0" xfId="0">
      <alignment horizontal="center" vertical="center"/>
    </xf>
    <xf numFmtId="172" fontId="0" fillId="17" borderId="19" applyAlignment="1" pivotButton="0" quotePrefix="0" xfId="0">
      <alignment horizontal="right" vertical="center"/>
    </xf>
    <xf numFmtId="166" fontId="2" fillId="0" borderId="12" applyAlignment="1" pivotButton="0" quotePrefix="0" xfId="0">
      <alignment horizontal="right" vertical="center"/>
    </xf>
    <xf numFmtId="166" fontId="2" fillId="11" borderId="11" applyAlignment="1" pivotButton="0" quotePrefix="0" xfId="0">
      <alignment horizontal="right" vertical="center"/>
    </xf>
    <xf numFmtId="166" fontId="2" fillId="12" borderId="12" applyAlignment="1" pivotButton="0" quotePrefix="0" xfId="0">
      <alignment horizontal="right" vertical="center"/>
    </xf>
    <xf numFmtId="166" fontId="2" fillId="14" borderId="12" applyAlignment="1" pivotButton="0" quotePrefix="0" xfId="0">
      <alignment horizontal="right" vertical="center"/>
    </xf>
    <xf numFmtId="166" fontId="2" fillId="17" borderId="18" applyAlignment="1" pivotButton="0" quotePrefix="0" xfId="0">
      <alignment horizontal="right" vertical="center"/>
    </xf>
    <xf numFmtId="170" fontId="0" fillId="0" borderId="0" applyAlignment="1" pivotButton="0" quotePrefix="0" xfId="0">
      <alignment horizontal="left" vertical="center"/>
    </xf>
    <xf numFmtId="171" fontId="0" fillId="0" borderId="0" applyAlignment="1" pivotButton="0" quotePrefix="0" xfId="0">
      <alignment horizontal="left" vertical="center"/>
    </xf>
    <xf numFmtId="166" fontId="0" fillId="11" borderId="13" applyAlignment="1" pivotButton="0" quotePrefix="0" xfId="0">
      <alignment horizontal="right" vertical="center"/>
    </xf>
    <xf numFmtId="166" fontId="0" fillId="12" borderId="14" applyAlignment="1" pivotButton="0" quotePrefix="0" xfId="0">
      <alignment horizontal="right" vertical="center"/>
    </xf>
    <xf numFmtId="166" fontId="0" fillId="14" borderId="14" applyAlignment="1" pivotButton="0" quotePrefix="0" xfId="0">
      <alignment horizontal="right" vertical="center"/>
    </xf>
    <xf numFmtId="166" fontId="0" fillId="17" borderId="19" applyAlignment="1" pivotButton="0" quotePrefix="0" xfId="0">
      <alignment horizontal="right" vertical="center"/>
    </xf>
    <xf numFmtId="166" fontId="0" fillId="0" borderId="12" applyAlignment="1" pivotButton="0" quotePrefix="0" xfId="0">
      <alignment horizontal="right" vertical="center"/>
    </xf>
    <xf numFmtId="166" fontId="0" fillId="11" borderId="11" applyAlignment="1" pivotButton="0" quotePrefix="0" xfId="0">
      <alignment horizontal="right" vertical="center"/>
    </xf>
    <xf numFmtId="166" fontId="0" fillId="12" borderId="12" applyAlignment="1" pivotButton="0" quotePrefix="0" xfId="0">
      <alignment horizontal="right" vertical="center"/>
    </xf>
    <xf numFmtId="166" fontId="0" fillId="14" borderId="12" applyAlignment="1" pivotButton="0" quotePrefix="0" xfId="0">
      <alignment horizontal="right" vertical="center"/>
    </xf>
    <xf numFmtId="166" fontId="0" fillId="17" borderId="18" applyAlignment="1" pivotButton="0" quotePrefix="0" xfId="0">
      <alignment horizontal="right" vertical="center"/>
    </xf>
    <xf numFmtId="166" fontId="2" fillId="19" borderId="8" applyAlignment="1" pivotButton="0" quotePrefix="0" xfId="0">
      <alignment horizontal="right" vertical="center"/>
    </xf>
    <xf numFmtId="164" fontId="2" fillId="19" borderId="19" applyAlignment="1" pivotButton="0" quotePrefix="0" xfId="0">
      <alignment horizontal="center" vertical="center"/>
    </xf>
    <xf numFmtId="172" fontId="2" fillId="19" borderId="19" applyAlignment="1" pivotButton="0" quotePrefix="0" xfId="0">
      <alignment horizontal="right" vertical="center"/>
    </xf>
    <xf numFmtId="166" fontId="3" fillId="11" borderId="6" applyAlignment="1" pivotButton="0" quotePrefix="0" xfId="0">
      <alignment horizontal="right" vertical="center"/>
    </xf>
    <xf numFmtId="166" fontId="3" fillId="12" borderId="7" applyAlignment="1" pivotButton="0" quotePrefix="0" xfId="0">
      <alignment horizontal="right" vertical="center"/>
    </xf>
    <xf numFmtId="166" fontId="3" fillId="14" borderId="7" applyAlignment="1" pivotButton="0" quotePrefix="0" xfId="0">
      <alignment horizontal="right" vertical="center"/>
    </xf>
    <xf numFmtId="166" fontId="3" fillId="17" borderId="8" applyAlignment="1" pivotButton="0" quotePrefix="0" xfId="0">
      <alignment horizontal="right" vertical="center"/>
    </xf>
    <xf numFmtId="164" fontId="3" fillId="17" borderId="19" applyAlignment="1" pivotButton="0" quotePrefix="0" xfId="0">
      <alignment horizontal="center" vertical="center"/>
    </xf>
    <xf numFmtId="172" fontId="3" fillId="0" borderId="19" applyAlignment="1" pivotButton="0" quotePrefix="0" xfId="0">
      <alignment horizontal="righ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0</colOff>
      <row>0</row>
      <rowOff>0</rowOff>
    </from>
    <to>
      <col>1</col>
      <colOff>0</colOff>
      <row>2</row>
      <rowOff>76246</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165860" cy="5334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1</col>
      <colOff>815444</colOff>
      <row>2</row>
      <rowOff>76246</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158240" cy="5334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H59"/>
  <sheetViews>
    <sheetView showGridLines="0" topLeftCell="A43" workbookViewId="0">
      <selection activeCell="D55" sqref="D55"/>
    </sheetView>
  </sheetViews>
  <sheetFormatPr baseColWidth="8" defaultColWidth="9" defaultRowHeight="18" customHeight="1"/>
  <cols>
    <col width="17" customWidth="1" style="308" min="1" max="1"/>
    <col width="46.75" customWidth="1" style="308" min="2" max="2"/>
    <col width="9.75" customWidth="1" style="308" min="3" max="3"/>
    <col width="20.3796296296296" customWidth="1" style="308" min="4" max="4"/>
    <col width="15" customWidth="1" style="308" min="5" max="5"/>
    <col width="16.1296296296296" customWidth="1" style="308" min="6" max="6"/>
    <col width="13.3796296296296" customWidth="1" style="308" min="7" max="8"/>
  </cols>
  <sheetData>
    <row r="1" s="308">
      <c r="A1" s="238">
        <f>T(B22)</f>
        <v/>
      </c>
      <c r="H1" s="159" t="n"/>
    </row>
    <row r="2" s="308">
      <c r="A2" s="239">
        <f>T(B23)</f>
        <v/>
      </c>
      <c r="H2" s="159" t="n"/>
    </row>
    <row r="3" s="308">
      <c r="A3" s="240" t="n"/>
      <c r="B3" s="241" t="n"/>
      <c r="C3" s="241" t="n"/>
      <c r="D3" s="241" t="n"/>
      <c r="E3" s="3" t="n"/>
      <c r="F3" s="3" t="n"/>
      <c r="G3" s="3" t="n"/>
      <c r="H3" s="160" t="n"/>
    </row>
    <row r="4" s="308">
      <c r="A4" s="242" t="inlineStr">
        <is>
          <t>工程信息</t>
        </is>
      </c>
      <c r="B4" s="309" t="n"/>
      <c r="C4" s="309" t="n"/>
      <c r="D4" s="310" t="n"/>
      <c r="E4" s="242" t="n"/>
      <c r="F4" s="310" t="n"/>
      <c r="G4" s="3" t="n"/>
      <c r="H4" s="160" t="n"/>
    </row>
    <row r="5" s="308">
      <c r="A5" s="243" t="inlineStr">
        <is>
          <t>项目名称</t>
        </is>
      </c>
      <c r="B5" s="247" t="inlineStr">
        <is>
          <t>DEMO-C项目C</t>
        </is>
      </c>
      <c r="C5" s="311" t="n"/>
      <c r="D5" s="312" t="n"/>
      <c r="E5" s="243" t="inlineStr">
        <is>
          <t>项目编号</t>
        </is>
      </c>
      <c r="F5" s="247" t="inlineStr"/>
      <c r="G5" s="3" t="n"/>
      <c r="H5" s="160" t="n"/>
    </row>
    <row r="6" s="308">
      <c r="A6" s="243" t="inlineStr">
        <is>
          <t>描述</t>
        </is>
      </c>
      <c r="B6" s="249" t="n"/>
      <c r="C6" s="311" t="n"/>
      <c r="D6" s="312" t="n"/>
      <c r="E6" s="243" t="inlineStr">
        <is>
          <t>报价交期</t>
        </is>
      </c>
      <c r="F6" s="249" t="n"/>
      <c r="G6" s="3" t="n"/>
      <c r="H6" s="160" t="n"/>
    </row>
    <row r="7" s="308">
      <c r="A7" s="243" t="inlineStr">
        <is>
          <t>报价单号</t>
        </is>
      </c>
      <c r="B7" s="247" t="inlineStr">
        <is>
          <t>DEMO-QUOTE</t>
        </is>
      </c>
      <c r="C7" s="311" t="n"/>
      <c r="D7" s="312" t="n"/>
      <c r="E7" s="250" t="n"/>
      <c r="F7" s="251" t="n"/>
      <c r="G7" s="3" t="n"/>
      <c r="H7" s="160" t="n"/>
    </row>
    <row r="8" s="308">
      <c r="A8" s="243" t="inlineStr">
        <is>
          <t>报价人</t>
        </is>
      </c>
      <c r="B8" s="249" t="inlineStr">
        <is>
          <t>报价员A</t>
        </is>
      </c>
      <c r="C8" s="311" t="n"/>
      <c r="D8" s="312" t="n"/>
      <c r="E8" s="252" t="n"/>
      <c r="F8" s="253" t="n"/>
      <c r="G8" s="3" t="n"/>
      <c r="H8" s="160" t="n"/>
    </row>
    <row r="9" s="308">
      <c r="A9" s="243" t="inlineStr">
        <is>
          <t>创建日期</t>
        </is>
      </c>
      <c r="B9" s="249" t="inlineStr">
        <is>
          <t>2026.02.02</t>
        </is>
      </c>
      <c r="C9" s="311" t="n"/>
      <c r="D9" s="312" t="n"/>
      <c r="E9" s="252" t="n"/>
      <c r="F9" s="253" t="n"/>
      <c r="G9" s="3" t="n"/>
      <c r="H9" s="160" t="n"/>
    </row>
    <row r="10" s="308">
      <c r="A10" s="243" t="inlineStr">
        <is>
          <t>报价审核人</t>
        </is>
      </c>
      <c r="B10" s="249" t="n"/>
      <c r="C10" s="311" t="n"/>
      <c r="D10" s="312" t="n"/>
      <c r="E10" s="252" t="n"/>
      <c r="F10" s="253" t="n"/>
      <c r="G10" s="3" t="n"/>
      <c r="H10" s="160" t="n"/>
    </row>
    <row r="11" s="308">
      <c r="A11" s="243" t="inlineStr">
        <is>
          <t>项目负责人</t>
        </is>
      </c>
      <c r="B11" s="249" t="n"/>
      <c r="C11" s="311" t="n"/>
      <c r="D11" s="312" t="n"/>
      <c r="E11" s="252" t="n"/>
      <c r="F11" s="253" t="n"/>
      <c r="G11" s="3" t="n"/>
      <c r="H11" s="160" t="n"/>
    </row>
    <row r="12" s="308">
      <c r="A12" s="243" t="inlineStr">
        <is>
          <t>项目备注</t>
        </is>
      </c>
      <c r="B12" s="249" t="n"/>
      <c r="C12" s="311" t="n"/>
      <c r="D12" s="312" t="n"/>
      <c r="E12" s="252" t="n"/>
      <c r="F12" s="253" t="n"/>
      <c r="G12" s="3" t="n"/>
      <c r="H12" s="160" t="n"/>
    </row>
    <row r="13" s="308">
      <c r="A13" s="242" t="inlineStr">
        <is>
          <t>客户信息</t>
        </is>
      </c>
      <c r="B13" s="309" t="n"/>
      <c r="C13" s="309" t="n"/>
      <c r="D13" s="310" t="n"/>
      <c r="E13" s="252" t="n"/>
      <c r="F13" s="253" t="n"/>
      <c r="G13" s="3" t="n"/>
      <c r="H13" s="160" t="n"/>
    </row>
    <row r="14" s="308">
      <c r="A14" s="243" t="inlineStr">
        <is>
          <t>客户名称</t>
        </is>
      </c>
      <c r="B14" s="249" t="n"/>
      <c r="C14" s="311" t="n"/>
      <c r="D14" s="312" t="n"/>
      <c r="E14" s="252" t="n"/>
      <c r="F14" s="253" t="n"/>
      <c r="G14" s="3" t="n"/>
      <c r="H14" s="160" t="n"/>
    </row>
    <row r="15" s="308">
      <c r="A15" s="243" t="inlineStr">
        <is>
          <t>联系人</t>
        </is>
      </c>
      <c r="B15" s="249" t="n"/>
      <c r="C15" s="311" t="n"/>
      <c r="D15" s="312" t="n"/>
      <c r="E15" s="252" t="n"/>
      <c r="F15" s="253" t="n"/>
      <c r="G15" s="3" t="n"/>
      <c r="H15" s="160" t="n"/>
    </row>
    <row r="16" s="308">
      <c r="A16" s="243" t="inlineStr">
        <is>
          <t>联系电话</t>
        </is>
      </c>
      <c r="B16" s="249" t="n"/>
      <c r="C16" s="311" t="n"/>
      <c r="D16" s="312" t="n"/>
      <c r="E16" s="252" t="n"/>
      <c r="F16" s="253" t="n"/>
      <c r="G16" s="3" t="n"/>
      <c r="H16" s="160" t="n"/>
    </row>
    <row r="17" s="308">
      <c r="A17" s="243" t="inlineStr">
        <is>
          <t>客户地址</t>
        </is>
      </c>
      <c r="B17" s="249" t="n"/>
      <c r="C17" s="311" t="n"/>
      <c r="D17" s="312" t="n"/>
      <c r="E17" s="252" t="n"/>
      <c r="F17" s="253" t="n"/>
      <c r="G17" s="3" t="n"/>
      <c r="H17" s="160" t="n"/>
    </row>
    <row r="18" s="308">
      <c r="A18" s="243" t="inlineStr">
        <is>
          <t>客户邮编</t>
        </is>
      </c>
      <c r="B18" s="249" t="n"/>
      <c r="C18" s="311" t="n"/>
      <c r="D18" s="312" t="n"/>
      <c r="E18" s="252" t="n"/>
      <c r="F18" s="253" t="n"/>
      <c r="G18" s="3" t="n"/>
      <c r="H18" s="160" t="n"/>
    </row>
    <row r="19" s="308">
      <c r="A19" s="243" t="inlineStr">
        <is>
          <t>客户网址</t>
        </is>
      </c>
      <c r="B19" s="249" t="n"/>
      <c r="C19" s="311" t="n"/>
      <c r="D19" s="312" t="n"/>
      <c r="E19" s="252" t="n"/>
      <c r="F19" s="253" t="n"/>
      <c r="G19" s="3" t="n"/>
      <c r="H19" s="160" t="n"/>
    </row>
    <row r="20" s="308">
      <c r="A20" s="243" t="inlineStr">
        <is>
          <t>客户email</t>
        </is>
      </c>
      <c r="B20" s="249" t="n"/>
      <c r="C20" s="311" t="n"/>
      <c r="D20" s="312" t="n"/>
      <c r="E20" s="252" t="n"/>
      <c r="F20" s="253" t="n"/>
      <c r="G20" s="3" t="n"/>
      <c r="H20" s="160" t="n"/>
    </row>
    <row r="21" s="308">
      <c r="A21" s="242" t="inlineStr">
        <is>
          <t>本企业信息</t>
        </is>
      </c>
      <c r="B21" s="309" t="n"/>
      <c r="C21" s="309" t="n"/>
      <c r="D21" s="310" t="n"/>
      <c r="E21" s="252" t="n"/>
      <c r="F21" s="253" t="n"/>
      <c r="G21" s="3" t="n"/>
      <c r="H21" s="160" t="n"/>
    </row>
    <row r="22" s="308">
      <c r="A22" s="243" t="inlineStr">
        <is>
          <t>单位名称</t>
        </is>
      </c>
      <c r="B22" s="249" t="inlineStr">
        <is>
          <t>某成套设备有限公司</t>
        </is>
      </c>
      <c r="C22" s="311" t="n"/>
      <c r="D22" s="312" t="n"/>
      <c r="E22" s="252" t="n"/>
      <c r="F22" s="253" t="n"/>
      <c r="G22" s="3" t="n"/>
      <c r="H22" s="160" t="n"/>
    </row>
    <row r="23" s="308">
      <c r="A23" s="243" t="inlineStr">
        <is>
          <t>英文名称</t>
        </is>
      </c>
      <c r="B23" s="249" t="inlineStr">
        <is>
          <t>Anonymized Switchgear Co.,Ltd</t>
        </is>
      </c>
      <c r="C23" s="311" t="n"/>
      <c r="D23" s="312" t="n"/>
      <c r="E23" s="252" t="n"/>
      <c r="F23" s="253" t="n"/>
      <c r="G23" s="3" t="n"/>
      <c r="H23" s="160" t="n"/>
    </row>
    <row r="24" s="308">
      <c r="A24" s="243" t="inlineStr">
        <is>
          <t>联系人</t>
        </is>
      </c>
      <c r="B24" s="249" t="inlineStr">
        <is>
          <t>宋楠</t>
        </is>
      </c>
      <c r="C24" s="311" t="n"/>
      <c r="D24" s="312" t="n"/>
      <c r="E24" s="252" t="n"/>
      <c r="F24" s="253" t="n"/>
      <c r="G24" s="3" t="n"/>
      <c r="H24" s="160" t="n"/>
    </row>
    <row r="25" s="308">
      <c r="A25" s="243" t="inlineStr">
        <is>
          <t>联系电话</t>
        </is>
      </c>
      <c r="B25" s="249" t="n">
        <v>6919851105.98</v>
      </c>
      <c r="C25" s="311" t="n"/>
      <c r="D25" s="312" t="n"/>
      <c r="E25" s="252" t="n"/>
      <c r="F25" s="253" t="n"/>
      <c r="G25" s="3" t="n"/>
      <c r="H25" s="160" t="n"/>
    </row>
    <row r="26" s="308">
      <c r="A26" s="243" t="inlineStr">
        <is>
          <t>销售地区</t>
        </is>
      </c>
      <c r="B26" s="249" t="inlineStr">
        <is>
          <t>全国</t>
        </is>
      </c>
      <c r="C26" s="311" t="n"/>
      <c r="D26" s="312" t="n"/>
      <c r="E26" s="252" t="n"/>
      <c r="F26" s="253" t="n"/>
      <c r="G26" s="3" t="n"/>
      <c r="H26" s="160" t="n"/>
    </row>
    <row r="27" s="308">
      <c r="A27" s="313" t="inlineStr">
        <is>
          <t xml:space="preserve">                          分类汇总                       金额单位：人民币元</t>
        </is>
      </c>
      <c r="B27" s="314" t="n"/>
      <c r="C27" s="314" t="n"/>
      <c r="D27" s="315" t="n"/>
      <c r="E27" s="260" t="n"/>
      <c r="F27" s="261" t="n"/>
      <c r="G27" s="3" t="n"/>
      <c r="H27" s="160" t="n"/>
    </row>
    <row r="28" s="308">
      <c r="A28" s="16" t="inlineStr">
        <is>
          <t>序号</t>
        </is>
      </c>
      <c r="B28" s="262" t="inlineStr">
        <is>
          <t>分类名称</t>
        </is>
      </c>
      <c r="C28" s="262" t="inlineStr">
        <is>
          <t>箱柜数量</t>
        </is>
      </c>
      <c r="D28" s="316" t="inlineStr">
        <is>
          <t>总   价</t>
        </is>
      </c>
      <c r="E28" s="317" t="inlineStr">
        <is>
          <t>成本</t>
        </is>
      </c>
      <c r="F28" s="318" t="inlineStr">
        <is>
          <t>毛利</t>
        </is>
      </c>
      <c r="G28" s="42" t="inlineStr">
        <is>
          <t>毛利率</t>
        </is>
      </c>
      <c r="H28" s="318" t="inlineStr">
        <is>
          <t>分类属性</t>
        </is>
      </c>
    </row>
    <row r="29" s="308">
      <c r="A29" s="263">
        <f>ROW()-ROW(A$28)</f>
        <v/>
      </c>
      <c r="B29" s="264">
        <f>MID(CELL("filename",folderTablee32ba25eda8d4a59a0a0201137327f11),SEARCH({"xlsx]",".xls]"},CELL("filename",folderTablee32ba25eda8d4a59a0a0201137327f11))+5,31)</f>
        <v/>
      </c>
      <c r="C29" s="265">
        <f>IF(H29="箱变",低压柜!F107,低压柜!F103*IF(低压柜!F107="",1,低压柜!F107))</f>
        <v/>
      </c>
      <c r="D29" s="319">
        <f>ROUND(低压柜!H107,2)</f>
        <v/>
      </c>
      <c r="E29" s="320">
        <f>ROUND(低压柜!J107,2)</f>
        <v/>
      </c>
      <c r="F29" s="321">
        <f>ROUND((D29-E29),2)</f>
        <v/>
      </c>
      <c r="G29" s="269">
        <f>IF(D29=0,0,F29/D29)</f>
        <v/>
      </c>
      <c r="H29" s="322">
        <f>IF(OR(ISNUMBER(FIND("箱变",B29))=TRUE,ISNUMBER(FIND("欧变",B29))=TRUE,ISNUMBER(FIND("美变",B29))=TRUE,ISNUMBER(FIND("KVA",UPPER(B29)))=TRUE,ISNUMBER(FIND("箱式变电",B29))=TRUE),"箱变","常规")</f>
        <v/>
      </c>
    </row>
    <row r="30" s="308">
      <c r="A30" s="271">
        <f>ROW()-ROW(A$28)</f>
        <v/>
      </c>
      <c r="B30" s="272" t="n"/>
      <c r="C30" s="273" t="n"/>
      <c r="D30" s="323" t="n"/>
      <c r="E30" s="324" t="n"/>
      <c r="F30" s="325" t="n"/>
      <c r="G30" s="277" t="n"/>
      <c r="H30" s="322" t="n"/>
    </row>
    <row r="31" s="308">
      <c r="A31" s="271">
        <f>ROW()-ROW(A$28)</f>
        <v/>
      </c>
      <c r="B31" s="272" t="n"/>
      <c r="C31" s="273" t="n"/>
      <c r="D31" s="323" t="n"/>
      <c r="E31" s="324" t="n"/>
      <c r="F31" s="325" t="n"/>
      <c r="G31" s="277" t="n"/>
      <c r="H31" s="322" t="n"/>
    </row>
    <row r="32" s="308">
      <c r="A32" s="271">
        <f>ROW()-ROW(A$28)</f>
        <v/>
      </c>
      <c r="B32" s="278" t="n"/>
      <c r="C32" s="279" t="n"/>
      <c r="D32" s="323" t="n"/>
      <c r="E32" s="324" t="n"/>
      <c r="F32" s="325" t="n"/>
      <c r="G32" s="277" t="n"/>
      <c r="H32" s="322" t="n"/>
    </row>
    <row r="33" s="308">
      <c r="A33" s="271">
        <f>ROW()-ROW(A$28)</f>
        <v/>
      </c>
      <c r="B33" s="272" t="n"/>
      <c r="C33" s="273" t="n"/>
      <c r="D33" s="323" t="n"/>
      <c r="E33" s="324" t="n"/>
      <c r="F33" s="325" t="n"/>
      <c r="G33" s="277" t="n"/>
      <c r="H33" s="322" t="n"/>
    </row>
    <row r="34" s="308">
      <c r="A34" s="271">
        <f>ROW()-ROW(A$28)</f>
        <v/>
      </c>
      <c r="B34" s="272" t="n"/>
      <c r="C34" s="273" t="n"/>
      <c r="D34" s="323" t="n"/>
      <c r="E34" s="324" t="n"/>
      <c r="F34" s="325" t="n"/>
      <c r="G34" s="277" t="n"/>
      <c r="H34" s="322" t="n"/>
    </row>
    <row r="35" s="308">
      <c r="A35" s="271">
        <f>ROW()-ROW(A$28)</f>
        <v/>
      </c>
      <c r="B35" s="272" t="n"/>
      <c r="C35" s="273" t="n"/>
      <c r="D35" s="323" t="n"/>
      <c r="E35" s="324" t="n"/>
      <c r="F35" s="325" t="n"/>
      <c r="G35" s="277" t="n"/>
      <c r="H35" s="322" t="n"/>
    </row>
    <row r="36" s="308">
      <c r="A36" s="271">
        <f>ROW()-ROW(A$28)</f>
        <v/>
      </c>
      <c r="B36" s="272" t="n"/>
      <c r="C36" s="273" t="n"/>
      <c r="D36" s="323" t="n"/>
      <c r="E36" s="324" t="n"/>
      <c r="F36" s="325" t="n"/>
      <c r="G36" s="277" t="n"/>
      <c r="H36" s="322" t="n"/>
    </row>
    <row r="37" s="308">
      <c r="A37" s="271">
        <f>ROW()-ROW(A$28)</f>
        <v/>
      </c>
      <c r="B37" s="272" t="n"/>
      <c r="C37" s="273" t="n"/>
      <c r="D37" s="323" t="n"/>
      <c r="E37" s="324" t="n"/>
      <c r="F37" s="325" t="n"/>
      <c r="G37" s="277" t="n"/>
      <c r="H37" s="322" t="n"/>
    </row>
    <row r="38" s="308">
      <c r="A38" s="271">
        <f>ROW()-ROW(A$28)</f>
        <v/>
      </c>
      <c r="B38" s="272" t="n"/>
      <c r="C38" s="273" t="n"/>
      <c r="D38" s="323" t="n"/>
      <c r="E38" s="324" t="n"/>
      <c r="F38" s="325" t="n"/>
      <c r="G38" s="277" t="n"/>
      <c r="H38" s="322" t="n"/>
    </row>
    <row r="39" s="308">
      <c r="A39" s="271">
        <f>ROW()-ROW(A$28)</f>
        <v/>
      </c>
      <c r="B39" s="272" t="n"/>
      <c r="C39" s="273" t="n"/>
      <c r="D39" s="323" t="n"/>
      <c r="E39" s="324" t="n"/>
      <c r="F39" s="325" t="n"/>
      <c r="G39" s="277" t="n"/>
      <c r="H39" s="322" t="n"/>
    </row>
    <row r="40" s="308">
      <c r="A40" s="271">
        <f>ROW()-ROW(A$28)</f>
        <v/>
      </c>
      <c r="B40" s="272" t="n"/>
      <c r="C40" s="273" t="n"/>
      <c r="D40" s="323" t="n"/>
      <c r="E40" s="324" t="n"/>
      <c r="F40" s="325" t="n"/>
      <c r="G40" s="277" t="n"/>
      <c r="H40" s="322" t="n"/>
    </row>
    <row r="41" s="308">
      <c r="A41" s="271">
        <f>ROW()-ROW(A$28)</f>
        <v/>
      </c>
      <c r="B41" s="272" t="n"/>
      <c r="C41" s="273" t="n"/>
      <c r="D41" s="323" t="n"/>
      <c r="E41" s="324" t="n"/>
      <c r="F41" s="325" t="n"/>
      <c r="G41" s="277" t="n"/>
      <c r="H41" s="322" t="n"/>
    </row>
    <row r="42" s="308">
      <c r="A42" s="271">
        <f>ROW()-ROW(A$28)</f>
        <v/>
      </c>
      <c r="B42" s="272" t="n"/>
      <c r="C42" s="273" t="n"/>
      <c r="D42" s="323" t="n"/>
      <c r="E42" s="324" t="n"/>
      <c r="F42" s="325" t="n"/>
      <c r="G42" s="277" t="n"/>
      <c r="H42" s="322" t="n"/>
    </row>
    <row r="43" s="308">
      <c r="A43" s="271">
        <f>ROW()-ROW(A$28)</f>
        <v/>
      </c>
      <c r="B43" s="272" t="n"/>
      <c r="C43" s="273" t="n"/>
      <c r="D43" s="323" t="n"/>
      <c r="E43" s="324" t="n"/>
      <c r="F43" s="325" t="n"/>
      <c r="G43" s="277" t="n"/>
      <c r="H43" s="322" t="n"/>
    </row>
    <row r="44" s="308">
      <c r="A44" s="271">
        <f>ROW()-ROW(A$28)</f>
        <v/>
      </c>
      <c r="B44" s="272" t="n"/>
      <c r="C44" s="273" t="n"/>
      <c r="D44" s="323" t="n"/>
      <c r="E44" s="324" t="n"/>
      <c r="F44" s="325" t="n"/>
      <c r="G44" s="277" t="n"/>
      <c r="H44" s="322" t="n"/>
    </row>
    <row r="45" s="308">
      <c r="A45" s="271">
        <f>ROW()-ROW(A$28)</f>
        <v/>
      </c>
      <c r="B45" s="272" t="n"/>
      <c r="C45" s="273" t="n"/>
      <c r="D45" s="323" t="n"/>
      <c r="E45" s="324" t="n"/>
      <c r="F45" s="325" t="n"/>
      <c r="G45" s="277" t="n"/>
      <c r="H45" s="322" t="n"/>
    </row>
    <row r="46" s="308">
      <c r="A46" s="271">
        <f>ROW()-ROW(A$28)</f>
        <v/>
      </c>
      <c r="B46" s="278" t="n"/>
      <c r="C46" s="279" t="n"/>
      <c r="D46" s="326" t="n"/>
      <c r="E46" s="324" t="n"/>
      <c r="F46" s="325" t="n"/>
      <c r="G46" s="277" t="n"/>
      <c r="H46" s="322" t="n"/>
    </row>
    <row r="47" s="308">
      <c r="A47" s="271">
        <f>ROW()-ROW(A$28)</f>
        <v/>
      </c>
      <c r="B47" s="272" t="n"/>
      <c r="C47" s="273" t="n"/>
      <c r="D47" s="326" t="n"/>
      <c r="E47" s="324" t="n"/>
      <c r="F47" s="325" t="n"/>
      <c r="G47" s="277" t="n"/>
      <c r="H47" s="322" t="n"/>
    </row>
    <row r="48" s="308">
      <c r="A48" s="271">
        <f>ROW()-ROW(A$28)</f>
        <v/>
      </c>
      <c r="B48" s="272" t="n"/>
      <c r="C48" s="273" t="n"/>
      <c r="D48" s="326" t="n"/>
      <c r="E48" s="324" t="n"/>
      <c r="F48" s="325" t="n"/>
      <c r="G48" s="277" t="n"/>
      <c r="H48" s="322" t="n"/>
    </row>
    <row r="49" s="308">
      <c r="A49" s="271">
        <f>ROW()-ROW(A$28)</f>
        <v/>
      </c>
      <c r="B49" s="281" t="n"/>
      <c r="C49" s="273" t="n"/>
      <c r="D49" s="326" t="n"/>
      <c r="E49" s="324" t="n"/>
      <c r="F49" s="325" t="n"/>
      <c r="G49" s="277" t="n"/>
      <c r="H49" s="322" t="n"/>
    </row>
    <row r="50" s="308">
      <c r="A50" s="271">
        <f>ROW()-ROW(A$28)</f>
        <v/>
      </c>
      <c r="B50" s="281" t="n"/>
      <c r="C50" s="273" t="n"/>
      <c r="D50" s="327" t="n"/>
      <c r="E50" s="324" t="n"/>
      <c r="F50" s="325" t="n"/>
      <c r="G50" s="277" t="n"/>
      <c r="H50" s="322" t="n"/>
    </row>
    <row r="51" s="308">
      <c r="A51" s="271">
        <f>ROW()-ROW(A$28)</f>
        <v/>
      </c>
      <c r="B51" s="281" t="n"/>
      <c r="C51" s="273" t="n"/>
      <c r="D51" s="323" t="n"/>
      <c r="E51" s="324" t="n"/>
      <c r="F51" s="325" t="n"/>
      <c r="G51" s="277" t="n"/>
      <c r="H51" s="322" t="n"/>
    </row>
    <row r="52" s="308">
      <c r="A52" s="271">
        <f>ROW()-ROW(A$28)</f>
        <v/>
      </c>
      <c r="B52" s="281" t="n"/>
      <c r="C52" s="273" t="n"/>
      <c r="D52" s="323" t="n"/>
      <c r="E52" s="324" t="n"/>
      <c r="F52" s="325" t="n"/>
      <c r="G52" s="277" t="n"/>
      <c r="H52" s="322" t="n"/>
    </row>
    <row r="53" s="308">
      <c r="A53" s="271">
        <f>ROW()-ROW(A$28)</f>
        <v/>
      </c>
      <c r="B53" s="283" t="inlineStr">
        <is>
          <t>小计</t>
        </is>
      </c>
      <c r="C53" s="279">
        <f>ROUND(SUM(C28:INDEX(C:C,ROW()-1)),2)</f>
        <v/>
      </c>
      <c r="D53" s="328">
        <f>ROUND(SUM(D28:INDEX(D:D,ROW()-1)),2)</f>
        <v/>
      </c>
      <c r="E53" s="324">
        <f>ROUND(SUM(E28:INDEX(E:E,ROW()-1)),2)</f>
        <v/>
      </c>
      <c r="F53" s="325">
        <f>SUM(F28:INDEX(F:F,ROW()-1))</f>
        <v/>
      </c>
      <c r="G53" s="277">
        <f>IF(D53=0,0,F53/D53)</f>
        <v/>
      </c>
      <c r="H53" s="329">
        <f>SUM(H28:INDEX(H:H,ROW()-1))</f>
        <v/>
      </c>
    </row>
    <row r="54" s="308">
      <c r="A54" s="271">
        <f>ROW()-ROW(A$28)</f>
        <v/>
      </c>
      <c r="B54" s="283" t="inlineStr">
        <is>
          <t>运费</t>
        </is>
      </c>
      <c r="C54" s="279" t="n"/>
      <c r="D54" s="326" t="n">
        <v>0</v>
      </c>
      <c r="E54" s="330" t="n"/>
      <c r="F54" s="331" t="n"/>
      <c r="G54" s="288" t="n"/>
      <c r="H54" s="329" t="n"/>
    </row>
    <row r="55" s="308">
      <c r="A55" s="64">
        <f>ROW()-ROW(A$28)</f>
        <v/>
      </c>
      <c r="B55" s="289" t="inlineStr">
        <is>
          <t>合计</t>
        </is>
      </c>
      <c r="C55" s="290" t="n"/>
      <c r="D55" s="332">
        <f>ROUND(SUM(D53:D54),2)</f>
        <v/>
      </c>
      <c r="E55" s="333" t="n"/>
      <c r="F55" s="334" t="n"/>
      <c r="G55" s="294" t="n"/>
      <c r="H55" s="335" t="n"/>
    </row>
    <row r="56" s="308">
      <c r="A56" s="64">
        <f>ROW()-ROW(A$28)</f>
        <v/>
      </c>
      <c r="B56" s="289" t="inlineStr">
        <is>
          <t>人民币大写</t>
        </is>
      </c>
      <c r="C56" s="336">
        <f>TEXT(SUBSTITUTE(IF(D55="","",IF(MOD(D55,1)=0,TEXT(INT(D55),"[DBNum2][$-804]G/通用格式元整"),(TEXT(INT(D55),"[DBNum2][$-804]G/通用格式元")&amp;TEXT((INT(D55*10)-INT(D55)*10),"[DBNum2][$-804]G/通用格式角")&amp;TEXT((INT(D55*100)-INT(D55*10)*10),"[DBNum2][$-804]G/通用格式分")))),"零角","零"),)</f>
        <v/>
      </c>
      <c r="D56" s="337" t="n"/>
      <c r="E56" s="3" t="n"/>
      <c r="F56" s="3" t="n"/>
      <c r="G56" s="3" t="n"/>
      <c r="H56" s="160" t="n"/>
    </row>
    <row r="57" ht="294" customHeight="1" s="308">
      <c r="A57" s="338" t="inlineStr">
        <is>
          <t>报表说明</t>
        </is>
      </c>
      <c r="B57" s="299" t="inlineStr">
        <is>
          <t>1.柜型配置：柜体采用BlokSeT，188+16台，分隔类型Form 3b，防护等级IP3X；
2.进出线&amp;维护方式：主配电铜排侧进，电罩箱段电缆上进，母线、电缆上出；后维护
3.柜体尺寸：高度2200mm，深度1200mm，宽度BlokSeT标准；
4.铜排处理：所有母线均为裸铜排，无外包绝缘。
5.铜排规格配置：母线规格及技术参数如下：
5.1  2500KVA变压器低压配电系统，水平母线额定电流为5000A，额定短时耐受电流为100KA，母线规格为TMY-4*(4*150*5)+2*(50*5)。
5.2  4*600KVA UPS低压系统：母线额定电流为4000A，额定短时耐受电流为65kA，母线规格为TMY-4*5*125*5+2*(50*5)。
5.3  3*600KVA UPS低压系统：母线额定电流为3200A，额定短时耐受电流为65kA，母线规格为TMY-4*3*(125*5)+2*(50*5)。
5.4  3*500KVA UPS低压系统：母线额定电流为2500A，额定短时耐受电流为50kA，母线规格为TMY-4*2*125*5+1*(50*5)。
5.5  2*600，2*500KVA UPS低压系统：母线额定电流为2000A，额定短时耐受电流为50kA，母线规格为TMY-4*2*(100*5)+1*(50*5)。
5.6  2*400KVA UPS低压系统：母线额定电流为1600A，额定短时耐受电流为50kA，母线规格为TMY-4*2*80*5+1*(50*5)。
5.7  600KVA UPS低压系统：母线额定电流为1250A，额定短时耐受电流为50kA，母线规格为TMY-4*100*5+1*(50*5)。
5.8  400/500KVA UPS低压系统：母线额定电流为1000A，额定短时耐受电流为50kA，母线规格为TMY-4*100*5+1*(50*5)。
6.框架断路器配置：型号MT，分断能力100/66/65kA（N1a型短时耐受能力为50kA/s），极数按招标图纸，控制单元变压器低压进线Mic6.0D LSIG、其它为Mic5.0E LSI，操作方式手动&amp;电动，无本体通讯，电气量&amp;开关量通过表计上传，安装方式抽出式；
7.塑壳断路器配置：型号NSX，分断能力70kA，极数按招标图纸，保护单元250A及以下采用TMD热磁式；400A及以上采用Mic2.3电子式，操作方式手动，无本体通讯，电气量&amp;开关量通过表计上传，塑壳安装方式插拔式。
8.仪表配置：变压器低压进线采用施耐德PM5350P产品，其它采用施耐德PM4101产品；
9.无功补偿配置：补偿方式为SVG静止无功发生器，SVG采用甲供产品，乙方负责安装接线，主开关采用刀熔开关，极数3P。
10.浪涌保护配置：浪涌采用施耐德iPRD、iPRF或iPRU系列，配ISCB1或ISCB2专用后备保护；
11.有源滤波配置：有源滤波采用甲供，主开关采用刀熔开关；
12.进线、母联切换方式：采用PLC自动投切方式。
13.双电源ATS配置：ATS开关采用施耐德WTS系列，极数4P，PC级，配套D型控制器。
14.变频回路配置：变频器采用施耐德ATV630系列产品，主开关采用施耐德NSX系列塑壳断路器，出线配置DV/DT滤波器；
15.软起回路配置：软起采用施耐德ATS480系列产品，主开关采用施耐德NSX系列隔离开关；
16.母线桥接口：开关柜与母线的连接方案为开关柜母线伸出柜外200mm并预留开孔。
17.涉及到1、叠装方案只适用于MT06-12；2、单ACB适用于06-16，这两种情况的方案，柜宽需要改为400mm</t>
        </is>
      </c>
      <c r="C57" s="339" t="n"/>
      <c r="D57" s="340" t="n"/>
      <c r="E57" s="3" t="n"/>
      <c r="F57" s="3" t="n"/>
      <c r="G57" s="3" t="n"/>
      <c r="H57" s="160" t="n"/>
    </row>
    <row r="58" ht="387" customHeight="1" s="308">
      <c r="A58" s="341" t="n"/>
      <c r="B58" s="342" t="n"/>
      <c r="C58" s="343" t="n"/>
      <c r="D58" s="344" t="n"/>
      <c r="E58" s="3" t="n"/>
      <c r="F58" s="3" t="n"/>
      <c r="G58" s="3" t="n"/>
      <c r="H58" s="160" t="n"/>
    </row>
    <row r="59" s="308">
      <c r="A59" s="93" t="n"/>
      <c r="B59" s="306" t="n"/>
      <c r="C59" s="306" t="n"/>
      <c r="D59" s="307" t="n"/>
      <c r="H59" s="159" t="n"/>
    </row>
  </sheetData>
  <mergeCells count="30">
    <mergeCell ref="B11:D11"/>
    <mergeCell ref="B14:D14"/>
    <mergeCell ref="B23:D23"/>
    <mergeCell ref="A4:D4"/>
    <mergeCell ref="B8:D8"/>
    <mergeCell ref="B17:D17"/>
    <mergeCell ref="A13:D13"/>
    <mergeCell ref="B10:D10"/>
    <mergeCell ref="E4:F4"/>
    <mergeCell ref="B19:D19"/>
    <mergeCell ref="B9:D9"/>
    <mergeCell ref="B15:D15"/>
    <mergeCell ref="C56:D56"/>
    <mergeCell ref="B6:D6"/>
    <mergeCell ref="B24:D24"/>
    <mergeCell ref="B20:D20"/>
    <mergeCell ref="A1:D1"/>
    <mergeCell ref="B5:D5"/>
    <mergeCell ref="A57:A58"/>
    <mergeCell ref="B57:D58"/>
    <mergeCell ref="B26:D26"/>
    <mergeCell ref="B7:D7"/>
    <mergeCell ref="B25:D25"/>
    <mergeCell ref="B16:D16"/>
    <mergeCell ref="A27:D27"/>
    <mergeCell ref="B22:D22"/>
    <mergeCell ref="A21:D21"/>
    <mergeCell ref="B18:D18"/>
    <mergeCell ref="A2:D2"/>
    <mergeCell ref="B12:D12"/>
  </mergeCells>
  <dataValidations count="1">
    <dataValidation sqref="H29:H52" showDropDown="0" showInputMessage="1" showErrorMessage="1" allowBlank="1" type="list">
      <formula1>"常规,箱变"</formula1>
    </dataValidation>
  </dataValidations>
  <hyperlinks>
    <hyperlink ref="A29" location="folderTablee32ba25eda8d4a59a0a0201137327f11" tooltip="点击进入本分类报价清单" display="=ROW()-ROW(A$28)"/>
  </hyperlink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X3133"/>
  <sheetViews>
    <sheetView showGridLines="0" tabSelected="1" topLeftCell="A261" workbookViewId="0">
      <selection activeCell="G279" sqref="G279"/>
    </sheetView>
  </sheetViews>
  <sheetFormatPr baseColWidth="8" defaultColWidth="9" defaultRowHeight="18" customHeight="1"/>
  <cols>
    <col width="5" customWidth="1" style="308" min="1" max="1"/>
    <col width="39.75" customWidth="1" style="308" min="2" max="2"/>
    <col width="32" customWidth="1" style="308" min="3" max="3"/>
    <col width="20.8796296296296" customWidth="1" style="308" min="4" max="4"/>
    <col width="5.25" customWidth="1" style="308" min="5" max="6"/>
    <col width="12.6296296296296" customWidth="1" style="308" min="7" max="11"/>
    <col width="7.5" customWidth="1" style="308" min="12" max="12"/>
    <col width="12.6296296296296" customWidth="1" style="308" min="13" max="13"/>
    <col width="9.75" customWidth="1" style="308" min="14" max="14"/>
    <col hidden="1" width="7.5" customWidth="1" style="308" min="15" max="15"/>
    <col hidden="1" width="12.6296296296296" customWidth="1" style="308" min="16" max="16"/>
    <col width="6" customWidth="1" style="308" min="17" max="17"/>
    <col width="9.75" customWidth="1" style="308" min="18" max="19"/>
    <col hidden="1" width="9" customWidth="1" style="308" min="20" max="21"/>
    <col hidden="1" width="8.75" customWidth="1" style="308" min="22" max="23"/>
    <col hidden="1" width="9" customWidth="1" style="308" min="25" max="25"/>
    <col hidden="1" width="9" customWidth="1" style="308" min="28" max="28"/>
  </cols>
  <sheetData>
    <row r="1" s="308">
      <c r="A1" s="6" t="n"/>
      <c r="F1" s="7" t="n"/>
      <c r="I1" s="7" t="n"/>
    </row>
    <row r="2" s="308">
      <c r="A2" s="8">
        <f>T(项目信息!B22)</f>
        <v/>
      </c>
    </row>
    <row r="3" s="308">
      <c r="A3" s="9">
        <f>T(项目信息!B23)</f>
        <v/>
      </c>
    </row>
    <row r="4" s="308">
      <c r="A4" s="10" t="inlineStr">
        <is>
          <t xml:space="preserve">     成套产品报价清单                          金额单位：人民币元</t>
        </is>
      </c>
      <c r="B4" s="345" t="n"/>
      <c r="C4" s="345" t="n"/>
      <c r="D4" s="345" t="n"/>
      <c r="E4" s="345" t="n"/>
      <c r="F4" s="345" t="n"/>
      <c r="G4" s="345" t="n"/>
      <c r="H4" s="345" t="n"/>
      <c r="I4" s="345" t="n"/>
    </row>
    <row r="5" s="308">
      <c r="A5" s="346">
        <f>CONCATENATE("项目名称:",项目信息!B5)</f>
        <v/>
      </c>
      <c r="B5" s="311" t="n"/>
      <c r="C5" s="311" t="n"/>
      <c r="D5" s="311" t="n"/>
      <c r="E5" s="311" t="n"/>
      <c r="F5" s="311" t="n"/>
      <c r="G5" s="312" t="n"/>
      <c r="H5" s="249">
        <f>CONCATENATE("报价序号:",项目信息!B7)</f>
        <v/>
      </c>
      <c r="I5" s="312" t="n"/>
      <c r="J5" s="3" t="n"/>
      <c r="K5" s="3" t="n"/>
      <c r="L5" s="3" t="n"/>
      <c r="M5" s="3" t="n"/>
      <c r="N5" s="3" t="n"/>
      <c r="O5" s="3" t="n"/>
      <c r="P5" s="3" t="n"/>
      <c r="Q5" s="3" t="n"/>
    </row>
    <row r="6" s="308">
      <c r="A6" s="16" t="inlineStr">
        <is>
          <t>序号</t>
        </is>
      </c>
      <c r="B6" s="17" t="inlineStr">
        <is>
          <t>柜号</t>
        </is>
      </c>
      <c r="C6" s="17" t="inlineStr">
        <is>
          <t>箱柜名称</t>
        </is>
      </c>
      <c r="D6" s="17" t="inlineStr">
        <is>
          <t>箱柜型号</t>
        </is>
      </c>
      <c r="E6" s="18" t="inlineStr">
        <is>
          <t>单位</t>
        </is>
      </c>
      <c r="F6" s="18" t="inlineStr">
        <is>
          <t>数量</t>
        </is>
      </c>
      <c r="G6" s="347" t="inlineStr">
        <is>
          <t>单  价</t>
        </is>
      </c>
      <c r="H6" s="316" t="inlineStr">
        <is>
          <t>总   价</t>
        </is>
      </c>
      <c r="I6" s="17" t="inlineStr">
        <is>
          <t>备注</t>
        </is>
      </c>
      <c r="J6" s="317" t="inlineStr">
        <is>
          <t>成本总价</t>
        </is>
      </c>
      <c r="K6" s="318" t="inlineStr">
        <is>
          <t>毛利</t>
        </is>
      </c>
      <c r="L6" s="42" t="inlineStr">
        <is>
          <t>毛利率</t>
        </is>
      </c>
      <c r="M6" s="43" t="inlineStr">
        <is>
          <t>箱柜尺寸</t>
        </is>
      </c>
      <c r="N6" s="43" t="inlineStr">
        <is>
          <t>类别</t>
        </is>
      </c>
      <c r="O6" s="44" t="inlineStr">
        <is>
          <t>预留</t>
        </is>
      </c>
      <c r="P6" s="44" t="inlineStr">
        <is>
          <t>预留</t>
        </is>
      </c>
      <c r="Q6" s="43" t="inlineStr">
        <is>
          <t>图号</t>
        </is>
      </c>
    </row>
    <row r="7" s="308">
      <c r="A7" s="21">
        <f>ROW()-ROW(A$6)</f>
        <v/>
      </c>
      <c r="B7" s="22" t="inlineStr">
        <is>
          <t>AAN1-01、BAN2-01</t>
        </is>
      </c>
      <c r="C7" s="22" t="inlineStr">
        <is>
          <t>进线柜</t>
        </is>
      </c>
      <c r="D7" s="22" t="inlineStr">
        <is>
          <t>BlokSeT</t>
        </is>
      </c>
      <c r="E7" s="23" t="inlineStr">
        <is>
          <t>台</t>
        </is>
      </c>
      <c r="F7" s="23" t="n">
        <v>2</v>
      </c>
      <c r="G7" s="348">
        <f>ROUND(H143,2)</f>
        <v/>
      </c>
      <c r="H7" s="349">
        <f>ROUND(F7*G7,2)</f>
        <v/>
      </c>
      <c r="I7" s="45" t="inlineStr"/>
      <c r="J7" s="350">
        <f>ROUND(K144,2)</f>
        <v/>
      </c>
      <c r="K7" s="351">
        <f>ROUND(H7-J7,2)</f>
        <v/>
      </c>
      <c r="L7" s="48">
        <f>IF(H7=0,0,K7/H7)</f>
        <v/>
      </c>
      <c r="M7" s="49" t="inlineStr">
        <is>
          <t>1200W*1200D*2200H</t>
        </is>
      </c>
      <c r="N7" s="50" t="inlineStr">
        <is>
          <t>低压固定柜</t>
        </is>
      </c>
      <c r="O7" s="51" t="n"/>
      <c r="P7" s="52" t="n"/>
      <c r="Q7" s="62" t="inlineStr"/>
    </row>
    <row r="8" s="308">
      <c r="A8" s="26">
        <f>ROW()-ROW(A$6)</f>
        <v/>
      </c>
      <c r="B8" s="22" t="inlineStr">
        <is>
          <t>AAN1-02、BAN2-02</t>
        </is>
      </c>
      <c r="C8" s="22" t="inlineStr">
        <is>
          <t>联络柜</t>
        </is>
      </c>
      <c r="D8" s="22" t="inlineStr">
        <is>
          <t>BlokSeT</t>
        </is>
      </c>
      <c r="E8" s="23" t="inlineStr">
        <is>
          <t>台</t>
        </is>
      </c>
      <c r="F8" s="23" t="n">
        <v>2</v>
      </c>
      <c r="G8" s="348">
        <f>ROUND(H172,2)</f>
        <v/>
      </c>
      <c r="H8" s="349">
        <f>ROUND(F8*G8,2)</f>
        <v/>
      </c>
      <c r="I8" s="45" t="inlineStr"/>
      <c r="J8" s="350">
        <f>ROUND(K173,2)</f>
        <v/>
      </c>
      <c r="K8" s="351">
        <f>ROUND(H8-J8,2)</f>
        <v/>
      </c>
      <c r="L8" s="48">
        <f>IF(H8=0,0,K8/H8)</f>
        <v/>
      </c>
      <c r="M8" s="49" t="inlineStr">
        <is>
          <t>700W*1200D*2200H</t>
        </is>
      </c>
      <c r="N8" s="50" t="inlineStr">
        <is>
          <t>低压固定柜</t>
        </is>
      </c>
      <c r="O8" s="51" t="n"/>
      <c r="P8" s="52" t="n"/>
      <c r="Q8" s="62" t="inlineStr"/>
    </row>
    <row r="9" s="308">
      <c r="A9" s="26">
        <f>ROW()-ROW(A$6)</f>
        <v/>
      </c>
      <c r="B9" s="22" t="inlineStr">
        <is>
          <t>AAN1-03-1、BAN2-03-1</t>
        </is>
      </c>
      <c r="C9" s="27" t="inlineStr">
        <is>
          <t>电容柜</t>
        </is>
      </c>
      <c r="D9" s="22" t="inlineStr">
        <is>
          <t>BlokSeT</t>
        </is>
      </c>
      <c r="E9" s="28" t="inlineStr">
        <is>
          <t>台</t>
        </is>
      </c>
      <c r="F9" s="23" t="n">
        <v>2</v>
      </c>
      <c r="G9" s="348">
        <f>ROUND(H200,2)</f>
        <v/>
      </c>
      <c r="H9" s="349">
        <f>ROUND(F9*G9,2)</f>
        <v/>
      </c>
      <c r="I9" s="45" t="inlineStr"/>
      <c r="J9" s="350">
        <f>ROUND(K201,2)</f>
        <v/>
      </c>
      <c r="K9" s="351">
        <f>ROUND(H9-J9,2)</f>
        <v/>
      </c>
      <c r="L9" s="53">
        <f>IF(H9=0,0,K9/H9)</f>
        <v/>
      </c>
      <c r="M9" s="49" t="inlineStr">
        <is>
          <t>800W*1200D*2200H</t>
        </is>
      </c>
      <c r="N9" s="50" t="inlineStr">
        <is>
          <t>低压固定柜</t>
        </is>
      </c>
      <c r="O9" s="51" t="n"/>
      <c r="P9" s="52" t="n"/>
      <c r="Q9" s="62" t="inlineStr"/>
    </row>
    <row r="10" s="308">
      <c r="A10" s="26">
        <f>ROW()-ROW(A$6)</f>
        <v/>
      </c>
      <c r="B10" s="22" t="inlineStr">
        <is>
          <t>AAN1-03-2、BAN2-03-2</t>
        </is>
      </c>
      <c r="C10" s="22" t="inlineStr">
        <is>
          <t>电容柜</t>
        </is>
      </c>
      <c r="D10" s="22" t="inlineStr">
        <is>
          <t>BlokSeT</t>
        </is>
      </c>
      <c r="E10" s="23" t="inlineStr">
        <is>
          <t>台</t>
        </is>
      </c>
      <c r="F10" s="23" t="n">
        <v>2</v>
      </c>
      <c r="G10" s="348">
        <f>ROUND(H228,2)</f>
        <v/>
      </c>
      <c r="H10" s="349">
        <f>ROUND(F10*G10,2)</f>
        <v/>
      </c>
      <c r="I10" s="45" t="inlineStr"/>
      <c r="J10" s="350">
        <f>ROUND(K229,2)</f>
        <v/>
      </c>
      <c r="K10" s="351">
        <f>ROUND(H10-J10,2)</f>
        <v/>
      </c>
      <c r="L10" s="48">
        <f>IF(H10=0,0,K10/H10)</f>
        <v/>
      </c>
      <c r="M10" s="49" t="inlineStr">
        <is>
          <t>800W*1200D*2200H</t>
        </is>
      </c>
      <c r="N10" s="50" t="inlineStr">
        <is>
          <t>低压固定柜</t>
        </is>
      </c>
      <c r="O10" s="51" t="n"/>
      <c r="P10" s="52" t="n"/>
      <c r="Q10" s="62" t="inlineStr"/>
    </row>
    <row r="11" s="308">
      <c r="A11" s="26">
        <f>ROW()-ROW(A$6)</f>
        <v/>
      </c>
      <c r="B11" s="22" t="inlineStr">
        <is>
          <t>AAN1-04、BAN2-04</t>
        </is>
      </c>
      <c r="C11" s="22" t="inlineStr">
        <is>
          <t>有源滤波柜</t>
        </is>
      </c>
      <c r="D11" s="22" t="inlineStr">
        <is>
          <t>BlokSeT</t>
        </is>
      </c>
      <c r="E11" s="23" t="inlineStr">
        <is>
          <t>台</t>
        </is>
      </c>
      <c r="F11" s="23" t="n">
        <v>2</v>
      </c>
      <c r="G11" s="348">
        <f>ROUND(H255,2)</f>
        <v/>
      </c>
      <c r="H11" s="349">
        <f>ROUND(F11*G11,2)</f>
        <v/>
      </c>
      <c r="I11" s="45" t="inlineStr"/>
      <c r="J11" s="350">
        <f>ROUND(K256,2)</f>
        <v/>
      </c>
      <c r="K11" s="351">
        <f>ROUND(H11-J11,2)</f>
        <v/>
      </c>
      <c r="L11" s="48">
        <f>IF(H11=0,0,K11/H11)</f>
        <v/>
      </c>
      <c r="M11" s="49" t="inlineStr">
        <is>
          <t>800W*1200D*2200H</t>
        </is>
      </c>
      <c r="N11" s="50" t="inlineStr">
        <is>
          <t>低压固定柜</t>
        </is>
      </c>
      <c r="O11" s="51" t="n"/>
      <c r="P11" s="52" t="n"/>
      <c r="Q11" s="62" t="inlineStr"/>
    </row>
    <row r="12" s="308">
      <c r="A12" s="21">
        <f>ROW()-ROW(A$6)</f>
        <v/>
      </c>
      <c r="B12" s="22" t="inlineStr">
        <is>
          <t>AAN1-05、BAN2-05</t>
        </is>
      </c>
      <c r="C12" s="22" t="inlineStr">
        <is>
          <t>馈线柜</t>
        </is>
      </c>
      <c r="D12" s="22" t="inlineStr">
        <is>
          <t>BlokSeT</t>
        </is>
      </c>
      <c r="E12" s="23" t="inlineStr">
        <is>
          <t>台</t>
        </is>
      </c>
      <c r="F12" s="23" t="n">
        <v>2</v>
      </c>
      <c r="G12" s="348">
        <f>ROUND(H286,2)</f>
        <v/>
      </c>
      <c r="H12" s="349">
        <f>ROUND(F12*G12,2)</f>
        <v/>
      </c>
      <c r="I12" s="45" t="inlineStr"/>
      <c r="J12" s="350">
        <f>ROUND(K287,2)</f>
        <v/>
      </c>
      <c r="K12" s="351">
        <f>ROUND(H12-J12,2)</f>
        <v/>
      </c>
      <c r="L12" s="48">
        <f>IF(H12=0,0,K12/H12)</f>
        <v/>
      </c>
      <c r="M12" s="49" t="inlineStr">
        <is>
          <t>800W*1200D*2200H</t>
        </is>
      </c>
      <c r="N12" s="50" t="inlineStr">
        <is>
          <t>低压固定柜</t>
        </is>
      </c>
      <c r="O12" s="51" t="n"/>
      <c r="P12" s="52" t="n"/>
      <c r="Q12" s="62" t="inlineStr"/>
    </row>
    <row r="13" s="308">
      <c r="A13" s="26">
        <f>ROW()-ROW(A$6)</f>
        <v/>
      </c>
      <c r="B13" s="22" t="inlineStr">
        <is>
          <t>AAN1-06、BAN2-06</t>
        </is>
      </c>
      <c r="C13" s="22" t="inlineStr">
        <is>
          <t>馈线柜</t>
        </is>
      </c>
      <c r="D13" s="22" t="inlineStr">
        <is>
          <t>BlokSeT</t>
        </is>
      </c>
      <c r="E13" s="23" t="inlineStr">
        <is>
          <t>台</t>
        </is>
      </c>
      <c r="F13" s="23" t="n">
        <v>2</v>
      </c>
      <c r="G13" s="348">
        <f>ROUND(H317,2)</f>
        <v/>
      </c>
      <c r="H13" s="349">
        <f>ROUND(F13*G13,2)</f>
        <v/>
      </c>
      <c r="I13" s="45" t="inlineStr"/>
      <c r="J13" s="350">
        <f>ROUND(K318,2)</f>
        <v/>
      </c>
      <c r="K13" s="351">
        <f>ROUND(H13-J13,2)</f>
        <v/>
      </c>
      <c r="L13" s="48">
        <f>IF(H13=0,0,K13/H13)</f>
        <v/>
      </c>
      <c r="M13" s="49" t="inlineStr">
        <is>
          <t>800W*1200D*2200H</t>
        </is>
      </c>
      <c r="N13" s="50" t="inlineStr">
        <is>
          <t>低压固定柜</t>
        </is>
      </c>
      <c r="O13" s="51" t="n"/>
      <c r="P13" s="52" t="n"/>
      <c r="Q13" s="62" t="inlineStr"/>
    </row>
    <row r="14" s="308">
      <c r="A14" s="26">
        <f>ROW()-ROW(A$6)</f>
        <v/>
      </c>
      <c r="B14" s="22" t="inlineStr">
        <is>
          <t>AAN1-07</t>
        </is>
      </c>
      <c r="C14" s="22" t="inlineStr">
        <is>
          <t>馈线柜</t>
        </is>
      </c>
      <c r="D14" s="22" t="inlineStr">
        <is>
          <t>BlokSeT</t>
        </is>
      </c>
      <c r="E14" s="23" t="inlineStr">
        <is>
          <t>台</t>
        </is>
      </c>
      <c r="F14" s="23" t="n">
        <v>1</v>
      </c>
      <c r="G14" s="348">
        <f>ROUND(H350,2)</f>
        <v/>
      </c>
      <c r="H14" s="349">
        <f>ROUND(F14*G14,2)</f>
        <v/>
      </c>
      <c r="I14" s="45" t="inlineStr"/>
      <c r="J14" s="350">
        <f>ROUND(K351,2)</f>
        <v/>
      </c>
      <c r="K14" s="351">
        <f>ROUND(H14-J14,2)</f>
        <v/>
      </c>
      <c r="L14" s="48">
        <f>IF(H14=0,0,K14/H14)</f>
        <v/>
      </c>
      <c r="M14" s="49" t="inlineStr">
        <is>
          <t>800W*1200D*2200H</t>
        </is>
      </c>
      <c r="N14" s="50" t="inlineStr">
        <is>
          <t>低压固定柜</t>
        </is>
      </c>
      <c r="O14" s="51" t="n"/>
      <c r="P14" s="52" t="n"/>
      <c r="Q14" s="62" t="inlineStr"/>
    </row>
    <row r="15" s="308">
      <c r="A15" s="26">
        <f>ROW()-ROW(A$6)</f>
        <v/>
      </c>
      <c r="B15" s="22" t="inlineStr">
        <is>
          <t>AAN1-08</t>
        </is>
      </c>
      <c r="C15" s="22" t="inlineStr">
        <is>
          <t>馈线柜</t>
        </is>
      </c>
      <c r="D15" s="22" t="inlineStr">
        <is>
          <t>BlokSeT</t>
        </is>
      </c>
      <c r="E15" s="23" t="inlineStr">
        <is>
          <t>台</t>
        </is>
      </c>
      <c r="F15" s="23" t="n">
        <v>1</v>
      </c>
      <c r="G15" s="348">
        <f>ROUND(H382,2)</f>
        <v/>
      </c>
      <c r="H15" s="349">
        <f>ROUND(F15*G15,2)</f>
        <v/>
      </c>
      <c r="I15" s="45" t="inlineStr"/>
      <c r="J15" s="350">
        <f>ROUND(K383,2)</f>
        <v/>
      </c>
      <c r="K15" s="351">
        <f>ROUND(H15-J15,2)</f>
        <v/>
      </c>
      <c r="L15" s="48">
        <f>IF(H15=0,0,K15/H15)</f>
        <v/>
      </c>
      <c r="M15" s="49" t="inlineStr">
        <is>
          <t>600W*1200D*2200H</t>
        </is>
      </c>
      <c r="N15" s="50" t="inlineStr">
        <is>
          <t>低压固定柜</t>
        </is>
      </c>
      <c r="O15" s="51" t="n"/>
      <c r="P15" s="52" t="n"/>
      <c r="Q15" s="62" t="inlineStr"/>
    </row>
    <row r="16" s="308">
      <c r="A16" s="26">
        <f>ROW()-ROW(A$6)</f>
        <v/>
      </c>
      <c r="B16" s="22" t="inlineStr">
        <is>
          <t>AAN1-09</t>
        </is>
      </c>
      <c r="C16" s="22" t="inlineStr">
        <is>
          <t>馈线柜</t>
        </is>
      </c>
      <c r="D16" s="22" t="inlineStr">
        <is>
          <t>BlokSeT</t>
        </is>
      </c>
      <c r="E16" s="23" t="inlineStr">
        <is>
          <t>台</t>
        </is>
      </c>
      <c r="F16" s="23" t="n">
        <v>1</v>
      </c>
      <c r="G16" s="348">
        <f>ROUND(H413,2)</f>
        <v/>
      </c>
      <c r="H16" s="349">
        <f>ROUND(F16*G16,2)</f>
        <v/>
      </c>
      <c r="I16" s="45" t="inlineStr"/>
      <c r="J16" s="350">
        <f>ROUND(K414,2)</f>
        <v/>
      </c>
      <c r="K16" s="351">
        <f>ROUND(H16-J16,2)</f>
        <v/>
      </c>
      <c r="L16" s="48">
        <f>IF(H16=0,0,K16/H16)</f>
        <v/>
      </c>
      <c r="M16" s="49" t="inlineStr">
        <is>
          <t>600W*1200D*2200H</t>
        </is>
      </c>
      <c r="N16" s="50" t="inlineStr">
        <is>
          <t>低压固定柜</t>
        </is>
      </c>
      <c r="O16" s="51" t="n"/>
      <c r="P16" s="52" t="n"/>
      <c r="Q16" s="62" t="inlineStr"/>
    </row>
    <row r="17" s="308">
      <c r="A17" s="26">
        <f>ROW()-ROW(A$6)</f>
        <v/>
      </c>
      <c r="B17" s="22" t="inlineStr">
        <is>
          <t>BAN1-07</t>
        </is>
      </c>
      <c r="C17" s="22" t="inlineStr">
        <is>
          <t>馈线柜</t>
        </is>
      </c>
      <c r="D17" s="22" t="inlineStr">
        <is>
          <t>BlokSeT</t>
        </is>
      </c>
      <c r="E17" s="23" t="inlineStr">
        <is>
          <t>台</t>
        </is>
      </c>
      <c r="F17" s="29" t="n">
        <v>1</v>
      </c>
      <c r="G17" s="348">
        <f>ROUND(H446,2)</f>
        <v/>
      </c>
      <c r="H17" s="349">
        <f>ROUND(F17*G17,2)</f>
        <v/>
      </c>
      <c r="I17" s="45" t="inlineStr"/>
      <c r="J17" s="350">
        <f>ROUND(K447,2)</f>
        <v/>
      </c>
      <c r="K17" s="351">
        <f>ROUND(H17-J17,2)</f>
        <v/>
      </c>
      <c r="L17" s="48">
        <f>IF(H17=0,0,K17/H17)</f>
        <v/>
      </c>
      <c r="M17" s="49" t="inlineStr">
        <is>
          <t>800W*1200D*2200H</t>
        </is>
      </c>
      <c r="N17" s="50" t="inlineStr">
        <is>
          <t>低压固定柜</t>
        </is>
      </c>
      <c r="O17" s="51" t="n"/>
      <c r="P17" s="52" t="n"/>
      <c r="Q17" s="62" t="inlineStr"/>
    </row>
    <row r="18" s="308">
      <c r="A18" s="26">
        <f>ROW()-ROW(A$6)</f>
        <v/>
      </c>
      <c r="B18" s="22" t="inlineStr">
        <is>
          <t>BAN1-08</t>
        </is>
      </c>
      <c r="C18" s="22" t="inlineStr">
        <is>
          <t>馈线柜</t>
        </is>
      </c>
      <c r="D18" s="22" t="inlineStr">
        <is>
          <t>BlokSeT</t>
        </is>
      </c>
      <c r="E18" s="23" t="inlineStr">
        <is>
          <t>台</t>
        </is>
      </c>
      <c r="F18" s="29" t="n">
        <v>1</v>
      </c>
      <c r="G18" s="348">
        <f>ROUND(H476,2)</f>
        <v/>
      </c>
      <c r="H18" s="349">
        <f>ROUND(F18*G18,2)</f>
        <v/>
      </c>
      <c r="I18" s="45" t="inlineStr"/>
      <c r="J18" s="350">
        <f>ROUND(K477,2)</f>
        <v/>
      </c>
      <c r="K18" s="351">
        <f>ROUND(H18-J18,2)</f>
        <v/>
      </c>
      <c r="L18" s="48">
        <f>IF(H18=0,0,K18/H18)</f>
        <v/>
      </c>
      <c r="M18" s="49" t="inlineStr">
        <is>
          <t>600W*1200D*2200H</t>
        </is>
      </c>
      <c r="N18" s="50" t="inlineStr">
        <is>
          <t>低压固定柜</t>
        </is>
      </c>
      <c r="O18" s="51" t="n"/>
      <c r="P18" s="52" t="n"/>
      <c r="Q18" s="62" t="inlineStr"/>
    </row>
    <row r="19" s="308">
      <c r="A19" s="26">
        <f>ROW()-ROW(A$6)</f>
        <v/>
      </c>
      <c r="B19" s="22" t="inlineStr">
        <is>
          <t>BAN1-09</t>
        </is>
      </c>
      <c r="C19" s="22" t="inlineStr">
        <is>
          <t>馈线柜</t>
        </is>
      </c>
      <c r="D19" s="22" t="inlineStr">
        <is>
          <t>BlokSeT</t>
        </is>
      </c>
      <c r="E19" s="23" t="inlineStr">
        <is>
          <t>台</t>
        </is>
      </c>
      <c r="F19" s="29" t="n">
        <v>1</v>
      </c>
      <c r="G19" s="348">
        <f>ROUND(H511,2)</f>
        <v/>
      </c>
      <c r="H19" s="349">
        <f>ROUND(F19*G19,2)</f>
        <v/>
      </c>
      <c r="I19" s="45" t="inlineStr"/>
      <c r="J19" s="350">
        <f>ROUND(K512,2)</f>
        <v/>
      </c>
      <c r="K19" s="351">
        <f>ROUND(H19-J19,2)</f>
        <v/>
      </c>
      <c r="L19" s="48">
        <f>IF(H19=0,0,K19/H19)</f>
        <v/>
      </c>
      <c r="M19" s="49" t="inlineStr">
        <is>
          <t>600W*1200D*2200H</t>
        </is>
      </c>
      <c r="N19" s="50" t="inlineStr">
        <is>
          <t>低压固定柜</t>
        </is>
      </c>
      <c r="O19" s="51" t="n"/>
      <c r="P19" s="52" t="n"/>
      <c r="Q19" s="62" t="inlineStr"/>
    </row>
    <row r="20" s="308">
      <c r="A20" s="26">
        <f>ROW()-ROW(A$6)</f>
        <v/>
      </c>
      <c r="B20" s="22" t="inlineStr">
        <is>
          <t>AAN3-01、BAN4-01</t>
        </is>
      </c>
      <c r="C20" s="22" t="inlineStr">
        <is>
          <t>进线柜</t>
        </is>
      </c>
      <c r="D20" s="22" t="inlineStr">
        <is>
          <t>BlokSeT</t>
        </is>
      </c>
      <c r="E20" s="23" t="inlineStr">
        <is>
          <t>台</t>
        </is>
      </c>
      <c r="F20" s="29" t="n">
        <v>2</v>
      </c>
      <c r="G20" s="348">
        <f>ROUND(H546,2)</f>
        <v/>
      </c>
      <c r="H20" s="349">
        <f>ROUND(F20*G20,2)</f>
        <v/>
      </c>
      <c r="I20" s="45" t="inlineStr"/>
      <c r="J20" s="350">
        <f>ROUND(K547,2)</f>
        <v/>
      </c>
      <c r="K20" s="351">
        <f>ROUND(H20-J20,2)</f>
        <v/>
      </c>
      <c r="L20" s="48">
        <f>IF(H20=0,0,K20/H20)</f>
        <v/>
      </c>
      <c r="M20" s="49" t="inlineStr">
        <is>
          <t>700W*1200D*2200H</t>
        </is>
      </c>
      <c r="N20" s="50" t="inlineStr">
        <is>
          <t>低压固定柜</t>
        </is>
      </c>
      <c r="O20" s="51" t="n"/>
      <c r="P20" s="52" t="n"/>
      <c r="Q20" s="62" t="inlineStr"/>
    </row>
    <row r="21" s="308">
      <c r="A21" s="26">
        <f>ROW()-ROW(A$6)</f>
        <v/>
      </c>
      <c r="B21" s="22" t="inlineStr">
        <is>
          <t>AAN3-02、BAN4-02</t>
        </is>
      </c>
      <c r="C21" s="22" t="inlineStr">
        <is>
          <t>电容柜</t>
        </is>
      </c>
      <c r="D21" s="22" t="inlineStr">
        <is>
          <t>BlokSeT</t>
        </is>
      </c>
      <c r="E21" s="23" t="inlineStr">
        <is>
          <t>台</t>
        </is>
      </c>
      <c r="F21" s="23" t="n">
        <v>2</v>
      </c>
      <c r="G21" s="348">
        <f>ROUND(H574,2)</f>
        <v/>
      </c>
      <c r="H21" s="349">
        <f>ROUND(F21*G21,2)</f>
        <v/>
      </c>
      <c r="I21" s="45" t="inlineStr"/>
      <c r="J21" s="350">
        <f>ROUND(K575,2)</f>
        <v/>
      </c>
      <c r="K21" s="351">
        <f>ROUND(H21-J21,2)</f>
        <v/>
      </c>
      <c r="L21" s="48">
        <f>IF(H21=0,0,K21/H21)</f>
        <v/>
      </c>
      <c r="M21" s="49" t="inlineStr">
        <is>
          <t>800W*1200D*2200H</t>
        </is>
      </c>
      <c r="N21" s="50" t="inlineStr">
        <is>
          <t>低压固定柜</t>
        </is>
      </c>
      <c r="O21" s="51" t="n"/>
      <c r="P21" s="52" t="n"/>
      <c r="Q21" s="62" t="inlineStr"/>
    </row>
    <row r="22" s="308">
      <c r="A22" s="26">
        <f>ROW()-ROW(A$6)</f>
        <v/>
      </c>
      <c r="B22" s="22" t="inlineStr">
        <is>
          <t>AAN3-03、BAN4-03</t>
        </is>
      </c>
      <c r="C22" s="22" t="inlineStr">
        <is>
          <t>馈线柜</t>
        </is>
      </c>
      <c r="D22" s="22" t="inlineStr">
        <is>
          <t>BlokSeT</t>
        </is>
      </c>
      <c r="E22" s="23" t="inlineStr">
        <is>
          <t>台</t>
        </is>
      </c>
      <c r="F22" s="23" t="n">
        <v>2</v>
      </c>
      <c r="G22" s="348">
        <f>ROUND(H605,2)</f>
        <v/>
      </c>
      <c r="H22" s="349">
        <f>ROUND(F22*G22,2)</f>
        <v/>
      </c>
      <c r="I22" s="45" t="inlineStr"/>
      <c r="J22" s="350">
        <f>ROUND(K606,2)</f>
        <v/>
      </c>
      <c r="K22" s="351">
        <f>ROUND(H22-J22,2)</f>
        <v/>
      </c>
      <c r="L22" s="48">
        <f>IF(H22=0,0,K22/H22)</f>
        <v/>
      </c>
      <c r="M22" s="49" t="inlineStr">
        <is>
          <t>400W*1200D*2200H</t>
        </is>
      </c>
      <c r="N22" s="50" t="inlineStr">
        <is>
          <t>低压固定柜</t>
        </is>
      </c>
      <c r="O22" s="51" t="n"/>
      <c r="P22" s="52" t="n"/>
      <c r="Q22" s="62" t="inlineStr"/>
    </row>
    <row r="23" s="308">
      <c r="A23" s="26">
        <f>ROW()-ROW(A$6)</f>
        <v/>
      </c>
      <c r="B23" s="22" t="inlineStr">
        <is>
          <t>AAN3-04</t>
        </is>
      </c>
      <c r="C23" s="27" t="inlineStr">
        <is>
          <t>馈线柜</t>
        </is>
      </c>
      <c r="D23" s="22" t="inlineStr">
        <is>
          <t>BlokSeT</t>
        </is>
      </c>
      <c r="E23" s="28" t="inlineStr">
        <is>
          <t>台</t>
        </is>
      </c>
      <c r="F23" s="28" t="n">
        <v>1</v>
      </c>
      <c r="G23" s="352">
        <f>ROUND(H639,2)</f>
        <v/>
      </c>
      <c r="H23" s="353">
        <f>ROUND(F23*G23,2)</f>
        <v/>
      </c>
      <c r="I23" s="45" t="inlineStr"/>
      <c r="J23" s="350">
        <f>ROUND(K640,2)</f>
        <v/>
      </c>
      <c r="K23" s="351">
        <f>ROUND(H23-J23,2)</f>
        <v/>
      </c>
      <c r="L23" s="48">
        <f>IF(H23=0,0,K23/H23)</f>
        <v/>
      </c>
      <c r="M23" s="49" t="inlineStr">
        <is>
          <t>400W*1200D*2200H</t>
        </is>
      </c>
      <c r="N23" s="50" t="inlineStr">
        <is>
          <t>低压固定柜</t>
        </is>
      </c>
      <c r="O23" s="51" t="n"/>
      <c r="P23" s="52" t="n"/>
      <c r="Q23" s="62" t="inlineStr"/>
    </row>
    <row r="24" s="308">
      <c r="A24" s="26">
        <f>ROW()-ROW(A$6)</f>
        <v/>
      </c>
      <c r="B24" s="22" t="inlineStr">
        <is>
          <t>AAN3-05</t>
        </is>
      </c>
      <c r="C24" s="22" t="inlineStr">
        <is>
          <t>馈线柜</t>
        </is>
      </c>
      <c r="D24" s="22" t="inlineStr">
        <is>
          <t>BlokSeT</t>
        </is>
      </c>
      <c r="E24" s="28" t="inlineStr">
        <is>
          <t>台</t>
        </is>
      </c>
      <c r="F24" s="32" t="n">
        <v>1</v>
      </c>
      <c r="G24" s="352">
        <f>ROUND(H673,2)</f>
        <v/>
      </c>
      <c r="H24" s="353">
        <f>ROUND(F24*G24,2)</f>
        <v/>
      </c>
      <c r="I24" s="45" t="inlineStr"/>
      <c r="J24" s="350">
        <f>ROUND(K674,2)</f>
        <v/>
      </c>
      <c r="K24" s="351">
        <f>ROUND(H24-J24,2)</f>
        <v/>
      </c>
      <c r="L24" s="48">
        <f>IF(H24=0,0,K24/H24)</f>
        <v/>
      </c>
      <c r="M24" s="49" t="inlineStr">
        <is>
          <t>800W*1200D*2200H</t>
        </is>
      </c>
      <c r="N24" s="50" t="inlineStr">
        <is>
          <t>低压固定柜</t>
        </is>
      </c>
      <c r="O24" s="51" t="n"/>
      <c r="P24" s="52" t="n"/>
      <c r="Q24" s="62" t="inlineStr"/>
    </row>
    <row r="25" s="308">
      <c r="A25" s="26">
        <f>ROW()-ROW(A$6)</f>
        <v/>
      </c>
      <c r="B25" s="22" t="inlineStr">
        <is>
          <t>AAN3-06、BAN4-06</t>
        </is>
      </c>
      <c r="C25" s="22" t="inlineStr">
        <is>
          <t>馈线柜</t>
        </is>
      </c>
      <c r="D25" s="22" t="inlineStr">
        <is>
          <t>BlokSeT</t>
        </is>
      </c>
      <c r="E25" s="28" t="inlineStr">
        <is>
          <t>台</t>
        </is>
      </c>
      <c r="F25" s="32" t="n">
        <v>2</v>
      </c>
      <c r="G25" s="352">
        <f>ROUND(H701,2)</f>
        <v/>
      </c>
      <c r="H25" s="353">
        <f>ROUND(F25*G25,2)</f>
        <v/>
      </c>
      <c r="I25" s="45" t="inlineStr"/>
      <c r="J25" s="350">
        <f>ROUND(K702,2)</f>
        <v/>
      </c>
      <c r="K25" s="351">
        <f>ROUND(H25-J25,2)</f>
        <v/>
      </c>
      <c r="L25" s="48">
        <f>IF(H25=0,0,K25/H25)</f>
        <v/>
      </c>
      <c r="M25" s="49" t="inlineStr">
        <is>
          <t>700W*1200D*2200H</t>
        </is>
      </c>
      <c r="N25" s="50" t="inlineStr">
        <is>
          <t>低压固定柜</t>
        </is>
      </c>
      <c r="O25" s="51" t="n"/>
      <c r="P25" s="52" t="n"/>
      <c r="Q25" s="62" t="inlineStr"/>
    </row>
    <row r="26" s="308">
      <c r="A26" s="26">
        <f>ROW()-ROW(A$6)</f>
        <v/>
      </c>
      <c r="B26" s="22" t="inlineStr">
        <is>
          <t>AAN3-07、BAN4-07</t>
        </is>
      </c>
      <c r="C26" s="22" t="inlineStr">
        <is>
          <t>联络柜</t>
        </is>
      </c>
      <c r="D26" s="22" t="inlineStr">
        <is>
          <t>BlokSeT</t>
        </is>
      </c>
      <c r="E26" s="23" t="inlineStr">
        <is>
          <t>台</t>
        </is>
      </c>
      <c r="F26" s="23" t="n">
        <v>2</v>
      </c>
      <c r="G26" s="348">
        <f>ROUND(H730,2)</f>
        <v/>
      </c>
      <c r="H26" s="349">
        <f>ROUND(F26*G26,2)</f>
        <v/>
      </c>
      <c r="I26" s="45" t="inlineStr"/>
      <c r="J26" s="350">
        <f>ROUND(K731,2)</f>
        <v/>
      </c>
      <c r="K26" s="351">
        <f>ROUND(H26-J26,2)</f>
        <v/>
      </c>
      <c r="L26" s="48">
        <f>IF(H26=0,0,K26/H26)</f>
        <v/>
      </c>
      <c r="M26" s="49" t="inlineStr">
        <is>
          <t>700W*1200D*2200H</t>
        </is>
      </c>
      <c r="N26" s="50" t="inlineStr">
        <is>
          <t>低压固定柜</t>
        </is>
      </c>
      <c r="O26" s="51" t="n"/>
      <c r="P26" s="52" t="n"/>
      <c r="Q26" s="62" t="inlineStr"/>
    </row>
    <row r="27" s="308">
      <c r="A27" s="26">
        <f>ROW()-ROW(A$6)</f>
        <v/>
      </c>
      <c r="B27" s="33" t="inlineStr">
        <is>
          <t>BAN4-05</t>
        </is>
      </c>
      <c r="C27" s="22" t="inlineStr">
        <is>
          <t>馈线柜</t>
        </is>
      </c>
      <c r="D27" s="22" t="inlineStr">
        <is>
          <t>BlokSeT</t>
        </is>
      </c>
      <c r="E27" s="23" t="inlineStr">
        <is>
          <t>台</t>
        </is>
      </c>
      <c r="F27" s="23" t="n">
        <v>1</v>
      </c>
      <c r="G27" s="348">
        <f>ROUND(H764,2)</f>
        <v/>
      </c>
      <c r="H27" s="349">
        <f>ROUND(F27*G27,2)</f>
        <v/>
      </c>
      <c r="I27" s="45" t="inlineStr"/>
      <c r="J27" s="350">
        <f>ROUND(K765,2)</f>
        <v/>
      </c>
      <c r="K27" s="351">
        <f>ROUND(H27-J27,2)</f>
        <v/>
      </c>
      <c r="L27" s="48">
        <f>IF(H27=0,0,K27/H27)</f>
        <v/>
      </c>
      <c r="M27" s="49" t="inlineStr">
        <is>
          <t>600W*1200D*2200H</t>
        </is>
      </c>
      <c r="N27" s="50" t="inlineStr">
        <is>
          <t>低压固定柜</t>
        </is>
      </c>
      <c r="O27" s="51" t="n"/>
      <c r="P27" s="52" t="n"/>
      <c r="Q27" s="62" t="inlineStr"/>
    </row>
    <row r="28" s="308">
      <c r="A28" s="26">
        <f>ROW()-ROW(A$6)</f>
        <v/>
      </c>
      <c r="B28" s="22" t="inlineStr">
        <is>
          <t>BAN4-04</t>
        </is>
      </c>
      <c r="C28" s="22" t="inlineStr">
        <is>
          <t>馈线柜</t>
        </is>
      </c>
      <c r="D28" s="22" t="inlineStr">
        <is>
          <t>BlokSeT</t>
        </is>
      </c>
      <c r="E28" s="23" t="inlineStr">
        <is>
          <t>台</t>
        </is>
      </c>
      <c r="F28" s="23" t="n">
        <v>1</v>
      </c>
      <c r="G28" s="348">
        <f>ROUND(H800,2)</f>
        <v/>
      </c>
      <c r="H28" s="349">
        <f>ROUND(F28*G28,2)</f>
        <v/>
      </c>
      <c r="I28" s="45" t="inlineStr"/>
      <c r="J28" s="350">
        <f>ROUND(K801,2)</f>
        <v/>
      </c>
      <c r="K28" s="351">
        <f>ROUND(H28-J28,2)</f>
        <v/>
      </c>
      <c r="L28" s="48">
        <f>IF(H28=0,0,K28/H28)</f>
        <v/>
      </c>
      <c r="M28" s="49" t="inlineStr">
        <is>
          <t>600W*1200D*2200H</t>
        </is>
      </c>
      <c r="N28" s="50" t="inlineStr">
        <is>
          <t>低压固定柜</t>
        </is>
      </c>
      <c r="O28" s="51" t="n"/>
      <c r="P28" s="52" t="n"/>
      <c r="Q28" s="62" t="inlineStr"/>
    </row>
    <row r="29" customFormat="1" s="1">
      <c r="A29" s="26">
        <f>ROW()-ROW(A$6)</f>
        <v/>
      </c>
      <c r="B29" s="34" t="inlineStr">
        <is>
          <t>AAN5-01、BAN6-01、AAN7-01、BAN8-01</t>
        </is>
      </c>
      <c r="C29" s="34" t="inlineStr">
        <is>
          <t>进线柜</t>
        </is>
      </c>
      <c r="D29" s="22" t="inlineStr">
        <is>
          <t>BlokSeT</t>
        </is>
      </c>
      <c r="E29" s="35" t="inlineStr">
        <is>
          <t>台</t>
        </is>
      </c>
      <c r="F29" s="35" t="n">
        <v>4</v>
      </c>
      <c r="G29" s="354">
        <f>ROUND(H835,2)</f>
        <v/>
      </c>
      <c r="H29" s="355">
        <f>ROUND(F29*G29,2)</f>
        <v/>
      </c>
      <c r="I29" s="54" t="inlineStr"/>
      <c r="J29" s="356">
        <f>ROUND(K836,2)</f>
        <v/>
      </c>
      <c r="K29" s="357">
        <f>ROUND(H29-J29,2)</f>
        <v/>
      </c>
      <c r="L29" s="57">
        <f>IF(H29=0,0,K29/H29)</f>
        <v/>
      </c>
      <c r="M29" s="58" t="inlineStr">
        <is>
          <t>1200W*1200D*2200H</t>
        </is>
      </c>
      <c r="N29" s="59" t="inlineStr">
        <is>
          <t>低压固定柜</t>
        </is>
      </c>
      <c r="O29" s="60" t="n"/>
      <c r="P29" s="61" t="n"/>
      <c r="Q29" s="63" t="inlineStr"/>
    </row>
    <row r="30" customFormat="1" s="1">
      <c r="A30" s="26">
        <f>ROW()-ROW(A$6)</f>
        <v/>
      </c>
      <c r="B30" s="34" t="inlineStr">
        <is>
          <t>AAN5-02、BAN6-02、AAN7-03、BAN8-03</t>
        </is>
      </c>
      <c r="C30" s="34" t="inlineStr">
        <is>
          <t>电容柜</t>
        </is>
      </c>
      <c r="D30" s="22" t="inlineStr">
        <is>
          <t>BlokSeT</t>
        </is>
      </c>
      <c r="E30" s="35" t="inlineStr">
        <is>
          <t>台</t>
        </is>
      </c>
      <c r="F30" s="35" t="n">
        <v>4</v>
      </c>
      <c r="G30" s="354">
        <f>ROUND(H863,2)</f>
        <v/>
      </c>
      <c r="H30" s="355">
        <f>ROUND(F30*G30,2)</f>
        <v/>
      </c>
      <c r="I30" s="54" t="inlineStr"/>
      <c r="J30" s="356">
        <f>ROUND(K864,2)</f>
        <v/>
      </c>
      <c r="K30" s="357">
        <f>ROUND(H30-J30,2)</f>
        <v/>
      </c>
      <c r="L30" s="57">
        <f>IF(H30=0,0,K30/H30)</f>
        <v/>
      </c>
      <c r="M30" s="58" t="inlineStr">
        <is>
          <t>800W*1200D*2200H</t>
        </is>
      </c>
      <c r="N30" s="59" t="inlineStr">
        <is>
          <t>低压固定柜</t>
        </is>
      </c>
      <c r="O30" s="60" t="n"/>
      <c r="P30" s="61" t="n"/>
      <c r="Q30" s="63" t="inlineStr"/>
    </row>
    <row r="31" customFormat="1" s="1">
      <c r="A31" s="26">
        <f>ROW()-ROW(A$6)</f>
        <v/>
      </c>
      <c r="B31" s="34" t="inlineStr">
        <is>
          <t>AAN5-03</t>
        </is>
      </c>
      <c r="C31" s="34" t="inlineStr">
        <is>
          <t>馈线柜</t>
        </is>
      </c>
      <c r="D31" s="22" t="inlineStr">
        <is>
          <t>BlokSeT</t>
        </is>
      </c>
      <c r="E31" s="35" t="inlineStr">
        <is>
          <t>台</t>
        </is>
      </c>
      <c r="F31" s="35" t="n">
        <v>1</v>
      </c>
      <c r="G31" s="354">
        <f>ROUND(H895,2)</f>
        <v/>
      </c>
      <c r="H31" s="355">
        <f>ROUND(F31*G31,2)</f>
        <v/>
      </c>
      <c r="I31" s="54" t="inlineStr"/>
      <c r="J31" s="356">
        <f>ROUND(K896,2)</f>
        <v/>
      </c>
      <c r="K31" s="357">
        <f>ROUND(H31-J31,2)</f>
        <v/>
      </c>
      <c r="L31" s="57">
        <f>IF(H31=0,0,K31/H31)</f>
        <v/>
      </c>
      <c r="M31" s="58" t="inlineStr">
        <is>
          <t>600W*1200D*2200H</t>
        </is>
      </c>
      <c r="N31" s="59" t="inlineStr">
        <is>
          <t>低压固定柜</t>
        </is>
      </c>
      <c r="O31" s="60" t="n"/>
      <c r="P31" s="61" t="n"/>
      <c r="Q31" s="63" t="inlineStr"/>
    </row>
    <row r="32" customFormat="1" s="1">
      <c r="A32" s="26">
        <f>ROW()-ROW(A$6)</f>
        <v/>
      </c>
      <c r="B32" s="34" t="inlineStr">
        <is>
          <t>AAN5-04、BAN6-04、AAN7-04~06、BAN8-05~07</t>
        </is>
      </c>
      <c r="C32" s="34" t="inlineStr">
        <is>
          <t>馈线柜</t>
        </is>
      </c>
      <c r="D32" s="22" t="inlineStr">
        <is>
          <t>BlokSeT</t>
        </is>
      </c>
      <c r="E32" s="35" t="inlineStr">
        <is>
          <t>台</t>
        </is>
      </c>
      <c r="F32" s="35" t="n">
        <v>8</v>
      </c>
      <c r="G32" s="354">
        <f>ROUND(H926,2)</f>
        <v/>
      </c>
      <c r="H32" s="355">
        <f>ROUND(F32*G32,2)</f>
        <v/>
      </c>
      <c r="I32" s="54" t="inlineStr"/>
      <c r="J32" s="356">
        <f>ROUND(K927,2)</f>
        <v/>
      </c>
      <c r="K32" s="357">
        <f>ROUND(H32-J32,2)</f>
        <v/>
      </c>
      <c r="L32" s="57">
        <f>IF(H32=0,0,K32/H32)</f>
        <v/>
      </c>
      <c r="M32" s="58" t="inlineStr">
        <is>
          <t>400W*1200D*2200H</t>
        </is>
      </c>
      <c r="N32" s="59" t="inlineStr">
        <is>
          <t>低压固定柜</t>
        </is>
      </c>
      <c r="O32" s="60" t="n"/>
      <c r="P32" s="61" t="n"/>
      <c r="Q32" s="63" t="inlineStr"/>
    </row>
    <row r="33" customFormat="1" s="1">
      <c r="A33" s="26">
        <f>ROW()-ROW(A$6)</f>
        <v/>
      </c>
      <c r="B33" s="34" t="inlineStr">
        <is>
          <t>AAN5-05</t>
        </is>
      </c>
      <c r="C33" s="34" t="inlineStr">
        <is>
          <t>馈线柜</t>
        </is>
      </c>
      <c r="D33" s="22" t="inlineStr">
        <is>
          <t>BlokSeT</t>
        </is>
      </c>
      <c r="E33" s="35" t="inlineStr">
        <is>
          <t>台</t>
        </is>
      </c>
      <c r="F33" s="35" t="n">
        <v>1</v>
      </c>
      <c r="G33" s="354">
        <f>ROUND(H960,2)</f>
        <v/>
      </c>
      <c r="H33" s="355">
        <f>ROUND(F33*G33,2)</f>
        <v/>
      </c>
      <c r="I33" s="54" t="inlineStr"/>
      <c r="J33" s="356">
        <f>ROUND(K961,2)</f>
        <v/>
      </c>
      <c r="K33" s="357">
        <f>ROUND(H33-J33,2)</f>
        <v/>
      </c>
      <c r="L33" s="57">
        <f>IF(H33=0,0,K33/H33)</f>
        <v/>
      </c>
      <c r="M33" s="58" t="inlineStr">
        <is>
          <t>400W*1200D*2200H</t>
        </is>
      </c>
      <c r="N33" s="59" t="inlineStr">
        <is>
          <t>低压固定柜</t>
        </is>
      </c>
      <c r="O33" s="60" t="n"/>
      <c r="P33" s="61" t="n"/>
      <c r="Q33" s="63" t="inlineStr"/>
    </row>
    <row r="34" customFormat="1" s="1">
      <c r="A34" s="21">
        <f>ROW()-ROW(A$6)</f>
        <v/>
      </c>
      <c r="B34" s="34" t="inlineStr">
        <is>
          <t>AAN5-06、BAN6-06、AAN7-07、BAN8-08</t>
        </is>
      </c>
      <c r="C34" s="34" t="inlineStr">
        <is>
          <t>馈线柜</t>
        </is>
      </c>
      <c r="D34" s="22" t="inlineStr">
        <is>
          <t>BlokSeT</t>
        </is>
      </c>
      <c r="E34" s="35" t="inlineStr">
        <is>
          <t>台</t>
        </is>
      </c>
      <c r="F34" s="35" t="n">
        <v>4</v>
      </c>
      <c r="G34" s="354">
        <f>ROUND(H989,2)</f>
        <v/>
      </c>
      <c r="H34" s="355">
        <f>ROUND(F34*G34,2)</f>
        <v/>
      </c>
      <c r="I34" s="54" t="inlineStr"/>
      <c r="J34" s="356">
        <f>ROUND(K990,2)</f>
        <v/>
      </c>
      <c r="K34" s="357">
        <f>ROUND(H34-J34,2)</f>
        <v/>
      </c>
      <c r="L34" s="57">
        <f>IF(H34=0,0,K34/H34)</f>
        <v/>
      </c>
      <c r="M34" s="58" t="inlineStr">
        <is>
          <t>700W*1200D*2200H</t>
        </is>
      </c>
      <c r="N34" s="59" t="inlineStr">
        <is>
          <t>低压固定柜</t>
        </is>
      </c>
      <c r="O34" s="60" t="n"/>
      <c r="P34" s="61" t="n"/>
      <c r="Q34" s="63" t="inlineStr"/>
    </row>
    <row r="35" customFormat="1" s="1">
      <c r="A35" s="26">
        <f>ROW()-ROW(A$6)</f>
        <v/>
      </c>
      <c r="B35" s="34" t="inlineStr">
        <is>
          <t>AAN5-07、BAN6-07、AAN7-08、BAN8-04</t>
        </is>
      </c>
      <c r="C35" s="34" t="inlineStr">
        <is>
          <t>馈线柜</t>
        </is>
      </c>
      <c r="D35" s="22" t="inlineStr">
        <is>
          <t>BlokSeT</t>
        </is>
      </c>
      <c r="E35" s="35" t="inlineStr">
        <is>
          <t>台</t>
        </is>
      </c>
      <c r="F35" s="35" t="n">
        <v>4</v>
      </c>
      <c r="G35" s="354">
        <f>ROUND(H1017,2)</f>
        <v/>
      </c>
      <c r="H35" s="355">
        <f>ROUND(F35*G35,2)</f>
        <v/>
      </c>
      <c r="I35" s="54" t="inlineStr"/>
      <c r="J35" s="356">
        <f>ROUND(K1018,2)</f>
        <v/>
      </c>
      <c r="K35" s="357">
        <f>ROUND(H35-J35,2)</f>
        <v/>
      </c>
      <c r="L35" s="57">
        <f>IF(H35=0,0,K35/H35)</f>
        <v/>
      </c>
      <c r="M35" s="58" t="inlineStr">
        <is>
          <t>700W*1200D*2200H</t>
        </is>
      </c>
      <c r="N35" s="59" t="inlineStr">
        <is>
          <t>低压固定柜</t>
        </is>
      </c>
      <c r="O35" s="60" t="n"/>
      <c r="P35" s="61" t="n"/>
      <c r="Q35" s="63" t="inlineStr"/>
    </row>
    <row r="36" customFormat="1" s="1">
      <c r="A36" s="26">
        <f>ROW()-ROW(A$6)</f>
        <v/>
      </c>
      <c r="B36" s="34" t="inlineStr">
        <is>
          <t>AAN5-08、BAN6-08、AAN7-02、BAN8-02</t>
        </is>
      </c>
      <c r="C36" s="34" t="inlineStr">
        <is>
          <t>联络柜</t>
        </is>
      </c>
      <c r="D36" s="22" t="inlineStr">
        <is>
          <t>BlokSeT</t>
        </is>
      </c>
      <c r="E36" s="35" t="inlineStr">
        <is>
          <t>台</t>
        </is>
      </c>
      <c r="F36" s="35" t="n">
        <v>4</v>
      </c>
      <c r="G36" s="354">
        <f>ROUND(H1046,2)</f>
        <v/>
      </c>
      <c r="H36" s="355">
        <f>ROUND(F36*G36,2)</f>
        <v/>
      </c>
      <c r="I36" s="54" t="inlineStr"/>
      <c r="J36" s="356">
        <f>ROUND(K1047,2)</f>
        <v/>
      </c>
      <c r="K36" s="357">
        <f>ROUND(H36-J36,2)</f>
        <v/>
      </c>
      <c r="L36" s="57">
        <f>IF(H36=0,0,K36/H36)</f>
        <v/>
      </c>
      <c r="M36" s="58" t="inlineStr">
        <is>
          <t>700W*1200D*2200H</t>
        </is>
      </c>
      <c r="N36" s="59" t="inlineStr">
        <is>
          <t>低压固定柜</t>
        </is>
      </c>
      <c r="O36" s="60" t="n"/>
      <c r="P36" s="61" t="n"/>
      <c r="Q36" s="63" t="inlineStr"/>
    </row>
    <row r="37" customFormat="1" s="1">
      <c r="A37" s="26">
        <f>ROW()-ROW(A$6)</f>
        <v/>
      </c>
      <c r="B37" s="34" t="inlineStr">
        <is>
          <t>BAN6-05</t>
        </is>
      </c>
      <c r="C37" s="34" t="inlineStr">
        <is>
          <t>馈线柜</t>
        </is>
      </c>
      <c r="D37" s="22" t="inlineStr">
        <is>
          <t>BlokSeT</t>
        </is>
      </c>
      <c r="E37" s="35" t="inlineStr">
        <is>
          <t>台</t>
        </is>
      </c>
      <c r="F37" s="35" t="n">
        <v>1</v>
      </c>
      <c r="G37" s="354">
        <f>ROUND(H1080,2)</f>
        <v/>
      </c>
      <c r="H37" s="355">
        <f>ROUND(F37*G37,2)</f>
        <v/>
      </c>
      <c r="I37" s="54" t="inlineStr"/>
      <c r="J37" s="356">
        <f>ROUND(K1081,2)</f>
        <v/>
      </c>
      <c r="K37" s="357">
        <f>ROUND(H37-J37,2)</f>
        <v/>
      </c>
      <c r="L37" s="57">
        <f>IF(H37=0,0,K37/H37)</f>
        <v/>
      </c>
      <c r="M37" s="58" t="inlineStr">
        <is>
          <t>600W*1200D*2200H</t>
        </is>
      </c>
      <c r="N37" s="59" t="inlineStr">
        <is>
          <t>低压固定柜</t>
        </is>
      </c>
      <c r="O37" s="60" t="n"/>
      <c r="P37" s="61" t="n"/>
      <c r="Q37" s="63" t="inlineStr"/>
    </row>
    <row r="38" customFormat="1" s="1">
      <c r="A38" s="26">
        <f>ROW()-ROW(A$6)</f>
        <v/>
      </c>
      <c r="B38" s="34" t="inlineStr">
        <is>
          <t>BAN6-03</t>
        </is>
      </c>
      <c r="C38" s="34" t="inlineStr">
        <is>
          <t>馈线柜</t>
        </is>
      </c>
      <c r="D38" s="22" t="inlineStr">
        <is>
          <t>BlokSeT</t>
        </is>
      </c>
      <c r="E38" s="35" t="inlineStr">
        <is>
          <t>台</t>
        </is>
      </c>
      <c r="F38" s="35" t="n">
        <v>1</v>
      </c>
      <c r="G38" s="354">
        <f>ROUND(H1111,2)</f>
        <v/>
      </c>
      <c r="H38" s="355">
        <f>ROUND(F38*G38,2)</f>
        <v/>
      </c>
      <c r="I38" s="54" t="inlineStr"/>
      <c r="J38" s="356">
        <f>ROUND(K1112,2)</f>
        <v/>
      </c>
      <c r="K38" s="357">
        <f>ROUND(H38-J38,2)</f>
        <v/>
      </c>
      <c r="L38" s="57">
        <f>IF(H38=0,0,K38/H38)</f>
        <v/>
      </c>
      <c r="M38" s="58" t="inlineStr">
        <is>
          <t>600W*1200D*2200H</t>
        </is>
      </c>
      <c r="N38" s="59" t="inlineStr">
        <is>
          <t>低压固定柜</t>
        </is>
      </c>
      <c r="O38" s="60" t="n"/>
      <c r="P38" s="61" t="n"/>
      <c r="Q38" s="63" t="inlineStr"/>
    </row>
    <row r="39" customFormat="1" s="1">
      <c r="A39" s="26">
        <f>ROW()-ROW(A$6)</f>
        <v/>
      </c>
      <c r="B39" s="34" t="inlineStr">
        <is>
          <t>AAN9-01、BAN10-01、AAN11-01、BAN12-01</t>
        </is>
      </c>
      <c r="C39" s="34" t="inlineStr">
        <is>
          <t>进线柜</t>
        </is>
      </c>
      <c r="D39" s="22" t="inlineStr">
        <is>
          <t>BlokSeT</t>
        </is>
      </c>
      <c r="E39" s="35" t="inlineStr">
        <is>
          <t>台</t>
        </is>
      </c>
      <c r="F39" s="35" t="n">
        <v>4</v>
      </c>
      <c r="G39" s="354">
        <f>ROUND(H1146,2)</f>
        <v/>
      </c>
      <c r="H39" s="355">
        <f>ROUND(F39*G39,2)</f>
        <v/>
      </c>
      <c r="I39" s="54" t="inlineStr"/>
      <c r="J39" s="356">
        <f>ROUND(K1147,2)</f>
        <v/>
      </c>
      <c r="K39" s="357">
        <f>ROUND(H39-J39,2)</f>
        <v/>
      </c>
      <c r="L39" s="57">
        <f>IF(H39=0,0,K39/H39)</f>
        <v/>
      </c>
      <c r="M39" s="58" t="inlineStr">
        <is>
          <t>1200W*1200D*2200H</t>
        </is>
      </c>
      <c r="N39" s="59" t="inlineStr">
        <is>
          <t>低压固定柜</t>
        </is>
      </c>
      <c r="O39" s="60" t="n"/>
      <c r="P39" s="61" t="n"/>
      <c r="Q39" s="63" t="inlineStr"/>
    </row>
    <row r="40" customFormat="1" s="1">
      <c r="A40" s="26">
        <f>ROW()-ROW(A$6)</f>
        <v/>
      </c>
      <c r="B40" s="34" t="inlineStr">
        <is>
          <t>AAN9-02、BAN10-02、AAN11-02、BAN12-02</t>
        </is>
      </c>
      <c r="C40" s="34" t="inlineStr">
        <is>
          <t>联络柜</t>
        </is>
      </c>
      <c r="D40" s="22" t="inlineStr">
        <is>
          <t>BlokSeT</t>
        </is>
      </c>
      <c r="E40" s="35" t="inlineStr">
        <is>
          <t>台</t>
        </is>
      </c>
      <c r="F40" s="35" t="n">
        <v>4</v>
      </c>
      <c r="G40" s="354">
        <f>ROUND(H1175,2)</f>
        <v/>
      </c>
      <c r="H40" s="355">
        <f>ROUND(F40*G40,2)</f>
        <v/>
      </c>
      <c r="I40" s="54" t="inlineStr"/>
      <c r="J40" s="356">
        <f>ROUND(K1176,2)</f>
        <v/>
      </c>
      <c r="K40" s="357">
        <f>ROUND(H40-J40,2)</f>
        <v/>
      </c>
      <c r="L40" s="57">
        <f>IF(H40=0,0,K40/H40)</f>
        <v/>
      </c>
      <c r="M40" s="58" t="inlineStr">
        <is>
          <t>700W*1200D*2200H</t>
        </is>
      </c>
      <c r="N40" s="59" t="inlineStr">
        <is>
          <t>低压固定柜</t>
        </is>
      </c>
      <c r="O40" s="60" t="n"/>
      <c r="P40" s="61" t="n"/>
      <c r="Q40" s="63" t="inlineStr"/>
    </row>
    <row r="41" customFormat="1" s="1">
      <c r="A41" s="26">
        <f>ROW()-ROW(A$6)</f>
        <v/>
      </c>
      <c r="B41" s="34" t="inlineStr">
        <is>
          <t>AAN9-03、BAN10-03、AAN11-03、BAN12-03</t>
        </is>
      </c>
      <c r="C41" s="34" t="inlineStr">
        <is>
          <t>电容柜</t>
        </is>
      </c>
      <c r="D41" s="22" t="inlineStr">
        <is>
          <t>BlokSeT</t>
        </is>
      </c>
      <c r="E41" s="35" t="inlineStr">
        <is>
          <t>台</t>
        </is>
      </c>
      <c r="F41" s="35" t="n">
        <v>4</v>
      </c>
      <c r="G41" s="354">
        <f>ROUND(H1203,2)</f>
        <v/>
      </c>
      <c r="H41" s="355">
        <f>ROUND(F41*G41,2)</f>
        <v/>
      </c>
      <c r="I41" s="54" t="inlineStr"/>
      <c r="J41" s="356">
        <f>ROUND(K1204,2)</f>
        <v/>
      </c>
      <c r="K41" s="357">
        <f>ROUND(H41-J41,2)</f>
        <v/>
      </c>
      <c r="L41" s="57">
        <f>IF(H41=0,0,K41/H41)</f>
        <v/>
      </c>
      <c r="M41" s="58" t="inlineStr">
        <is>
          <t>800W*1200D*2200H</t>
        </is>
      </c>
      <c r="N41" s="59" t="inlineStr">
        <is>
          <t>低压固定柜</t>
        </is>
      </c>
      <c r="O41" s="60" t="n"/>
      <c r="P41" s="61" t="n"/>
      <c r="Q41" s="63" t="inlineStr"/>
    </row>
    <row r="42" customFormat="1" s="1">
      <c r="A42" s="26">
        <f>ROW()-ROW(A$6)</f>
        <v/>
      </c>
      <c r="B42" s="34" t="inlineStr">
        <is>
          <t>AAN9-04</t>
        </is>
      </c>
      <c r="C42" s="34" t="inlineStr">
        <is>
          <t>馈线柜</t>
        </is>
      </c>
      <c r="D42" s="22" t="inlineStr">
        <is>
          <t>BlokSeT</t>
        </is>
      </c>
      <c r="E42" s="35" t="inlineStr">
        <is>
          <t>台</t>
        </is>
      </c>
      <c r="F42" s="35" t="n">
        <v>1</v>
      </c>
      <c r="G42" s="354">
        <f>ROUND(H1235,2)</f>
        <v/>
      </c>
      <c r="H42" s="355">
        <f>ROUND(F42*G42,2)</f>
        <v/>
      </c>
      <c r="I42" s="54" t="inlineStr"/>
      <c r="J42" s="356">
        <f>ROUND(K1236,2)</f>
        <v/>
      </c>
      <c r="K42" s="357">
        <f>ROUND(H42-J42,2)</f>
        <v/>
      </c>
      <c r="L42" s="57">
        <f>IF(H42=0,0,K42/H42)</f>
        <v/>
      </c>
      <c r="M42" s="58" t="inlineStr">
        <is>
          <t>600W*1200D*2200H</t>
        </is>
      </c>
      <c r="N42" s="59" t="inlineStr">
        <is>
          <t>低压固定柜</t>
        </is>
      </c>
      <c r="O42" s="60" t="n"/>
      <c r="P42" s="61" t="n"/>
      <c r="Q42" s="63" t="inlineStr"/>
    </row>
    <row r="43" customFormat="1" s="1">
      <c r="A43" s="26">
        <f>ROW()-ROW(A$6)</f>
        <v/>
      </c>
      <c r="B43" s="34" t="inlineStr">
        <is>
          <t>AAN9-05、BAN10-05、AAN11-05、BAN12-05</t>
        </is>
      </c>
      <c r="C43" s="34" t="inlineStr">
        <is>
          <t>馈线柜</t>
        </is>
      </c>
      <c r="D43" s="22" t="inlineStr">
        <is>
          <t>BlokSeT</t>
        </is>
      </c>
      <c r="E43" s="35" t="inlineStr">
        <is>
          <t>台</t>
        </is>
      </c>
      <c r="F43" s="35" t="n">
        <v>4</v>
      </c>
      <c r="G43" s="354">
        <f>ROUND(H1266,2)</f>
        <v/>
      </c>
      <c r="H43" s="355">
        <f>ROUND(F43*G43,2)</f>
        <v/>
      </c>
      <c r="I43" s="54" t="inlineStr"/>
      <c r="J43" s="356">
        <f>ROUND(K1267,2)</f>
        <v/>
      </c>
      <c r="K43" s="357">
        <f>ROUND(H43-J43,2)</f>
        <v/>
      </c>
      <c r="L43" s="57">
        <f>IF(H43=0,0,K43/H43)</f>
        <v/>
      </c>
      <c r="M43" s="58" t="inlineStr">
        <is>
          <t>400W*1200D*2200H</t>
        </is>
      </c>
      <c r="N43" s="59" t="inlineStr">
        <is>
          <t>低压固定柜</t>
        </is>
      </c>
      <c r="O43" s="60" t="n"/>
      <c r="P43" s="61" t="n"/>
      <c r="Q43" s="63" t="inlineStr"/>
    </row>
    <row r="44" customFormat="1" s="1">
      <c r="A44" s="26">
        <f>ROW()-ROW(A$6)</f>
        <v/>
      </c>
      <c r="B44" s="34" t="inlineStr">
        <is>
          <t>AAN9-06、BAN10-06、AAN11-06、BAN12-06</t>
        </is>
      </c>
      <c r="C44" s="34" t="inlineStr">
        <is>
          <t>馈线柜</t>
        </is>
      </c>
      <c r="D44" s="22" t="inlineStr">
        <is>
          <t>BlokSeT</t>
        </is>
      </c>
      <c r="E44" s="35" t="inlineStr">
        <is>
          <t>台</t>
        </is>
      </c>
      <c r="F44" s="35" t="n">
        <v>4</v>
      </c>
      <c r="G44" s="354">
        <f>ROUND(H1300,2)</f>
        <v/>
      </c>
      <c r="H44" s="355">
        <f>ROUND(F44*G44,2)</f>
        <v/>
      </c>
      <c r="I44" s="54" t="inlineStr"/>
      <c r="J44" s="356">
        <f>ROUND(K1301,2)</f>
        <v/>
      </c>
      <c r="K44" s="357">
        <f>ROUND(H44-J44,2)</f>
        <v/>
      </c>
      <c r="L44" s="57">
        <f>IF(H44=0,0,K44/H44)</f>
        <v/>
      </c>
      <c r="M44" s="58" t="inlineStr">
        <is>
          <t>600W*1200D*2200H</t>
        </is>
      </c>
      <c r="N44" s="59" t="inlineStr">
        <is>
          <t>低压固定柜</t>
        </is>
      </c>
      <c r="O44" s="60" t="n"/>
      <c r="P44" s="61" t="n"/>
      <c r="Q44" s="63" t="inlineStr"/>
    </row>
    <row r="45" customFormat="1" s="1">
      <c r="A45" s="26">
        <f>ROW()-ROW(A$6)</f>
        <v/>
      </c>
      <c r="B45" s="34" t="inlineStr">
        <is>
          <t>AAN9-07、BAN10-07、AAN11-07、BAN12-07</t>
        </is>
      </c>
      <c r="C45" s="34" t="inlineStr">
        <is>
          <t>馈线柜</t>
        </is>
      </c>
      <c r="D45" s="22" t="inlineStr">
        <is>
          <t>BlokSeT</t>
        </is>
      </c>
      <c r="E45" s="35" t="inlineStr">
        <is>
          <t>台</t>
        </is>
      </c>
      <c r="F45" s="35" t="n">
        <v>4</v>
      </c>
      <c r="G45" s="354">
        <f>ROUND(H1329,2)</f>
        <v/>
      </c>
      <c r="H45" s="355">
        <f>ROUND(F45*G45,2)</f>
        <v/>
      </c>
      <c r="I45" s="54" t="inlineStr"/>
      <c r="J45" s="356">
        <f>ROUND(K1330,2)</f>
        <v/>
      </c>
      <c r="K45" s="357">
        <f>ROUND(H45-J45,2)</f>
        <v/>
      </c>
      <c r="L45" s="57">
        <f>IF(H45=0,0,K45/H45)</f>
        <v/>
      </c>
      <c r="M45" s="58" t="inlineStr">
        <is>
          <t>700W*1200D*2200H</t>
        </is>
      </c>
      <c r="N45" s="59" t="inlineStr">
        <is>
          <t>低压固定柜</t>
        </is>
      </c>
      <c r="O45" s="60" t="n"/>
      <c r="P45" s="61" t="n"/>
      <c r="Q45" s="63" t="inlineStr"/>
    </row>
    <row r="46" customFormat="1" s="1">
      <c r="A46" s="26">
        <f>ROW()-ROW(A$6)</f>
        <v/>
      </c>
      <c r="B46" s="34" t="inlineStr">
        <is>
          <t>AAN9-08、BAN10-08、AAN11-08、BAN12-08</t>
        </is>
      </c>
      <c r="C46" s="34" t="inlineStr">
        <is>
          <t>馈线柜</t>
        </is>
      </c>
      <c r="D46" s="22" t="inlineStr">
        <is>
          <t>BlokSeT</t>
        </is>
      </c>
      <c r="E46" s="35" t="inlineStr">
        <is>
          <t>台</t>
        </is>
      </c>
      <c r="F46" s="35" t="n">
        <v>4</v>
      </c>
      <c r="G46" s="354">
        <f>ROUND(H1357,2)</f>
        <v/>
      </c>
      <c r="H46" s="355">
        <f>ROUND(F46*G46,2)</f>
        <v/>
      </c>
      <c r="I46" s="54" t="inlineStr"/>
      <c r="J46" s="356">
        <f>ROUND(K1358,2)</f>
        <v/>
      </c>
      <c r="K46" s="357">
        <f>ROUND(H46-J46,2)</f>
        <v/>
      </c>
      <c r="L46" s="57">
        <f>IF(H46=0,0,K46/H46)</f>
        <v/>
      </c>
      <c r="M46" s="58" t="inlineStr">
        <is>
          <t>700W*1200D*2200H</t>
        </is>
      </c>
      <c r="N46" s="59" t="inlineStr">
        <is>
          <t>低压固定柜</t>
        </is>
      </c>
      <c r="O46" s="60" t="n"/>
      <c r="P46" s="61" t="n"/>
      <c r="Q46" s="63" t="inlineStr"/>
    </row>
    <row r="47" customFormat="1" s="1">
      <c r="A47" s="26">
        <f>ROW()-ROW(A$6)</f>
        <v/>
      </c>
      <c r="B47" s="34" t="inlineStr">
        <is>
          <t>BAN10-04</t>
        </is>
      </c>
      <c r="C47" s="34" t="inlineStr">
        <is>
          <t>馈线柜</t>
        </is>
      </c>
      <c r="D47" s="22" t="inlineStr">
        <is>
          <t>BlokSeT</t>
        </is>
      </c>
      <c r="E47" s="35" t="inlineStr">
        <is>
          <t>台</t>
        </is>
      </c>
      <c r="F47" s="35" t="n">
        <v>1</v>
      </c>
      <c r="G47" s="354">
        <f>ROUND(H1390,2)</f>
        <v/>
      </c>
      <c r="H47" s="355">
        <f>ROUND(F47*G47,2)</f>
        <v/>
      </c>
      <c r="I47" s="54" t="inlineStr"/>
      <c r="J47" s="356">
        <f>ROUND(K1391,2)</f>
        <v/>
      </c>
      <c r="K47" s="357">
        <f>ROUND(H47-J47,2)</f>
        <v/>
      </c>
      <c r="L47" s="57">
        <f>IF(H47=0,0,K47/H47)</f>
        <v/>
      </c>
      <c r="M47" s="58" t="inlineStr">
        <is>
          <t>800W*1200D*2200H</t>
        </is>
      </c>
      <c r="N47" s="59" t="inlineStr">
        <is>
          <t>低压固定柜</t>
        </is>
      </c>
      <c r="O47" s="60" t="n"/>
      <c r="P47" s="61" t="n"/>
      <c r="Q47" s="63" t="inlineStr"/>
    </row>
    <row r="48" customFormat="1" s="1">
      <c r="A48" s="26">
        <f>ROW()-ROW(A$6)</f>
        <v/>
      </c>
      <c r="B48" s="34" t="inlineStr">
        <is>
          <t>AAN11-04</t>
        </is>
      </c>
      <c r="C48" s="34" t="inlineStr">
        <is>
          <t>馈线柜</t>
        </is>
      </c>
      <c r="D48" s="22" t="inlineStr">
        <is>
          <t>BlokSeT</t>
        </is>
      </c>
      <c r="E48" s="35" t="inlineStr">
        <is>
          <t>台</t>
        </is>
      </c>
      <c r="F48" s="35" t="n">
        <v>1</v>
      </c>
      <c r="G48" s="354">
        <f>ROUND(H1423,2)</f>
        <v/>
      </c>
      <c r="H48" s="355">
        <f>ROUND(F48*G48,2)</f>
        <v/>
      </c>
      <c r="I48" s="54" t="inlineStr"/>
      <c r="J48" s="356">
        <f>ROUND(K1424,2)</f>
        <v/>
      </c>
      <c r="K48" s="357">
        <f>ROUND(H48-J48,2)</f>
        <v/>
      </c>
      <c r="L48" s="57">
        <f>IF(H48=0,0,K48/H48)</f>
        <v/>
      </c>
      <c r="M48" s="58" t="inlineStr">
        <is>
          <t>600W*1200D*2200H</t>
        </is>
      </c>
      <c r="N48" s="59" t="inlineStr">
        <is>
          <t>低压固定柜</t>
        </is>
      </c>
      <c r="O48" s="60" t="n"/>
      <c r="P48" s="61" t="n"/>
      <c r="Q48" s="63" t="inlineStr"/>
    </row>
    <row r="49" customFormat="1" s="1">
      <c r="A49" s="26">
        <f>ROW()-ROW(A$6)</f>
        <v/>
      </c>
      <c r="B49" s="34" t="inlineStr">
        <is>
          <t>BAN12-04</t>
        </is>
      </c>
      <c r="C49" s="34" t="inlineStr">
        <is>
          <t>馈线柜</t>
        </is>
      </c>
      <c r="D49" s="22" t="inlineStr">
        <is>
          <t>BlokSeT</t>
        </is>
      </c>
      <c r="E49" s="35" t="inlineStr">
        <is>
          <t>台</t>
        </is>
      </c>
      <c r="F49" s="35" t="n">
        <v>1</v>
      </c>
      <c r="G49" s="354">
        <f>ROUND(H1455,2)</f>
        <v/>
      </c>
      <c r="H49" s="355">
        <f>ROUND(F49*G49,2)</f>
        <v/>
      </c>
      <c r="I49" s="54" t="inlineStr"/>
      <c r="J49" s="356">
        <f>ROUND(K1456,2)</f>
        <v/>
      </c>
      <c r="K49" s="357">
        <f>ROUND(H49-J49,2)</f>
        <v/>
      </c>
      <c r="L49" s="57">
        <f>IF(H49=0,0,K49/H49)</f>
        <v/>
      </c>
      <c r="M49" s="58" t="inlineStr">
        <is>
          <t>600W*1200D*2200H</t>
        </is>
      </c>
      <c r="N49" s="59" t="inlineStr">
        <is>
          <t>低压固定柜</t>
        </is>
      </c>
      <c r="O49" s="60" t="n"/>
      <c r="P49" s="61" t="n"/>
      <c r="Q49" s="63" t="inlineStr"/>
    </row>
    <row r="50" customFormat="1" s="1">
      <c r="A50" s="26">
        <f>ROW()-ROW(A$6)</f>
        <v/>
      </c>
      <c r="B50" s="34" t="inlineStr">
        <is>
          <t>AAN13-01、BAN14-01</t>
        </is>
      </c>
      <c r="C50" s="34" t="inlineStr">
        <is>
          <t>进线柜</t>
        </is>
      </c>
      <c r="D50" s="22" t="inlineStr">
        <is>
          <t>BlokSeT</t>
        </is>
      </c>
      <c r="E50" s="35" t="inlineStr">
        <is>
          <t>台</t>
        </is>
      </c>
      <c r="F50" s="35" t="n">
        <v>2</v>
      </c>
      <c r="G50" s="354">
        <f>ROUND(H1488,2)</f>
        <v/>
      </c>
      <c r="H50" s="355">
        <f>ROUND(F50*G50,2)</f>
        <v/>
      </c>
      <c r="I50" s="54" t="inlineStr"/>
      <c r="J50" s="356">
        <f>ROUND(K1489,2)</f>
        <v/>
      </c>
      <c r="K50" s="357">
        <f>ROUND(H50-J50,2)</f>
        <v/>
      </c>
      <c r="L50" s="57">
        <f>IF(H50=0,0,K50/H50)</f>
        <v/>
      </c>
      <c r="M50" s="58" t="inlineStr">
        <is>
          <t>700W*1200D*2200H</t>
        </is>
      </c>
      <c r="N50" s="59" t="inlineStr">
        <is>
          <t>低压固定柜</t>
        </is>
      </c>
      <c r="O50" s="60" t="n"/>
      <c r="P50" s="61" t="n"/>
      <c r="Q50" s="63" t="inlineStr"/>
    </row>
    <row r="51" customFormat="1" s="1">
      <c r="A51" s="26">
        <f>ROW()-ROW(A$6)</f>
        <v/>
      </c>
      <c r="B51" s="34" t="inlineStr">
        <is>
          <t>AAN13-02、BAN14-02</t>
        </is>
      </c>
      <c r="C51" s="34" t="inlineStr">
        <is>
          <t>电容柜</t>
        </is>
      </c>
      <c r="D51" s="22" t="inlineStr">
        <is>
          <t>BlokSeT</t>
        </is>
      </c>
      <c r="E51" s="35" t="inlineStr">
        <is>
          <t>台</t>
        </is>
      </c>
      <c r="F51" s="35" t="n">
        <v>2</v>
      </c>
      <c r="G51" s="354">
        <f>ROUND(H1516,2)</f>
        <v/>
      </c>
      <c r="H51" s="355">
        <f>ROUND(F51*G51,2)</f>
        <v/>
      </c>
      <c r="I51" s="54" t="inlineStr"/>
      <c r="J51" s="356">
        <f>ROUND(K1517,2)</f>
        <v/>
      </c>
      <c r="K51" s="357">
        <f>ROUND(H51-J51,2)</f>
        <v/>
      </c>
      <c r="L51" s="57">
        <f>IF(H51=0,0,K51/H51)</f>
        <v/>
      </c>
      <c r="M51" s="58" t="inlineStr">
        <is>
          <t>800W*1200D*2200H</t>
        </is>
      </c>
      <c r="N51" s="59" t="inlineStr">
        <is>
          <t>低压固定柜</t>
        </is>
      </c>
      <c r="O51" s="60" t="n"/>
      <c r="P51" s="61" t="n"/>
      <c r="Q51" s="63" t="inlineStr"/>
    </row>
    <row r="52" customFormat="1" s="1">
      <c r="A52" s="26">
        <f>ROW()-ROW(A$6)</f>
        <v/>
      </c>
      <c r="B52" s="34" t="inlineStr">
        <is>
          <t>AAN13-03、BAN14-03</t>
        </is>
      </c>
      <c r="C52" s="34" t="inlineStr">
        <is>
          <t>联络柜</t>
        </is>
      </c>
      <c r="D52" s="22" t="inlineStr">
        <is>
          <t>BlokSeT</t>
        </is>
      </c>
      <c r="E52" s="35" t="inlineStr">
        <is>
          <t>台</t>
        </is>
      </c>
      <c r="F52" s="35" t="n">
        <v>2</v>
      </c>
      <c r="G52" s="354">
        <f>ROUND(H1544,2)</f>
        <v/>
      </c>
      <c r="H52" s="355">
        <f>ROUND(F52*G52,2)</f>
        <v/>
      </c>
      <c r="I52" s="54" t="inlineStr"/>
      <c r="J52" s="356">
        <f>ROUND(K1545,2)</f>
        <v/>
      </c>
      <c r="K52" s="357">
        <f>ROUND(H52-J52,2)</f>
        <v/>
      </c>
      <c r="L52" s="57">
        <f>IF(H52=0,0,K52/H52)</f>
        <v/>
      </c>
      <c r="M52" s="58" t="inlineStr">
        <is>
          <t>700W*1200D*2200H</t>
        </is>
      </c>
      <c r="N52" s="59" t="inlineStr">
        <is>
          <t>低压固定柜</t>
        </is>
      </c>
      <c r="O52" s="60" t="n"/>
      <c r="P52" s="61" t="n"/>
      <c r="Q52" s="63" t="inlineStr"/>
    </row>
    <row r="53" customFormat="1" s="1">
      <c r="A53" s="26">
        <f>ROW()-ROW(A$6)</f>
        <v/>
      </c>
      <c r="B53" s="34" t="inlineStr">
        <is>
          <t>AAN13-04、BAN14-04</t>
        </is>
      </c>
      <c r="C53" s="34" t="inlineStr">
        <is>
          <t>馈线柜</t>
        </is>
      </c>
      <c r="D53" s="22" t="inlineStr">
        <is>
          <t>BlokSeT</t>
        </is>
      </c>
      <c r="E53" s="35" t="inlineStr">
        <is>
          <t>台</t>
        </is>
      </c>
      <c r="F53" s="35" t="n">
        <v>2</v>
      </c>
      <c r="G53" s="354">
        <f>ROUND(H1572,2)</f>
        <v/>
      </c>
      <c r="H53" s="355">
        <f>ROUND(F53*G53,2)</f>
        <v/>
      </c>
      <c r="I53" s="54" t="inlineStr"/>
      <c r="J53" s="356">
        <f>ROUND(K1573,2)</f>
        <v/>
      </c>
      <c r="K53" s="357">
        <f>ROUND(H53-J53,2)</f>
        <v/>
      </c>
      <c r="L53" s="57">
        <f>IF(H53=0,0,K53/H53)</f>
        <v/>
      </c>
      <c r="M53" s="58" t="inlineStr">
        <is>
          <t>700W*1200D*2200H</t>
        </is>
      </c>
      <c r="N53" s="59" t="inlineStr">
        <is>
          <t>低压固定柜</t>
        </is>
      </c>
      <c r="O53" s="60" t="n"/>
      <c r="P53" s="61" t="n"/>
      <c r="Q53" s="63" t="inlineStr"/>
    </row>
    <row r="54" customFormat="1" s="1">
      <c r="A54" s="26">
        <f>ROW()-ROW(A$6)</f>
        <v/>
      </c>
      <c r="B54" s="34" t="inlineStr">
        <is>
          <t>AAN13-05、BAN14-05</t>
        </is>
      </c>
      <c r="C54" s="34" t="inlineStr">
        <is>
          <t>馈线柜</t>
        </is>
      </c>
      <c r="D54" s="22" t="inlineStr">
        <is>
          <t>BlokSeT</t>
        </is>
      </c>
      <c r="E54" s="35" t="inlineStr">
        <is>
          <t>台</t>
        </is>
      </c>
      <c r="F54" s="35" t="n">
        <v>2</v>
      </c>
      <c r="G54" s="354">
        <f>ROUND(H1603,2)</f>
        <v/>
      </c>
      <c r="H54" s="355">
        <f>ROUND(F54*G54,2)</f>
        <v/>
      </c>
      <c r="I54" s="54" t="inlineStr"/>
      <c r="J54" s="356">
        <f>ROUND(K1604,2)</f>
        <v/>
      </c>
      <c r="K54" s="357">
        <f>ROUND(H54-J54,2)</f>
        <v/>
      </c>
      <c r="L54" s="57">
        <f>IF(H54=0,0,K54/H54)</f>
        <v/>
      </c>
      <c r="M54" s="58" t="inlineStr">
        <is>
          <t>400W*1200D*2200H</t>
        </is>
      </c>
      <c r="N54" s="59" t="inlineStr">
        <is>
          <t>低压固定柜</t>
        </is>
      </c>
      <c r="O54" s="60" t="n"/>
      <c r="P54" s="61" t="n"/>
      <c r="Q54" s="63" t="inlineStr"/>
    </row>
    <row r="55" customFormat="1" s="1">
      <c r="A55" s="26">
        <f>ROW()-ROW(A$6)</f>
        <v/>
      </c>
      <c r="B55" s="34" t="inlineStr">
        <is>
          <t>AAN13-06</t>
        </is>
      </c>
      <c r="C55" s="34" t="inlineStr">
        <is>
          <t>馈线柜</t>
        </is>
      </c>
      <c r="D55" s="22" t="inlineStr">
        <is>
          <t>BlokSeT</t>
        </is>
      </c>
      <c r="E55" s="35" t="inlineStr">
        <is>
          <t>台</t>
        </is>
      </c>
      <c r="F55" s="35" t="n">
        <v>1</v>
      </c>
      <c r="G55" s="354">
        <f>ROUND(H1637,2)</f>
        <v/>
      </c>
      <c r="H55" s="355">
        <f>ROUND(F55*G55,2)</f>
        <v/>
      </c>
      <c r="I55" s="54" t="inlineStr"/>
      <c r="J55" s="356">
        <f>ROUND(K1638,2)</f>
        <v/>
      </c>
      <c r="K55" s="357">
        <f>ROUND(H55-J55,2)</f>
        <v/>
      </c>
      <c r="L55" s="57">
        <f>IF(H55=0,0,K55/H55)</f>
        <v/>
      </c>
      <c r="M55" s="58" t="inlineStr">
        <is>
          <t>600W*1200D*2200H</t>
        </is>
      </c>
      <c r="N55" s="59" t="inlineStr">
        <is>
          <t>低压固定柜</t>
        </is>
      </c>
      <c r="O55" s="60" t="n"/>
      <c r="P55" s="61" t="n"/>
      <c r="Q55" s="63" t="inlineStr"/>
    </row>
    <row r="56" customFormat="1" s="1">
      <c r="A56" s="26">
        <f>ROW()-ROW(A$6)</f>
        <v/>
      </c>
      <c r="B56" s="34" t="inlineStr">
        <is>
          <t>BAN14-06</t>
        </is>
      </c>
      <c r="C56" s="34" t="inlineStr">
        <is>
          <t>馈线柜</t>
        </is>
      </c>
      <c r="D56" s="22" t="inlineStr">
        <is>
          <t>BlokSeT</t>
        </is>
      </c>
      <c r="E56" s="35" t="inlineStr">
        <is>
          <t>台</t>
        </is>
      </c>
      <c r="F56" s="35" t="n">
        <v>1</v>
      </c>
      <c r="G56" s="354">
        <f>ROUND(H1671,2)</f>
        <v/>
      </c>
      <c r="H56" s="355">
        <f>ROUND(F56*G56,2)</f>
        <v/>
      </c>
      <c r="I56" s="54" t="inlineStr"/>
      <c r="J56" s="356">
        <f>ROUND(K1672,2)</f>
        <v/>
      </c>
      <c r="K56" s="357">
        <f>ROUND(H56-J56,2)</f>
        <v/>
      </c>
      <c r="L56" s="57">
        <f>IF(H56=0,0,K56/H56)</f>
        <v/>
      </c>
      <c r="M56" s="58" t="inlineStr">
        <is>
          <t>600W*1200D*2200H</t>
        </is>
      </c>
      <c r="N56" s="59" t="inlineStr">
        <is>
          <t>低压固定柜</t>
        </is>
      </c>
      <c r="O56" s="60" t="n"/>
      <c r="P56" s="61" t="n"/>
      <c r="Q56" s="63" t="inlineStr"/>
    </row>
    <row r="57" customFormat="1" s="1">
      <c r="A57" s="26">
        <f>ROW()-ROW(A$6)</f>
        <v/>
      </c>
      <c r="B57" s="34" t="inlineStr">
        <is>
          <t>T3-AU11、T4-BU11</t>
        </is>
      </c>
      <c r="C57" s="34" t="inlineStr">
        <is>
          <t>进线柜</t>
        </is>
      </c>
      <c r="D57" s="22" t="inlineStr">
        <is>
          <t>BlokSeT</t>
        </is>
      </c>
      <c r="E57" s="35" t="inlineStr">
        <is>
          <t>台</t>
        </is>
      </c>
      <c r="F57" s="35" t="n">
        <v>2</v>
      </c>
      <c r="G57" s="354">
        <f>ROUND(H1702,2)</f>
        <v/>
      </c>
      <c r="H57" s="355">
        <f>ROUND(F57*G57,2)</f>
        <v/>
      </c>
      <c r="I57" s="54" t="inlineStr"/>
      <c r="J57" s="356">
        <f>ROUND(K1703,2)</f>
        <v/>
      </c>
      <c r="K57" s="357">
        <f>ROUND(H57-J57,2)</f>
        <v/>
      </c>
      <c r="L57" s="57">
        <f>IF(H57=0,0,K57/H57)</f>
        <v/>
      </c>
      <c r="M57" s="58" t="inlineStr">
        <is>
          <t>400W*1200D*2200H</t>
        </is>
      </c>
      <c r="N57" s="59" t="inlineStr">
        <is>
          <t>低压固定柜</t>
        </is>
      </c>
      <c r="O57" s="60" t="n"/>
      <c r="P57" s="61" t="n"/>
      <c r="Q57" s="63" t="inlineStr"/>
    </row>
    <row r="58" customFormat="1" s="1">
      <c r="A58" s="26">
        <f>ROW()-ROW(A$6)</f>
        <v/>
      </c>
      <c r="B58" s="34" t="inlineStr">
        <is>
          <t>T3-AU12、T4-BU12</t>
        </is>
      </c>
      <c r="C58" s="34" t="inlineStr">
        <is>
          <t>进线柜</t>
        </is>
      </c>
      <c r="D58" s="22" t="inlineStr">
        <is>
          <t>BlokSeT</t>
        </is>
      </c>
      <c r="E58" s="35" t="inlineStr">
        <is>
          <t>台</t>
        </is>
      </c>
      <c r="F58" s="35" t="n">
        <v>2</v>
      </c>
      <c r="G58" s="354">
        <f>ROUND(H1736,2)</f>
        <v/>
      </c>
      <c r="H58" s="355">
        <f>ROUND(F58*G58,2)</f>
        <v/>
      </c>
      <c r="I58" s="54" t="inlineStr"/>
      <c r="J58" s="356">
        <f>ROUND(K1737,2)</f>
        <v/>
      </c>
      <c r="K58" s="357">
        <f>ROUND(H58-J58,2)</f>
        <v/>
      </c>
      <c r="L58" s="57">
        <f>IF(H58=0,0,K58/H58)</f>
        <v/>
      </c>
      <c r="M58" s="58" t="inlineStr">
        <is>
          <t>400W*1200D*2200H</t>
        </is>
      </c>
      <c r="N58" s="59" t="inlineStr">
        <is>
          <t>低压固定柜</t>
        </is>
      </c>
      <c r="O58" s="60" t="n"/>
      <c r="P58" s="61" t="n"/>
      <c r="Q58" s="63" t="inlineStr"/>
    </row>
    <row r="59" customFormat="1" s="1">
      <c r="A59" s="26">
        <f>ROW()-ROW(A$6)</f>
        <v/>
      </c>
      <c r="B59" s="34" t="inlineStr">
        <is>
          <t>T3-AU13、T4-BU13</t>
        </is>
      </c>
      <c r="C59" s="34" t="inlineStr">
        <is>
          <t>馈线柜</t>
        </is>
      </c>
      <c r="D59" s="22" t="inlineStr">
        <is>
          <t>BlokSeT</t>
        </is>
      </c>
      <c r="E59" s="35" t="inlineStr">
        <is>
          <t>台</t>
        </is>
      </c>
      <c r="F59" s="35" t="n">
        <v>2</v>
      </c>
      <c r="G59" s="354">
        <f>ROUND(H1764,2)</f>
        <v/>
      </c>
      <c r="H59" s="355">
        <f>ROUND(F59*G59,2)</f>
        <v/>
      </c>
      <c r="I59" s="54" t="inlineStr"/>
      <c r="J59" s="356">
        <f>ROUND(K1765,2)</f>
        <v/>
      </c>
      <c r="K59" s="357">
        <f>ROUND(H59-J59,2)</f>
        <v/>
      </c>
      <c r="L59" s="57">
        <f>IF(H59=0,0,K59/H59)</f>
        <v/>
      </c>
      <c r="M59" s="58" t="inlineStr">
        <is>
          <t>600W*1200D*2200H</t>
        </is>
      </c>
      <c r="N59" s="59" t="inlineStr">
        <is>
          <t>低压固定柜</t>
        </is>
      </c>
      <c r="O59" s="60" t="n"/>
      <c r="P59" s="61" t="n"/>
      <c r="Q59" s="63" t="inlineStr"/>
    </row>
    <row r="60" customFormat="1" s="1">
      <c r="A60" s="26">
        <f>ROW()-ROW(A$6)</f>
        <v/>
      </c>
      <c r="B60" s="34" t="inlineStr">
        <is>
          <t>T3-AU14、T4-BU14</t>
        </is>
      </c>
      <c r="C60" s="34" t="inlineStr">
        <is>
          <t>馈线柜</t>
        </is>
      </c>
      <c r="D60" s="22" t="inlineStr">
        <is>
          <t>BlokSeT</t>
        </is>
      </c>
      <c r="E60" s="35" t="inlineStr">
        <is>
          <t>台</t>
        </is>
      </c>
      <c r="F60" s="35" t="n">
        <v>2</v>
      </c>
      <c r="G60" s="354">
        <f>ROUND(H1792,2)</f>
        <v/>
      </c>
      <c r="H60" s="355">
        <f>ROUND(F60*G60,2)</f>
        <v/>
      </c>
      <c r="I60" s="54" t="inlineStr"/>
      <c r="J60" s="356">
        <f>ROUND(K1793,2)</f>
        <v/>
      </c>
      <c r="K60" s="357">
        <f>ROUND(H60-J60,2)</f>
        <v/>
      </c>
      <c r="L60" s="57">
        <f>IF(H60=0,0,K60/H60)</f>
        <v/>
      </c>
      <c r="M60" s="58" t="inlineStr">
        <is>
          <t>600W*1200D*2200H</t>
        </is>
      </c>
      <c r="N60" s="59" t="inlineStr">
        <is>
          <t>低压固定柜</t>
        </is>
      </c>
      <c r="O60" s="60" t="n"/>
      <c r="P60" s="61" t="n"/>
      <c r="Q60" s="63" t="inlineStr"/>
    </row>
    <row r="61" customFormat="1" s="1">
      <c r="A61" s="26">
        <f>ROW()-ROW(A$6)</f>
        <v/>
      </c>
      <c r="B61" s="34" t="inlineStr">
        <is>
          <t>T5-AU11、T6-BU11</t>
        </is>
      </c>
      <c r="C61" s="34" t="inlineStr">
        <is>
          <t>进线柜</t>
        </is>
      </c>
      <c r="D61" s="22" t="inlineStr">
        <is>
          <t>BlokSeT</t>
        </is>
      </c>
      <c r="E61" s="35" t="inlineStr">
        <is>
          <t>台</t>
        </is>
      </c>
      <c r="F61" s="35" t="n">
        <v>2</v>
      </c>
      <c r="G61" s="354">
        <f>ROUND(H1823,2)</f>
        <v/>
      </c>
      <c r="H61" s="355">
        <f>ROUND(F61*G61,2)</f>
        <v/>
      </c>
      <c r="I61" s="54" t="inlineStr"/>
      <c r="J61" s="356">
        <f>ROUND(K1824,2)</f>
        <v/>
      </c>
      <c r="K61" s="357">
        <f>ROUND(H61-J61,2)</f>
        <v/>
      </c>
      <c r="L61" s="57">
        <f>IF(H61=0,0,K61/H61)</f>
        <v/>
      </c>
      <c r="M61" s="58" t="inlineStr">
        <is>
          <t>400W*1200D*2200H</t>
        </is>
      </c>
      <c r="N61" s="59" t="inlineStr">
        <is>
          <t>低压固定柜</t>
        </is>
      </c>
      <c r="O61" s="60" t="n"/>
      <c r="P61" s="61" t="n"/>
      <c r="Q61" s="63" t="inlineStr"/>
    </row>
    <row r="62" customFormat="1" s="1">
      <c r="A62" s="26">
        <f>ROW()-ROW(A$6)</f>
        <v/>
      </c>
      <c r="B62" s="34" t="inlineStr">
        <is>
          <t>T5-AU12、T6-BU12</t>
        </is>
      </c>
      <c r="C62" s="34" t="inlineStr">
        <is>
          <t>进线柜</t>
        </is>
      </c>
      <c r="D62" s="22" t="inlineStr">
        <is>
          <t>BlokSeT</t>
        </is>
      </c>
      <c r="E62" s="35" t="inlineStr">
        <is>
          <t>台</t>
        </is>
      </c>
      <c r="F62" s="35" t="n">
        <v>2</v>
      </c>
      <c r="G62" s="354">
        <f>ROUND(H1857,2)</f>
        <v/>
      </c>
      <c r="H62" s="355">
        <f>ROUND(F62*G62,2)</f>
        <v/>
      </c>
      <c r="I62" s="54" t="inlineStr"/>
      <c r="J62" s="356">
        <f>ROUND(K1858,2)</f>
        <v/>
      </c>
      <c r="K62" s="357">
        <f>ROUND(H62-J62,2)</f>
        <v/>
      </c>
      <c r="L62" s="57">
        <f>IF(H62=0,0,K62/H62)</f>
        <v/>
      </c>
      <c r="M62" s="58" t="inlineStr">
        <is>
          <t>400W*1200D*2200H</t>
        </is>
      </c>
      <c r="N62" s="59" t="inlineStr">
        <is>
          <t>低压固定柜</t>
        </is>
      </c>
      <c r="O62" s="60" t="n"/>
      <c r="P62" s="61" t="n"/>
      <c r="Q62" s="63" t="inlineStr"/>
    </row>
    <row r="63" customFormat="1" s="1">
      <c r="A63" s="26">
        <f>ROW()-ROW(A$6)</f>
        <v/>
      </c>
      <c r="B63" s="34" t="inlineStr">
        <is>
          <t>T5-AU13、T5-AU14、T6-BU13、T6-BU14</t>
        </is>
      </c>
      <c r="C63" s="34" t="inlineStr">
        <is>
          <t>馈线柜</t>
        </is>
      </c>
      <c r="D63" s="22" t="inlineStr">
        <is>
          <t>BlokSeT</t>
        </is>
      </c>
      <c r="E63" s="35" t="inlineStr">
        <is>
          <t>台</t>
        </is>
      </c>
      <c r="F63" s="35" t="n">
        <v>4</v>
      </c>
      <c r="G63" s="354">
        <f>ROUND(H1885,2)</f>
        <v/>
      </c>
      <c r="H63" s="355">
        <f>ROUND(F63*G63,2)</f>
        <v/>
      </c>
      <c r="I63" s="54" t="inlineStr"/>
      <c r="J63" s="356">
        <f>ROUND(K1886,2)</f>
        <v/>
      </c>
      <c r="K63" s="357">
        <f>ROUND(H63-J63,2)</f>
        <v/>
      </c>
      <c r="L63" s="57">
        <f>IF(H63=0,0,K63/H63)</f>
        <v/>
      </c>
      <c r="M63" s="58" t="inlineStr">
        <is>
          <t>600W*1200D*2200H</t>
        </is>
      </c>
      <c r="N63" s="59" t="inlineStr">
        <is>
          <t>低压固定柜</t>
        </is>
      </c>
      <c r="O63" s="60" t="n"/>
      <c r="P63" s="61" t="n"/>
      <c r="Q63" s="63" t="inlineStr"/>
    </row>
    <row r="64" customFormat="1" s="1">
      <c r="A64" s="26">
        <f>ROW()-ROW(A$6)</f>
        <v/>
      </c>
      <c r="B64" s="34" t="inlineStr">
        <is>
          <t>T5-AU21、T6-BU21</t>
        </is>
      </c>
      <c r="C64" s="34" t="inlineStr">
        <is>
          <t>进线柜</t>
        </is>
      </c>
      <c r="D64" s="22" t="inlineStr">
        <is>
          <t>BlokSeT</t>
        </is>
      </c>
      <c r="E64" s="35" t="inlineStr">
        <is>
          <t>台</t>
        </is>
      </c>
      <c r="F64" s="35" t="n">
        <v>2</v>
      </c>
      <c r="G64" s="354">
        <f>ROUND(H1919,2)</f>
        <v/>
      </c>
      <c r="H64" s="355">
        <f>ROUND(F64*G64,2)</f>
        <v/>
      </c>
      <c r="I64" s="54" t="inlineStr"/>
      <c r="J64" s="356">
        <f>ROUND(K1920,2)</f>
        <v/>
      </c>
      <c r="K64" s="357">
        <f>ROUND(H64-J64,2)</f>
        <v/>
      </c>
      <c r="L64" s="57">
        <f>IF(H64=0,0,K64/H64)</f>
        <v/>
      </c>
      <c r="M64" s="58" t="inlineStr">
        <is>
          <t>400W*1200D*2200H</t>
        </is>
      </c>
      <c r="N64" s="59" t="inlineStr">
        <is>
          <t>低压固定柜</t>
        </is>
      </c>
      <c r="O64" s="60" t="n"/>
      <c r="P64" s="61" t="n"/>
      <c r="Q64" s="63" t="inlineStr"/>
    </row>
    <row r="65" customFormat="1" s="1">
      <c r="A65" s="26">
        <f>ROW()-ROW(A$6)</f>
        <v/>
      </c>
      <c r="B65" s="34" t="inlineStr">
        <is>
          <t>T5-AU22、T6-BU22</t>
        </is>
      </c>
      <c r="C65" s="34" t="inlineStr">
        <is>
          <t>馈线柜</t>
        </is>
      </c>
      <c r="D65" s="22" t="inlineStr">
        <is>
          <t>BlokSeT</t>
        </is>
      </c>
      <c r="E65" s="35" t="inlineStr">
        <is>
          <t>台</t>
        </is>
      </c>
      <c r="F65" s="35" t="n">
        <v>2</v>
      </c>
      <c r="G65" s="354">
        <f>ROUND(H1947,2)</f>
        <v/>
      </c>
      <c r="H65" s="355">
        <f>ROUND(F65*G65,2)</f>
        <v/>
      </c>
      <c r="I65" s="54" t="inlineStr"/>
      <c r="J65" s="356">
        <f>ROUND(K1948,2)</f>
        <v/>
      </c>
      <c r="K65" s="357">
        <f>ROUND(H65-J65,2)</f>
        <v/>
      </c>
      <c r="L65" s="57">
        <f>IF(H65=0,0,K65/H65)</f>
        <v/>
      </c>
      <c r="M65" s="58" t="inlineStr">
        <is>
          <t>600W*1200D*2200H</t>
        </is>
      </c>
      <c r="N65" s="59" t="inlineStr">
        <is>
          <t>低压固定柜</t>
        </is>
      </c>
      <c r="O65" s="60" t="n"/>
      <c r="P65" s="61" t="n"/>
      <c r="Q65" s="63" t="inlineStr"/>
    </row>
    <row r="66" customFormat="1" s="1">
      <c r="A66" s="26">
        <f>ROW()-ROW(A$6)</f>
        <v/>
      </c>
      <c r="B66" s="34" t="inlineStr">
        <is>
          <t>T7-AU11、T8-BU11</t>
        </is>
      </c>
      <c r="C66" s="34" t="inlineStr">
        <is>
          <t>进线柜</t>
        </is>
      </c>
      <c r="D66" s="22" t="inlineStr">
        <is>
          <t>BlokSeT</t>
        </is>
      </c>
      <c r="E66" s="35" t="inlineStr">
        <is>
          <t>台</t>
        </is>
      </c>
      <c r="F66" s="35" t="n">
        <v>2</v>
      </c>
      <c r="G66" s="354">
        <f>ROUND(H1978,2)</f>
        <v/>
      </c>
      <c r="H66" s="355">
        <f>ROUND(F66*G66,2)</f>
        <v/>
      </c>
      <c r="I66" s="54" t="inlineStr"/>
      <c r="J66" s="356">
        <f>ROUND(K1979,2)</f>
        <v/>
      </c>
      <c r="K66" s="357">
        <f>ROUND(H66-J66,2)</f>
        <v/>
      </c>
      <c r="L66" s="57">
        <f>IF(H66=0,0,K66/H66)</f>
        <v/>
      </c>
      <c r="M66" s="58" t="inlineStr">
        <is>
          <t>400W*1200D*2200H</t>
        </is>
      </c>
      <c r="N66" s="59" t="inlineStr">
        <is>
          <t>低压固定柜</t>
        </is>
      </c>
      <c r="O66" s="60" t="n"/>
      <c r="P66" s="61" t="n"/>
      <c r="Q66" s="63" t="inlineStr"/>
    </row>
    <row r="67" customFormat="1" s="1">
      <c r="A67" s="26">
        <f>ROW()-ROW(A$6)</f>
        <v/>
      </c>
      <c r="B67" s="34" t="inlineStr">
        <is>
          <t>T7-AU12、T5-BU12</t>
        </is>
      </c>
      <c r="C67" s="34" t="inlineStr">
        <is>
          <t>进线柜</t>
        </is>
      </c>
      <c r="D67" s="22" t="inlineStr">
        <is>
          <t>BlokSeT</t>
        </is>
      </c>
      <c r="E67" s="35" t="inlineStr">
        <is>
          <t>台</t>
        </is>
      </c>
      <c r="F67" s="35" t="n">
        <v>2</v>
      </c>
      <c r="G67" s="354">
        <f>ROUND(H2012,2)</f>
        <v/>
      </c>
      <c r="H67" s="355">
        <f>ROUND(F67*G67,2)</f>
        <v/>
      </c>
      <c r="I67" s="54" t="inlineStr"/>
      <c r="J67" s="356">
        <f>ROUND(K2013,2)</f>
        <v/>
      </c>
      <c r="K67" s="357">
        <f>ROUND(H67-J67,2)</f>
        <v/>
      </c>
      <c r="L67" s="57">
        <f>IF(H67=0,0,K67/H67)</f>
        <v/>
      </c>
      <c r="M67" s="58" t="inlineStr">
        <is>
          <t>400W*1200D*2200H</t>
        </is>
      </c>
      <c r="N67" s="59" t="inlineStr">
        <is>
          <t>低压固定柜</t>
        </is>
      </c>
      <c r="O67" s="60" t="n"/>
      <c r="P67" s="61" t="n"/>
      <c r="Q67" s="63" t="inlineStr"/>
    </row>
    <row r="68" customFormat="1" s="1">
      <c r="A68" s="26">
        <f>ROW()-ROW(A$6)</f>
        <v/>
      </c>
      <c r="B68" s="34" t="inlineStr">
        <is>
          <t>T7-AU13、T7-AU14、T8-BU13、T8-BU14</t>
        </is>
      </c>
      <c r="C68" s="34" t="inlineStr">
        <is>
          <t>馈线柜</t>
        </is>
      </c>
      <c r="D68" s="22" t="inlineStr">
        <is>
          <t>BlokSeT</t>
        </is>
      </c>
      <c r="E68" s="35" t="inlineStr">
        <is>
          <t>台</t>
        </is>
      </c>
      <c r="F68" s="35" t="n">
        <v>4</v>
      </c>
      <c r="G68" s="354">
        <f>ROUND(H2040,2)</f>
        <v/>
      </c>
      <c r="H68" s="355">
        <f>ROUND(F68*G68,2)</f>
        <v/>
      </c>
      <c r="I68" s="54" t="inlineStr"/>
      <c r="J68" s="356">
        <f>ROUND(K2041,2)</f>
        <v/>
      </c>
      <c r="K68" s="357">
        <f>ROUND(H68-J68,2)</f>
        <v/>
      </c>
      <c r="L68" s="57">
        <f>IF(H68=0,0,K68/H68)</f>
        <v/>
      </c>
      <c r="M68" s="58" t="inlineStr">
        <is>
          <t>600W*1200D*2200H</t>
        </is>
      </c>
      <c r="N68" s="59" t="inlineStr">
        <is>
          <t>低压固定柜</t>
        </is>
      </c>
      <c r="O68" s="60" t="n"/>
      <c r="P68" s="61" t="n"/>
      <c r="Q68" s="63" t="inlineStr"/>
    </row>
    <row r="69" customFormat="1" s="1">
      <c r="A69" s="26">
        <f>ROW()-ROW(A$6)</f>
        <v/>
      </c>
      <c r="B69" s="34" t="inlineStr">
        <is>
          <t>T7-AU21、T8-BU21</t>
        </is>
      </c>
      <c r="C69" s="34" t="inlineStr">
        <is>
          <t>进线柜</t>
        </is>
      </c>
      <c r="D69" s="22" t="inlineStr">
        <is>
          <t>BlokSeT</t>
        </is>
      </c>
      <c r="E69" s="35" t="inlineStr">
        <is>
          <t>台</t>
        </is>
      </c>
      <c r="F69" s="35" t="n">
        <v>2</v>
      </c>
      <c r="G69" s="354">
        <f>ROUND(H2075,2)</f>
        <v/>
      </c>
      <c r="H69" s="355">
        <f>ROUND(F69*G69,2)</f>
        <v/>
      </c>
      <c r="I69" s="54" t="inlineStr"/>
      <c r="J69" s="356">
        <f>ROUND(K2076,2)</f>
        <v/>
      </c>
      <c r="K69" s="357">
        <f>ROUND(H69-J69,2)</f>
        <v/>
      </c>
      <c r="L69" s="57">
        <f>IF(H69=0,0,K69/H69)</f>
        <v/>
      </c>
      <c r="M69" s="58" t="inlineStr">
        <is>
          <t>400W*1200D*2200H</t>
        </is>
      </c>
      <c r="N69" s="59" t="inlineStr">
        <is>
          <t>低压固定柜</t>
        </is>
      </c>
      <c r="O69" s="60" t="n"/>
      <c r="P69" s="61" t="n"/>
      <c r="Q69" s="63" t="inlineStr"/>
    </row>
    <row r="70" customFormat="1" s="1">
      <c r="A70" s="26">
        <f>ROW()-ROW(A$6)</f>
        <v/>
      </c>
      <c r="B70" s="34" t="inlineStr">
        <is>
          <t>T7-AU22、T7-AU23、T8-BU22、T8-BU23</t>
        </is>
      </c>
      <c r="C70" s="34" t="inlineStr">
        <is>
          <t>馈线柜</t>
        </is>
      </c>
      <c r="D70" s="22" t="inlineStr">
        <is>
          <t>BlokSeT</t>
        </is>
      </c>
      <c r="E70" s="35" t="inlineStr">
        <is>
          <t>台</t>
        </is>
      </c>
      <c r="F70" s="35" t="n">
        <v>4</v>
      </c>
      <c r="G70" s="354">
        <f>ROUND(H2103,2)</f>
        <v/>
      </c>
      <c r="H70" s="355">
        <f>ROUND(F70*G70,2)</f>
        <v/>
      </c>
      <c r="I70" s="54" t="inlineStr"/>
      <c r="J70" s="356">
        <f>ROUND(K2104,2)</f>
        <v/>
      </c>
      <c r="K70" s="357">
        <f>ROUND(H70-J70,2)</f>
        <v/>
      </c>
      <c r="L70" s="57">
        <f>IF(H70=0,0,K70/H70)</f>
        <v/>
      </c>
      <c r="M70" s="58" t="inlineStr">
        <is>
          <t>600W*1200D*2200H</t>
        </is>
      </c>
      <c r="N70" s="59" t="inlineStr">
        <is>
          <t>低压固定柜</t>
        </is>
      </c>
      <c r="O70" s="60" t="n"/>
      <c r="P70" s="61" t="n"/>
      <c r="Q70" s="63" t="inlineStr"/>
    </row>
    <row r="71" customFormat="1" s="1">
      <c r="A71" s="26">
        <f>ROW()-ROW(A$6)</f>
        <v/>
      </c>
      <c r="B71" s="34" t="inlineStr">
        <is>
          <t>T9-AU11、T10-BU11</t>
        </is>
      </c>
      <c r="C71" s="34" t="inlineStr">
        <is>
          <t>进线柜</t>
        </is>
      </c>
      <c r="D71" s="22" t="inlineStr">
        <is>
          <t>BlokSeT</t>
        </is>
      </c>
      <c r="E71" s="35" t="inlineStr">
        <is>
          <t>台</t>
        </is>
      </c>
      <c r="F71" s="35" t="n">
        <v>2</v>
      </c>
      <c r="G71" s="354">
        <f>ROUND(H2134,2)</f>
        <v/>
      </c>
      <c r="H71" s="355">
        <f>ROUND(F71*G71,2)</f>
        <v/>
      </c>
      <c r="I71" s="54" t="inlineStr"/>
      <c r="J71" s="356">
        <f>ROUND(K2135,2)</f>
        <v/>
      </c>
      <c r="K71" s="357">
        <f>ROUND(H71-J71,2)</f>
        <v/>
      </c>
      <c r="L71" s="57">
        <f>IF(H71=0,0,K71/H71)</f>
        <v/>
      </c>
      <c r="M71" s="58" t="inlineStr">
        <is>
          <t>400W*1200D*2200H</t>
        </is>
      </c>
      <c r="N71" s="59" t="inlineStr">
        <is>
          <t>低压固定柜</t>
        </is>
      </c>
      <c r="O71" s="60" t="n"/>
      <c r="P71" s="61" t="n"/>
      <c r="Q71" s="63" t="inlineStr"/>
    </row>
    <row r="72" customFormat="1" s="1">
      <c r="A72" s="26">
        <f>ROW()-ROW(A$6)</f>
        <v/>
      </c>
      <c r="B72" s="34" t="inlineStr">
        <is>
          <t>T9-AU12、T10-BU12</t>
        </is>
      </c>
      <c r="C72" s="34" t="inlineStr">
        <is>
          <t>进线柜</t>
        </is>
      </c>
      <c r="D72" s="22" t="inlineStr">
        <is>
          <t>BlokSeT</t>
        </is>
      </c>
      <c r="E72" s="35" t="inlineStr">
        <is>
          <t>台</t>
        </is>
      </c>
      <c r="F72" s="35" t="n">
        <v>2</v>
      </c>
      <c r="G72" s="354">
        <f>ROUND(H2168,2)</f>
        <v/>
      </c>
      <c r="H72" s="355">
        <f>ROUND(F72*G72,2)</f>
        <v/>
      </c>
      <c r="I72" s="54" t="inlineStr"/>
      <c r="J72" s="356">
        <f>ROUND(K2169,2)</f>
        <v/>
      </c>
      <c r="K72" s="357">
        <f>ROUND(H72-J72,2)</f>
        <v/>
      </c>
      <c r="L72" s="57">
        <f>IF(H72=0,0,K72/H72)</f>
        <v/>
      </c>
      <c r="M72" s="58" t="inlineStr">
        <is>
          <t>400W*1200D*2200H</t>
        </is>
      </c>
      <c r="N72" s="59" t="inlineStr">
        <is>
          <t>低压固定柜</t>
        </is>
      </c>
      <c r="O72" s="60" t="n"/>
      <c r="P72" s="61" t="n"/>
      <c r="Q72" s="63" t="inlineStr"/>
    </row>
    <row r="73" customFormat="1" s="1">
      <c r="A73" s="26">
        <f>ROW()-ROW(A$6)</f>
        <v/>
      </c>
      <c r="B73" s="34" t="inlineStr">
        <is>
          <t>T9-AU13、T9-AU14、T10-BU13、T10-BU14</t>
        </is>
      </c>
      <c r="C73" s="34" t="inlineStr">
        <is>
          <t>馈线柜</t>
        </is>
      </c>
      <c r="D73" s="22" t="inlineStr">
        <is>
          <t>BlokSeT</t>
        </is>
      </c>
      <c r="E73" s="35" t="inlineStr">
        <is>
          <t>台</t>
        </is>
      </c>
      <c r="F73" s="35" t="n">
        <v>4</v>
      </c>
      <c r="G73" s="354">
        <f>ROUND(H2196,2)</f>
        <v/>
      </c>
      <c r="H73" s="355">
        <f>ROUND(F73*G73,2)</f>
        <v/>
      </c>
      <c r="I73" s="54" t="inlineStr"/>
      <c r="J73" s="356">
        <f>ROUND(K2197,2)</f>
        <v/>
      </c>
      <c r="K73" s="357">
        <f>ROUND(H73-J73,2)</f>
        <v/>
      </c>
      <c r="L73" s="57">
        <f>IF(H73=0,0,K73/H73)</f>
        <v/>
      </c>
      <c r="M73" s="58" t="inlineStr">
        <is>
          <t>600W*1200D*2200H</t>
        </is>
      </c>
      <c r="N73" s="59" t="inlineStr">
        <is>
          <t>低压固定柜</t>
        </is>
      </c>
      <c r="O73" s="60" t="n"/>
      <c r="P73" s="61" t="n"/>
      <c r="Q73" s="63" t="inlineStr"/>
    </row>
    <row r="74" customFormat="1" s="1">
      <c r="A74" s="26">
        <f>ROW()-ROW(A$6)</f>
        <v/>
      </c>
      <c r="B74" s="34" t="inlineStr">
        <is>
          <t>T9-AU21、T10-BU21</t>
        </is>
      </c>
      <c r="C74" s="34" t="inlineStr">
        <is>
          <t>进线柜</t>
        </is>
      </c>
      <c r="D74" s="22" t="inlineStr">
        <is>
          <t>BlokSeT</t>
        </is>
      </c>
      <c r="E74" s="35" t="inlineStr">
        <is>
          <t>台</t>
        </is>
      </c>
      <c r="F74" s="35" t="n">
        <v>2</v>
      </c>
      <c r="G74" s="354">
        <f>ROUND(H2231,2)</f>
        <v/>
      </c>
      <c r="H74" s="355">
        <f>ROUND(F74*G74,2)</f>
        <v/>
      </c>
      <c r="I74" s="54" t="inlineStr"/>
      <c r="J74" s="356">
        <f>ROUND(K2232,2)</f>
        <v/>
      </c>
      <c r="K74" s="357">
        <f>ROUND(H74-J74,2)</f>
        <v/>
      </c>
      <c r="L74" s="57">
        <f>IF(H74=0,0,K74/H74)</f>
        <v/>
      </c>
      <c r="M74" s="58" t="inlineStr">
        <is>
          <t>400W*1200D*2200H</t>
        </is>
      </c>
      <c r="N74" s="59" t="inlineStr">
        <is>
          <t>低压固定柜</t>
        </is>
      </c>
      <c r="O74" s="60" t="n"/>
      <c r="P74" s="61" t="n"/>
      <c r="Q74" s="63" t="inlineStr"/>
    </row>
    <row r="75" customFormat="1" s="1">
      <c r="A75" s="26">
        <f>ROW()-ROW(A$6)</f>
        <v/>
      </c>
      <c r="B75" s="34" t="inlineStr">
        <is>
          <t>T9-AU22、T10-BU22</t>
        </is>
      </c>
      <c r="C75" s="34" t="inlineStr">
        <is>
          <t>馈线柜</t>
        </is>
      </c>
      <c r="D75" s="22" t="inlineStr">
        <is>
          <t>BlokSeT</t>
        </is>
      </c>
      <c r="E75" s="35" t="inlineStr">
        <is>
          <t>台</t>
        </is>
      </c>
      <c r="F75" s="35" t="n">
        <v>2</v>
      </c>
      <c r="G75" s="354">
        <f>ROUND(H2259,2)</f>
        <v/>
      </c>
      <c r="H75" s="355">
        <f>ROUND(F75*G75,2)</f>
        <v/>
      </c>
      <c r="I75" s="54" t="inlineStr"/>
      <c r="J75" s="356">
        <f>ROUND(K2260,2)</f>
        <v/>
      </c>
      <c r="K75" s="357">
        <f>ROUND(H75-J75,2)</f>
        <v/>
      </c>
      <c r="L75" s="57">
        <f>IF(H75=0,0,K75/H75)</f>
        <v/>
      </c>
      <c r="M75" s="58" t="inlineStr">
        <is>
          <t>600W*1200D*2200H</t>
        </is>
      </c>
      <c r="N75" s="59" t="inlineStr">
        <is>
          <t>低压固定柜</t>
        </is>
      </c>
      <c r="O75" s="60" t="n"/>
      <c r="P75" s="61" t="n"/>
      <c r="Q75" s="63" t="inlineStr"/>
    </row>
    <row r="76" customFormat="1" s="1">
      <c r="A76" s="26">
        <f>ROW()-ROW(A$6)</f>
        <v/>
      </c>
      <c r="B76" s="34" t="inlineStr">
        <is>
          <t>T11-AU11、T12-BU11</t>
        </is>
      </c>
      <c r="C76" s="34" t="inlineStr">
        <is>
          <t>进线柜</t>
        </is>
      </c>
      <c r="D76" s="22" t="inlineStr">
        <is>
          <t>BlokSeT</t>
        </is>
      </c>
      <c r="E76" s="35" t="inlineStr">
        <is>
          <t>台</t>
        </is>
      </c>
      <c r="F76" s="35" t="n">
        <v>2</v>
      </c>
      <c r="G76" s="354">
        <f>ROUND(H2290,2)</f>
        <v/>
      </c>
      <c r="H76" s="355">
        <f>ROUND(F76*G76,2)</f>
        <v/>
      </c>
      <c r="I76" s="54" t="inlineStr"/>
      <c r="J76" s="356">
        <f>ROUND(K2291,2)</f>
        <v/>
      </c>
      <c r="K76" s="357">
        <f>ROUND(H76-J76,2)</f>
        <v/>
      </c>
      <c r="L76" s="57">
        <f>IF(H76=0,0,K76/H76)</f>
        <v/>
      </c>
      <c r="M76" s="58" t="inlineStr">
        <is>
          <t>400W*1200D*2200H</t>
        </is>
      </c>
      <c r="N76" s="59" t="inlineStr">
        <is>
          <t>低压固定柜</t>
        </is>
      </c>
      <c r="O76" s="60" t="n"/>
      <c r="P76" s="61" t="n"/>
      <c r="Q76" s="63" t="inlineStr"/>
    </row>
    <row r="77" customFormat="1" s="1">
      <c r="A77" s="26">
        <f>ROW()-ROW(A$6)</f>
        <v/>
      </c>
      <c r="B77" s="34" t="inlineStr">
        <is>
          <t>T11-AU12、T12-BU12</t>
        </is>
      </c>
      <c r="C77" s="34" t="inlineStr">
        <is>
          <t>进线柜</t>
        </is>
      </c>
      <c r="D77" s="22" t="inlineStr">
        <is>
          <t>BlokSeT</t>
        </is>
      </c>
      <c r="E77" s="35" t="inlineStr">
        <is>
          <t>台</t>
        </is>
      </c>
      <c r="F77" s="35" t="n">
        <v>2</v>
      </c>
      <c r="G77" s="354">
        <f>ROUND(H2324,2)</f>
        <v/>
      </c>
      <c r="H77" s="355">
        <f>ROUND(F77*G77,2)</f>
        <v/>
      </c>
      <c r="I77" s="54" t="inlineStr"/>
      <c r="J77" s="356">
        <f>ROUND(K2325,2)</f>
        <v/>
      </c>
      <c r="K77" s="357">
        <f>ROUND(H77-J77,2)</f>
        <v/>
      </c>
      <c r="L77" s="57">
        <f>IF(H77=0,0,K77/H77)</f>
        <v/>
      </c>
      <c r="M77" s="58" t="inlineStr">
        <is>
          <t>400W*1200D*2200H</t>
        </is>
      </c>
      <c r="N77" s="59" t="inlineStr">
        <is>
          <t>低压固定柜</t>
        </is>
      </c>
      <c r="O77" s="60" t="n"/>
      <c r="P77" s="61" t="n"/>
      <c r="Q77" s="63" t="inlineStr"/>
    </row>
    <row r="78" s="308">
      <c r="A78" s="26">
        <f>ROW()-ROW(A$6)</f>
        <v/>
      </c>
      <c r="B78" s="22" t="inlineStr">
        <is>
          <t>T11-AU13、T11-AU14、T12-BU13、T12-BU14</t>
        </is>
      </c>
      <c r="C78" s="22" t="inlineStr">
        <is>
          <t>馈线柜</t>
        </is>
      </c>
      <c r="D78" s="22" t="inlineStr">
        <is>
          <t>BlokSeT</t>
        </is>
      </c>
      <c r="E78" s="23" t="inlineStr">
        <is>
          <t>台</t>
        </is>
      </c>
      <c r="F78" s="23" t="n">
        <v>4</v>
      </c>
      <c r="G78" s="348">
        <f>ROUND(H2352,2)</f>
        <v/>
      </c>
      <c r="H78" s="349">
        <f>ROUND(F78*G78,2)</f>
        <v/>
      </c>
      <c r="I78" s="45" t="inlineStr"/>
      <c r="J78" s="350">
        <f>ROUND(K2353,2)</f>
        <v/>
      </c>
      <c r="K78" s="351">
        <f>ROUND(H78-J78,2)</f>
        <v/>
      </c>
      <c r="L78" s="48">
        <f>IF(H78=0,0,K78/H78)</f>
        <v/>
      </c>
      <c r="M78" s="49" t="inlineStr">
        <is>
          <t>600W*1200D*2200H</t>
        </is>
      </c>
      <c r="N78" s="50" t="inlineStr">
        <is>
          <t>低压固定柜</t>
        </is>
      </c>
      <c r="O78" s="51" t="n"/>
      <c r="P78" s="52" t="n"/>
      <c r="Q78" s="62" t="inlineStr"/>
    </row>
    <row r="79" s="308">
      <c r="A79" s="26">
        <f>ROW()-ROW(A$6)</f>
        <v/>
      </c>
      <c r="B79" s="22" t="inlineStr">
        <is>
          <t>T11-AU21、T12-BU21</t>
        </is>
      </c>
      <c r="C79" s="22" t="inlineStr">
        <is>
          <t>进线柜</t>
        </is>
      </c>
      <c r="D79" s="22" t="inlineStr">
        <is>
          <t>BlokSeT</t>
        </is>
      </c>
      <c r="E79" s="23" t="inlineStr">
        <is>
          <t>台</t>
        </is>
      </c>
      <c r="F79" s="23" t="n">
        <v>2</v>
      </c>
      <c r="G79" s="348">
        <f>ROUND(H2387,2)</f>
        <v/>
      </c>
      <c r="H79" s="349">
        <f>ROUND(F79*G79,2)</f>
        <v/>
      </c>
      <c r="I79" s="45" t="inlineStr"/>
      <c r="J79" s="350">
        <f>ROUND(K2388,2)</f>
        <v/>
      </c>
      <c r="K79" s="351">
        <f>ROUND(H79-J79,2)</f>
        <v/>
      </c>
      <c r="L79" s="48">
        <f>IF(H79=0,0,K79/H79)</f>
        <v/>
      </c>
      <c r="M79" s="49" t="inlineStr">
        <is>
          <t>400W*1200D*2200H</t>
        </is>
      </c>
      <c r="N79" s="50" t="inlineStr">
        <is>
          <t>低压固定柜</t>
        </is>
      </c>
      <c r="O79" s="51" t="n"/>
      <c r="P79" s="52" t="n"/>
      <c r="Q79" s="62" t="inlineStr"/>
    </row>
    <row r="80" s="308">
      <c r="A80" s="26">
        <f>ROW()-ROW(A$6)</f>
        <v/>
      </c>
      <c r="B80" s="22" t="inlineStr">
        <is>
          <t>T11-AU22、T12-BU22</t>
        </is>
      </c>
      <c r="C80" s="22" t="inlineStr">
        <is>
          <t>馈线柜</t>
        </is>
      </c>
      <c r="D80" s="22" t="inlineStr">
        <is>
          <t>BlokSeT</t>
        </is>
      </c>
      <c r="E80" s="23" t="inlineStr">
        <is>
          <t>台</t>
        </is>
      </c>
      <c r="F80" s="23" t="n">
        <v>2</v>
      </c>
      <c r="G80" s="348">
        <f>ROUND(H2415,2)</f>
        <v/>
      </c>
      <c r="H80" s="349">
        <f>ROUND(F80*G80,2)</f>
        <v/>
      </c>
      <c r="I80" s="45" t="inlineStr"/>
      <c r="J80" s="350">
        <f>ROUND(K2416,2)</f>
        <v/>
      </c>
      <c r="K80" s="351">
        <f>ROUND(H80-J80,2)</f>
        <v/>
      </c>
      <c r="L80" s="48">
        <f>IF(H80=0,0,K80/H80)</f>
        <v/>
      </c>
      <c r="M80" s="49" t="inlineStr">
        <is>
          <t>600W*1200D*2200H</t>
        </is>
      </c>
      <c r="N80" s="50" t="inlineStr">
        <is>
          <t>低压固定柜</t>
        </is>
      </c>
      <c r="O80" s="51" t="n"/>
      <c r="P80" s="52" t="n"/>
      <c r="Q80" s="62" t="inlineStr"/>
    </row>
    <row r="81" s="308">
      <c r="A81" s="26">
        <f>ROW()-ROW(A$6)</f>
        <v/>
      </c>
      <c r="B81" s="22" t="inlineStr">
        <is>
          <t>T13-AU11、T14-BU11</t>
        </is>
      </c>
      <c r="C81" s="22" t="inlineStr">
        <is>
          <t>进线柜</t>
        </is>
      </c>
      <c r="D81" s="22" t="inlineStr">
        <is>
          <t>BlokSeT</t>
        </is>
      </c>
      <c r="E81" s="23" t="inlineStr">
        <is>
          <t>台</t>
        </is>
      </c>
      <c r="F81" s="23" t="n">
        <v>2</v>
      </c>
      <c r="G81" s="348">
        <f>ROUND(H2449,2)</f>
        <v/>
      </c>
      <c r="H81" s="349">
        <f>ROUND(F81*G81,2)</f>
        <v/>
      </c>
      <c r="I81" s="45" t="inlineStr"/>
      <c r="J81" s="350">
        <f>ROUND(K2450,2)</f>
        <v/>
      </c>
      <c r="K81" s="351">
        <f>ROUND(H81-J81,2)</f>
        <v/>
      </c>
      <c r="L81" s="48">
        <f>IF(H81=0,0,K81/H81)</f>
        <v/>
      </c>
      <c r="M81" s="49" t="inlineStr">
        <is>
          <t>400W*1200D*2200H</t>
        </is>
      </c>
      <c r="N81" s="50" t="inlineStr">
        <is>
          <t>低压固定柜</t>
        </is>
      </c>
      <c r="O81" s="51" t="n"/>
      <c r="P81" s="52" t="n"/>
      <c r="Q81" s="62" t="inlineStr"/>
    </row>
    <row r="82" s="308">
      <c r="A82" s="26">
        <f>ROW()-ROW(A$6)</f>
        <v/>
      </c>
      <c r="B82" s="22" t="inlineStr">
        <is>
          <t>T13-AU12、T14-BU12</t>
        </is>
      </c>
      <c r="C82" s="22" t="inlineStr">
        <is>
          <t>馈线柜</t>
        </is>
      </c>
      <c r="D82" s="22" t="inlineStr">
        <is>
          <t>BlokSeT</t>
        </is>
      </c>
      <c r="E82" s="23" t="inlineStr">
        <is>
          <t>台</t>
        </is>
      </c>
      <c r="F82" s="23" t="n">
        <v>2</v>
      </c>
      <c r="G82" s="348">
        <f>ROUND(H2479,2)</f>
        <v/>
      </c>
      <c r="H82" s="349">
        <f>ROUND(F82*G82,2)</f>
        <v/>
      </c>
      <c r="I82" s="45" t="inlineStr"/>
      <c r="J82" s="350">
        <f>ROUND(K2480,2)</f>
        <v/>
      </c>
      <c r="K82" s="351">
        <f>ROUND(H82-J82,2)</f>
        <v/>
      </c>
      <c r="L82" s="48">
        <f>IF(H82=0,0,K82/H82)</f>
        <v/>
      </c>
      <c r="M82" s="49" t="inlineStr">
        <is>
          <t>600W*1200D*2200H</t>
        </is>
      </c>
      <c r="N82" s="50" t="inlineStr">
        <is>
          <t>低压固定柜</t>
        </is>
      </c>
      <c r="O82" s="51" t="n"/>
      <c r="P82" s="52" t="n"/>
      <c r="Q82" s="62" t="inlineStr"/>
    </row>
    <row r="83" s="308">
      <c r="A83" s="26">
        <f>ROW()-ROW(A$6)</f>
        <v/>
      </c>
      <c r="B83" s="22" t="inlineStr">
        <is>
          <t>T13-AU13、T14-BU13</t>
        </is>
      </c>
      <c r="C83" s="22" t="inlineStr">
        <is>
          <t>馈线柜</t>
        </is>
      </c>
      <c r="D83" s="22" t="inlineStr">
        <is>
          <t>BlokSeT</t>
        </is>
      </c>
      <c r="E83" s="23" t="inlineStr">
        <is>
          <t>台</t>
        </is>
      </c>
      <c r="F83" s="23" t="n">
        <v>2</v>
      </c>
      <c r="G83" s="348">
        <f>ROUND(H2509,2)</f>
        <v/>
      </c>
      <c r="H83" s="349">
        <f>ROUND(F83*G83,2)</f>
        <v/>
      </c>
      <c r="I83" s="45" t="inlineStr"/>
      <c r="J83" s="350">
        <f>ROUND(K2510,2)</f>
        <v/>
      </c>
      <c r="K83" s="351">
        <f>ROUND(H83-J83,2)</f>
        <v/>
      </c>
      <c r="L83" s="48">
        <f>IF(H83=0,0,K83/H83)</f>
        <v/>
      </c>
      <c r="M83" s="49" t="inlineStr">
        <is>
          <t>600W*1200D*2200H</t>
        </is>
      </c>
      <c r="N83" s="50" t="inlineStr">
        <is>
          <t>低压固定柜</t>
        </is>
      </c>
      <c r="O83" s="51" t="n"/>
      <c r="P83" s="52" t="n"/>
      <c r="Q83" s="62" t="inlineStr"/>
    </row>
    <row r="84" customFormat="1" s="1">
      <c r="A84" s="26">
        <f>ROW()-ROW(A$6)</f>
        <v/>
      </c>
      <c r="B84" s="34" t="inlineStr">
        <is>
          <t>T1-AU11</t>
        </is>
      </c>
      <c r="C84" s="34" t="inlineStr">
        <is>
          <t>进线柜</t>
        </is>
      </c>
      <c r="D84" s="22" t="inlineStr">
        <is>
          <t>BlokSeT</t>
        </is>
      </c>
      <c r="E84" s="35" t="inlineStr">
        <is>
          <t>台</t>
        </is>
      </c>
      <c r="F84" s="35" t="n">
        <v>1</v>
      </c>
      <c r="G84" s="354">
        <f>ROUND(H2545,2)</f>
        <v/>
      </c>
      <c r="H84" s="355">
        <f>ROUND(F84*G84,2)</f>
        <v/>
      </c>
      <c r="I84" s="54" t="inlineStr"/>
      <c r="J84" s="356">
        <f>ROUND(K2546,2)</f>
        <v/>
      </c>
      <c r="K84" s="357">
        <f>ROUND(H84-J84,2)</f>
        <v/>
      </c>
      <c r="L84" s="57">
        <f>IF(H84=0,0,K84/H84)</f>
        <v/>
      </c>
      <c r="M84" s="58" t="inlineStr">
        <is>
          <t>600W*1200D*2200H</t>
        </is>
      </c>
      <c r="N84" s="59" t="inlineStr">
        <is>
          <t>低压固定柜</t>
        </is>
      </c>
      <c r="O84" s="60" t="n"/>
      <c r="P84" s="61" t="n"/>
      <c r="Q84" s="63" t="inlineStr"/>
    </row>
    <row r="85" customFormat="1" s="1">
      <c r="A85" s="26">
        <f>ROW()-ROW(A$6)</f>
        <v/>
      </c>
      <c r="B85" s="34" t="inlineStr">
        <is>
          <t>T1-AU12</t>
        </is>
      </c>
      <c r="C85" s="34" t="inlineStr">
        <is>
          <t>馈线柜</t>
        </is>
      </c>
      <c r="D85" s="22" t="inlineStr">
        <is>
          <t>BlokSeT</t>
        </is>
      </c>
      <c r="E85" s="35" t="inlineStr">
        <is>
          <t>台</t>
        </is>
      </c>
      <c r="F85" s="35" t="n">
        <v>1</v>
      </c>
      <c r="G85" s="354">
        <f>ROUND(H2579,2)</f>
        <v/>
      </c>
      <c r="H85" s="355">
        <f>ROUND(F85*G85,2)</f>
        <v/>
      </c>
      <c r="I85" s="54" t="inlineStr"/>
      <c r="J85" s="356">
        <f>ROUND(K2580,2)</f>
        <v/>
      </c>
      <c r="K85" s="357">
        <f>ROUND(H85-J85,2)</f>
        <v/>
      </c>
      <c r="L85" s="57">
        <f>IF(H85=0,0,K85/H85)</f>
        <v/>
      </c>
      <c r="M85" s="58" t="inlineStr">
        <is>
          <t>600W*1200D*2200H</t>
        </is>
      </c>
      <c r="N85" s="59" t="inlineStr">
        <is>
          <t>低压固定柜</t>
        </is>
      </c>
      <c r="O85" s="60" t="n"/>
      <c r="P85" s="61" t="n"/>
      <c r="Q85" s="63" t="inlineStr"/>
    </row>
    <row r="86" customFormat="1" s="1">
      <c r="A86" s="26">
        <f>ROW()-ROW(A$6)</f>
        <v/>
      </c>
      <c r="B86" s="34" t="inlineStr">
        <is>
          <t>T2-BU11</t>
        </is>
      </c>
      <c r="C86" s="34" t="inlineStr">
        <is>
          <t>进线柜</t>
        </is>
      </c>
      <c r="D86" s="22" t="inlineStr">
        <is>
          <t>BlokSeT</t>
        </is>
      </c>
      <c r="E86" s="35" t="inlineStr">
        <is>
          <t>台</t>
        </is>
      </c>
      <c r="F86" s="35" t="n">
        <v>1</v>
      </c>
      <c r="G86" s="354">
        <f>ROUND(H2613,2)</f>
        <v/>
      </c>
      <c r="H86" s="355">
        <f>ROUND(F86*G86,2)</f>
        <v/>
      </c>
      <c r="I86" s="54" t="inlineStr"/>
      <c r="J86" s="356">
        <f>ROUND(K2614,2)</f>
        <v/>
      </c>
      <c r="K86" s="357">
        <f>ROUND(H86-J86,2)</f>
        <v/>
      </c>
      <c r="L86" s="57">
        <f>IF(H86=0,0,K86/H86)</f>
        <v/>
      </c>
      <c r="M86" s="58" t="inlineStr">
        <is>
          <t>400W*1200D*2200H</t>
        </is>
      </c>
      <c r="N86" s="59" t="inlineStr">
        <is>
          <t>低压固定柜</t>
        </is>
      </c>
      <c r="O86" s="60" t="n"/>
      <c r="P86" s="61" t="n"/>
      <c r="Q86" s="63" t="inlineStr"/>
    </row>
    <row r="87" customFormat="1" s="1">
      <c r="A87" s="26">
        <f>ROW()-ROW(A$6)</f>
        <v/>
      </c>
      <c r="B87" s="34" t="inlineStr">
        <is>
          <t>T2-BU12</t>
        </is>
      </c>
      <c r="C87" s="34" t="inlineStr">
        <is>
          <t>馈线柜</t>
        </is>
      </c>
      <c r="D87" s="22" t="inlineStr">
        <is>
          <t>BlokSeT</t>
        </is>
      </c>
      <c r="E87" s="35" t="inlineStr">
        <is>
          <t>台</t>
        </is>
      </c>
      <c r="F87" s="35" t="n">
        <v>1</v>
      </c>
      <c r="G87" s="354">
        <f>ROUND(H2644,2)</f>
        <v/>
      </c>
      <c r="H87" s="355">
        <f>ROUND(F87*G87,2)</f>
        <v/>
      </c>
      <c r="I87" s="54" t="inlineStr"/>
      <c r="J87" s="356">
        <f>ROUND(K2645,2)</f>
        <v/>
      </c>
      <c r="K87" s="357">
        <f>ROUND(H87-J87,2)</f>
        <v/>
      </c>
      <c r="L87" s="57">
        <f>IF(H87=0,0,K87/H87)</f>
        <v/>
      </c>
      <c r="M87" s="58" t="inlineStr">
        <is>
          <t>600W*1200D*2200H</t>
        </is>
      </c>
      <c r="N87" s="59" t="inlineStr">
        <is>
          <t>低压固定柜</t>
        </is>
      </c>
      <c r="O87" s="60" t="n"/>
      <c r="P87" s="61" t="n"/>
      <c r="Q87" s="63" t="inlineStr"/>
    </row>
    <row r="88" customFormat="1" s="1">
      <c r="A88" s="26">
        <f>ROW()-ROW(A$6)</f>
        <v/>
      </c>
      <c r="B88" s="34" t="inlineStr">
        <is>
          <t>T3-AU21</t>
        </is>
      </c>
      <c r="C88" s="34" t="inlineStr">
        <is>
          <t>进线柜</t>
        </is>
      </c>
      <c r="D88" s="22" t="inlineStr">
        <is>
          <t>BlokSeT</t>
        </is>
      </c>
      <c r="E88" s="35" t="inlineStr">
        <is>
          <t>台</t>
        </is>
      </c>
      <c r="F88" s="35" t="n">
        <v>1</v>
      </c>
      <c r="G88" s="354">
        <f>ROUND(H2679,2)</f>
        <v/>
      </c>
      <c r="H88" s="355">
        <f>ROUND(F88*G88,2)</f>
        <v/>
      </c>
      <c r="I88" s="54" t="inlineStr"/>
      <c r="J88" s="356">
        <f>ROUND(K2680,2)</f>
        <v/>
      </c>
      <c r="K88" s="357">
        <f>ROUND(H88-J88,2)</f>
        <v/>
      </c>
      <c r="L88" s="57">
        <f>IF(H88=0,0,K88/H88)</f>
        <v/>
      </c>
      <c r="M88" s="58" t="inlineStr">
        <is>
          <t>400W*1200D*2200H</t>
        </is>
      </c>
      <c r="N88" s="59" t="inlineStr">
        <is>
          <t>低压固定柜</t>
        </is>
      </c>
      <c r="O88" s="60" t="n"/>
      <c r="P88" s="61" t="n"/>
      <c r="Q88" s="63" t="inlineStr"/>
    </row>
    <row r="89" customFormat="1" s="1">
      <c r="A89" s="26">
        <f>ROW()-ROW(A$6)</f>
        <v/>
      </c>
      <c r="B89" s="34" t="inlineStr">
        <is>
          <t>T3-AU22</t>
        </is>
      </c>
      <c r="C89" s="34" t="inlineStr">
        <is>
          <t>馈线柜</t>
        </is>
      </c>
      <c r="D89" s="22" t="inlineStr">
        <is>
          <t>BlokSeT</t>
        </is>
      </c>
      <c r="E89" s="35" t="inlineStr">
        <is>
          <t>台</t>
        </is>
      </c>
      <c r="F89" s="35" t="n">
        <v>1</v>
      </c>
      <c r="G89" s="354">
        <f>ROUND(H2713,2)</f>
        <v/>
      </c>
      <c r="H89" s="355">
        <f>ROUND(F89*G89,2)</f>
        <v/>
      </c>
      <c r="I89" s="54" t="inlineStr"/>
      <c r="J89" s="356">
        <f>ROUND(K2714,2)</f>
        <v/>
      </c>
      <c r="K89" s="357">
        <f>ROUND(H89-J89,2)</f>
        <v/>
      </c>
      <c r="L89" s="57">
        <f>IF(H89=0,0,K89/H89)</f>
        <v/>
      </c>
      <c r="M89" s="58" t="inlineStr">
        <is>
          <t>600W*1200D*2200H</t>
        </is>
      </c>
      <c r="N89" s="59" t="inlineStr">
        <is>
          <t>低压固定柜</t>
        </is>
      </c>
      <c r="O89" s="60" t="n"/>
      <c r="P89" s="61" t="n"/>
      <c r="Q89" s="63" t="inlineStr"/>
    </row>
    <row r="90" customFormat="1" s="1">
      <c r="A90" s="26">
        <f>ROW()-ROW(A$6)</f>
        <v/>
      </c>
      <c r="B90" s="34" t="inlineStr">
        <is>
          <t>T6-BU31</t>
        </is>
      </c>
      <c r="C90" s="34" t="inlineStr">
        <is>
          <t>进线柜</t>
        </is>
      </c>
      <c r="D90" s="22" t="inlineStr">
        <is>
          <t>BlokSeT</t>
        </is>
      </c>
      <c r="E90" s="35" t="inlineStr">
        <is>
          <t>台</t>
        </is>
      </c>
      <c r="F90" s="35" t="n">
        <v>1</v>
      </c>
      <c r="G90" s="354">
        <f>ROUND(H2747,2)</f>
        <v/>
      </c>
      <c r="H90" s="355">
        <f>ROUND(F90*G90,2)</f>
        <v/>
      </c>
      <c r="I90" s="54" t="inlineStr"/>
      <c r="J90" s="356">
        <f>ROUND(K2748,2)</f>
        <v/>
      </c>
      <c r="K90" s="357">
        <f>ROUND(H90-J90,2)</f>
        <v/>
      </c>
      <c r="L90" s="57">
        <f>IF(H90=0,0,K90/H90)</f>
        <v/>
      </c>
      <c r="M90" s="58" t="inlineStr">
        <is>
          <t>400W*1200D*2200H</t>
        </is>
      </c>
      <c r="N90" s="59" t="inlineStr">
        <is>
          <t>低压固定柜</t>
        </is>
      </c>
      <c r="O90" s="60" t="n"/>
      <c r="P90" s="61" t="n"/>
      <c r="Q90" s="63" t="inlineStr"/>
    </row>
    <row r="91" customFormat="1" s="1">
      <c r="A91" s="26">
        <f>ROW()-ROW(A$6)</f>
        <v/>
      </c>
      <c r="B91" s="34" t="inlineStr">
        <is>
          <t>T6-BU32</t>
        </is>
      </c>
      <c r="C91" s="34" t="inlineStr">
        <is>
          <t>馈线柜</t>
        </is>
      </c>
      <c r="D91" s="22" t="inlineStr">
        <is>
          <t>BlokSeT</t>
        </is>
      </c>
      <c r="E91" s="35" t="inlineStr">
        <is>
          <t>台</t>
        </is>
      </c>
      <c r="F91" s="35" t="n">
        <v>1</v>
      </c>
      <c r="G91" s="354">
        <f>ROUND(H2779,2)</f>
        <v/>
      </c>
      <c r="H91" s="355">
        <f>ROUND(F91*G91,2)</f>
        <v/>
      </c>
      <c r="I91" s="54" t="inlineStr"/>
      <c r="J91" s="356">
        <f>ROUND(K2780,2)</f>
        <v/>
      </c>
      <c r="K91" s="357">
        <f>ROUND(H91-J91,2)</f>
        <v/>
      </c>
      <c r="L91" s="57">
        <f>IF(H91=0,0,K91/H91)</f>
        <v/>
      </c>
      <c r="M91" s="58" t="inlineStr">
        <is>
          <t>600W*1200D*2200H</t>
        </is>
      </c>
      <c r="N91" s="59" t="inlineStr">
        <is>
          <t>低压固定柜</t>
        </is>
      </c>
      <c r="O91" s="60" t="n"/>
      <c r="P91" s="61" t="n"/>
      <c r="Q91" s="63" t="inlineStr"/>
    </row>
    <row r="92" customFormat="1" s="1">
      <c r="A92" s="26">
        <f>ROW()-ROW(A$6)</f>
        <v/>
      </c>
      <c r="B92" s="34" t="inlineStr">
        <is>
          <t>T10-BU31</t>
        </is>
      </c>
      <c r="C92" s="34" t="inlineStr">
        <is>
          <t>进线柜</t>
        </is>
      </c>
      <c r="D92" s="22" t="inlineStr">
        <is>
          <t>BlokSeT</t>
        </is>
      </c>
      <c r="E92" s="35" t="inlineStr">
        <is>
          <t>台</t>
        </is>
      </c>
      <c r="F92" s="35" t="n">
        <v>1</v>
      </c>
      <c r="G92" s="354">
        <f>ROUND(H2813,2)</f>
        <v/>
      </c>
      <c r="H92" s="355">
        <f>ROUND(F92*G92,2)</f>
        <v/>
      </c>
      <c r="I92" s="54" t="inlineStr"/>
      <c r="J92" s="356">
        <f>ROUND(K2814,2)</f>
        <v/>
      </c>
      <c r="K92" s="357">
        <f>ROUND(H92-J92,2)</f>
        <v/>
      </c>
      <c r="L92" s="57">
        <f>IF(H92=0,0,K92/H92)</f>
        <v/>
      </c>
      <c r="M92" s="58" t="inlineStr">
        <is>
          <t>400W*1200D*2200H</t>
        </is>
      </c>
      <c r="N92" s="59" t="inlineStr">
        <is>
          <t>低压固定柜</t>
        </is>
      </c>
      <c r="O92" s="60" t="n"/>
      <c r="P92" s="61" t="n"/>
      <c r="Q92" s="63" t="inlineStr"/>
    </row>
    <row r="93" customFormat="1" s="1">
      <c r="A93" s="26">
        <f>ROW()-ROW(A$6)</f>
        <v/>
      </c>
      <c r="B93" s="34" t="inlineStr">
        <is>
          <t>T10-BU32</t>
        </is>
      </c>
      <c r="C93" s="34" t="inlineStr">
        <is>
          <t>馈线柜</t>
        </is>
      </c>
      <c r="D93" s="22" t="inlineStr">
        <is>
          <t>BlokSeT</t>
        </is>
      </c>
      <c r="E93" s="35" t="inlineStr">
        <is>
          <t>台</t>
        </is>
      </c>
      <c r="F93" s="35" t="n">
        <v>1</v>
      </c>
      <c r="G93" s="354">
        <f>ROUND(H2847,2)</f>
        <v/>
      </c>
      <c r="H93" s="355">
        <f>ROUND(F93*G93,2)</f>
        <v/>
      </c>
      <c r="I93" s="54" t="inlineStr"/>
      <c r="J93" s="356">
        <f>ROUND(K2848,2)</f>
        <v/>
      </c>
      <c r="K93" s="357">
        <f>ROUND(H93-J93,2)</f>
        <v/>
      </c>
      <c r="L93" s="57">
        <f>IF(H93=0,0,K93/H93)</f>
        <v/>
      </c>
      <c r="M93" s="58" t="inlineStr">
        <is>
          <t>600W*1200D*2200H</t>
        </is>
      </c>
      <c r="N93" s="59" t="inlineStr">
        <is>
          <t>低压固定柜</t>
        </is>
      </c>
      <c r="O93" s="60" t="n"/>
      <c r="P93" s="61" t="n"/>
      <c r="Q93" s="63" t="inlineStr"/>
    </row>
    <row r="94" customFormat="1" s="1">
      <c r="A94" s="26">
        <f>ROW()-ROW(A$6)</f>
        <v/>
      </c>
      <c r="B94" s="34" t="inlineStr">
        <is>
          <t>T11-AU31</t>
        </is>
      </c>
      <c r="C94" s="34" t="inlineStr">
        <is>
          <t>进线柜</t>
        </is>
      </c>
      <c r="D94" s="22" t="inlineStr">
        <is>
          <t>BlokSeT</t>
        </is>
      </c>
      <c r="E94" s="35" t="inlineStr">
        <is>
          <t>台</t>
        </is>
      </c>
      <c r="F94" s="35" t="n">
        <v>1</v>
      </c>
      <c r="G94" s="354">
        <f>ROUND(H2878,2)</f>
        <v/>
      </c>
      <c r="H94" s="355">
        <f>ROUND(F94*G94,2)</f>
        <v/>
      </c>
      <c r="I94" s="54" t="inlineStr"/>
      <c r="J94" s="356">
        <f>ROUND(K2879,2)</f>
        <v/>
      </c>
      <c r="K94" s="357">
        <f>ROUND(H94-J94,2)</f>
        <v/>
      </c>
      <c r="L94" s="57">
        <f>IF(H94=0,0,K94/H94)</f>
        <v/>
      </c>
      <c r="M94" s="58" t="inlineStr">
        <is>
          <t>600W*1200D*2200H</t>
        </is>
      </c>
      <c r="N94" s="59" t="inlineStr">
        <is>
          <t>低压固定柜</t>
        </is>
      </c>
      <c r="O94" s="60" t="n"/>
      <c r="P94" s="61" t="n"/>
      <c r="Q94" s="63" t="inlineStr"/>
    </row>
    <row r="95" customFormat="1" s="1">
      <c r="A95" s="26">
        <f>ROW()-ROW(A$6)</f>
        <v/>
      </c>
      <c r="B95" s="34" t="inlineStr">
        <is>
          <t>T11-AU32</t>
        </is>
      </c>
      <c r="C95" s="34" t="inlineStr">
        <is>
          <t>馈线柜</t>
        </is>
      </c>
      <c r="D95" s="22" t="inlineStr">
        <is>
          <t>BlokSeT</t>
        </is>
      </c>
      <c r="E95" s="35" t="inlineStr">
        <is>
          <t>台</t>
        </is>
      </c>
      <c r="F95" s="35" t="n">
        <v>1</v>
      </c>
      <c r="G95" s="354">
        <f>ROUND(H2910,2)</f>
        <v/>
      </c>
      <c r="H95" s="355">
        <f>ROUND(F95*G95,2)</f>
        <v/>
      </c>
      <c r="I95" s="54" t="inlineStr"/>
      <c r="J95" s="356">
        <f>ROUND(K2911,2)</f>
        <v/>
      </c>
      <c r="K95" s="357">
        <f>ROUND(H95-J95,2)</f>
        <v/>
      </c>
      <c r="L95" s="57">
        <f>IF(H95=0,0,K95/H95)</f>
        <v/>
      </c>
      <c r="M95" s="58" t="inlineStr">
        <is>
          <t>600W*1200D*2200H</t>
        </is>
      </c>
      <c r="N95" s="59" t="inlineStr">
        <is>
          <t>低压固定柜</t>
        </is>
      </c>
      <c r="O95" s="60" t="n"/>
      <c r="P95" s="61" t="n"/>
      <c r="Q95" s="63" t="inlineStr"/>
    </row>
    <row r="96" customFormat="1" s="1">
      <c r="A96" s="26">
        <f>ROW()-ROW(A$6)</f>
        <v/>
      </c>
      <c r="B96" s="34" t="inlineStr">
        <is>
          <t>T13-AU21</t>
        </is>
      </c>
      <c r="C96" s="34" t="inlineStr">
        <is>
          <t>进线柜</t>
        </is>
      </c>
      <c r="D96" s="22" t="inlineStr">
        <is>
          <t>BlokSeT</t>
        </is>
      </c>
      <c r="E96" s="35" t="inlineStr">
        <is>
          <t>台</t>
        </is>
      </c>
      <c r="F96" s="35" t="n">
        <v>1</v>
      </c>
      <c r="G96" s="354">
        <f>ROUND(H2950,2)</f>
        <v/>
      </c>
      <c r="H96" s="355">
        <f>ROUND(F96*G96,2)</f>
        <v/>
      </c>
      <c r="I96" s="54" t="inlineStr"/>
      <c r="J96" s="356">
        <f>ROUND(K2951,2)</f>
        <v/>
      </c>
      <c r="K96" s="357">
        <f>ROUND(H96-J96,2)</f>
        <v/>
      </c>
      <c r="L96" s="57">
        <f>IF(H96=0,0,K96/H96)</f>
        <v/>
      </c>
      <c r="M96" s="58" t="inlineStr">
        <is>
          <t>600W*1200D*2200H</t>
        </is>
      </c>
      <c r="N96" s="59" t="inlineStr">
        <is>
          <t>低压固定柜</t>
        </is>
      </c>
      <c r="O96" s="60" t="n"/>
      <c r="P96" s="61" t="n"/>
      <c r="Q96" s="63" t="inlineStr"/>
    </row>
    <row r="97" customFormat="1" s="1">
      <c r="A97" s="26">
        <f>ROW()-ROW(A$6)</f>
        <v/>
      </c>
      <c r="B97" s="34" t="inlineStr">
        <is>
          <t>T13-AU22</t>
        </is>
      </c>
      <c r="C97" s="34" t="inlineStr">
        <is>
          <t>进线柜</t>
        </is>
      </c>
      <c r="D97" s="22" t="inlineStr">
        <is>
          <t>BlokSeT</t>
        </is>
      </c>
      <c r="E97" s="35" t="inlineStr">
        <is>
          <t>台</t>
        </is>
      </c>
      <c r="F97" s="35" t="n">
        <v>1</v>
      </c>
      <c r="G97" s="354">
        <f>ROUND(H2988,2)</f>
        <v/>
      </c>
      <c r="H97" s="355">
        <f>ROUND(F97*G97,2)</f>
        <v/>
      </c>
      <c r="I97" s="54" t="inlineStr"/>
      <c r="J97" s="356">
        <f>ROUND(K2989,2)</f>
        <v/>
      </c>
      <c r="K97" s="357">
        <f>ROUND(H97-J97,2)</f>
        <v/>
      </c>
      <c r="L97" s="57">
        <f>IF(H97=0,0,K97/H97)</f>
        <v/>
      </c>
      <c r="M97" s="58" t="inlineStr">
        <is>
          <t>600W*1200D*2200H</t>
        </is>
      </c>
      <c r="N97" s="59" t="inlineStr">
        <is>
          <t>低压固定柜</t>
        </is>
      </c>
      <c r="O97" s="60" t="n"/>
      <c r="P97" s="61" t="n"/>
      <c r="Q97" s="63" t="inlineStr"/>
    </row>
    <row r="98" customFormat="1" s="1">
      <c r="A98" s="26">
        <f>ROW()-ROW(A$6)</f>
        <v/>
      </c>
      <c r="B98" s="34" t="inlineStr">
        <is>
          <t>A/B-CHB-01/02</t>
        </is>
      </c>
      <c r="C98" s="34" t="inlineStr">
        <is>
          <t>双电源切换柜</t>
        </is>
      </c>
      <c r="D98" s="22" t="inlineStr">
        <is>
          <t>BlokSeT</t>
        </is>
      </c>
      <c r="E98" s="35" t="inlineStr">
        <is>
          <t>台</t>
        </is>
      </c>
      <c r="F98" s="35" t="n">
        <v>4</v>
      </c>
      <c r="G98" s="354">
        <f>ROUND(H3019,2)</f>
        <v/>
      </c>
      <c r="H98" s="355">
        <f>ROUND(F98*G98,2)</f>
        <v/>
      </c>
      <c r="I98" s="54" t="inlineStr"/>
      <c r="J98" s="356">
        <f>ROUND(K3020,2)</f>
        <v/>
      </c>
      <c r="K98" s="357">
        <f>ROUND(H98-J98,2)</f>
        <v/>
      </c>
      <c r="L98" s="57">
        <f>IF(H98=0,0,K98/H98)</f>
        <v/>
      </c>
      <c r="M98" s="58" t="inlineStr">
        <is>
          <t>900W*1000D*2200H</t>
        </is>
      </c>
      <c r="N98" s="59" t="inlineStr">
        <is>
          <t>低压固定柜</t>
        </is>
      </c>
      <c r="O98" s="60" t="n"/>
      <c r="P98" s="61" t="n"/>
      <c r="Q98" s="63" t="inlineStr"/>
    </row>
    <row r="99" s="308">
      <c r="A99" s="26">
        <f>ROW()-ROW(A$6)</f>
        <v/>
      </c>
      <c r="B99" s="22" t="inlineStr">
        <is>
          <t>A/B-CHWPB-01/02</t>
        </is>
      </c>
      <c r="C99" s="22" t="inlineStr">
        <is>
          <t>变频软启柜</t>
        </is>
      </c>
      <c r="D99" s="22" t="inlineStr">
        <is>
          <t>BlokSeT</t>
        </is>
      </c>
      <c r="E99" s="23" t="inlineStr">
        <is>
          <t>台</t>
        </is>
      </c>
      <c r="F99" s="23" t="n">
        <v>4</v>
      </c>
      <c r="G99" s="348">
        <f>ROUND(H3056,2)</f>
        <v/>
      </c>
      <c r="H99" s="349">
        <f>ROUND(F99*G99,2)</f>
        <v/>
      </c>
      <c r="I99" s="45" t="inlineStr"/>
      <c r="J99" s="350">
        <f>ROUND(K3057,2)</f>
        <v/>
      </c>
      <c r="K99" s="351">
        <f>ROUND(H99-J99,2)</f>
        <v/>
      </c>
      <c r="L99" s="48">
        <f>IF(H99=0,0,K99/H99)</f>
        <v/>
      </c>
      <c r="M99" s="49" t="inlineStr">
        <is>
          <t>1200W*1000D*2200H</t>
        </is>
      </c>
      <c r="N99" s="50" t="inlineStr">
        <is>
          <t>低压固定柜</t>
        </is>
      </c>
      <c r="O99" s="51" t="n"/>
      <c r="P99" s="52" t="n"/>
      <c r="Q99" s="62" t="inlineStr"/>
    </row>
    <row r="100" s="308">
      <c r="A100" s="26">
        <f>ROW()-ROW(A$6)</f>
        <v/>
      </c>
      <c r="B100" s="22" t="inlineStr">
        <is>
          <t>A/B-CWPB-01/02</t>
        </is>
      </c>
      <c r="C100" s="22" t="inlineStr">
        <is>
          <t>变频软启柜</t>
        </is>
      </c>
      <c r="D100" s="22" t="inlineStr">
        <is>
          <t>BlokSeT</t>
        </is>
      </c>
      <c r="E100" s="23" t="inlineStr">
        <is>
          <t>台</t>
        </is>
      </c>
      <c r="F100" s="23" t="n">
        <v>4</v>
      </c>
      <c r="G100" s="348">
        <f>ROUND(H3093,2)</f>
        <v/>
      </c>
      <c r="H100" s="349">
        <f>ROUND(F100*G100,2)</f>
        <v/>
      </c>
      <c r="I100" s="45" t="inlineStr"/>
      <c r="J100" s="350">
        <f>ROUND(K3094,2)</f>
        <v/>
      </c>
      <c r="K100" s="351">
        <f>ROUND(H100-J100,2)</f>
        <v/>
      </c>
      <c r="L100" s="48">
        <f>IF(H100=0,0,K100/H100)</f>
        <v/>
      </c>
      <c r="M100" s="49" t="inlineStr">
        <is>
          <t>1200W*1000D*2200H</t>
        </is>
      </c>
      <c r="N100" s="50" t="inlineStr">
        <is>
          <t>低压固定柜</t>
        </is>
      </c>
      <c r="O100" s="51" t="n"/>
      <c r="P100" s="52" t="n"/>
      <c r="Q100" s="62" t="inlineStr"/>
    </row>
    <row r="101" s="308">
      <c r="A101" s="26">
        <f>ROW()-ROW(A$6)</f>
        <v/>
      </c>
      <c r="B101" s="22" t="inlineStr">
        <is>
          <t>A/B-CTB-01/02</t>
        </is>
      </c>
      <c r="C101" s="22" t="inlineStr">
        <is>
          <t>变频软启柜</t>
        </is>
      </c>
      <c r="D101" s="22" t="inlineStr">
        <is>
          <t>BlokSeT</t>
        </is>
      </c>
      <c r="E101" s="23" t="inlineStr">
        <is>
          <t>台</t>
        </is>
      </c>
      <c r="F101" s="23" t="n">
        <v>4</v>
      </c>
      <c r="G101" s="348">
        <f>ROUND(H3129,2)</f>
        <v/>
      </c>
      <c r="H101" s="349">
        <f>ROUND(F101*G101,2)</f>
        <v/>
      </c>
      <c r="I101" s="45" t="inlineStr"/>
      <c r="J101" s="350">
        <f>ROUND(K3130,2)</f>
        <v/>
      </c>
      <c r="K101" s="351">
        <f>ROUND(H101-J101,2)</f>
        <v/>
      </c>
      <c r="L101" s="48">
        <f>IF(H101=0,0,K101/H101)</f>
        <v/>
      </c>
      <c r="M101" s="49" t="inlineStr">
        <is>
          <t>800W*1000D*2200H</t>
        </is>
      </c>
      <c r="N101" s="50" t="inlineStr">
        <is>
          <t>低压固定柜</t>
        </is>
      </c>
      <c r="O101" s="51" t="n"/>
      <c r="P101" s="52" t="n"/>
      <c r="Q101" s="62" t="inlineStr"/>
    </row>
    <row r="102" s="308">
      <c r="A102" s="64">
        <f>ROW()-ROW(A$6)</f>
        <v/>
      </c>
      <c r="B102" s="22" t="inlineStr"/>
      <c r="C102" s="22" t="inlineStr"/>
      <c r="D102" s="22" t="inlineStr"/>
      <c r="E102" s="23" t="n"/>
      <c r="F102" s="23" t="n"/>
      <c r="G102" s="348" t="n"/>
      <c r="H102" s="349" t="n"/>
      <c r="I102" s="45" t="inlineStr"/>
      <c r="J102" s="350" t="n"/>
      <c r="K102" s="351" t="n"/>
      <c r="L102" s="48" t="n"/>
      <c r="M102" s="49" t="inlineStr"/>
      <c r="N102" s="50" t="inlineStr"/>
      <c r="O102" s="51" t="n"/>
      <c r="P102" s="52" t="n"/>
      <c r="Q102" s="62" t="inlineStr"/>
    </row>
    <row r="103" s="308">
      <c r="A103" s="64">
        <f>ROW()-ROW(A$6)</f>
        <v/>
      </c>
      <c r="B103" s="65" t="inlineStr">
        <is>
          <t>小计</t>
        </is>
      </c>
      <c r="C103" s="65" t="inlineStr"/>
      <c r="D103" s="66" t="inlineStr"/>
      <c r="E103" s="67" t="inlineStr">
        <is>
          <t>台</t>
        </is>
      </c>
      <c r="F103" s="67">
        <f>SUM(F6:INDEX(F:F,ROW()-1))</f>
        <v/>
      </c>
      <c r="G103" s="358" t="n"/>
      <c r="H103" s="359">
        <f>ROUND(SUM(H6:INDEX(H:H,ROW()-1)),2)</f>
        <v/>
      </c>
      <c r="I103" s="115" t="inlineStr"/>
      <c r="J103" s="350">
        <f>ROUND(SUM(J6:INDEX(J:J,ROW()-1)),2)</f>
        <v/>
      </c>
      <c r="K103" s="351">
        <f>ROUND(SUM(K6:INDEX(K:K,ROW()-1)),2)</f>
        <v/>
      </c>
      <c r="L103" s="48" t="n"/>
      <c r="M103" s="49" t="inlineStr"/>
      <c r="N103" s="50" t="inlineStr"/>
      <c r="O103" s="51" t="n"/>
      <c r="P103" s="52" t="n"/>
      <c r="Q103" s="62" t="inlineStr"/>
    </row>
    <row r="104" s="308">
      <c r="A104" s="64">
        <f>ROW()-ROW(A$6)</f>
        <v/>
      </c>
      <c r="B104" s="70" t="inlineStr">
        <is>
          <t>包装费</t>
        </is>
      </c>
      <c r="C104" s="70" t="n"/>
      <c r="D104" s="71" t="n"/>
      <c r="E104" s="67" t="inlineStr">
        <is>
          <t>台</t>
        </is>
      </c>
      <c r="F104" s="67">
        <f>F103</f>
        <v/>
      </c>
      <c r="G104" s="360" t="n">
        <v>800</v>
      </c>
      <c r="H104" s="359">
        <f>ROUND(F104*G104,2)</f>
        <v/>
      </c>
      <c r="I104" s="116" t="n"/>
      <c r="J104" s="350">
        <f>ROUND(H104,2)</f>
        <v/>
      </c>
      <c r="K104" s="351" t="n"/>
      <c r="L104" s="48" t="n"/>
      <c r="M104" s="361" t="n"/>
      <c r="N104" s="362" t="n"/>
      <c r="O104" s="51" t="n"/>
      <c r="P104" s="52" t="n"/>
      <c r="Q104" s="363" t="n"/>
    </row>
    <row r="105" s="308">
      <c r="A105" s="64">
        <f>ROW()-ROW(A$6)</f>
        <v/>
      </c>
      <c r="B105" s="70" t="inlineStr">
        <is>
          <t>运输费</t>
        </is>
      </c>
      <c r="C105" s="70" t="inlineStr">
        <is>
          <t>泰州-项目C</t>
        </is>
      </c>
      <c r="D105" s="71" t="n"/>
      <c r="E105" s="67" t="inlineStr">
        <is>
          <t>趟</t>
        </is>
      </c>
      <c r="F105" s="67" t="n">
        <v>1</v>
      </c>
      <c r="G105" s="360" t="n">
        <v>52000</v>
      </c>
      <c r="H105" s="359">
        <f>ROUND(F105*G105,2)</f>
        <v/>
      </c>
      <c r="I105" s="116" t="n"/>
      <c r="J105" s="350">
        <f>ROUND(H105,2)</f>
        <v/>
      </c>
      <c r="K105" s="351" t="n"/>
      <c r="L105" s="48" t="n"/>
      <c r="M105" s="361" t="n"/>
      <c r="N105" s="362" t="n"/>
      <c r="O105" s="51" t="n"/>
      <c r="P105" s="52" t="n"/>
      <c r="Q105" s="363" t="n"/>
    </row>
    <row r="106" s="308">
      <c r="A106" s="64">
        <f>ROW()-ROW(A$6)</f>
        <v/>
      </c>
      <c r="B106" s="70" t="inlineStr">
        <is>
          <t>运载工具车</t>
        </is>
      </c>
      <c r="C106" s="70" t="n"/>
      <c r="D106" s="71" t="n"/>
      <c r="E106" s="67" t="inlineStr">
        <is>
          <t>台</t>
        </is>
      </c>
      <c r="F106" s="67" t="n">
        <v>1</v>
      </c>
      <c r="G106" s="360" t="n">
        <v>0</v>
      </c>
      <c r="H106" s="359">
        <f>ROUND(F106*G106,2)</f>
        <v/>
      </c>
      <c r="I106" s="364" t="n"/>
      <c r="J106" s="350">
        <f>ROUND(H106,2)</f>
        <v/>
      </c>
      <c r="K106" s="351" t="n"/>
      <c r="L106" s="48" t="n"/>
      <c r="M106" s="361" t="n"/>
      <c r="N106" s="362" t="n"/>
      <c r="O106" s="51" t="n"/>
      <c r="P106" s="52" t="n"/>
      <c r="Q106" s="363" t="n"/>
    </row>
    <row r="107" s="308">
      <c r="A107" s="64">
        <f>ROW()-ROW(A$6)</f>
        <v/>
      </c>
      <c r="B107" s="73" t="inlineStr">
        <is>
          <t>合计(人民币大写)</t>
        </is>
      </c>
      <c r="C107" s="365">
        <f>TEXT(SUBSTITUTE(IF(H107="","",IF(MOD(H107,1)=0,TEXT(INT(H107),"[DBNum2][$-804]G/通用格式元整"),(TEXT(INT(H107),"[DBNum2][$-804]G/通用格式元")&amp;TEXT((INT(H107*10)-INT(H107)*10),"[DBNum2][$-804]G/通用格式角")&amp;TEXT((INT(H107*100)-INT(H107*10)*10),"[DBNum2][$-804]G/通用格式分")))),"零角","零"),)</f>
        <v/>
      </c>
      <c r="D107" s="366" t="n"/>
      <c r="E107" s="76" t="n"/>
      <c r="F107" s="77">
        <f>IF(项目信息!H29="箱变",1,"")</f>
        <v/>
      </c>
      <c r="G107" s="367">
        <f>ROUND(SUM(H103:H106),2)</f>
        <v/>
      </c>
      <c r="H107" s="368">
        <f>ROUND(IF(F107="",1,F107)*G107,2)</f>
        <v/>
      </c>
      <c r="I107" s="369" t="n"/>
      <c r="J107" s="370">
        <f>ROUND(IF(F107="",1,F107)*SUM(J103:J106),2)</f>
        <v/>
      </c>
      <c r="K107" s="371">
        <f>ROUND(IF(F107="",1,F107)*SUM(K103:K106),2)</f>
        <v/>
      </c>
      <c r="L107" s="123">
        <f>IF(H107=0,0,K107/H107)</f>
        <v/>
      </c>
      <c r="M107" s="372" t="n"/>
      <c r="N107" s="373" t="n"/>
      <c r="O107" s="126" t="n"/>
      <c r="P107" s="127" t="n"/>
      <c r="Q107" s="374" t="n"/>
    </row>
    <row r="108" s="308">
      <c r="A108" s="80" t="inlineStr">
        <is>
          <t>说明</t>
        </is>
      </c>
      <c r="B108" s="81" t="n"/>
      <c r="C108" s="339" t="n"/>
      <c r="D108" s="339" t="n"/>
      <c r="E108" s="339" t="n"/>
      <c r="F108" s="339" t="n"/>
      <c r="G108" s="339" t="n"/>
      <c r="H108" s="339" t="n"/>
      <c r="I108" s="340" t="n"/>
      <c r="J108" s="375" t="n"/>
      <c r="K108" s="375" t="n"/>
      <c r="L108" s="3" t="n"/>
      <c r="M108" s="3" t="n"/>
      <c r="N108" s="3" t="n"/>
      <c r="O108" s="3" t="n"/>
      <c r="P108" s="3" t="n"/>
      <c r="Q108" s="3" t="n"/>
    </row>
    <row r="109" s="308">
      <c r="A109" s="376" t="n"/>
      <c r="B109" s="342" t="n"/>
      <c r="C109" s="343" t="n"/>
      <c r="D109" s="343" t="n"/>
      <c r="E109" s="343" t="n"/>
      <c r="F109" s="343" t="n"/>
      <c r="G109" s="343" t="n"/>
      <c r="H109" s="343" t="n"/>
      <c r="I109" s="344" t="n"/>
      <c r="J109" s="375" t="n"/>
      <c r="K109" s="375" t="n"/>
      <c r="L109" s="3" t="n"/>
      <c r="M109" s="3" t="n"/>
      <c r="N109" s="3" t="n"/>
      <c r="O109" s="3" t="n"/>
      <c r="P109" s="3" t="n"/>
      <c r="Q109" s="3" t="n"/>
    </row>
    <row r="110" s="308">
      <c r="A110" s="89" t="n"/>
      <c r="B110" s="3" t="n"/>
      <c r="C110" s="3" t="n"/>
      <c r="D110" s="3" t="n"/>
      <c r="E110" s="3" t="n"/>
      <c r="F110" s="3" t="n"/>
      <c r="G110" s="377" t="n"/>
      <c r="H110" s="375" t="n"/>
      <c r="I110" s="95" t="n"/>
      <c r="J110" s="375" t="n"/>
      <c r="K110" s="375" t="n"/>
      <c r="L110" s="3" t="n"/>
      <c r="M110" s="3" t="n"/>
      <c r="N110" s="3" t="n"/>
      <c r="O110" s="3" t="n"/>
      <c r="P110" s="3" t="n"/>
      <c r="Q110" s="3" t="n"/>
    </row>
    <row r="111" s="308">
      <c r="A111" s="89" t="n"/>
      <c r="B111" s="3" t="n"/>
      <c r="C111" s="3" t="n"/>
      <c r="D111" s="3" t="n"/>
      <c r="E111" s="3" t="n"/>
      <c r="F111" s="3" t="n"/>
      <c r="G111" s="377" t="n"/>
      <c r="H111" s="375" t="n"/>
      <c r="I111" s="3" t="n"/>
      <c r="J111" s="375" t="n"/>
      <c r="K111" s="375" t="n"/>
      <c r="L111" s="3" t="n"/>
      <c r="M111" s="3" t="n"/>
      <c r="N111" s="3" t="n"/>
      <c r="O111" s="3" t="n"/>
      <c r="P111" s="3" t="n"/>
      <c r="Q111" s="3" t="n"/>
    </row>
    <row r="112" s="308">
      <c r="A112" s="92">
        <f>CONCATENATE("报价人：",项目信息!B8)</f>
        <v/>
      </c>
      <c r="B112" s="93" t="n"/>
      <c r="C112" s="93" t="n"/>
      <c r="D112" s="94" t="n"/>
      <c r="E112" s="94" t="n"/>
      <c r="F112" s="94" t="n"/>
      <c r="G112" s="95" t="n"/>
      <c r="H112" s="96">
        <f>项目信息!B9</f>
        <v/>
      </c>
      <c r="I112" s="3" t="n"/>
      <c r="J112" s="3" t="n"/>
      <c r="K112" s="3" t="n"/>
      <c r="L112" s="3" t="n"/>
      <c r="M112" s="3" t="n"/>
      <c r="N112" s="3" t="n"/>
      <c r="O112" s="3" t="n"/>
      <c r="P112" s="3" t="n"/>
      <c r="Q112" s="3" t="n"/>
    </row>
    <row r="113" s="308">
      <c r="A113" s="8">
        <f>T(项目信息!$B$22)</f>
        <v/>
      </c>
      <c r="Q113" s="159" t="n"/>
      <c r="R113" s="159" t="n"/>
      <c r="S113" s="159" t="n"/>
      <c r="T113" s="159" t="n"/>
      <c r="U113" s="159" t="n"/>
    </row>
    <row r="114" s="308">
      <c r="A114" s="9">
        <f>T(项目信息!$B$23)</f>
        <v/>
      </c>
      <c r="Q114" s="159" t="n"/>
      <c r="R114" s="159" t="n"/>
      <c r="S114" s="159" t="n"/>
      <c r="T114" s="159" t="n"/>
      <c r="U114" s="159" t="n"/>
    </row>
    <row r="115" s="308">
      <c r="A115" s="97" t="inlineStr">
        <is>
          <t>成套产品报价明细表</t>
        </is>
      </c>
      <c r="B115" s="378" t="n"/>
      <c r="C115" s="378" t="n"/>
      <c r="D115" s="378" t="n"/>
      <c r="E115" s="378" t="n"/>
      <c r="F115" s="378" t="n"/>
      <c r="G115" s="378" t="n"/>
      <c r="H115" s="378" t="n"/>
      <c r="I115" s="378" t="n"/>
      <c r="Q115" s="159" t="n"/>
      <c r="R115" s="159" t="n"/>
      <c r="S115" s="159" t="n"/>
      <c r="T115" s="159" t="n"/>
      <c r="U115" s="159" t="n"/>
    </row>
    <row r="116" customFormat="1" s="2">
      <c r="A116" s="98" t="inlineStr">
        <is>
          <t>柜号:</t>
        </is>
      </c>
      <c r="B116" s="99" t="inlineStr">
        <is>
          <t>AAN1-01、BAN2-01</t>
        </is>
      </c>
      <c r="C116" s="100" t="inlineStr">
        <is>
          <t>型号:</t>
        </is>
      </c>
      <c r="D116" s="99" t="inlineStr">
        <is>
          <t>BlokSeT</t>
        </is>
      </c>
      <c r="E116" s="379" t="n"/>
      <c r="F116" s="101" t="inlineStr">
        <is>
          <t>名称:</t>
        </is>
      </c>
      <c r="G116" s="99" t="inlineStr">
        <is>
          <t>进线柜</t>
        </is>
      </c>
      <c r="H116" s="379" t="n"/>
      <c r="I116" s="380" t="inlineStr"/>
      <c r="J116" s="131" t="inlineStr">
        <is>
          <t>箱柜尺寸:</t>
        </is>
      </c>
      <c r="K116" s="132" t="inlineStr">
        <is>
          <t>1200W*1200D*2200H</t>
        </is>
      </c>
      <c r="L116" s="131" t="inlineStr">
        <is>
          <t>类别:</t>
        </is>
      </c>
      <c r="M116" s="132" t="inlineStr">
        <is>
          <t>低压固定柜</t>
        </is>
      </c>
      <c r="N116" s="381" t="inlineStr"/>
      <c r="Q116" s="160" t="n"/>
      <c r="R116" s="160" t="n"/>
      <c r="S116" s="160" t="n"/>
      <c r="T116" s="160" t="n"/>
      <c r="U116" s="160" t="n"/>
    </row>
    <row r="117" ht="20.1" customFormat="1" customHeight="1" s="3">
      <c r="A117" s="102" t="inlineStr">
        <is>
          <t>序号</t>
        </is>
      </c>
      <c r="B117" s="103" t="inlineStr">
        <is>
          <t>元件名称</t>
        </is>
      </c>
      <c r="C117" s="103" t="inlineStr">
        <is>
          <t>型号规格</t>
        </is>
      </c>
      <c r="D117" s="104" t="inlineStr">
        <is>
          <t>生产厂家</t>
        </is>
      </c>
      <c r="E117" s="105" t="inlineStr">
        <is>
          <t>单位</t>
        </is>
      </c>
      <c r="F117" s="105" t="inlineStr">
        <is>
          <t>数量</t>
        </is>
      </c>
      <c r="G117" s="382" t="inlineStr">
        <is>
          <t>单   价</t>
        </is>
      </c>
      <c r="H117" s="383" t="inlineStr">
        <is>
          <t>总   价</t>
        </is>
      </c>
      <c r="I117" s="134" t="inlineStr">
        <is>
          <t>备注</t>
        </is>
      </c>
      <c r="J117" s="384" t="inlineStr">
        <is>
          <t>成本单价</t>
        </is>
      </c>
      <c r="K117" s="384" t="inlineStr">
        <is>
          <t>成本总价</t>
        </is>
      </c>
      <c r="L117" s="136" t="inlineStr">
        <is>
          <t>报出
系数</t>
        </is>
      </c>
      <c r="M117" s="384" t="inlineStr">
        <is>
          <t>表价</t>
        </is>
      </c>
      <c r="N117" s="136" t="inlineStr">
        <is>
          <t>折扣
系数</t>
        </is>
      </c>
      <c r="O117" s="137" t="inlineStr">
        <is>
          <t>取费
系数</t>
        </is>
      </c>
      <c r="P117" s="384" t="inlineStr">
        <is>
          <t>成套费</t>
        </is>
      </c>
      <c r="Q117" s="161" t="inlineStr">
        <is>
          <t>类别</t>
        </is>
      </c>
      <c r="R117" s="161" t="inlineStr">
        <is>
          <t>物料编码</t>
        </is>
      </c>
      <c r="S117" s="161" t="inlineStr">
        <is>
          <t>产地</t>
        </is>
      </c>
      <c r="T117" s="161" t="inlineStr">
        <is>
          <t>加工费</t>
        </is>
      </c>
      <c r="U117" s="161" t="inlineStr">
        <is>
          <t>订货号</t>
        </is>
      </c>
      <c r="V117" s="161" t="inlineStr">
        <is>
          <t>人工</t>
        </is>
      </c>
      <c r="W117" s="161" t="inlineStr">
        <is>
          <t>辅料</t>
        </is>
      </c>
      <c r="X117" s="162" t="inlineStr"/>
    </row>
    <row r="118" customFormat="1" s="3">
      <c r="A118" s="108">
        <f>ROW()-ROW(A$117)</f>
        <v/>
      </c>
      <c r="B118" s="109" t="inlineStr">
        <is>
          <t>双电源</t>
        </is>
      </c>
      <c r="C118" s="109" t="inlineStr">
        <is>
          <t>MT50 H1 3P MIC 6.0 D</t>
        </is>
      </c>
      <c r="D118" s="22" t="inlineStr">
        <is>
          <t>甲供/施耐德电气</t>
        </is>
      </c>
      <c r="E118" s="110" t="inlineStr">
        <is>
          <t>只</t>
        </is>
      </c>
      <c r="F118" s="110" t="n">
        <v>1</v>
      </c>
      <c r="G118" s="385">
        <f>IF(AND(B118="",C118=""),"",ROUND(M118*L118*N118,2))</f>
        <v/>
      </c>
      <c r="H118" s="385">
        <f>IF(AND(B118="",C118=""),"",ROUND(F118*G118,2))</f>
        <v/>
      </c>
      <c r="I118" s="138" t="inlineStr"/>
      <c r="J118" s="386">
        <f>IF(AND(B118="",C118=""),"",ROUND(M118*N118,2))</f>
        <v/>
      </c>
      <c r="K118" s="387">
        <f>IF(AND(B118="",C118=""),"",ROUND(J118*F118,2))</f>
        <v/>
      </c>
      <c r="L118" s="141" t="n">
        <v>1</v>
      </c>
      <c r="M118" s="388" t="n">
        <v>1e-07</v>
      </c>
      <c r="N118" s="143" t="n">
        <v>1</v>
      </c>
      <c r="O118" s="144">
        <f>IF(AND(B118="",C118=""),"",IF(G118&gt;=20000,0.05,IF(G118&gt;=10000,0.1,IF(G118&gt;=5000,0.2,IF(G118&gt;=1000,0.3,IF(G118&gt;=0,0.4,{0}))))))</f>
        <v/>
      </c>
      <c r="P118" s="389">
        <f>IF(AND(B118="",C118=""),"",ROUND(H118*O118,2))</f>
        <v/>
      </c>
      <c r="Q118" s="390" t="inlineStr">
        <is>
          <t>元件</t>
        </is>
      </c>
      <c r="R118" s="164" t="inlineStr"/>
      <c r="S118" s="164" t="inlineStr"/>
      <c r="T118" s="164" t="inlineStr">
        <is>
          <t>0</t>
        </is>
      </c>
      <c r="U118" s="164" t="inlineStr">
        <is>
          <t>48327+48500+33542+48527+48494+48484+48408+48603+48170+48175+48384</t>
        </is>
      </c>
      <c r="V118" s="391" t="n"/>
      <c r="W118" s="391" t="n"/>
      <c r="X118"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119" customFormat="1" s="3">
      <c r="A119" s="64">
        <f>ROW()-ROW(A$117)</f>
        <v/>
      </c>
      <c r="B119" s="27" t="inlineStr">
        <is>
          <t>多功能表</t>
        </is>
      </c>
      <c r="C119" s="22" t="inlineStr">
        <is>
          <t>PM5350P</t>
        </is>
      </c>
      <c r="D119" s="22" t="inlineStr">
        <is>
          <t>甲供/施耐德电气</t>
        </is>
      </c>
      <c r="E119" s="110" t="inlineStr">
        <is>
          <t>只</t>
        </is>
      </c>
      <c r="F119" s="23" t="n">
        <v>1</v>
      </c>
      <c r="G119" s="353">
        <f>IF(AND(B119="",C119=""),"",ROUND(M119*L119*N119,2))</f>
        <v/>
      </c>
      <c r="H119" s="349">
        <f>IF(AND(B119="",C119=""),"",ROUND(F119*G119,2))</f>
        <v/>
      </c>
      <c r="I119" s="45" t="inlineStr"/>
      <c r="J119" s="392">
        <f>IF(AND(B119="",C119=""),"",ROUND(M119*N119,2))</f>
        <v/>
      </c>
      <c r="K119" s="393">
        <f>IF(AND(B119="",C119=""),"",ROUND(J119*F119,2))</f>
        <v/>
      </c>
      <c r="L119" s="141" t="n">
        <v>1</v>
      </c>
      <c r="M119" s="394" t="n">
        <v>1e-07</v>
      </c>
      <c r="N119" s="143" t="n">
        <v>1</v>
      </c>
      <c r="O119" s="144">
        <f>IF(AND(B119="",C119=""),"",IF(G119&gt;=20000,0.05,IF(G119&gt;=10000,0.1,IF(G119&gt;=5000,0.2,IF(G119&gt;=1000,0.3,IF(G119&gt;=0,0.4,{0}))))))</f>
        <v/>
      </c>
      <c r="P119" s="395">
        <f>IF(AND(B119="",C119=""),"",ROUND(H119*O119,2))</f>
        <v/>
      </c>
      <c r="Q119" s="390" t="inlineStr">
        <is>
          <t>元件</t>
        </is>
      </c>
      <c r="R119" s="164" t="inlineStr"/>
      <c r="S119" s="164" t="inlineStr"/>
      <c r="T119" s="164" t="inlineStr">
        <is>
          <t>0</t>
        </is>
      </c>
      <c r="U119" s="164" t="inlineStr">
        <is>
          <t>True</t>
        </is>
      </c>
      <c r="V119" s="391" t="n"/>
      <c r="W119" s="391" t="n"/>
      <c r="X119" s="166" t="inlineStr">
        <is>
          <t>PM→PM4633→PM4201</t>
        </is>
      </c>
    </row>
    <row r="120" customFormat="1" s="3">
      <c r="A120" s="64">
        <f>ROW()-ROW(A$117)</f>
        <v/>
      </c>
      <c r="B120" s="27" t="inlineStr">
        <is>
          <t>电流互感器</t>
        </is>
      </c>
      <c r="C120" s="22" t="inlineStr">
        <is>
          <t>SD-0.66-160III-C 5000/5A</t>
        </is>
      </c>
      <c r="D120" s="27" t="inlineStr">
        <is>
          <t>桑迪</t>
        </is>
      </c>
      <c r="E120" s="110" t="inlineStr">
        <is>
          <t>只</t>
        </is>
      </c>
      <c r="F120" s="23" t="n">
        <v>6</v>
      </c>
      <c r="G120" s="349">
        <f>IF(AND(B120="",C120=""),"",ROUND(M120*L120*N120,2))</f>
        <v/>
      </c>
      <c r="H120" s="349">
        <f>IF(AND(B120="",C120=""),"",ROUND(F120*G120,2))</f>
        <v/>
      </c>
      <c r="I120" s="45" t="inlineStr"/>
      <c r="J120" s="392">
        <f>IF(AND(B120="",C120=""),"",ROUND(M120*N120,2))</f>
        <v/>
      </c>
      <c r="K120" s="393">
        <f>IF(AND(B120="",C120=""),"",ROUND(J120*F120,2))</f>
        <v/>
      </c>
      <c r="L120" s="141" t="n">
        <v>1</v>
      </c>
      <c r="M120" s="394" t="n">
        <v>510.25</v>
      </c>
      <c r="N120" s="143" t="n">
        <v>1</v>
      </c>
      <c r="O120" s="144">
        <f>IF(AND(B120="",C120=""),"",IF(G120&gt;=20000,0.05,IF(G120&gt;=10000,0.1,IF(G120&gt;=5000,0.2,IF(G120&gt;=1000,0.3,IF(G120&gt;=0,0.4,{0}))))))</f>
        <v/>
      </c>
      <c r="P120" s="395">
        <f>IF(AND(B120="",C120=""),"",ROUND(H120*O120,2))</f>
        <v/>
      </c>
      <c r="Q120" s="390" t="inlineStr">
        <is>
          <t>元件</t>
        </is>
      </c>
      <c r="R120" s="164" t="inlineStr"/>
      <c r="S120" s="164" t="inlineStr"/>
      <c r="T120" s="164" t="inlineStr">
        <is>
          <t>0</t>
        </is>
      </c>
      <c r="U120" s="164" t="inlineStr"/>
      <c r="V120" s="391" t="n"/>
      <c r="W120" s="391" t="n"/>
      <c r="X120"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t>
        </is>
      </c>
    </row>
    <row r="121" customFormat="1" s="3">
      <c r="A121" s="64">
        <f>ROW()-ROW(A$117)</f>
        <v/>
      </c>
      <c r="B121" s="27" t="inlineStr">
        <is>
          <t>后备保护器</t>
        </is>
      </c>
      <c r="C121" s="22" t="inlineStr">
        <is>
          <t>iSCB1 25L2 4P</t>
        </is>
      </c>
      <c r="D121" s="22" t="inlineStr">
        <is>
          <t>甲供/施耐德万高</t>
        </is>
      </c>
      <c r="E121" s="110" t="inlineStr">
        <is>
          <t>只</t>
        </is>
      </c>
      <c r="F121" s="23" t="n">
        <v>1</v>
      </c>
      <c r="G121" s="349">
        <f>IF(AND(B121="",C121=""),"",ROUND(M121*L121*N121,2))</f>
        <v/>
      </c>
      <c r="H121" s="349">
        <f>IF(AND(B121="",C121=""),"",ROUND(F121*G121,2))</f>
        <v/>
      </c>
      <c r="I121" s="45" t="inlineStr"/>
      <c r="J121" s="392">
        <f>IF(AND(B121="",C121=""),"",ROUND(M121*N121,2))</f>
        <v/>
      </c>
      <c r="K121" s="393">
        <f>IF(AND(B121="",C121=""),"",ROUND(J121*F121,2))</f>
        <v/>
      </c>
      <c r="L121" s="141" t="n">
        <v>1</v>
      </c>
      <c r="M121" s="394" t="n">
        <v>1e-07</v>
      </c>
      <c r="N121" s="143" t="n">
        <v>1</v>
      </c>
      <c r="O121" s="144">
        <f>IF(AND(B121="",C121=""),"",IF(G121&gt;=20000,0.05,IF(G121&gt;=10000,0.1,IF(G121&gt;=5000,0.2,IF(G121&gt;=1000,0.3,IF(G121&gt;=0,0.4,{0}))))))</f>
        <v/>
      </c>
      <c r="P121" s="395">
        <f>IF(AND(B121="",C121=""),"",ROUND(H121*O121,2))</f>
        <v/>
      </c>
      <c r="Q121" s="390" t="inlineStr">
        <is>
          <t>元件</t>
        </is>
      </c>
      <c r="R121" s="164" t="inlineStr"/>
      <c r="S121" s="164" t="inlineStr"/>
      <c r="T121" s="164" t="inlineStr">
        <is>
          <t>0</t>
        </is>
      </c>
      <c r="U121" s="164" t="inlineStr">
        <is>
          <t>A9L102554</t>
        </is>
      </c>
      <c r="V121" s="391" t="n"/>
      <c r="W121" s="391" t="n"/>
      <c r="X121" s="166" t="inlineStr">
        <is>
          <t>iSCB1 25L1 4P→iSCB2 40H2 4P</t>
        </is>
      </c>
    </row>
    <row r="122" customFormat="1" s="3">
      <c r="A122" s="64">
        <f>ROW()-ROW(A$117)</f>
        <v/>
      </c>
      <c r="B122" s="27" t="inlineStr">
        <is>
          <t>电涌保护器</t>
        </is>
      </c>
      <c r="C122" s="22" t="inlineStr">
        <is>
          <t>iPRF1 12.5r 3P+N</t>
        </is>
      </c>
      <c r="D122" s="22" t="inlineStr">
        <is>
          <t>甲供/施耐德万高</t>
        </is>
      </c>
      <c r="E122" s="110" t="inlineStr">
        <is>
          <t>只</t>
        </is>
      </c>
      <c r="F122" s="23" t="n">
        <v>1</v>
      </c>
      <c r="G122" s="349">
        <f>IF(AND(B122="",C122=""),"",ROUND(M122*L122*N122,2))</f>
        <v/>
      </c>
      <c r="H122" s="349">
        <f>IF(AND(B122="",C122=""),"",ROUND(F122*G122,2))</f>
        <v/>
      </c>
      <c r="I122" s="45" t="inlineStr"/>
      <c r="J122" s="392">
        <f>IF(AND(B122="",C122=""),"",ROUND(M122*N122,2))</f>
        <v/>
      </c>
      <c r="K122" s="393">
        <f>IF(AND(B122="",C122=""),"",ROUND(J122*F122,2))</f>
        <v/>
      </c>
      <c r="L122" s="141" t="n">
        <v>1</v>
      </c>
      <c r="M122" s="394" t="n">
        <v>1e-07</v>
      </c>
      <c r="N122" s="143" t="n">
        <v>1</v>
      </c>
      <c r="O122" s="144">
        <f>IF(AND(B122="",C122=""),"",IF(G122&gt;=20000,0.05,IF(G122&gt;=10000,0.1,IF(G122&gt;=5000,0.2,IF(G122&gt;=1000,0.3,IF(G122&gt;=0,0.4,{0}))))))</f>
        <v/>
      </c>
      <c r="P122" s="395">
        <f>IF(AND(B122="",C122=""),"",ROUND(H122*O122,2))</f>
        <v/>
      </c>
      <c r="Q122" s="390" t="inlineStr">
        <is>
          <t>元件</t>
        </is>
      </c>
      <c r="R122" s="164" t="inlineStr"/>
      <c r="S122" s="164" t="inlineStr"/>
      <c r="T122" s="164" t="inlineStr">
        <is>
          <t>0</t>
        </is>
      </c>
      <c r="U122" s="164" t="inlineStr">
        <is>
          <t>A9L620601</t>
        </is>
      </c>
      <c r="V122" s="391" t="n"/>
      <c r="W122" s="391" t="n"/>
      <c r="X122" s="166" t="inlineStr">
        <is>
          <t>iPRF1 12.5r 3P+N→iPRU 40r 3P→iPRF1 12.5r 3P+N</t>
        </is>
      </c>
    </row>
    <row r="123" customFormat="1" s="3">
      <c r="A123" s="64">
        <f>ROW()-ROW(A$117)</f>
        <v/>
      </c>
      <c r="B123" s="27" t="inlineStr">
        <is>
          <t>微型断路器</t>
        </is>
      </c>
      <c r="C123" s="22" t="inlineStr">
        <is>
          <t>iC65H 2P C16A</t>
        </is>
      </c>
      <c r="D123" s="22" t="inlineStr">
        <is>
          <t>甲供/施耐德电气</t>
        </is>
      </c>
      <c r="E123" s="110" t="inlineStr">
        <is>
          <t>只</t>
        </is>
      </c>
      <c r="F123" s="23" t="n">
        <v>2</v>
      </c>
      <c r="G123" s="349">
        <f>IF(AND(B123="",C123=""),"",ROUND(M123*L123*N123,2))</f>
        <v/>
      </c>
      <c r="H123" s="349">
        <f>IF(AND(B123="",C123=""),"",ROUND(F123*G123,2))</f>
        <v/>
      </c>
      <c r="I123" s="45" t="inlineStr"/>
      <c r="J123" s="392">
        <f>IF(AND(B123="",C123=""),"",ROUND(M123*N123,2))</f>
        <v/>
      </c>
      <c r="K123" s="393">
        <f>IF(AND(B123="",C123=""),"",ROUND(J123*F123,2))</f>
        <v/>
      </c>
      <c r="L123" s="141" t="n">
        <v>1</v>
      </c>
      <c r="M123" s="394" t="n">
        <v>1e-07</v>
      </c>
      <c r="N123" s="143" t="n">
        <v>1</v>
      </c>
      <c r="O123" s="144">
        <f>IF(AND(B123="",C123=""),"",IF(G123&gt;=20000,0.05,IF(G123&gt;=10000,0.1,IF(G123&gt;=5000,0.2,IF(G123&gt;=1000,0.3,IF(G123&gt;=0,0.4,{0}))))))</f>
        <v/>
      </c>
      <c r="P123" s="395">
        <f>IF(AND(B123="",C123=""),"",ROUND(H123*O123,2))</f>
        <v/>
      </c>
      <c r="Q123" s="390" t="inlineStr">
        <is>
          <t>元件</t>
        </is>
      </c>
      <c r="R123" s="164" t="inlineStr"/>
      <c r="S123" s="164" t="inlineStr"/>
      <c r="T123" s="164" t="n">
        <v>0</v>
      </c>
      <c r="U123" s="164" t="inlineStr"/>
      <c r="V123" s="391" t="n"/>
      <c r="W123" s="391" t="n"/>
      <c r="X123" s="166" t="inlineStr"/>
    </row>
    <row r="124" customFormat="1" s="3">
      <c r="A124" s="64">
        <f>ROW()-ROW(A$117)</f>
        <v/>
      </c>
      <c r="B124" s="27" t="inlineStr">
        <is>
          <t>微型断路器</t>
        </is>
      </c>
      <c r="C124" s="22" t="inlineStr">
        <is>
          <t>iC65H 3P C32A</t>
        </is>
      </c>
      <c r="D124" s="22" t="inlineStr">
        <is>
          <t>甲供/施耐德电气</t>
        </is>
      </c>
      <c r="E124" s="110" t="inlineStr">
        <is>
          <t>只</t>
        </is>
      </c>
      <c r="F124" s="23" t="n">
        <v>2</v>
      </c>
      <c r="G124" s="349">
        <f>IF(AND(B124="",C124=""),"",ROUND(M124*L124*N124,2))</f>
        <v/>
      </c>
      <c r="H124" s="349">
        <f>IF(AND(B124="",C124=""),"",ROUND(F124*G124,2))</f>
        <v/>
      </c>
      <c r="I124" s="45" t="inlineStr"/>
      <c r="J124" s="392">
        <f>IF(AND(B124="",C124=""),"",ROUND(M124*N124,2))</f>
        <v/>
      </c>
      <c r="K124" s="393">
        <f>IF(AND(B124="",C124=""),"",ROUND(J124*F124,2))</f>
        <v/>
      </c>
      <c r="L124" s="141" t="n">
        <v>1</v>
      </c>
      <c r="M124" s="394" t="n">
        <v>1e-07</v>
      </c>
      <c r="N124" s="143" t="n">
        <v>1</v>
      </c>
      <c r="O124" s="144">
        <f>IF(AND(B124="",C124=""),"",IF(G124&gt;=20000,0.05,IF(G124&gt;=10000,0.1,IF(G124&gt;=5000,0.2,IF(G124&gt;=1000,0.3,IF(G124&gt;=0,0.4,{0}))))))</f>
        <v/>
      </c>
      <c r="P124" s="395">
        <f>IF(AND(B124="",C124=""),"",ROUND(H124*O124,2))</f>
        <v/>
      </c>
      <c r="Q124" s="390" t="inlineStr">
        <is>
          <t>元件</t>
        </is>
      </c>
      <c r="R124" s="164" t="inlineStr"/>
      <c r="S124" s="164" t="inlineStr"/>
      <c r="T124" s="164" t="n">
        <v>0</v>
      </c>
      <c r="U124" s="164" t="inlineStr"/>
      <c r="V124" s="391" t="n"/>
      <c r="W124" s="391" t="n"/>
      <c r="X124" s="166" t="inlineStr"/>
    </row>
    <row r="125" customFormat="1" s="3">
      <c r="A125" s="64">
        <f>ROW()-ROW(A$117)</f>
        <v/>
      </c>
      <c r="B125" s="27" t="inlineStr">
        <is>
          <t>熔断器+底座</t>
        </is>
      </c>
      <c r="C125" s="22" t="inlineStr">
        <is>
          <t>NT00 gG 690V/160A、NT00（新底座）</t>
        </is>
      </c>
      <c r="D125" s="22" t="inlineStr">
        <is>
          <t>茗熔</t>
        </is>
      </c>
      <c r="E125" s="110" t="inlineStr">
        <is>
          <t>只</t>
        </is>
      </c>
      <c r="F125" s="23" t="n">
        <v>12</v>
      </c>
      <c r="G125" s="349">
        <f>IF(AND(B125="",C125=""),"",ROUND(M125*L125*N125,2))</f>
        <v/>
      </c>
      <c r="H125" s="349">
        <f>IF(AND(B125="",C125=""),"",ROUND(F125*G125,2))</f>
        <v/>
      </c>
      <c r="I125" s="45" t="inlineStr"/>
      <c r="J125" s="392">
        <f>IF(AND(B125="",C125=""),"",ROUND(M125*N125,2))</f>
        <v/>
      </c>
      <c r="K125" s="393">
        <f>IF(AND(B125="",C125=""),"",ROUND(J125*F125,2))</f>
        <v/>
      </c>
      <c r="L125" s="141" t="n">
        <v>1</v>
      </c>
      <c r="M125" s="394" t="n">
        <v>23.8</v>
      </c>
      <c r="N125" s="143" t="n">
        <v>1</v>
      </c>
      <c r="O125" s="144">
        <f>IF(AND(B125="",C125=""),"",IF(G125&gt;=20000,0.05,IF(G125&gt;=10000,0.1,IF(G125&gt;=5000,0.2,IF(G125&gt;=1000,0.3,IF(G125&gt;=0,0.4,{0}))))))</f>
        <v/>
      </c>
      <c r="P125" s="395">
        <f>IF(AND(B125="",C125=""),"",ROUND(H125*O125,2))</f>
        <v/>
      </c>
      <c r="Q125" s="390" t="inlineStr">
        <is>
          <t>元件</t>
        </is>
      </c>
      <c r="R125" s="164" t="inlineStr"/>
      <c r="S125" s="164" t="inlineStr"/>
      <c r="T125" s="164" t="inlineStr">
        <is>
          <t>0</t>
        </is>
      </c>
      <c r="U125" s="164" t="inlineStr">
        <is>
          <t>0</t>
        </is>
      </c>
      <c r="V125" s="391" t="n"/>
      <c r="W125" s="391" t="n"/>
      <c r="X125" s="166" t="inlineStr"/>
    </row>
    <row r="126" s="308">
      <c r="A126" s="64">
        <f>ROW()-ROW(A$117)</f>
        <v/>
      </c>
      <c r="B126" s="112" t="inlineStr">
        <is>
          <t>温湿度控制器</t>
        </is>
      </c>
      <c r="C126" s="112" t="inlineStr">
        <is>
          <t>ATH48G-11</t>
        </is>
      </c>
      <c r="D126" s="22" t="inlineStr">
        <is>
          <t>杭州安廷</t>
        </is>
      </c>
      <c r="E126" s="23" t="inlineStr">
        <is>
          <t>套</t>
        </is>
      </c>
      <c r="F126" s="23" t="n">
        <v>1</v>
      </c>
      <c r="G126" s="349">
        <f>IF(AND(B126="",C126=""),"",ROUND(M126*L126*N126,2))</f>
        <v/>
      </c>
      <c r="H126" s="396">
        <f>IF(AND(B126="",C126=""),"",ROUND(F126*G126,2))</f>
        <v/>
      </c>
      <c r="I126" s="150" t="inlineStr"/>
      <c r="J126" s="397">
        <f>IF(AND(B126="",C126=""),"",ROUND(M126*N126,2))</f>
        <v/>
      </c>
      <c r="K126" s="398">
        <f>IF(AND(B126="",C126=""),"",ROUND(J126*F126,2))</f>
        <v/>
      </c>
      <c r="L126" s="141" t="n">
        <v>1</v>
      </c>
      <c r="M126" s="399" t="n">
        <v>450</v>
      </c>
      <c r="N126" s="154" t="n">
        <v>1</v>
      </c>
      <c r="O126" s="155">
        <f>IF(AND(B126="",C126=""),"",IF(G126&gt;=20000,0.05,IF(G126&gt;=10000,0.1,IF(G126&gt;=5000,0.2,IF(G126&gt;=1000,0.3,IF(G126&gt;=0,0.4,{0}))))))</f>
        <v/>
      </c>
      <c r="P126" s="400">
        <f>IF(AND(B126="",C126=""),"",ROUND(H126*O126,2))</f>
        <v/>
      </c>
      <c r="Q126" s="401" t="inlineStr">
        <is>
          <t>元件</t>
        </is>
      </c>
      <c r="R126" s="168" t="inlineStr"/>
      <c r="S126" s="168" t="inlineStr"/>
      <c r="T126" s="168" t="inlineStr">
        <is>
          <t>0</t>
        </is>
      </c>
      <c r="U126" s="168" t="inlineStr"/>
      <c r="V126" s="402" t="n"/>
      <c r="W126" s="402" t="n"/>
      <c r="X126" s="170" t="inlineStr"/>
    </row>
    <row r="127" s="308">
      <c r="A127" s="64">
        <f>ROW()-ROW(A$117)</f>
        <v/>
      </c>
      <c r="B127" s="112" t="inlineStr">
        <is>
          <t>指示灯</t>
        </is>
      </c>
      <c r="C127" s="112" t="inlineStr">
        <is>
          <t>XB2BVM3LC</t>
        </is>
      </c>
      <c r="D127" s="112" t="inlineStr">
        <is>
          <t>甲供/施耐德电气</t>
        </is>
      </c>
      <c r="E127" s="114" t="inlineStr">
        <is>
          <t>只</t>
        </is>
      </c>
      <c r="F127" s="114" t="n">
        <v>1</v>
      </c>
      <c r="G127" s="396">
        <f>IF(AND(B127="",C127=""),"",ROUND(M127*L127*N127,2))</f>
        <v/>
      </c>
      <c r="H127" s="396">
        <f>IF(AND(B127="",C127=""),"",ROUND(F127*G127,2))</f>
        <v/>
      </c>
      <c r="I127" s="150" t="inlineStr"/>
      <c r="J127" s="397">
        <f>IF(AND(B127="",C127=""),"",ROUND(M127*N127,2))</f>
        <v/>
      </c>
      <c r="K127" s="398">
        <f>IF(AND(B127="",C127=""),"",ROUND(J127*F127,2))</f>
        <v/>
      </c>
      <c r="L127" s="141" t="n">
        <v>1</v>
      </c>
      <c r="M127" s="399" t="n">
        <v>1e-07</v>
      </c>
      <c r="N127" s="154" t="n">
        <v>1</v>
      </c>
      <c r="O127" s="155">
        <f>IF(AND(B127="",C127=""),"",IF(G127&gt;=20000,0.05,IF(G127&gt;=10000,0.1,IF(G127&gt;=5000,0.2,IF(G127&gt;=1000,0.3,IF(G127&gt;=0,0.4,{0}))))))</f>
        <v/>
      </c>
      <c r="P127" s="400">
        <f>IF(AND(B127="",C127=""),"",ROUND(H127*O127,2))</f>
        <v/>
      </c>
      <c r="Q127" s="401" t="inlineStr">
        <is>
          <t>元件</t>
        </is>
      </c>
      <c r="R127" s="168" t="inlineStr"/>
      <c r="S127" s="168" t="inlineStr"/>
      <c r="T127" s="168" t="inlineStr">
        <is>
          <t>0</t>
        </is>
      </c>
      <c r="U127" s="168" t="inlineStr">
        <is>
          <t>XA2EVM3LC</t>
        </is>
      </c>
      <c r="V127" s="402" t="n"/>
      <c r="W127" s="402" t="n"/>
      <c r="X127" s="170" t="inlineStr"/>
    </row>
    <row r="128" s="308">
      <c r="A128" s="64">
        <f>ROW()-ROW(A$117)</f>
        <v/>
      </c>
      <c r="B128" s="112" t="inlineStr">
        <is>
          <t>指示灯</t>
        </is>
      </c>
      <c r="C128" s="22" t="inlineStr">
        <is>
          <t>XB2BVM4LC</t>
        </is>
      </c>
      <c r="D128" s="112" t="inlineStr">
        <is>
          <t>甲供/施耐德电气</t>
        </is>
      </c>
      <c r="E128" s="114" t="inlineStr">
        <is>
          <t>只</t>
        </is>
      </c>
      <c r="F128" s="114" t="n">
        <v>1</v>
      </c>
      <c r="G128" s="396">
        <f>IF(AND(B128="",C128=""),"",ROUND(M128*L128*N128,2))</f>
        <v/>
      </c>
      <c r="H128" s="396">
        <f>IF(AND(B128="",C128=""),"",ROUND(F128*G128,2))</f>
        <v/>
      </c>
      <c r="I128" s="150" t="inlineStr"/>
      <c r="J128" s="397">
        <f>IF(AND(B128="",C128=""),"",ROUND(M128*N128,2))</f>
        <v/>
      </c>
      <c r="K128" s="398">
        <f>IF(AND(B128="",C128=""),"",ROUND(J128*F128,2))</f>
        <v/>
      </c>
      <c r="L128" s="141" t="n">
        <v>1</v>
      </c>
      <c r="M128" s="399" t="n">
        <v>1e-07</v>
      </c>
      <c r="N128" s="154" t="n">
        <v>1</v>
      </c>
      <c r="O128" s="155">
        <f>IF(AND(B128="",C128=""),"",IF(G128&gt;=20000,0.05,IF(G128&gt;=10000,0.1,IF(G128&gt;=5000,0.2,IF(G128&gt;=1000,0.3,IF(G128&gt;=0,0.4,{0}))))))</f>
        <v/>
      </c>
      <c r="P128" s="400">
        <f>IF(AND(B128="",C128=""),"",ROUND(H128*O128,2))</f>
        <v/>
      </c>
      <c r="Q128" s="401" t="inlineStr">
        <is>
          <t>元件</t>
        </is>
      </c>
      <c r="R128" s="168" t="inlineStr"/>
      <c r="S128" s="168" t="inlineStr"/>
      <c r="T128" s="168" t="inlineStr">
        <is>
          <t>0</t>
        </is>
      </c>
      <c r="U128" s="168" t="inlineStr">
        <is>
          <t>XA2EVM4LC</t>
        </is>
      </c>
      <c r="V128" s="402" t="n"/>
      <c r="W128" s="402" t="n"/>
      <c r="X128" s="170" t="inlineStr"/>
    </row>
    <row r="129" s="308">
      <c r="A129" s="64">
        <f>ROW()-ROW(A$117)</f>
        <v/>
      </c>
      <c r="B129" s="112" t="inlineStr">
        <is>
          <t>指示灯</t>
        </is>
      </c>
      <c r="C129" s="112" t="inlineStr">
        <is>
          <t>XB2BVM5LC</t>
        </is>
      </c>
      <c r="D129" s="112" t="inlineStr">
        <is>
          <t>甲供/施耐德电气</t>
        </is>
      </c>
      <c r="E129" s="114" t="inlineStr">
        <is>
          <t>只</t>
        </is>
      </c>
      <c r="F129" s="114" t="n">
        <v>1</v>
      </c>
      <c r="G129" s="396">
        <f>IF(AND(B129="",C129=""),"",ROUND(M129*L129*N129,2))</f>
        <v/>
      </c>
      <c r="H129" s="396">
        <f>IF(AND(B129="",C129=""),"",ROUND(F129*G129,2))</f>
        <v/>
      </c>
      <c r="I129" s="150" t="inlineStr"/>
      <c r="J129" s="397">
        <f>IF(AND(B129="",C129=""),"",ROUND(M129*N129,2))</f>
        <v/>
      </c>
      <c r="K129" s="398">
        <f>IF(AND(B129="",C129=""),"",ROUND(J129*F129,2))</f>
        <v/>
      </c>
      <c r="L129" s="141" t="n">
        <v>1</v>
      </c>
      <c r="M129" s="399" t="n">
        <v>1e-07</v>
      </c>
      <c r="N129" s="154" t="n">
        <v>1</v>
      </c>
      <c r="O129" s="155">
        <f>IF(AND(B129="",C129=""),"",IF(G129&gt;=20000,0.05,IF(G129&gt;=10000,0.1,IF(G129&gt;=5000,0.2,IF(G129&gt;=1000,0.3,IF(G129&gt;=0,0.4,{0}))))))</f>
        <v/>
      </c>
      <c r="P129" s="400">
        <f>IF(AND(B129="",C129=""),"",ROUND(H129*O129,2))</f>
        <v/>
      </c>
      <c r="Q129" s="401" t="inlineStr">
        <is>
          <t>元件</t>
        </is>
      </c>
      <c r="R129" s="168" t="inlineStr"/>
      <c r="S129" s="168" t="inlineStr"/>
      <c r="T129" s="168" t="inlineStr">
        <is>
          <t>0</t>
        </is>
      </c>
      <c r="U129" s="168" t="inlineStr">
        <is>
          <t>XA2EVM5LC</t>
        </is>
      </c>
      <c r="V129" s="402" t="n"/>
      <c r="W129" s="402" t="n"/>
      <c r="X129" s="170" t="inlineStr"/>
    </row>
    <row r="130" s="308">
      <c r="A130" s="64">
        <f>ROW()-ROW(A$117)</f>
        <v/>
      </c>
      <c r="B130" s="112" t="inlineStr">
        <is>
          <t>按钮</t>
        </is>
      </c>
      <c r="C130" s="112" t="inlineStr">
        <is>
          <t>XB2BA31C</t>
        </is>
      </c>
      <c r="D130" s="112" t="inlineStr">
        <is>
          <t>甲供/施耐德电气</t>
        </is>
      </c>
      <c r="E130" s="114" t="inlineStr">
        <is>
          <t>只</t>
        </is>
      </c>
      <c r="F130" s="114" t="n">
        <v>1</v>
      </c>
      <c r="G130" s="396">
        <f>IF(AND(B130="",C130=""),"",ROUND(M130*L130*N130,2))</f>
        <v/>
      </c>
      <c r="H130" s="396">
        <f>IF(AND(B130="",C130=""),"",ROUND(F130*G130,2))</f>
        <v/>
      </c>
      <c r="I130" s="150" t="inlineStr"/>
      <c r="J130" s="397">
        <f>IF(AND(B130="",C130=""),"",ROUND(M130*N130,2))</f>
        <v/>
      </c>
      <c r="K130" s="398">
        <f>IF(AND(B130="",C130=""),"",ROUND(J130*F130,2))</f>
        <v/>
      </c>
      <c r="L130" s="141" t="n">
        <v>1</v>
      </c>
      <c r="M130" s="399" t="n">
        <v>1e-07</v>
      </c>
      <c r="N130" s="154" t="n">
        <v>1</v>
      </c>
      <c r="O130" s="155">
        <f>IF(AND(B130="",C130=""),"",IF(G130&gt;=20000,0.05,IF(G130&gt;=10000,0.1,IF(G130&gt;=5000,0.2,IF(G130&gt;=1000,0.3,IF(G130&gt;=0,0.4,{0}))))))</f>
        <v/>
      </c>
      <c r="P130" s="400">
        <f>IF(AND(B130="",C130=""),"",ROUND(H130*O130,2))</f>
        <v/>
      </c>
      <c r="Q130" s="401" t="inlineStr">
        <is>
          <t>元件</t>
        </is>
      </c>
      <c r="R130" s="168" t="inlineStr"/>
      <c r="S130" s="168" t="inlineStr"/>
      <c r="T130" s="168" t="inlineStr">
        <is>
          <t>0</t>
        </is>
      </c>
      <c r="U130" s="168" t="inlineStr">
        <is>
          <t>XB2BA31C</t>
        </is>
      </c>
      <c r="V130" s="402" t="n"/>
      <c r="W130" s="402" t="n"/>
      <c r="X130" s="170" t="inlineStr">
        <is>
          <t>XA2EA31</t>
        </is>
      </c>
    </row>
    <row r="131" s="308">
      <c r="A131" s="64">
        <f>ROW()-ROW(A$117)</f>
        <v/>
      </c>
      <c r="B131" s="22" t="inlineStr">
        <is>
          <t>按钮</t>
        </is>
      </c>
      <c r="C131" s="22" t="inlineStr">
        <is>
          <t>XB2BA42C</t>
        </is>
      </c>
      <c r="D131" s="22" t="inlineStr">
        <is>
          <t>甲供/施耐德电气</t>
        </is>
      </c>
      <c r="E131" s="23" t="inlineStr">
        <is>
          <t>只</t>
        </is>
      </c>
      <c r="F131" s="23" t="n">
        <v>1</v>
      </c>
      <c r="G131" s="349">
        <f>IF(AND(B131="",C131=""),"",ROUND(M131*L131*N131,2))</f>
        <v/>
      </c>
      <c r="H131" s="396">
        <f>IF(AND(B131="",C131=""),"",ROUND(F131*G131,2))</f>
        <v/>
      </c>
      <c r="I131" s="150" t="inlineStr"/>
      <c r="J131" s="397">
        <f>IF(AND(B131="",C131=""),"",ROUND(M131*N131,2))</f>
        <v/>
      </c>
      <c r="K131" s="398">
        <f>IF(AND(B131="",C131=""),"",ROUND(J131*F131,2))</f>
        <v/>
      </c>
      <c r="L131" s="141" t="n">
        <v>1</v>
      </c>
      <c r="M131" s="399" t="n">
        <v>1e-07</v>
      </c>
      <c r="N131" s="154" t="n">
        <v>1</v>
      </c>
      <c r="O131" s="155">
        <f>IF(AND(B131="",C131=""),"",IF(G131&gt;=20000,0.05,IF(G131&gt;=10000,0.1,IF(G131&gt;=5000,0.2,IF(G131&gt;=1000,0.3,IF(G131&gt;=0,0.4,{0}))))))</f>
        <v/>
      </c>
      <c r="P131" s="400">
        <f>IF(AND(B131="",C131=""),"",ROUND(H131*O131,2))</f>
        <v/>
      </c>
      <c r="Q131" s="401" t="inlineStr">
        <is>
          <t>元件</t>
        </is>
      </c>
      <c r="R131" s="168" t="inlineStr"/>
      <c r="S131" s="168" t="inlineStr"/>
      <c r="T131" s="168" t="inlineStr">
        <is>
          <t>0</t>
        </is>
      </c>
      <c r="U131" s="168" t="inlineStr">
        <is>
          <t>XB2BA42C</t>
        </is>
      </c>
      <c r="V131" s="402" t="n"/>
      <c r="W131" s="402" t="n"/>
      <c r="X131" s="170" t="inlineStr">
        <is>
          <t>XA2EA41</t>
        </is>
      </c>
    </row>
    <row r="132" s="308">
      <c r="A132" s="64">
        <f>ROW()-ROW(A$117)</f>
        <v/>
      </c>
      <c r="B132" s="112" t="inlineStr">
        <is>
          <t>带熔丝端子</t>
        </is>
      </c>
      <c r="C132" s="112" t="inlineStr">
        <is>
          <t>UK 5-HESI</t>
        </is>
      </c>
      <c r="D132" s="22" t="inlineStr">
        <is>
          <t>菲尼克斯</t>
        </is>
      </c>
      <c r="E132" s="23" t="inlineStr">
        <is>
          <t>只</t>
        </is>
      </c>
      <c r="F132" s="23" t="n">
        <v>7</v>
      </c>
      <c r="G132" s="349">
        <f>IF(AND(B132="",C132=""),"",ROUND(M132*L132*N132,2))</f>
        <v/>
      </c>
      <c r="H132" s="396">
        <f>IF(AND(B132="",C132=""),"",ROUND(F132*G132,2))</f>
        <v/>
      </c>
      <c r="I132" s="150" t="inlineStr"/>
      <c r="J132" s="397">
        <f>IF(AND(B132="",C132=""),"",ROUND(M132*N132,2))</f>
        <v/>
      </c>
      <c r="K132" s="398">
        <f>IF(AND(B132="",C132=""),"",ROUND(J132*F132,2))</f>
        <v/>
      </c>
      <c r="L132" s="141" t="n">
        <v>1</v>
      </c>
      <c r="M132" s="399" t="n">
        <v>7</v>
      </c>
      <c r="N132" s="154" t="n">
        <v>1</v>
      </c>
      <c r="O132" s="155">
        <f>IF(AND(B132="",C132=""),"",IF(G132&gt;=20000,0.05,IF(G132&gt;=10000,0.1,IF(G132&gt;=5000,0.2,IF(G132&gt;=1000,0.3,IF(G132&gt;=0,0.4,{0}))))))</f>
        <v/>
      </c>
      <c r="P132" s="400">
        <f>IF(AND(B132="",C132=""),"",ROUND(H132*O132,2))</f>
        <v/>
      </c>
      <c r="Q132" s="401" t="inlineStr">
        <is>
          <t>元件</t>
        </is>
      </c>
      <c r="R132" s="168" t="inlineStr"/>
      <c r="S132" s="168" t="inlineStr"/>
      <c r="T132" s="168" t="inlineStr">
        <is>
          <t>0</t>
        </is>
      </c>
      <c r="U132" s="168" t="inlineStr"/>
      <c r="V132" s="402" t="n"/>
      <c r="W132" s="402" t="n"/>
      <c r="X132" s="170" t="inlineStr"/>
    </row>
    <row r="133" s="308">
      <c r="A133" s="64">
        <f>ROW()-ROW(A$117)</f>
        <v/>
      </c>
      <c r="B133" s="112" t="inlineStr">
        <is>
          <t>L型端子</t>
        </is>
      </c>
      <c r="C133" s="112" t="inlineStr">
        <is>
          <t>GH100710</t>
        </is>
      </c>
      <c r="D133" s="22" t="inlineStr">
        <is>
          <t>施耐德电气</t>
        </is>
      </c>
      <c r="E133" s="23" t="inlineStr">
        <is>
          <t>只</t>
        </is>
      </c>
      <c r="F133" s="23" t="n">
        <v>6</v>
      </c>
      <c r="G133" s="349">
        <f>IF(AND(B133="",C133=""),"",ROUND(M133*L133*N133,2))</f>
        <v/>
      </c>
      <c r="H133" s="396">
        <f>IF(AND(B133="",C133=""),"",ROUND(F133*G133,2))</f>
        <v/>
      </c>
      <c r="I133" s="150" t="inlineStr"/>
      <c r="J133" s="397">
        <f>IF(AND(B133="",C133=""),"",ROUND(M133*N133,2))</f>
        <v/>
      </c>
      <c r="K133" s="398">
        <f>IF(AND(B133="",C133=""),"",ROUND(J133*F133,2))</f>
        <v/>
      </c>
      <c r="L133" s="141" t="n">
        <v>1</v>
      </c>
      <c r="M133" s="399" t="n">
        <v>1125.85</v>
      </c>
      <c r="N133" s="154" t="n">
        <v>0.45</v>
      </c>
      <c r="O133" s="155">
        <f>IF(AND(B133="",C133=""),"",IF(G133&gt;=20000,0.05,IF(G133&gt;=10000,0.1,IF(G133&gt;=5000,0.2,IF(G133&gt;=1000,0.3,IF(G133&gt;=0,0.4,{0}))))))</f>
        <v/>
      </c>
      <c r="P133" s="400">
        <f>IF(AND(B133="",C133=""),"",ROUND(H133*O133,2))</f>
        <v/>
      </c>
      <c r="Q133" s="401" t="inlineStr">
        <is>
          <t>元件</t>
        </is>
      </c>
      <c r="R133" s="168" t="inlineStr"/>
      <c r="S133" s="168" t="inlineStr"/>
      <c r="T133" s="168" t="inlineStr">
        <is>
          <t>0</t>
        </is>
      </c>
      <c r="U133" s="168" t="inlineStr"/>
      <c r="V133" s="402" t="n"/>
      <c r="W133" s="402" t="n"/>
      <c r="X133" s="170" t="inlineStr"/>
    </row>
    <row r="134" s="308">
      <c r="A134" s="64">
        <f>ROW()-ROW(A$117)</f>
        <v/>
      </c>
      <c r="B134" s="112" t="inlineStr">
        <is>
          <t>T型端子</t>
        </is>
      </c>
      <c r="C134" s="112" t="inlineStr">
        <is>
          <t>87408</t>
        </is>
      </c>
      <c r="D134" s="22" t="inlineStr">
        <is>
          <t>施耐德电气</t>
        </is>
      </c>
      <c r="E134" s="23" t="inlineStr">
        <is>
          <t>只</t>
        </is>
      </c>
      <c r="F134" s="23" t="n">
        <v>6</v>
      </c>
      <c r="G134" s="349">
        <f>IF(AND(B134="",C134=""),"",ROUND(M134*L134*N134,2))</f>
        <v/>
      </c>
      <c r="H134" s="396">
        <f>IF(AND(B134="",C134=""),"",ROUND(F134*G134,2))</f>
        <v/>
      </c>
      <c r="I134" s="150" t="inlineStr"/>
      <c r="J134" s="397">
        <f>IF(AND(B134="",C134=""),"",ROUND(M134*N134,2))</f>
        <v/>
      </c>
      <c r="K134" s="398">
        <f>IF(AND(B134="",C134=""),"",ROUND(J134*F134,2))</f>
        <v/>
      </c>
      <c r="L134" s="141" t="n">
        <v>1</v>
      </c>
      <c r="M134" s="399" t="n">
        <v>659.91</v>
      </c>
      <c r="N134" s="154" t="n">
        <v>0.45</v>
      </c>
      <c r="O134" s="155">
        <f>IF(AND(B134="",C134=""),"",IF(G134&gt;=20000,0.05,IF(G134&gt;=10000,0.1,IF(G134&gt;=5000,0.2,IF(G134&gt;=1000,0.3,IF(G134&gt;=0,0.4,{0}))))))</f>
        <v/>
      </c>
      <c r="P134" s="400">
        <f>IF(AND(B134="",C134=""),"",ROUND(H134*O134,2))</f>
        <v/>
      </c>
      <c r="Q134" s="401" t="inlineStr">
        <is>
          <t>元件</t>
        </is>
      </c>
      <c r="R134" s="168" t="inlineStr"/>
      <c r="S134" s="168" t="inlineStr"/>
      <c r="T134" s="168" t="inlineStr">
        <is>
          <t>0</t>
        </is>
      </c>
      <c r="U134" s="168" t="inlineStr"/>
      <c r="V134" s="402" t="n"/>
      <c r="W134" s="402" t="n"/>
      <c r="X134" s="170" t="inlineStr"/>
    </row>
    <row r="135" s="308">
      <c r="A135" s="64">
        <f>ROW()-ROW(A$117)</f>
        <v/>
      </c>
      <c r="B135" s="33" t="inlineStr">
        <is>
          <t>水平母排</t>
        </is>
      </c>
      <c r="C135" s="22" t="inlineStr">
        <is>
          <t>TMY 4*(4*150*5)+2*50*5</t>
        </is>
      </c>
      <c r="D135" s="22" t="inlineStr">
        <is>
          <t>国产优质</t>
        </is>
      </c>
      <c r="E135" s="23" t="inlineStr">
        <is>
          <t>米</t>
        </is>
      </c>
      <c r="F135" s="23" t="n">
        <v>1.2</v>
      </c>
      <c r="G135" s="349">
        <f>IF(AND(B135="",C135=""),"",ROUND(M135*L135*N135,2))</f>
        <v/>
      </c>
      <c r="H135" s="349">
        <f>IF(AND(B135="",C135=""),"",ROUND(F135*G135,2))</f>
        <v/>
      </c>
      <c r="I135" s="179" t="inlineStr"/>
      <c r="J135" s="397">
        <f>IF(AND(B135="",C135=""),"",ROUND(M135*N135,2))</f>
        <v/>
      </c>
      <c r="K135" s="398">
        <f>IF(AND(B135="",C135=""),"",ROUND(J135*F135,2))</f>
        <v/>
      </c>
      <c r="L135" s="141" t="n">
        <v>1</v>
      </c>
      <c r="M135" s="399" t="n">
        <v>12026.68125</v>
      </c>
      <c r="N135" s="154">
        <f>(6317.932*1*1+2684.8*1*1)/9002.732</f>
        <v/>
      </c>
      <c r="O135" s="155">
        <f>IF(AND(B135="",C135=""),"",IF(G135&gt;=20000,0.05,IF(G135&gt;=10000,0.1,IF(G135&gt;=5000,0.2,IF(G135&gt;=1000,0.3,IF(G135&gt;=0,0.4,{0}))))))</f>
        <v/>
      </c>
      <c r="P135" s="400">
        <f>IF(AND(B135="",C135=""),"",ROUND(H135*O135,2))</f>
        <v/>
      </c>
      <c r="Q135" s="401" t="inlineStr">
        <is>
          <t>母排</t>
        </is>
      </c>
      <c r="R135" s="168" t="inlineStr"/>
      <c r="S135" s="168" t="inlineStr"/>
      <c r="T135" s="168" t="inlineStr">
        <is>
          <t>0</t>
        </is>
      </c>
      <c r="U135" s="168" t="inlineStr"/>
      <c r="V135" s="402" t="n"/>
      <c r="W135" s="402" t="n"/>
      <c r="X135" s="170" t="inlineStr"/>
    </row>
    <row r="136" customFormat="1" s="3">
      <c r="A136" s="64">
        <f>ROW()-ROW(A$117)</f>
        <v/>
      </c>
      <c r="B136" s="27" t="inlineStr">
        <is>
          <t>铜排</t>
        </is>
      </c>
      <c r="C136" s="27" t="inlineStr">
        <is>
          <t>TMY</t>
        </is>
      </c>
      <c r="D136" s="22" t="inlineStr">
        <is>
          <t>国产优质</t>
        </is>
      </c>
      <c r="E136" s="23" t="inlineStr">
        <is>
          <t>kg</t>
        </is>
      </c>
      <c r="F136" s="28" t="n">
        <v>422</v>
      </c>
      <c r="G136" s="353">
        <f>IF(AND(B136="",C136=""),"",ROUND(M136*L136*N136,2))</f>
        <v/>
      </c>
      <c r="H136" s="353">
        <f>IF(AND(B136="",C136=""),"",ROUND(F136*G136,2))</f>
        <v/>
      </c>
      <c r="I136" s="180" t="inlineStr"/>
      <c r="J136" s="392">
        <f>IF(AND(B136="",C136=""),"",ROUND(M136*N136,2))</f>
        <v/>
      </c>
      <c r="K136" s="393">
        <f>IF(AND(B136="",C136=""),"",ROUND(J136*F136,2))</f>
        <v/>
      </c>
      <c r="L136" s="141" t="n">
        <v>1</v>
      </c>
      <c r="M136" s="394" t="n">
        <v>108.105</v>
      </c>
      <c r="N136" s="143" t="n">
        <v>1</v>
      </c>
      <c r="O136" s="144">
        <f>IF(AND(B136="",C136=""),"",IF(G136&gt;=20000,0.05,IF(G136&gt;=10000,0.1,IF(G136&gt;=5000,0.2,IF(G136&gt;=1000,0.3,IF(G136&gt;=0,0.4,{0}))))))</f>
        <v/>
      </c>
      <c r="P136" s="395">
        <f>IF(AND(B136="",C136=""),"",ROUND(H136*O136,2))</f>
        <v/>
      </c>
      <c r="Q136" s="390" t="inlineStr">
        <is>
          <t>母排</t>
        </is>
      </c>
      <c r="R136" s="164" t="inlineStr"/>
      <c r="S136" s="164" t="inlineStr"/>
      <c r="T136" s="164" t="inlineStr">
        <is>
          <t>0</t>
        </is>
      </c>
      <c r="U136" s="164" t="inlineStr"/>
      <c r="V136" s="391" t="n"/>
      <c r="W136" s="391" t="n"/>
      <c r="X136" s="166" t="inlineStr"/>
    </row>
    <row r="137" s="308">
      <c r="A137" s="64">
        <f>ROW()-ROW(A$117)</f>
        <v/>
      </c>
      <c r="B137" s="22" t="inlineStr">
        <is>
          <t>辅料</t>
        </is>
      </c>
      <c r="C137" s="22" t="inlineStr"/>
      <c r="D137" s="22" t="inlineStr"/>
      <c r="E137" s="23" t="inlineStr">
        <is>
          <t>套</t>
        </is>
      </c>
      <c r="F137" s="23" t="n">
        <v>1</v>
      </c>
      <c r="G137" s="349">
        <f>IF(AND(B137="",C137=""),"",ROUND(M137*L137*N137,2))</f>
        <v/>
      </c>
      <c r="H137" s="349">
        <f>IF(AND(B137="",C137=""),"",ROUND(F137*G137,2))</f>
        <v/>
      </c>
      <c r="I137" s="179" t="inlineStr"/>
      <c r="J137" s="397">
        <f>IF(AND(B137="",C137=""),"",ROUND(M137*N137,2))</f>
        <v/>
      </c>
      <c r="K137" s="398">
        <f>IF(AND(B137="",C137=""),"",ROUND(J137*F137,2))</f>
        <v/>
      </c>
      <c r="L137" s="141" t="n">
        <v>1</v>
      </c>
      <c r="M137" s="399" t="n">
        <v>550</v>
      </c>
      <c r="N137" s="154" t="n">
        <v>1</v>
      </c>
      <c r="O137" s="155">
        <f>IF(AND(B137="",C137=""),"",IF(G137&gt;=20000,0.05,IF(G137&gt;=10000,0.1,IF(G137&gt;=5000,0.2,IF(G137&gt;=1000,0.3,IF(G137&gt;=0,0.4,{0}))))))</f>
        <v/>
      </c>
      <c r="P137" s="400">
        <f>IF(AND(B137="",C137=""),"",ROUND(H137*O137,2))</f>
        <v/>
      </c>
      <c r="Q137" s="401" t="inlineStr">
        <is>
          <t>辅料</t>
        </is>
      </c>
      <c r="R137" s="168" t="inlineStr"/>
      <c r="S137" s="168" t="inlineStr"/>
      <c r="T137" s="168" t="inlineStr">
        <is>
          <t>0</t>
        </is>
      </c>
      <c r="U137" s="168" t="inlineStr"/>
      <c r="V137" s="402" t="n"/>
      <c r="W137" s="402" t="n"/>
      <c r="X137" s="170" t="inlineStr"/>
    </row>
    <row r="138" s="308">
      <c r="A138" s="64">
        <f>ROW()-ROW(A$117)</f>
        <v/>
      </c>
      <c r="B138" s="22" t="inlineStr">
        <is>
          <t>柜体Blokset</t>
        </is>
      </c>
      <c r="C138" s="33" t="inlineStr">
        <is>
          <t>1200W*1200D*2200H</t>
        </is>
      </c>
      <c r="D138" s="22" t="inlineStr">
        <is>
          <t>清科</t>
        </is>
      </c>
      <c r="E138" s="23" t="inlineStr">
        <is>
          <t>台</t>
        </is>
      </c>
      <c r="F138" s="23" t="n">
        <v>1</v>
      </c>
      <c r="G138" s="349">
        <f>IF(AND(B138="",C138=""),"",ROUND(M138*L138*N138,2))</f>
        <v/>
      </c>
      <c r="H138" s="349">
        <f>IF(AND(B138="",C138=""),"",ROUND(F138*G138,2))</f>
        <v/>
      </c>
      <c r="I138" s="179" t="inlineStr"/>
      <c r="J138" s="397">
        <f>IF(AND(B138="",C138=""),"",ROUND(M138*N138,2))</f>
        <v/>
      </c>
      <c r="K138" s="398">
        <f>IF(AND(B138="",C138=""),"",ROUND(J138*F138,2))</f>
        <v/>
      </c>
      <c r="L138" s="141" t="n">
        <v>1</v>
      </c>
      <c r="M138" s="399" t="n">
        <v>5676</v>
      </c>
      <c r="N138" s="154" t="n">
        <v>1</v>
      </c>
      <c r="O138" s="155">
        <f>IF(AND(B138="",C138=""),"",IF(G138&gt;=20000,0.05,IF(G138&gt;=10000,0.1,IF(G138&gt;=5000,0.2,IF(G138&gt;=1000,0.3,IF(G138&gt;=0,0.4,{0}))))))</f>
        <v/>
      </c>
      <c r="P138" s="400">
        <f>IF(AND(B138="",C138=""),"",ROUND(H138*O138,2))</f>
        <v/>
      </c>
      <c r="Q138" s="401" t="inlineStr">
        <is>
          <t>箱体</t>
        </is>
      </c>
      <c r="R138" s="168" t="inlineStr"/>
      <c r="S138" s="168" t="inlineStr"/>
      <c r="T138" s="168" t="inlineStr">
        <is>
          <t>0</t>
        </is>
      </c>
      <c r="U138" s="168" t="inlineStr"/>
      <c r="V138" s="402" t="n"/>
      <c r="W138" s="402" t="n"/>
      <c r="X138" s="170" t="inlineStr"/>
    </row>
    <row r="139" customFormat="1" s="3">
      <c r="A139" s="64">
        <f>ROW()-ROW(A$117)</f>
        <v/>
      </c>
      <c r="B139" s="27" t="inlineStr"/>
      <c r="C139" s="27" t="inlineStr"/>
      <c r="D139" s="27" t="inlineStr"/>
      <c r="E139" s="28" t="n"/>
      <c r="F139" s="28">
        <f>IF(AND(B139="",C139=""),"",1)</f>
        <v/>
      </c>
      <c r="G139" s="353">
        <f>IF(AND(B139="",C139=""),"",ROUND(M139*L139*N139,2))</f>
        <v/>
      </c>
      <c r="H139" s="353">
        <f>IF(AND(B139="",C139=""),"",ROUND(F139*G139,2))</f>
        <v/>
      </c>
      <c r="I139" s="180" t="inlineStr"/>
      <c r="J139" s="392">
        <f>IF(AND(B139="",C139=""),"",ROUND(M139*N139,2))</f>
        <v/>
      </c>
      <c r="K139" s="393">
        <f>IF(AND(B139="",C139=""),"",ROUND(J139*F139,2))</f>
        <v/>
      </c>
      <c r="L139" s="141">
        <f>IF(AND(B139="",C139=""),"",1)</f>
        <v/>
      </c>
      <c r="M139" s="394" t="n"/>
      <c r="N139" s="143">
        <f>IF(AND(B139="",C139=""),"",1)</f>
        <v/>
      </c>
      <c r="O139" s="144">
        <f>IF(AND(B139="",C139=""),"",IF(J139&gt;=20000,0.05,IF(J139&gt;=10000,0.1,IF(J139&gt;=5000,0.2,IF(J139&gt;=1000,0.3,IF(J139&gt;=0,0.4,{0}))))))</f>
        <v/>
      </c>
      <c r="P139" s="395">
        <f>IF(AND(B139="",C139=""),"",ROUND(H139*O139,2))</f>
        <v/>
      </c>
      <c r="Q139" s="390">
        <f>IF(AND(B139="",C139=""),"","元件")</f>
        <v/>
      </c>
      <c r="R139" s="164" t="inlineStr"/>
      <c r="S139" s="164" t="inlineStr"/>
      <c r="T139" s="164" t="inlineStr"/>
      <c r="U139" s="164" t="inlineStr"/>
      <c r="V139" s="391" t="n"/>
      <c r="W139" s="391" t="n"/>
      <c r="X139" s="166" t="inlineStr"/>
    </row>
    <row r="140" customFormat="1" s="3">
      <c r="A140" s="64">
        <f>ROW()-ROW(A$117)</f>
        <v/>
      </c>
      <c r="B140" s="27" t="inlineStr"/>
      <c r="C140" s="27" t="inlineStr"/>
      <c r="D140" s="27" t="inlineStr"/>
      <c r="E140" s="28" t="n"/>
      <c r="F140" s="28">
        <f>IF(AND(B140="",C140=""),"",1)</f>
        <v/>
      </c>
      <c r="G140" s="353">
        <f>IF(AND(B140="",C140=""),"",ROUND(M140*L140*N140,2))</f>
        <v/>
      </c>
      <c r="H140" s="353">
        <f>IF(AND(B140="",C140=""),"",ROUND(F140*G140,2))</f>
        <v/>
      </c>
      <c r="I140" s="180" t="inlineStr"/>
      <c r="J140" s="392">
        <f>IF(AND(B140="",C140=""),"",ROUND(M140*N140,2))</f>
        <v/>
      </c>
      <c r="K140" s="393">
        <f>IF(AND(B140="",C140=""),"",ROUND(J140*F140,2))</f>
        <v/>
      </c>
      <c r="L140" s="141">
        <f>IF(AND(B140="",C140=""),"",1)</f>
        <v/>
      </c>
      <c r="M140" s="394" t="n"/>
      <c r="N140" s="143">
        <f>IF(AND(B140="",C140=""),"",1)</f>
        <v/>
      </c>
      <c r="O140" s="144">
        <f>IF(AND(B140="",C140=""),"",IF(J140&gt;=20000,0.05,IF(J140&gt;=10000,0.1,IF(J140&gt;=5000,0.2,IF(J140&gt;=1000,0.3,IF(J140&gt;=0,0.4,{0}))))))</f>
        <v/>
      </c>
      <c r="P140" s="395">
        <f>IF(AND(B140="",C140=""),"",ROUND(H140*O140,2))</f>
        <v/>
      </c>
      <c r="Q140" s="390">
        <f>IF(AND(B140="",C140=""),"","元件")</f>
        <v/>
      </c>
      <c r="R140" s="164" t="inlineStr"/>
      <c r="S140" s="164" t="inlineStr"/>
      <c r="T140" s="164" t="inlineStr"/>
      <c r="U140" s="164" t="inlineStr"/>
      <c r="V140" s="391" t="n"/>
      <c r="W140" s="391" t="n"/>
      <c r="X140" s="166" t="inlineStr"/>
    </row>
    <row r="141" customFormat="1" s="3">
      <c r="A141" s="64">
        <f>ROW()-ROW(A$117)</f>
        <v/>
      </c>
      <c r="B141" s="171" t="inlineStr">
        <is>
          <t>小计</t>
        </is>
      </c>
      <c r="C141" s="172" t="n"/>
      <c r="D141" s="82" t="n"/>
      <c r="E141" s="28" t="n"/>
      <c r="F141" s="28" t="n"/>
      <c r="G141" s="353" t="n"/>
      <c r="H141" s="353">
        <f>ROUND(SUM(H117:INDEX(H:H,ROW()-1)),2)</f>
        <v/>
      </c>
      <c r="I141" s="45" t="inlineStr"/>
      <c r="J141" s="392" t="n"/>
      <c r="K141" s="393">
        <f>ROUND(SUM(K117:INDEX(K:K,ROW()-1)),2)</f>
        <v/>
      </c>
      <c r="L141" s="141" t="n"/>
      <c r="M141" s="394" t="n"/>
      <c r="N141" s="143" t="n"/>
      <c r="O141" s="144" t="n"/>
      <c r="P141" s="395" t="n"/>
      <c r="Q141" s="390" t="n"/>
      <c r="R141" s="164" t="inlineStr"/>
      <c r="S141" s="164" t="inlineStr"/>
      <c r="T141" s="164" t="inlineStr"/>
      <c r="U141" s="164" t="inlineStr"/>
      <c r="V141" s="391">
        <f>ROUND(SUMPRODUCT(F117:INDEX(F:F,ROW()-1),V117:INDEX(V:V,ROW()-1)),2)</f>
        <v/>
      </c>
      <c r="W141" s="391">
        <f>ROUND(SUMPRODUCT(F117:INDEX(F:F,ROW()-1),W117:INDEX(W:W,ROW()-1)),2)</f>
        <v/>
      </c>
      <c r="X141" s="166" t="inlineStr"/>
    </row>
    <row r="142" customFormat="1" s="3">
      <c r="A142" s="64">
        <f>ROW()-ROW(A$117)</f>
        <v/>
      </c>
      <c r="B142" s="171" t="inlineStr">
        <is>
          <t>综合费(人工、管理、税金、利润等)</t>
        </is>
      </c>
      <c r="C142" s="172" t="n"/>
      <c r="D142" s="82" t="n"/>
      <c r="E142" s="28" t="n"/>
      <c r="F142" s="28" t="n"/>
      <c r="G142" s="353" t="n"/>
      <c r="H142" s="353">
        <f>2500</f>
        <v/>
      </c>
      <c r="I142" s="45" t="inlineStr"/>
      <c r="J142" s="392" t="n"/>
      <c r="K142" s="393" t="n"/>
      <c r="L142" s="141" t="n"/>
      <c r="M142" s="394" t="n"/>
      <c r="N142" s="143" t="n"/>
      <c r="O142" s="144" t="n"/>
      <c r="P142" s="395" t="n"/>
      <c r="Q142" s="390" t="inlineStr">
        <is>
          <t>费用</t>
        </is>
      </c>
      <c r="R142" s="164" t="inlineStr"/>
      <c r="S142" s="164" t="inlineStr"/>
      <c r="T142" s="164" t="inlineStr"/>
      <c r="U142" s="164" t="inlineStr"/>
      <c r="V142" s="391" t="n"/>
      <c r="W142" s="391" t="n"/>
      <c r="X142" s="166" t="inlineStr"/>
    </row>
    <row r="143" customFormat="1" s="3">
      <c r="A143" s="64">
        <f>ROW()-ROW(A$117)</f>
        <v/>
      </c>
      <c r="B143" s="82" t="inlineStr">
        <is>
          <t>单台合计</t>
        </is>
      </c>
      <c r="C143" s="172" t="n"/>
      <c r="D143" s="82" t="n"/>
      <c r="E143" s="28" t="n"/>
      <c r="F143" s="28" t="n"/>
      <c r="G143" s="353" t="n"/>
      <c r="H143" s="353">
        <f>ROUND(SUM(H141:H142),2)</f>
        <v/>
      </c>
      <c r="I143" s="181" t="n"/>
      <c r="J143" s="392" t="n"/>
      <c r="K143" s="393">
        <f>ROUND(SUM(K141:K142),2)</f>
        <v/>
      </c>
      <c r="L143" s="182" t="n"/>
      <c r="M143" s="394" t="n"/>
      <c r="N143" s="183" t="n"/>
      <c r="O143" s="184" t="n"/>
      <c r="P143" s="395" t="n"/>
      <c r="Q143" s="390" t="n"/>
      <c r="R143" s="164" t="inlineStr"/>
      <c r="S143" s="164" t="inlineStr"/>
      <c r="T143" s="164" t="inlineStr"/>
      <c r="U143" s="164" t="inlineStr"/>
      <c r="V143" s="391" t="n"/>
      <c r="W143" s="391" t="n"/>
      <c r="X143" s="166" t="inlineStr"/>
    </row>
    <row r="144" customFormat="1" s="3">
      <c r="A144" s="173" t="inlineStr">
        <is>
          <t>总计</t>
        </is>
      </c>
      <c r="B144" s="174" t="n"/>
      <c r="C144" s="175" t="n"/>
      <c r="D144" s="176" t="n"/>
      <c r="E144" s="176" t="inlineStr">
        <is>
          <t>台</t>
        </is>
      </c>
      <c r="F144" s="176" t="n">
        <v>2</v>
      </c>
      <c r="G144" s="403">
        <f>ROUND(H143,2)</f>
        <v/>
      </c>
      <c r="H144" s="403">
        <f>ROUND(F144*G144,2)</f>
        <v/>
      </c>
      <c r="I144" s="185" t="n"/>
      <c r="J144" s="404" t="n"/>
      <c r="K144" s="405">
        <f>ROUND(K143*F144,2)</f>
        <v/>
      </c>
      <c r="L144" s="188" t="n"/>
      <c r="M144" s="406" t="n"/>
      <c r="N144" s="190" t="n"/>
      <c r="O144" s="191" t="n"/>
      <c r="P144" s="407" t="n"/>
      <c r="Q144" s="390" t="n"/>
      <c r="R144" s="164" t="inlineStr"/>
      <c r="S144" s="164" t="inlineStr"/>
      <c r="T144" s="164" t="inlineStr"/>
      <c r="U144" s="164" t="inlineStr"/>
      <c r="V144" s="391" t="n"/>
      <c r="W144" s="391" t="n"/>
      <c r="X144" s="166" t="inlineStr"/>
    </row>
    <row r="145" customFormat="1" s="2">
      <c r="A145" s="89" t="n"/>
      <c r="B145" s="132" t="inlineStr"/>
      <c r="C145" s="132" t="inlineStr"/>
      <c r="D145" s="132" t="inlineStr"/>
      <c r="Q145" s="160" t="n"/>
      <c r="R145" s="160" t="n"/>
      <c r="S145" s="160" t="n"/>
      <c r="T145" s="160" t="n"/>
      <c r="U145" s="160" t="n"/>
      <c r="X145" s="132" t="inlineStr"/>
    </row>
    <row r="146" customFormat="1" s="2">
      <c r="A146" s="89" t="n"/>
      <c r="B146" s="132" t="inlineStr"/>
      <c r="C146" s="132" t="inlineStr"/>
      <c r="D146" s="132" t="inlineStr"/>
      <c r="Q146" s="160" t="n"/>
      <c r="R146" s="160" t="n"/>
      <c r="S146" s="160" t="n"/>
      <c r="T146" s="160" t="n"/>
      <c r="U146" s="160" t="n"/>
      <c r="X146" s="132" t="inlineStr"/>
    </row>
    <row r="147" customFormat="1" s="3">
      <c r="A147" s="92">
        <f>CONCATENATE("报价人：",项目信息!$B$8)</f>
        <v/>
      </c>
      <c r="B147" s="92" t="n"/>
      <c r="C147" s="2" t="n"/>
      <c r="D147" s="2" t="n"/>
      <c r="E147" s="2" t="n"/>
      <c r="F147" s="2" t="n"/>
      <c r="G147" s="2" t="n"/>
      <c r="H147" s="178">
        <f>项目信息!$B$9</f>
        <v/>
      </c>
      <c r="Q147" s="160" t="n"/>
      <c r="R147" s="160" t="n"/>
      <c r="S147" s="160" t="n"/>
      <c r="T147" s="160" t="n"/>
      <c r="U147" s="160" t="n"/>
      <c r="X147" s="162" t="inlineStr"/>
    </row>
    <row r="148" s="308">
      <c r="A148" s="8">
        <f>T(项目信息!$B$22)</f>
        <v/>
      </c>
      <c r="Q148" s="159" t="n"/>
      <c r="R148" s="159" t="n"/>
      <c r="S148" s="159" t="n"/>
      <c r="T148" s="159" t="n"/>
      <c r="U148" s="159" t="n"/>
    </row>
    <row r="149" s="308">
      <c r="A149" s="9">
        <f>T(项目信息!$B$23)</f>
        <v/>
      </c>
      <c r="Q149" s="159" t="n"/>
      <c r="R149" s="159" t="n"/>
      <c r="S149" s="159" t="n"/>
      <c r="T149" s="159" t="n"/>
      <c r="U149" s="159" t="n"/>
    </row>
    <row r="150" s="308">
      <c r="A150" s="97" t="inlineStr">
        <is>
          <t>成套产品报价明细表</t>
        </is>
      </c>
      <c r="B150" s="378" t="n"/>
      <c r="C150" s="378" t="n"/>
      <c r="D150" s="378" t="n"/>
      <c r="E150" s="378" t="n"/>
      <c r="F150" s="378" t="n"/>
      <c r="G150" s="378" t="n"/>
      <c r="H150" s="378" t="n"/>
      <c r="I150" s="378" t="n"/>
      <c r="Q150" s="159" t="n"/>
      <c r="R150" s="159" t="n"/>
      <c r="S150" s="159" t="n"/>
      <c r="T150" s="159" t="n"/>
      <c r="U150" s="159" t="n"/>
    </row>
    <row r="151" customFormat="1" s="2">
      <c r="A151" s="98" t="inlineStr">
        <is>
          <t>柜号:</t>
        </is>
      </c>
      <c r="B151" s="99" t="inlineStr">
        <is>
          <t>AAN1-02、BAN2-02</t>
        </is>
      </c>
      <c r="C151" s="100" t="inlineStr">
        <is>
          <t>型号:</t>
        </is>
      </c>
      <c r="D151" s="99" t="inlineStr">
        <is>
          <t>BlokSeT</t>
        </is>
      </c>
      <c r="E151" s="379" t="n"/>
      <c r="F151" s="101" t="inlineStr">
        <is>
          <t>名称:</t>
        </is>
      </c>
      <c r="G151" s="99" t="inlineStr">
        <is>
          <t>联络柜</t>
        </is>
      </c>
      <c r="H151" s="379" t="n"/>
      <c r="I151" s="380" t="inlineStr"/>
      <c r="J151" s="131" t="inlineStr">
        <is>
          <t>箱柜尺寸:</t>
        </is>
      </c>
      <c r="K151" s="132" t="inlineStr">
        <is>
          <t>700W*1200D*2200H</t>
        </is>
      </c>
      <c r="L151" s="131" t="inlineStr">
        <is>
          <t>类别:</t>
        </is>
      </c>
      <c r="M151" s="132" t="inlineStr">
        <is>
          <t>低压固定柜</t>
        </is>
      </c>
      <c r="N151" s="381" t="inlineStr"/>
      <c r="Q151" s="160" t="n"/>
      <c r="R151" s="160" t="n"/>
      <c r="S151" s="160" t="n"/>
      <c r="T151" s="160" t="n"/>
      <c r="U151" s="160" t="n"/>
    </row>
    <row r="152" ht="20.1" customFormat="1" customHeight="1" s="3">
      <c r="A152" s="102" t="inlineStr">
        <is>
          <t>序号</t>
        </is>
      </c>
      <c r="B152" s="103" t="inlineStr">
        <is>
          <t>元件名称</t>
        </is>
      </c>
      <c r="C152" s="103" t="inlineStr">
        <is>
          <t>型号规格</t>
        </is>
      </c>
      <c r="D152" s="104" t="inlineStr">
        <is>
          <t>生产厂家</t>
        </is>
      </c>
      <c r="E152" s="105" t="inlineStr">
        <is>
          <t>单位</t>
        </is>
      </c>
      <c r="F152" s="105" t="inlineStr">
        <is>
          <t>数量</t>
        </is>
      </c>
      <c r="G152" s="382" t="inlineStr">
        <is>
          <t>单   价</t>
        </is>
      </c>
      <c r="H152" s="383" t="inlineStr">
        <is>
          <t>总   价</t>
        </is>
      </c>
      <c r="I152" s="134" t="inlineStr">
        <is>
          <t>备注</t>
        </is>
      </c>
      <c r="J152" s="384" t="inlineStr">
        <is>
          <t>成本单价</t>
        </is>
      </c>
      <c r="K152" s="384" t="inlineStr">
        <is>
          <t>成本总价</t>
        </is>
      </c>
      <c r="L152" s="136" t="inlineStr">
        <is>
          <t>报出
系数</t>
        </is>
      </c>
      <c r="M152" s="384" t="inlineStr">
        <is>
          <t>表价</t>
        </is>
      </c>
      <c r="N152" s="136" t="inlineStr">
        <is>
          <t>折扣
系数</t>
        </is>
      </c>
      <c r="O152" s="137" t="inlineStr">
        <is>
          <t>取费
系数</t>
        </is>
      </c>
      <c r="P152" s="384" t="inlineStr">
        <is>
          <t>成套费</t>
        </is>
      </c>
      <c r="Q152" s="161" t="inlineStr">
        <is>
          <t>类别</t>
        </is>
      </c>
      <c r="R152" s="161" t="inlineStr">
        <is>
          <t>物料编码</t>
        </is>
      </c>
      <c r="S152" s="161" t="inlineStr">
        <is>
          <t>产地</t>
        </is>
      </c>
      <c r="T152" s="161" t="inlineStr">
        <is>
          <t>加工费</t>
        </is>
      </c>
      <c r="U152" s="161" t="inlineStr">
        <is>
          <t>订货号</t>
        </is>
      </c>
      <c r="V152" s="161" t="inlineStr">
        <is>
          <t>人工</t>
        </is>
      </c>
      <c r="W152" s="161" t="inlineStr">
        <is>
          <t>辅料</t>
        </is>
      </c>
      <c r="X152" s="162" t="inlineStr"/>
    </row>
    <row r="153" customFormat="1" s="3">
      <c r="A153" s="108">
        <f>ROW()-ROW(A$152)</f>
        <v/>
      </c>
      <c r="B153" s="109" t="inlineStr">
        <is>
          <t>双电源</t>
        </is>
      </c>
      <c r="C153" s="109" t="inlineStr">
        <is>
          <t>MT40 H1 3P MIC 5.0 E</t>
        </is>
      </c>
      <c r="D153" s="22" t="inlineStr">
        <is>
          <t>甲供/施耐德电气</t>
        </is>
      </c>
      <c r="E153" s="110" t="inlineStr">
        <is>
          <t>只</t>
        </is>
      </c>
      <c r="F153" s="110" t="n">
        <v>1</v>
      </c>
      <c r="G153" s="385">
        <f>IF(AND(B153="",C153=""),"",ROUND(M153*L153*N153,2))</f>
        <v/>
      </c>
      <c r="H153" s="385">
        <f>IF(AND(B153="",C153=""),"",ROUND(F153*G153,2))</f>
        <v/>
      </c>
      <c r="I153" s="138" t="inlineStr"/>
      <c r="J153" s="386">
        <f>IF(AND(B153="",C153=""),"",ROUND(M153*N153,2))</f>
        <v/>
      </c>
      <c r="K153" s="387">
        <f>IF(AND(B153="",C153=""),"",ROUND(J153*F153,2))</f>
        <v/>
      </c>
      <c r="L153" s="141" t="n">
        <v>1</v>
      </c>
      <c r="M153" s="388" t="n">
        <v>1e-07</v>
      </c>
      <c r="N153" s="143" t="n">
        <v>1</v>
      </c>
      <c r="O153" s="144">
        <f>IF(AND(B153="",C153=""),"",IF(G153&gt;=20000,0.05,IF(G153&gt;=10000,0.1,IF(G153&gt;=5000,0.2,IF(G153&gt;=1000,0.3,IF(G153&gt;=0,0.4,{0}))))))</f>
        <v/>
      </c>
      <c r="P153" s="389">
        <f>IF(AND(B153="",C153=""),"",ROUND(H153*O153,2))</f>
        <v/>
      </c>
      <c r="Q153" s="390" t="inlineStr">
        <is>
          <t>元件</t>
        </is>
      </c>
      <c r="R153" s="164" t="inlineStr"/>
      <c r="S153" s="164" t="inlineStr"/>
      <c r="T153" s="164" t="inlineStr">
        <is>
          <t>0</t>
        </is>
      </c>
      <c r="U153" s="164" t="inlineStr">
        <is>
          <t>48327+48500+33542+48527+48494+48484+48408+48603+48170+48175+48384</t>
        </is>
      </c>
      <c r="V153" s="391" t="n"/>
      <c r="W153" s="391" t="n"/>
      <c r="X153"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154" customFormat="1" s="3">
      <c r="A154" s="64">
        <f>ROW()-ROW(A$152)</f>
        <v/>
      </c>
      <c r="B154" s="27" t="inlineStr">
        <is>
          <t>多功能表</t>
        </is>
      </c>
      <c r="C154" s="22" t="inlineStr">
        <is>
          <t>PM4101</t>
        </is>
      </c>
      <c r="D154" s="22" t="inlineStr">
        <is>
          <t>甲供/施耐德电气</t>
        </is>
      </c>
      <c r="E154" s="110" t="inlineStr">
        <is>
          <t>只</t>
        </is>
      </c>
      <c r="F154" s="23" t="n">
        <v>1</v>
      </c>
      <c r="G154" s="353">
        <f>IF(AND(B154="",C154=""),"",ROUND(M154*L154*N154,2))</f>
        <v/>
      </c>
      <c r="H154" s="349">
        <f>IF(AND(B154="",C154=""),"",ROUND(F154*G154,2))</f>
        <v/>
      </c>
      <c r="I154" s="45" t="inlineStr"/>
      <c r="J154" s="392">
        <f>IF(AND(B154="",C154=""),"",ROUND(M154*N154,2))</f>
        <v/>
      </c>
      <c r="K154" s="393">
        <f>IF(AND(B154="",C154=""),"",ROUND(J154*F154,2))</f>
        <v/>
      </c>
      <c r="L154" s="141" t="n">
        <v>1</v>
      </c>
      <c r="M154" s="394" t="n">
        <v>1e-07</v>
      </c>
      <c r="N154" s="143" t="n">
        <v>1</v>
      </c>
      <c r="O154" s="144">
        <f>IF(AND(B154="",C154=""),"",IF(G154&gt;=20000,0.05,IF(G154&gt;=10000,0.1,IF(G154&gt;=5000,0.2,IF(G154&gt;=1000,0.3,IF(G154&gt;=0,0.4,{0}))))))</f>
        <v/>
      </c>
      <c r="P154" s="395">
        <f>IF(AND(B154="",C154=""),"",ROUND(H154*O154,2))</f>
        <v/>
      </c>
      <c r="Q154" s="390" t="inlineStr">
        <is>
          <t>元件</t>
        </is>
      </c>
      <c r="R154" s="164" t="inlineStr"/>
      <c r="S154" s="164" t="inlineStr"/>
      <c r="T154" s="164" t="inlineStr">
        <is>
          <t>0</t>
        </is>
      </c>
      <c r="U154" s="164" t="inlineStr">
        <is>
          <t>True</t>
        </is>
      </c>
      <c r="V154" s="391" t="n"/>
      <c r="W154" s="391" t="n"/>
      <c r="X154" s="166" t="inlineStr">
        <is>
          <t>PM→PM4633→PM4201</t>
        </is>
      </c>
    </row>
    <row r="155" customFormat="1" s="3">
      <c r="A155" s="64">
        <f>ROW()-ROW(A$152)</f>
        <v/>
      </c>
      <c r="B155" s="27" t="inlineStr">
        <is>
          <t>电流互感器</t>
        </is>
      </c>
      <c r="C155" s="22" t="inlineStr">
        <is>
          <t>SD-0.66-130III-V 4000/5A</t>
        </is>
      </c>
      <c r="D155" s="27" t="inlineStr">
        <is>
          <t>桑迪</t>
        </is>
      </c>
      <c r="E155" s="110" t="inlineStr">
        <is>
          <t>只</t>
        </is>
      </c>
      <c r="F155" s="23" t="n">
        <v>3</v>
      </c>
      <c r="G155" s="349">
        <f>IF(AND(B155="",C155=""),"",ROUND(M155*L155*N155,2))</f>
        <v/>
      </c>
      <c r="H155" s="349">
        <f>IF(AND(B155="",C155=""),"",ROUND(F155*G155,2))</f>
        <v/>
      </c>
      <c r="I155" s="45" t="inlineStr"/>
      <c r="J155" s="392">
        <f>IF(AND(B155="",C155=""),"",ROUND(M155*N155,2))</f>
        <v/>
      </c>
      <c r="K155" s="393">
        <f>IF(AND(B155="",C155=""),"",ROUND(J155*F155,2))</f>
        <v/>
      </c>
      <c r="L155" s="141" t="n">
        <v>1</v>
      </c>
      <c r="M155" s="394" t="n">
        <v>217.75</v>
      </c>
      <c r="N155" s="143" t="n">
        <v>1</v>
      </c>
      <c r="O155" s="144">
        <f>IF(AND(B155="",C155=""),"",IF(G155&gt;=20000,0.05,IF(G155&gt;=10000,0.1,IF(G155&gt;=5000,0.2,IF(G155&gt;=1000,0.3,IF(G155&gt;=0,0.4,{0}))))))</f>
        <v/>
      </c>
      <c r="P155" s="395">
        <f>IF(AND(B155="",C155=""),"",ROUND(H155*O155,2))</f>
        <v/>
      </c>
      <c r="Q155" s="390" t="inlineStr">
        <is>
          <t>元件</t>
        </is>
      </c>
      <c r="R155" s="164" t="inlineStr"/>
      <c r="S155" s="164" t="inlineStr"/>
      <c r="T155" s="164" t="inlineStr">
        <is>
          <t>0</t>
        </is>
      </c>
      <c r="U155" s="164" t="inlineStr">
        <is>
          <t>710141426552500</t>
        </is>
      </c>
      <c r="V155" s="391" t="n"/>
      <c r="W155" s="391" t="n"/>
      <c r="X155"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1600/5A→SD-0.66-160III-C 5000/5A</t>
        </is>
      </c>
    </row>
    <row r="156" s="308">
      <c r="A156" s="64">
        <f>ROW()-ROW(A$152)</f>
        <v/>
      </c>
      <c r="B156" s="112" t="inlineStr">
        <is>
          <t>温湿度控制器</t>
        </is>
      </c>
      <c r="C156" s="112" t="inlineStr">
        <is>
          <t>ATH48G-11</t>
        </is>
      </c>
      <c r="D156" s="22" t="inlineStr">
        <is>
          <t>杭州安廷</t>
        </is>
      </c>
      <c r="E156" s="23" t="inlineStr">
        <is>
          <t>套</t>
        </is>
      </c>
      <c r="F156" s="23" t="n">
        <v>1</v>
      </c>
      <c r="G156" s="349">
        <f>IF(AND(B156="",C156=""),"",ROUND(M156*L156*N156,2))</f>
        <v/>
      </c>
      <c r="H156" s="396">
        <f>IF(AND(B156="",C156=""),"",ROUND(F156*G156,2))</f>
        <v/>
      </c>
      <c r="I156" s="150" t="inlineStr"/>
      <c r="J156" s="397">
        <f>IF(AND(B156="",C156=""),"",ROUND(M156*N156,2))</f>
        <v/>
      </c>
      <c r="K156" s="398">
        <f>IF(AND(B156="",C156=""),"",ROUND(J156*F156,2))</f>
        <v/>
      </c>
      <c r="L156" s="141" t="n">
        <v>1</v>
      </c>
      <c r="M156" s="399" t="n">
        <v>450</v>
      </c>
      <c r="N156" s="154" t="n">
        <v>1</v>
      </c>
      <c r="O156" s="155">
        <f>IF(AND(B156="",C156=""),"",IF(G156&gt;=20000,0.05,IF(G156&gt;=10000,0.1,IF(G156&gt;=5000,0.2,IF(G156&gt;=1000,0.3,IF(G156&gt;=0,0.4,{0}))))))</f>
        <v/>
      </c>
      <c r="P156" s="400">
        <f>IF(AND(B156="",C156=""),"",ROUND(H156*O156,2))</f>
        <v/>
      </c>
      <c r="Q156" s="401" t="inlineStr">
        <is>
          <t>元件</t>
        </is>
      </c>
      <c r="R156" s="168" t="inlineStr"/>
      <c r="S156" s="168" t="inlineStr"/>
      <c r="T156" s="168" t="inlineStr">
        <is>
          <t>0</t>
        </is>
      </c>
      <c r="U156" s="168" t="inlineStr"/>
      <c r="V156" s="402" t="n"/>
      <c r="W156" s="402" t="n"/>
      <c r="X156" s="170" t="inlineStr"/>
    </row>
    <row r="157" s="308">
      <c r="A157" s="64">
        <f>ROW()-ROW(A$152)</f>
        <v/>
      </c>
      <c r="B157" s="112" t="inlineStr">
        <is>
          <t>指示灯</t>
        </is>
      </c>
      <c r="C157" s="112" t="inlineStr">
        <is>
          <t>XB2BVM3LC</t>
        </is>
      </c>
      <c r="D157" s="112" t="inlineStr">
        <is>
          <t>甲供/施耐德电气</t>
        </is>
      </c>
      <c r="E157" s="114" t="inlineStr">
        <is>
          <t>只</t>
        </is>
      </c>
      <c r="F157" s="114" t="n">
        <v>1</v>
      </c>
      <c r="G157" s="396">
        <f>IF(AND(B157="",C157=""),"",ROUND(M157*L157*N157,2))</f>
        <v/>
      </c>
      <c r="H157" s="396">
        <f>IF(AND(B157="",C157=""),"",ROUND(F157*G157,2))</f>
        <v/>
      </c>
      <c r="I157" s="150" t="inlineStr"/>
      <c r="J157" s="397">
        <f>IF(AND(B157="",C157=""),"",ROUND(M157*N157,2))</f>
        <v/>
      </c>
      <c r="K157" s="398">
        <f>IF(AND(B157="",C157=""),"",ROUND(J157*F157,2))</f>
        <v/>
      </c>
      <c r="L157" s="141" t="n">
        <v>1</v>
      </c>
      <c r="M157" s="399" t="n">
        <v>1e-07</v>
      </c>
      <c r="N157" s="154" t="n">
        <v>1</v>
      </c>
      <c r="O157" s="155">
        <f>IF(AND(B157="",C157=""),"",IF(G157&gt;=20000,0.05,IF(G157&gt;=10000,0.1,IF(G157&gt;=5000,0.2,IF(G157&gt;=1000,0.3,IF(G157&gt;=0,0.4,{0}))))))</f>
        <v/>
      </c>
      <c r="P157" s="400">
        <f>IF(AND(B157="",C157=""),"",ROUND(H157*O157,2))</f>
        <v/>
      </c>
      <c r="Q157" s="401" t="inlineStr">
        <is>
          <t>元件</t>
        </is>
      </c>
      <c r="R157" s="168" t="inlineStr"/>
      <c r="S157" s="168" t="inlineStr"/>
      <c r="T157" s="168" t="inlineStr">
        <is>
          <t>0</t>
        </is>
      </c>
      <c r="U157" s="168" t="inlineStr">
        <is>
          <t>XA2EVM3LC</t>
        </is>
      </c>
      <c r="V157" s="402" t="n"/>
      <c r="W157" s="402" t="n"/>
      <c r="X157" s="170" t="inlineStr"/>
    </row>
    <row r="158" s="308">
      <c r="A158" s="64">
        <f>ROW()-ROW(A$152)</f>
        <v/>
      </c>
      <c r="B158" s="112" t="inlineStr">
        <is>
          <t>指示灯</t>
        </is>
      </c>
      <c r="C158" s="22" t="inlineStr">
        <is>
          <t>XB2BVM4LC</t>
        </is>
      </c>
      <c r="D158" s="112" t="inlineStr">
        <is>
          <t>甲供/施耐德电气</t>
        </is>
      </c>
      <c r="E158" s="114" t="inlineStr">
        <is>
          <t>只</t>
        </is>
      </c>
      <c r="F158" s="114" t="n">
        <v>1</v>
      </c>
      <c r="G158" s="396">
        <f>IF(AND(B158="",C158=""),"",ROUND(M158*L158*N158,2))</f>
        <v/>
      </c>
      <c r="H158" s="396">
        <f>IF(AND(B158="",C158=""),"",ROUND(F158*G158,2))</f>
        <v/>
      </c>
      <c r="I158" s="150" t="inlineStr"/>
      <c r="J158" s="397">
        <f>IF(AND(B158="",C158=""),"",ROUND(M158*N158,2))</f>
        <v/>
      </c>
      <c r="K158" s="398">
        <f>IF(AND(B158="",C158=""),"",ROUND(J158*F158,2))</f>
        <v/>
      </c>
      <c r="L158" s="141" t="n">
        <v>1</v>
      </c>
      <c r="M158" s="399" t="n">
        <v>1e-07</v>
      </c>
      <c r="N158" s="154" t="n">
        <v>1</v>
      </c>
      <c r="O158" s="155">
        <f>IF(AND(B158="",C158=""),"",IF(G158&gt;=20000,0.05,IF(G158&gt;=10000,0.1,IF(G158&gt;=5000,0.2,IF(G158&gt;=1000,0.3,IF(G158&gt;=0,0.4,{0}))))))</f>
        <v/>
      </c>
      <c r="P158" s="400">
        <f>IF(AND(B158="",C158=""),"",ROUND(H158*O158,2))</f>
        <v/>
      </c>
      <c r="Q158" s="401" t="inlineStr">
        <is>
          <t>元件</t>
        </is>
      </c>
      <c r="R158" s="168" t="inlineStr"/>
      <c r="S158" s="168" t="inlineStr"/>
      <c r="T158" s="168" t="inlineStr">
        <is>
          <t>0</t>
        </is>
      </c>
      <c r="U158" s="168" t="inlineStr">
        <is>
          <t>XA2EVM4LC</t>
        </is>
      </c>
      <c r="V158" s="402" t="n"/>
      <c r="W158" s="402" t="n"/>
      <c r="X158" s="170" t="inlineStr"/>
    </row>
    <row r="159" s="308">
      <c r="A159" s="64">
        <f>ROW()-ROW(A$152)</f>
        <v/>
      </c>
      <c r="B159" s="112" t="inlineStr">
        <is>
          <t>指示灯</t>
        </is>
      </c>
      <c r="C159" s="112" t="inlineStr">
        <is>
          <t>XB2BVM5LC</t>
        </is>
      </c>
      <c r="D159" s="112" t="inlineStr">
        <is>
          <t>甲供/施耐德电气</t>
        </is>
      </c>
      <c r="E159" s="114" t="inlineStr">
        <is>
          <t>只</t>
        </is>
      </c>
      <c r="F159" s="114" t="n">
        <v>1</v>
      </c>
      <c r="G159" s="396">
        <f>IF(AND(B159="",C159=""),"",ROUND(M159*L159*N159,2))</f>
        <v/>
      </c>
      <c r="H159" s="396">
        <f>IF(AND(B159="",C159=""),"",ROUND(F159*G159,2))</f>
        <v/>
      </c>
      <c r="I159" s="150" t="inlineStr"/>
      <c r="J159" s="397">
        <f>IF(AND(B159="",C159=""),"",ROUND(M159*N159,2))</f>
        <v/>
      </c>
      <c r="K159" s="398">
        <f>IF(AND(B159="",C159=""),"",ROUND(J159*F159,2))</f>
        <v/>
      </c>
      <c r="L159" s="141" t="n">
        <v>1</v>
      </c>
      <c r="M159" s="399" t="n">
        <v>1e-07</v>
      </c>
      <c r="N159" s="154" t="n">
        <v>1</v>
      </c>
      <c r="O159" s="155">
        <f>IF(AND(B159="",C159=""),"",IF(G159&gt;=20000,0.05,IF(G159&gt;=10000,0.1,IF(G159&gt;=5000,0.2,IF(G159&gt;=1000,0.3,IF(G159&gt;=0,0.4,{0}))))))</f>
        <v/>
      </c>
      <c r="P159" s="400">
        <f>IF(AND(B159="",C159=""),"",ROUND(H159*O159,2))</f>
        <v/>
      </c>
      <c r="Q159" s="401" t="inlineStr">
        <is>
          <t>元件</t>
        </is>
      </c>
      <c r="R159" s="168" t="inlineStr"/>
      <c r="S159" s="168" t="inlineStr"/>
      <c r="T159" s="168" t="inlineStr">
        <is>
          <t>0</t>
        </is>
      </c>
      <c r="U159" s="168" t="inlineStr">
        <is>
          <t>XA2EVM5LC</t>
        </is>
      </c>
      <c r="V159" s="402" t="n"/>
      <c r="W159" s="402" t="n"/>
      <c r="X159" s="170" t="inlineStr"/>
    </row>
    <row r="160" s="308">
      <c r="A160" s="64">
        <f>ROW()-ROW(A$152)</f>
        <v/>
      </c>
      <c r="B160" s="112" t="inlineStr">
        <is>
          <t>按钮</t>
        </is>
      </c>
      <c r="C160" s="112" t="inlineStr">
        <is>
          <t>XB2BA31C</t>
        </is>
      </c>
      <c r="D160" s="112" t="inlineStr">
        <is>
          <t>甲供/施耐德电气</t>
        </is>
      </c>
      <c r="E160" s="114" t="inlineStr">
        <is>
          <t>只</t>
        </is>
      </c>
      <c r="F160" s="114" t="n">
        <v>1</v>
      </c>
      <c r="G160" s="396">
        <f>IF(AND(B160="",C160=""),"",ROUND(M160*L160*N160,2))</f>
        <v/>
      </c>
      <c r="H160" s="396">
        <f>IF(AND(B160="",C160=""),"",ROUND(F160*G160,2))</f>
        <v/>
      </c>
      <c r="I160" s="150" t="inlineStr"/>
      <c r="J160" s="397">
        <f>IF(AND(B160="",C160=""),"",ROUND(M160*N160,2))</f>
        <v/>
      </c>
      <c r="K160" s="398">
        <f>IF(AND(B160="",C160=""),"",ROUND(J160*F160,2))</f>
        <v/>
      </c>
      <c r="L160" s="141" t="n">
        <v>1</v>
      </c>
      <c r="M160" s="399" t="n">
        <v>1e-07</v>
      </c>
      <c r="N160" s="154" t="n">
        <v>1</v>
      </c>
      <c r="O160" s="155">
        <f>IF(AND(B160="",C160=""),"",IF(G160&gt;=20000,0.05,IF(G160&gt;=10000,0.1,IF(G160&gt;=5000,0.2,IF(G160&gt;=1000,0.3,IF(G160&gt;=0,0.4,{0}))))))</f>
        <v/>
      </c>
      <c r="P160" s="400">
        <f>IF(AND(B160="",C160=""),"",ROUND(H160*O160,2))</f>
        <v/>
      </c>
      <c r="Q160" s="401" t="inlineStr">
        <is>
          <t>元件</t>
        </is>
      </c>
      <c r="R160" s="168" t="inlineStr"/>
      <c r="S160" s="168" t="inlineStr"/>
      <c r="T160" s="168" t="inlineStr">
        <is>
          <t>0</t>
        </is>
      </c>
      <c r="U160" s="168" t="inlineStr">
        <is>
          <t>XB2BA31C</t>
        </is>
      </c>
      <c r="V160" s="402" t="n"/>
      <c r="W160" s="402" t="n"/>
      <c r="X160" s="170" t="inlineStr">
        <is>
          <t>XA2EA31</t>
        </is>
      </c>
    </row>
    <row r="161" s="308">
      <c r="A161" s="64">
        <f>ROW()-ROW(A$152)</f>
        <v/>
      </c>
      <c r="B161" s="22" t="inlineStr">
        <is>
          <t>按钮</t>
        </is>
      </c>
      <c r="C161" s="22" t="inlineStr">
        <is>
          <t>XB2BA42C</t>
        </is>
      </c>
      <c r="D161" s="22" t="inlineStr">
        <is>
          <t>甲供/施耐德电气</t>
        </is>
      </c>
      <c r="E161" s="23" t="inlineStr">
        <is>
          <t>只</t>
        </is>
      </c>
      <c r="F161" s="23" t="n">
        <v>1</v>
      </c>
      <c r="G161" s="349">
        <f>IF(AND(B161="",C161=""),"",ROUND(M161*L161*N161,2))</f>
        <v/>
      </c>
      <c r="H161" s="396">
        <f>IF(AND(B161="",C161=""),"",ROUND(F161*G161,2))</f>
        <v/>
      </c>
      <c r="I161" s="150" t="inlineStr"/>
      <c r="J161" s="397">
        <f>IF(AND(B161="",C161=""),"",ROUND(M161*N161,2))</f>
        <v/>
      </c>
      <c r="K161" s="398">
        <f>IF(AND(B161="",C161=""),"",ROUND(J161*F161,2))</f>
        <v/>
      </c>
      <c r="L161" s="141" t="n">
        <v>1</v>
      </c>
      <c r="M161" s="399" t="n">
        <v>1e-07</v>
      </c>
      <c r="N161" s="154" t="n">
        <v>1</v>
      </c>
      <c r="O161" s="155">
        <f>IF(AND(B161="",C161=""),"",IF(G161&gt;=20000,0.05,IF(G161&gt;=10000,0.1,IF(G161&gt;=5000,0.2,IF(G161&gt;=1000,0.3,IF(G161&gt;=0,0.4,{0}))))))</f>
        <v/>
      </c>
      <c r="P161" s="400">
        <f>IF(AND(B161="",C161=""),"",ROUND(H161*O161,2))</f>
        <v/>
      </c>
      <c r="Q161" s="401" t="inlineStr">
        <is>
          <t>元件</t>
        </is>
      </c>
      <c r="R161" s="168" t="inlineStr"/>
      <c r="S161" s="168" t="inlineStr"/>
      <c r="T161" s="168" t="inlineStr">
        <is>
          <t>0</t>
        </is>
      </c>
      <c r="U161" s="168" t="inlineStr">
        <is>
          <t>XB2BA42C</t>
        </is>
      </c>
      <c r="V161" s="402" t="n"/>
      <c r="W161" s="402" t="n"/>
      <c r="X161" s="170" t="inlineStr">
        <is>
          <t>XA2EA41</t>
        </is>
      </c>
    </row>
    <row r="162" s="308">
      <c r="A162" s="64">
        <f>ROW()-ROW(A$152)</f>
        <v/>
      </c>
      <c r="B162" s="112" t="inlineStr">
        <is>
          <t>带熔丝端子</t>
        </is>
      </c>
      <c r="C162" s="112" t="inlineStr">
        <is>
          <t>UK 5-HESI</t>
        </is>
      </c>
      <c r="D162" s="22" t="inlineStr">
        <is>
          <t>菲尼克斯</t>
        </is>
      </c>
      <c r="E162" s="23" t="inlineStr">
        <is>
          <t>只</t>
        </is>
      </c>
      <c r="F162" s="23" t="n">
        <v>7</v>
      </c>
      <c r="G162" s="349">
        <f>IF(AND(B162="",C162=""),"",ROUND(M162*L162*N162,2))</f>
        <v/>
      </c>
      <c r="H162" s="396">
        <f>IF(AND(B162="",C162=""),"",ROUND(F162*G162,2))</f>
        <v/>
      </c>
      <c r="I162" s="150" t="inlineStr"/>
      <c r="J162" s="397">
        <f>IF(AND(B162="",C162=""),"",ROUND(M162*N162,2))</f>
        <v/>
      </c>
      <c r="K162" s="398">
        <f>IF(AND(B162="",C162=""),"",ROUND(J162*F162,2))</f>
        <v/>
      </c>
      <c r="L162" s="141" t="n">
        <v>1</v>
      </c>
      <c r="M162" s="399" t="n">
        <v>7</v>
      </c>
      <c r="N162" s="154" t="n">
        <v>1</v>
      </c>
      <c r="O162" s="155">
        <f>IF(AND(B162="",C162=""),"",IF(G162&gt;=20000,0.05,IF(G162&gt;=10000,0.1,IF(G162&gt;=5000,0.2,IF(G162&gt;=1000,0.3,IF(G162&gt;=0,0.4,{0}))))))</f>
        <v/>
      </c>
      <c r="P162" s="400">
        <f>IF(AND(B162="",C162=""),"",ROUND(H162*O162,2))</f>
        <v/>
      </c>
      <c r="Q162" s="401" t="inlineStr">
        <is>
          <t>元件</t>
        </is>
      </c>
      <c r="R162" s="168" t="inlineStr"/>
      <c r="S162" s="168" t="inlineStr"/>
      <c r="T162" s="168" t="inlineStr">
        <is>
          <t>0</t>
        </is>
      </c>
      <c r="U162" s="168" t="inlineStr"/>
      <c r="V162" s="402" t="n"/>
      <c r="W162" s="402" t="n"/>
      <c r="X162" s="170" t="inlineStr"/>
    </row>
    <row r="163" s="308">
      <c r="A163" s="64">
        <f>ROW()-ROW(A$152)</f>
        <v/>
      </c>
      <c r="B163" s="112" t="inlineStr">
        <is>
          <t>L型端子</t>
        </is>
      </c>
      <c r="C163" s="112" t="inlineStr">
        <is>
          <t>GH100710</t>
        </is>
      </c>
      <c r="D163" s="22" t="inlineStr">
        <is>
          <t>施耐德电气</t>
        </is>
      </c>
      <c r="E163" s="23" t="inlineStr">
        <is>
          <t>只</t>
        </is>
      </c>
      <c r="F163" s="23" t="n">
        <v>3</v>
      </c>
      <c r="G163" s="349">
        <f>IF(AND(B163="",C163=""),"",ROUND(M163*L163*N163,2))</f>
        <v/>
      </c>
      <c r="H163" s="396">
        <f>IF(AND(B163="",C163=""),"",ROUND(F163*G163,2))</f>
        <v/>
      </c>
      <c r="I163" s="150" t="inlineStr"/>
      <c r="J163" s="397">
        <f>IF(AND(B163="",C163=""),"",ROUND(M163*N163,2))</f>
        <v/>
      </c>
      <c r="K163" s="398">
        <f>IF(AND(B163="",C163=""),"",ROUND(J163*F163,2))</f>
        <v/>
      </c>
      <c r="L163" s="141" t="n">
        <v>1</v>
      </c>
      <c r="M163" s="399" t="n">
        <v>1125.85</v>
      </c>
      <c r="N163" s="154" t="n">
        <v>0.45</v>
      </c>
      <c r="O163" s="155">
        <f>IF(AND(B163="",C163=""),"",IF(G163&gt;=20000,0.05,IF(G163&gt;=10000,0.1,IF(G163&gt;=5000,0.2,IF(G163&gt;=1000,0.3,IF(G163&gt;=0,0.4,{0}))))))</f>
        <v/>
      </c>
      <c r="P163" s="400">
        <f>IF(AND(B163="",C163=""),"",ROUND(H163*O163,2))</f>
        <v/>
      </c>
      <c r="Q163" s="401" t="inlineStr">
        <is>
          <t>元件</t>
        </is>
      </c>
      <c r="R163" s="168" t="inlineStr"/>
      <c r="S163" s="168" t="inlineStr"/>
      <c r="T163" s="168" t="inlineStr">
        <is>
          <t>0</t>
        </is>
      </c>
      <c r="U163" s="168" t="inlineStr"/>
      <c r="V163" s="402" t="n"/>
      <c r="W163" s="402" t="n"/>
      <c r="X163" s="170" t="inlineStr"/>
    </row>
    <row r="164" s="308">
      <c r="A164" s="64">
        <f>ROW()-ROW(A$152)</f>
        <v/>
      </c>
      <c r="B164" s="33" t="inlineStr">
        <is>
          <t>水平母排</t>
        </is>
      </c>
      <c r="C164" s="22" t="inlineStr">
        <is>
          <t>TMY 4*(4*150*5)+2*50*5</t>
        </is>
      </c>
      <c r="D164" s="22" t="inlineStr">
        <is>
          <t>国产优质</t>
        </is>
      </c>
      <c r="E164" s="23" t="inlineStr">
        <is>
          <t>米</t>
        </is>
      </c>
      <c r="F164" s="23" t="n">
        <v>0.8</v>
      </c>
      <c r="G164" s="349">
        <f>IF(AND(B164="",C164=""),"",ROUND(M164*L164*N164,2))</f>
        <v/>
      </c>
      <c r="H164" s="349">
        <f>IF(AND(B164="",C164=""),"",ROUND(F164*G164,2))</f>
        <v/>
      </c>
      <c r="I164" s="179" t="inlineStr"/>
      <c r="J164" s="397">
        <f>IF(AND(B164="",C164=""),"",ROUND(M164*N164,2))</f>
        <v/>
      </c>
      <c r="K164" s="398">
        <f>IF(AND(B164="",C164=""),"",ROUND(J164*F164,2))</f>
        <v/>
      </c>
      <c r="L164" s="141" t="n">
        <v>1</v>
      </c>
      <c r="M164" s="399" t="n">
        <v>12026.68125</v>
      </c>
      <c r="N164" s="154">
        <f>(6317.932*1*1+2684.8*1*1)/9002.732</f>
        <v/>
      </c>
      <c r="O164" s="155">
        <f>IF(AND(B164="",C164=""),"",IF(G164&gt;=20000,0.05,IF(G164&gt;=10000,0.1,IF(G164&gt;=5000,0.2,IF(G164&gt;=1000,0.3,IF(G164&gt;=0,0.4,{0}))))))</f>
        <v/>
      </c>
      <c r="P164" s="400">
        <f>IF(AND(B164="",C164=""),"",ROUND(H164*O164,2))</f>
        <v/>
      </c>
      <c r="Q164" s="401" t="inlineStr">
        <is>
          <t>母排</t>
        </is>
      </c>
      <c r="R164" s="168" t="inlineStr"/>
      <c r="S164" s="168" t="inlineStr"/>
      <c r="T164" s="168" t="inlineStr">
        <is>
          <t>0</t>
        </is>
      </c>
      <c r="U164" s="168" t="inlineStr"/>
      <c r="V164" s="402" t="n"/>
      <c r="W164" s="402" t="n"/>
      <c r="X164" s="170" t="inlineStr"/>
    </row>
    <row r="165" customFormat="1" s="3">
      <c r="A165" s="64">
        <f>ROW()-ROW(A$152)</f>
        <v/>
      </c>
      <c r="B165" s="27" t="inlineStr">
        <is>
          <t>铜排</t>
        </is>
      </c>
      <c r="C165" s="27" t="inlineStr">
        <is>
          <t>TMY</t>
        </is>
      </c>
      <c r="D165" s="22" t="inlineStr">
        <is>
          <t>国产优质</t>
        </is>
      </c>
      <c r="E165" s="23" t="inlineStr">
        <is>
          <t>kg</t>
        </is>
      </c>
      <c r="F165" s="28" t="n">
        <v>222</v>
      </c>
      <c r="G165" s="353">
        <f>IF(AND(B165="",C165=""),"",ROUND(M165*L165*N165,2))</f>
        <v/>
      </c>
      <c r="H165" s="353">
        <f>IF(AND(B165="",C165=""),"",ROUND(F165*G165,2))</f>
        <v/>
      </c>
      <c r="I165" s="180" t="inlineStr"/>
      <c r="J165" s="392">
        <f>IF(AND(B165="",C165=""),"",ROUND(M165*N165,2))</f>
        <v/>
      </c>
      <c r="K165" s="393">
        <f>IF(AND(B165="",C165=""),"",ROUND(J165*F165,2))</f>
        <v/>
      </c>
      <c r="L165" s="141" t="n">
        <v>1</v>
      </c>
      <c r="M165" s="394" t="n">
        <v>108.105</v>
      </c>
      <c r="N165" s="143" t="n">
        <v>1</v>
      </c>
      <c r="O165" s="144">
        <f>IF(AND(B165="",C165=""),"",IF(G165&gt;=20000,0.05,IF(G165&gt;=10000,0.1,IF(G165&gt;=5000,0.2,IF(G165&gt;=1000,0.3,IF(G165&gt;=0,0.4,{0}))))))</f>
        <v/>
      </c>
      <c r="P165" s="395">
        <f>IF(AND(B165="",C165=""),"",ROUND(H165*O165,2))</f>
        <v/>
      </c>
      <c r="Q165" s="390" t="inlineStr">
        <is>
          <t>母排</t>
        </is>
      </c>
      <c r="R165" s="164" t="inlineStr"/>
      <c r="S165" s="164" t="inlineStr"/>
      <c r="T165" s="164" t="inlineStr">
        <is>
          <t>0</t>
        </is>
      </c>
      <c r="U165" s="164" t="inlineStr"/>
      <c r="V165" s="391" t="n"/>
      <c r="W165" s="391" t="n"/>
      <c r="X165" s="166" t="inlineStr"/>
    </row>
    <row r="166" s="308">
      <c r="A166" s="64">
        <f>ROW()-ROW(A$152)</f>
        <v/>
      </c>
      <c r="B166" s="22" t="inlineStr">
        <is>
          <t>辅料</t>
        </is>
      </c>
      <c r="C166" s="22" t="inlineStr"/>
      <c r="D166" s="22" t="inlineStr"/>
      <c r="E166" s="23" t="inlineStr">
        <is>
          <t>套</t>
        </is>
      </c>
      <c r="F166" s="23" t="n">
        <v>1</v>
      </c>
      <c r="G166" s="349">
        <f>IF(AND(B166="",C166=""),"",ROUND(M166*L166*N166,2))</f>
        <v/>
      </c>
      <c r="H166" s="349">
        <f>IF(AND(B166="",C166=""),"",ROUND(F166*G166,2))</f>
        <v/>
      </c>
      <c r="I166" s="179" t="inlineStr"/>
      <c r="J166" s="397">
        <f>IF(AND(B166="",C166=""),"",ROUND(M166*N166,2))</f>
        <v/>
      </c>
      <c r="K166" s="398">
        <f>IF(AND(B166="",C166=""),"",ROUND(J166*F166,2))</f>
        <v/>
      </c>
      <c r="L166" s="141" t="n">
        <v>1</v>
      </c>
      <c r="M166" s="399" t="n">
        <v>550</v>
      </c>
      <c r="N166" s="154" t="n">
        <v>1</v>
      </c>
      <c r="O166" s="155">
        <f>IF(AND(B166="",C166=""),"",IF(G166&gt;=20000,0.05,IF(G166&gt;=10000,0.1,IF(G166&gt;=5000,0.2,IF(G166&gt;=1000,0.3,IF(G166&gt;=0,0.4,{0}))))))</f>
        <v/>
      </c>
      <c r="P166" s="400">
        <f>IF(AND(B166="",C166=""),"",ROUND(H166*O166,2))</f>
        <v/>
      </c>
      <c r="Q166" s="401" t="inlineStr">
        <is>
          <t>辅料</t>
        </is>
      </c>
      <c r="R166" s="168" t="inlineStr"/>
      <c r="S166" s="168" t="inlineStr"/>
      <c r="T166" s="168" t="inlineStr">
        <is>
          <t>0</t>
        </is>
      </c>
      <c r="U166" s="168" t="inlineStr"/>
      <c r="V166" s="402" t="n"/>
      <c r="W166" s="402" t="n"/>
      <c r="X166" s="170" t="inlineStr"/>
    </row>
    <row r="167" s="308">
      <c r="A167" s="64">
        <f>ROW()-ROW(A$152)</f>
        <v/>
      </c>
      <c r="B167" s="22" t="inlineStr">
        <is>
          <t>柜体Blokset</t>
        </is>
      </c>
      <c r="C167" s="33" t="inlineStr">
        <is>
          <t>700W*1200D*2200H</t>
        </is>
      </c>
      <c r="D167" s="22" t="inlineStr">
        <is>
          <t>清科</t>
        </is>
      </c>
      <c r="E167" s="23" t="inlineStr">
        <is>
          <t>台</t>
        </is>
      </c>
      <c r="F167" s="23" t="n">
        <v>1</v>
      </c>
      <c r="G167" s="349">
        <f>IF(AND(B167="",C167=""),"",ROUND(M167*L167*N167,2))</f>
        <v/>
      </c>
      <c r="H167" s="349">
        <f>IF(AND(B167="",C167=""),"",ROUND(F167*G167,2))</f>
        <v/>
      </c>
      <c r="I167" s="179" t="inlineStr"/>
      <c r="J167" s="397">
        <f>IF(AND(B167="",C167=""),"",ROUND(M167*N167,2))</f>
        <v/>
      </c>
      <c r="K167" s="398">
        <f>IF(AND(B167="",C167=""),"",ROUND(J167*F167,2))</f>
        <v/>
      </c>
      <c r="L167" s="141" t="n">
        <v>1</v>
      </c>
      <c r="M167" s="399" t="n">
        <v>4010</v>
      </c>
      <c r="N167" s="154" t="n">
        <v>1</v>
      </c>
      <c r="O167" s="155">
        <f>IF(AND(B167="",C167=""),"",IF(G167&gt;=20000,0.05,IF(G167&gt;=10000,0.1,IF(G167&gt;=5000,0.2,IF(G167&gt;=1000,0.3,IF(G167&gt;=0,0.4,{0}))))))</f>
        <v/>
      </c>
      <c r="P167" s="400">
        <f>IF(AND(B167="",C167=""),"",ROUND(H167*O167,2))</f>
        <v/>
      </c>
      <c r="Q167" s="401" t="inlineStr">
        <is>
          <t>箱体</t>
        </is>
      </c>
      <c r="R167" s="168" t="inlineStr"/>
      <c r="S167" s="168" t="inlineStr"/>
      <c r="T167" s="168" t="inlineStr">
        <is>
          <t>0</t>
        </is>
      </c>
      <c r="U167" s="168" t="inlineStr"/>
      <c r="V167" s="402" t="n"/>
      <c r="W167" s="402" t="n"/>
      <c r="X167" s="170" t="inlineStr"/>
    </row>
    <row r="168" customFormat="1" s="3">
      <c r="A168" s="64">
        <f>ROW()-ROW(A$152)</f>
        <v/>
      </c>
      <c r="B168" s="27" t="inlineStr"/>
      <c r="C168" s="27" t="inlineStr"/>
      <c r="D168" s="27" t="inlineStr"/>
      <c r="E168" s="28" t="n"/>
      <c r="F168" s="28">
        <f>IF(AND(B168="",C168=""),"",1)</f>
        <v/>
      </c>
      <c r="G168" s="353">
        <f>IF(AND(B168="",C168=""),"",ROUND(M168*L168*N168,2))</f>
        <v/>
      </c>
      <c r="H168" s="353">
        <f>IF(AND(B168="",C168=""),"",ROUND(F168*G168,2))</f>
        <v/>
      </c>
      <c r="I168" s="180" t="inlineStr"/>
      <c r="J168" s="392">
        <f>IF(AND(B168="",C168=""),"",ROUND(M168*N168,2))</f>
        <v/>
      </c>
      <c r="K168" s="393">
        <f>IF(AND(B168="",C168=""),"",ROUND(J168*F168,2))</f>
        <v/>
      </c>
      <c r="L168" s="141">
        <f>IF(AND(B168="",C168=""),"",1)</f>
        <v/>
      </c>
      <c r="M168" s="394" t="n"/>
      <c r="N168" s="143">
        <f>IF(AND(B168="",C168=""),"",1)</f>
        <v/>
      </c>
      <c r="O168" s="144">
        <f>IF(AND(B168="",C168=""),"",IF(J168&gt;=20000,0.05,IF(J168&gt;=10000,0.1,IF(J168&gt;=5000,0.2,IF(J168&gt;=1000,0.3,IF(J168&gt;=0,0.4,{0}))))))</f>
        <v/>
      </c>
      <c r="P168" s="395">
        <f>IF(AND(B168="",C168=""),"",ROUND(H168*O168,2))</f>
        <v/>
      </c>
      <c r="Q168" s="390">
        <f>IF(AND(B168="",C168=""),"","元件")</f>
        <v/>
      </c>
      <c r="R168" s="164" t="inlineStr"/>
      <c r="S168" s="164" t="inlineStr"/>
      <c r="T168" s="164" t="inlineStr"/>
      <c r="U168" s="164" t="inlineStr"/>
      <c r="V168" s="391" t="n"/>
      <c r="W168" s="391" t="n"/>
      <c r="X168" s="166" t="inlineStr"/>
    </row>
    <row r="169" customFormat="1" s="3">
      <c r="A169" s="64">
        <f>ROW()-ROW(A$152)</f>
        <v/>
      </c>
      <c r="B169" s="27" t="inlineStr"/>
      <c r="C169" s="27" t="inlineStr"/>
      <c r="D169" s="27" t="inlineStr"/>
      <c r="E169" s="28" t="n"/>
      <c r="F169" s="28">
        <f>IF(AND(B169="",C169=""),"",1)</f>
        <v/>
      </c>
      <c r="G169" s="353">
        <f>IF(AND(B169="",C169=""),"",ROUND(M169*L169*N169,2))</f>
        <v/>
      </c>
      <c r="H169" s="353">
        <f>IF(AND(B169="",C169=""),"",ROUND(F169*G169,2))</f>
        <v/>
      </c>
      <c r="I169" s="180" t="inlineStr"/>
      <c r="J169" s="392">
        <f>IF(AND(B169="",C169=""),"",ROUND(M169*N169,2))</f>
        <v/>
      </c>
      <c r="K169" s="393">
        <f>IF(AND(B169="",C169=""),"",ROUND(J169*F169,2))</f>
        <v/>
      </c>
      <c r="L169" s="141">
        <f>IF(AND(B169="",C169=""),"",1)</f>
        <v/>
      </c>
      <c r="M169" s="394" t="n"/>
      <c r="N169" s="143">
        <f>IF(AND(B169="",C169=""),"",1)</f>
        <v/>
      </c>
      <c r="O169" s="144">
        <f>IF(AND(B169="",C169=""),"",IF(J169&gt;=20000,0.05,IF(J169&gt;=10000,0.1,IF(J169&gt;=5000,0.2,IF(J169&gt;=1000,0.3,IF(J169&gt;=0,0.4,{0}))))))</f>
        <v/>
      </c>
      <c r="P169" s="395">
        <f>IF(AND(B169="",C169=""),"",ROUND(H169*O169,2))</f>
        <v/>
      </c>
      <c r="Q169" s="390">
        <f>IF(AND(B169="",C169=""),"","元件")</f>
        <v/>
      </c>
      <c r="R169" s="164" t="inlineStr"/>
      <c r="S169" s="164" t="inlineStr"/>
      <c r="T169" s="164" t="inlineStr"/>
      <c r="U169" s="164" t="inlineStr"/>
      <c r="V169" s="391" t="n"/>
      <c r="W169" s="391" t="n"/>
      <c r="X169" s="166" t="inlineStr"/>
    </row>
    <row r="170" customFormat="1" s="3">
      <c r="A170" s="64">
        <f>ROW()-ROW(A$152)</f>
        <v/>
      </c>
      <c r="B170" s="171" t="inlineStr">
        <is>
          <t>小计</t>
        </is>
      </c>
      <c r="C170" s="172" t="n"/>
      <c r="D170" s="82" t="n"/>
      <c r="E170" s="28" t="n"/>
      <c r="F170" s="28" t="n"/>
      <c r="G170" s="353" t="n"/>
      <c r="H170" s="353">
        <f>ROUND(SUM(H152:INDEX(H:H,ROW()-1)),2)</f>
        <v/>
      </c>
      <c r="I170" s="45" t="inlineStr"/>
      <c r="J170" s="392" t="n"/>
      <c r="K170" s="393">
        <f>ROUND(SUM(K152:INDEX(K:K,ROW()-1)),2)</f>
        <v/>
      </c>
      <c r="L170" s="141" t="n"/>
      <c r="M170" s="394" t="n"/>
      <c r="N170" s="143" t="n"/>
      <c r="O170" s="144" t="n"/>
      <c r="P170" s="395" t="n"/>
      <c r="Q170" s="390" t="n"/>
      <c r="R170" s="164" t="inlineStr"/>
      <c r="S170" s="164" t="inlineStr"/>
      <c r="T170" s="164" t="inlineStr"/>
      <c r="U170" s="164" t="inlineStr"/>
      <c r="V170" s="391">
        <f>ROUND(SUMPRODUCT(F152:INDEX(F:F,ROW()-1),V152:INDEX(V:V,ROW()-1)),2)</f>
        <v/>
      </c>
      <c r="W170" s="391">
        <f>ROUND(SUMPRODUCT(F152:INDEX(F:F,ROW()-1),W152:INDEX(W:W,ROW()-1)),2)</f>
        <v/>
      </c>
      <c r="X170" s="166" t="inlineStr"/>
    </row>
    <row r="171" customFormat="1" s="3">
      <c r="A171" s="64">
        <f>ROW()-ROW(A$152)</f>
        <v/>
      </c>
      <c r="B171" s="171" t="inlineStr">
        <is>
          <t>综合费(人工、管理、税金、利润等)</t>
        </is>
      </c>
      <c r="C171" s="172" t="n"/>
      <c r="D171" s="82" t="n"/>
      <c r="E171" s="28" t="n"/>
      <c r="F171" s="28" t="n"/>
      <c r="G171" s="353" t="n"/>
      <c r="H171" s="353">
        <f>2500</f>
        <v/>
      </c>
      <c r="I171" s="45" t="inlineStr"/>
      <c r="J171" s="392" t="n"/>
      <c r="K171" s="393" t="n"/>
      <c r="L171" s="141" t="n"/>
      <c r="M171" s="394" t="n"/>
      <c r="N171" s="143" t="n"/>
      <c r="O171" s="144" t="n"/>
      <c r="P171" s="395" t="n"/>
      <c r="Q171" s="390" t="inlineStr">
        <is>
          <t>费用</t>
        </is>
      </c>
      <c r="R171" s="164" t="inlineStr"/>
      <c r="S171" s="164" t="inlineStr"/>
      <c r="T171" s="164" t="inlineStr"/>
      <c r="U171" s="164" t="inlineStr"/>
      <c r="V171" s="391" t="n"/>
      <c r="W171" s="391" t="n"/>
      <c r="X171" s="166" t="inlineStr"/>
    </row>
    <row r="172" customFormat="1" s="3">
      <c r="A172" s="64">
        <f>ROW()-ROW(A$152)</f>
        <v/>
      </c>
      <c r="B172" s="82" t="inlineStr">
        <is>
          <t>单台合计</t>
        </is>
      </c>
      <c r="C172" s="172" t="n"/>
      <c r="D172" s="82" t="n"/>
      <c r="E172" s="28" t="n"/>
      <c r="F172" s="28" t="n"/>
      <c r="G172" s="353" t="n"/>
      <c r="H172" s="353">
        <f>ROUND(SUM(H170:H171),2)</f>
        <v/>
      </c>
      <c r="I172" s="181" t="n"/>
      <c r="J172" s="392" t="n"/>
      <c r="K172" s="393">
        <f>ROUND(SUM(K170:K171),2)</f>
        <v/>
      </c>
      <c r="L172" s="182" t="n"/>
      <c r="M172" s="394" t="n"/>
      <c r="N172" s="183" t="n"/>
      <c r="O172" s="184" t="n"/>
      <c r="P172" s="395" t="n"/>
      <c r="Q172" s="390" t="n"/>
      <c r="R172" s="164" t="inlineStr"/>
      <c r="S172" s="164" t="inlineStr"/>
      <c r="T172" s="164" t="inlineStr"/>
      <c r="U172" s="164" t="inlineStr"/>
      <c r="V172" s="391" t="n"/>
      <c r="W172" s="391" t="n"/>
      <c r="X172" s="166" t="inlineStr"/>
    </row>
    <row r="173" customFormat="1" s="3">
      <c r="A173" s="173" t="inlineStr">
        <is>
          <t>总计</t>
        </is>
      </c>
      <c r="B173" s="174" t="n"/>
      <c r="C173" s="175" t="n"/>
      <c r="D173" s="176" t="n"/>
      <c r="E173" s="176" t="inlineStr">
        <is>
          <t>台</t>
        </is>
      </c>
      <c r="F173" s="176" t="n">
        <v>2</v>
      </c>
      <c r="G173" s="403">
        <f>ROUND(H172,2)</f>
        <v/>
      </c>
      <c r="H173" s="403">
        <f>ROUND(F173*G173,2)</f>
        <v/>
      </c>
      <c r="I173" s="185" t="n"/>
      <c r="J173" s="404" t="n"/>
      <c r="K173" s="405">
        <f>ROUND(K172*F173,2)</f>
        <v/>
      </c>
      <c r="L173" s="188" t="n"/>
      <c r="M173" s="406" t="n"/>
      <c r="N173" s="190" t="n"/>
      <c r="O173" s="191" t="n"/>
      <c r="P173" s="407" t="n"/>
      <c r="Q173" s="390" t="n"/>
      <c r="R173" s="164" t="inlineStr"/>
      <c r="S173" s="164" t="inlineStr"/>
      <c r="T173" s="164" t="inlineStr"/>
      <c r="U173" s="164" t="inlineStr"/>
      <c r="V173" s="391" t="n"/>
      <c r="W173" s="391" t="n"/>
      <c r="X173" s="166" t="inlineStr"/>
    </row>
    <row r="174" customFormat="1" s="2">
      <c r="A174" s="89" t="n"/>
      <c r="B174" s="132" t="inlineStr"/>
      <c r="C174" s="132" t="inlineStr"/>
      <c r="D174" s="132" t="inlineStr"/>
      <c r="Q174" s="160" t="n"/>
      <c r="R174" s="160" t="n"/>
      <c r="S174" s="160" t="n"/>
      <c r="T174" s="160" t="n"/>
      <c r="U174" s="160" t="n"/>
      <c r="X174" s="132" t="inlineStr"/>
    </row>
    <row r="175" customFormat="1" s="2">
      <c r="A175" s="89" t="n"/>
      <c r="B175" s="132" t="inlineStr"/>
      <c r="C175" s="132" t="inlineStr"/>
      <c r="D175" s="132" t="inlineStr"/>
      <c r="Q175" s="160" t="n"/>
      <c r="R175" s="160" t="n"/>
      <c r="S175" s="160" t="n"/>
      <c r="T175" s="160" t="n"/>
      <c r="U175" s="160" t="n"/>
      <c r="X175" s="132" t="inlineStr"/>
    </row>
    <row r="176" customFormat="1" s="3">
      <c r="A176" s="92">
        <f>CONCATENATE("报价人：",项目信息!$B$8)</f>
        <v/>
      </c>
      <c r="B176" s="92" t="n"/>
      <c r="C176" s="2" t="n"/>
      <c r="D176" s="2" t="n"/>
      <c r="E176" s="2" t="n"/>
      <c r="F176" s="2" t="n"/>
      <c r="G176" s="2" t="n"/>
      <c r="H176" s="178">
        <f>项目信息!$B$9</f>
        <v/>
      </c>
      <c r="Q176" s="160" t="n"/>
      <c r="R176" s="160" t="n"/>
      <c r="S176" s="160" t="n"/>
      <c r="T176" s="160" t="n"/>
      <c r="U176" s="160" t="n"/>
      <c r="X176" s="162" t="inlineStr"/>
    </row>
    <row r="177" s="308">
      <c r="A177" s="8">
        <f>T(项目信息!$B$22)</f>
        <v/>
      </c>
      <c r="Q177" s="159" t="n"/>
      <c r="R177" s="159" t="n"/>
      <c r="S177" s="159" t="n"/>
      <c r="T177" s="159" t="n"/>
      <c r="U177" s="159" t="n"/>
    </row>
    <row r="178" s="308">
      <c r="A178" s="9">
        <f>T(项目信息!$B$23)</f>
        <v/>
      </c>
      <c r="Q178" s="159" t="n"/>
      <c r="R178" s="159" t="n"/>
      <c r="S178" s="159" t="n"/>
      <c r="T178" s="159" t="n"/>
      <c r="U178" s="159" t="n"/>
    </row>
    <row r="179" s="308">
      <c r="A179" s="97" t="inlineStr">
        <is>
          <t>成套产品报价明细表</t>
        </is>
      </c>
      <c r="B179" s="378" t="n"/>
      <c r="C179" s="378" t="n"/>
      <c r="D179" s="378" t="n"/>
      <c r="E179" s="378" t="n"/>
      <c r="F179" s="378" t="n"/>
      <c r="G179" s="378" t="n"/>
      <c r="H179" s="378" t="n"/>
      <c r="I179" s="378" t="n"/>
      <c r="Q179" s="159" t="n"/>
      <c r="R179" s="159" t="n"/>
      <c r="S179" s="159" t="n"/>
      <c r="T179" s="159" t="n"/>
      <c r="U179" s="159" t="n"/>
    </row>
    <row r="180" customFormat="1" s="4">
      <c r="A180" s="98" t="inlineStr">
        <is>
          <t>柜号:</t>
        </is>
      </c>
      <c r="B180" s="99" t="inlineStr">
        <is>
          <t>AAN1-03-1、BAN2-03-1</t>
        </is>
      </c>
      <c r="C180" s="100" t="inlineStr">
        <is>
          <t>型号:</t>
        </is>
      </c>
      <c r="D180" s="99" t="inlineStr">
        <is>
          <t>BlokSeT</t>
        </is>
      </c>
      <c r="E180" s="379" t="n"/>
      <c r="F180" s="101" t="inlineStr">
        <is>
          <t>名称:</t>
        </is>
      </c>
      <c r="G180" s="99" t="inlineStr">
        <is>
          <t>电容柜</t>
        </is>
      </c>
      <c r="H180" s="379" t="n"/>
      <c r="I180" s="408" t="inlineStr"/>
      <c r="J180" s="194" t="inlineStr">
        <is>
          <t>箱柜尺寸:</t>
        </is>
      </c>
      <c r="K180" s="195" t="inlineStr">
        <is>
          <t>800W*1200D*2200H</t>
        </is>
      </c>
      <c r="L180" s="194" t="inlineStr">
        <is>
          <t>类别:</t>
        </is>
      </c>
      <c r="M180" s="195" t="inlineStr">
        <is>
          <t>低压固定柜</t>
        </is>
      </c>
      <c r="N180" s="409" t="inlineStr"/>
      <c r="Q180" s="159" t="n"/>
      <c r="R180" s="159" t="n"/>
      <c r="S180" s="159" t="n"/>
      <c r="T180" s="159" t="n"/>
      <c r="U180" s="159" t="n"/>
    </row>
    <row r="181" ht="20.1" customHeight="1" s="308">
      <c r="A181" s="102" t="inlineStr">
        <is>
          <t>序号</t>
        </is>
      </c>
      <c r="B181" s="103" t="inlineStr">
        <is>
          <t>元件名称</t>
        </is>
      </c>
      <c r="C181" s="103" t="inlineStr">
        <is>
          <t>型号规格</t>
        </is>
      </c>
      <c r="D181" s="104" t="inlineStr">
        <is>
          <t>生产厂家</t>
        </is>
      </c>
      <c r="E181" s="105" t="inlineStr">
        <is>
          <t>单位</t>
        </is>
      </c>
      <c r="F181" s="105" t="inlineStr">
        <is>
          <t>数量</t>
        </is>
      </c>
      <c r="G181" s="382" t="inlineStr">
        <is>
          <t>单   价</t>
        </is>
      </c>
      <c r="H181" s="383" t="inlineStr">
        <is>
          <t>总   价</t>
        </is>
      </c>
      <c r="I181" s="134" t="inlineStr">
        <is>
          <t>备注</t>
        </is>
      </c>
      <c r="J181" s="384" t="inlineStr">
        <is>
          <t>成本单价</t>
        </is>
      </c>
      <c r="K181" s="384" t="inlineStr">
        <is>
          <t>成本总价</t>
        </is>
      </c>
      <c r="L181" s="136" t="inlineStr">
        <is>
          <t>报出
系数</t>
        </is>
      </c>
      <c r="M181" s="384" t="inlineStr">
        <is>
          <t>表价</t>
        </is>
      </c>
      <c r="N181" s="136" t="inlineStr">
        <is>
          <t>折扣
系数</t>
        </is>
      </c>
      <c r="O181" s="137" t="inlineStr">
        <is>
          <t>取费
系数</t>
        </is>
      </c>
      <c r="P181" s="384" t="inlineStr">
        <is>
          <t>成套费</t>
        </is>
      </c>
      <c r="Q181" s="161" t="inlineStr">
        <is>
          <t>类别</t>
        </is>
      </c>
      <c r="R181" s="161" t="inlineStr">
        <is>
          <t>物料编码</t>
        </is>
      </c>
      <c r="S181" s="161" t="inlineStr">
        <is>
          <t>产地</t>
        </is>
      </c>
      <c r="T181" s="161" t="inlineStr">
        <is>
          <t>加工费</t>
        </is>
      </c>
      <c r="U181" s="161" t="inlineStr">
        <is>
          <t>订货号</t>
        </is>
      </c>
      <c r="V181" s="161" t="inlineStr">
        <is>
          <t>人工</t>
        </is>
      </c>
      <c r="W181" s="161" t="inlineStr">
        <is>
          <t>辅料</t>
        </is>
      </c>
      <c r="X181" s="203" t="inlineStr"/>
    </row>
    <row r="182" s="308">
      <c r="A182" s="108">
        <f>ROW()-ROW(A$181)</f>
        <v/>
      </c>
      <c r="B182" s="112" t="inlineStr">
        <is>
          <t>隔离开关熔断器组</t>
        </is>
      </c>
      <c r="C182" s="109" t="inlineStr">
        <is>
          <t>GS800/3P3F+正面延伸旋转手柄 黑色+旋转手柄轴200mm/630-1250A</t>
        </is>
      </c>
      <c r="D182" s="109" t="inlineStr">
        <is>
          <t>甲供/施耐德电气</t>
        </is>
      </c>
      <c r="E182" s="110" t="inlineStr">
        <is>
          <t>只</t>
        </is>
      </c>
      <c r="F182" s="110" t="n">
        <v>1</v>
      </c>
      <c r="G182" s="385">
        <f>IF(AND(B182="",C182=""),"",ROUND(M182*L182*N182,2))</f>
        <v/>
      </c>
      <c r="H182" s="385">
        <f>IF(AND(B182="",C182=""),"",ROUND(F182*G182,2))</f>
        <v/>
      </c>
      <c r="I182" s="197" t="inlineStr"/>
      <c r="J182" s="410">
        <f>IF(AND(B182="",C182=""),"",ROUND(M182*N182,2))</f>
        <v/>
      </c>
      <c r="K182" s="411">
        <f>IF(AND(B182="",C182=""),"",ROUND(J182*F182,2))</f>
        <v/>
      </c>
      <c r="L182" s="200" t="n">
        <v>1</v>
      </c>
      <c r="M182" s="412" t="n">
        <v>1e-07</v>
      </c>
      <c r="N182" s="154" t="n">
        <v>1</v>
      </c>
      <c r="O182" s="155">
        <f>IF(AND(B182="",C182=""),"",IF(G182&gt;=20000,0.05,IF(G182&gt;=10000,0.1,IF(G182&gt;=5000,0.2,IF(G182&gt;=1000,0.3,IF(G182&gt;=0,0.4,{0}))))))</f>
        <v/>
      </c>
      <c r="P182" s="413">
        <f>IF(AND(B182="",C182=""),"",ROUND(H182*O182,2))</f>
        <v/>
      </c>
      <c r="Q182" s="401" t="inlineStr">
        <is>
          <t>元件</t>
        </is>
      </c>
      <c r="R182" s="168" t="inlineStr"/>
      <c r="S182" s="168" t="inlineStr"/>
      <c r="T182" s="168" t="n">
        <v>0</v>
      </c>
      <c r="U182" s="168" t="inlineStr">
        <is>
          <t>LV481463+GS2AH550+GS2AE52</t>
        </is>
      </c>
      <c r="V182" s="402" t="n"/>
      <c r="W182" s="402" t="n"/>
      <c r="X182" s="170" t="inlineStr">
        <is>
          <t>GS800/3P3F 正面延伸旋转手柄 黑色+旋转手柄轴200mm/630-1250A→GS630/3P3F+正面延伸旋转手柄 黑色+旋转手柄轴200mm/630-1250A→WGR-500/3-FW→NSX630N Mic2.3 630A 3P3D P→NSX630N Mic5.3B 630A 3P3D P</t>
        </is>
      </c>
    </row>
    <row r="183" s="308">
      <c r="A183" s="108">
        <f>ROW()-ROW(A$181)</f>
        <v/>
      </c>
      <c r="B183" s="112" t="inlineStr">
        <is>
          <t>熔断器</t>
        </is>
      </c>
      <c r="C183" s="109" t="inlineStr">
        <is>
          <t>RT17(NT4) gG 400/690V 800A 3C</t>
        </is>
      </c>
      <c r="D183" s="109" t="inlineStr">
        <is>
          <t>茗熔</t>
        </is>
      </c>
      <c r="E183" s="110" t="inlineStr">
        <is>
          <t>只</t>
        </is>
      </c>
      <c r="F183" s="110" t="n">
        <v>3</v>
      </c>
      <c r="G183" s="385">
        <f>IF(AND(B183="",C183=""),"",ROUND(M183*L183*N183,2))</f>
        <v/>
      </c>
      <c r="H183" s="385">
        <f>IF(AND(B183="",C183=""),"",ROUND(F183*G183,2))</f>
        <v/>
      </c>
      <c r="I183" s="197" t="inlineStr"/>
      <c r="J183" s="410">
        <f>IF(AND(B183="",C183=""),"",ROUND(M183*N183,2))</f>
        <v/>
      </c>
      <c r="K183" s="411">
        <f>IF(AND(B183="",C183=""),"",ROUND(J183*F183,2))</f>
        <v/>
      </c>
      <c r="L183" s="200" t="n">
        <v>1</v>
      </c>
      <c r="M183" s="412" t="n">
        <v>198</v>
      </c>
      <c r="N183" s="154" t="n">
        <v>1</v>
      </c>
      <c r="O183" s="155">
        <f>IF(AND(B183="",C183=""),"",IF(G183&gt;=20000,0.05,IF(G183&gt;=10000,0.1,IF(G183&gt;=5000,0.2,IF(G183&gt;=1000,0.3,IF(G183&gt;=0,0.4,{0}))))))</f>
        <v/>
      </c>
      <c r="P183" s="413">
        <f>IF(AND(B183="",C183=""),"",ROUND(H183*O183,2))</f>
        <v/>
      </c>
      <c r="Q183" s="401" t="inlineStr">
        <is>
          <t>元件</t>
        </is>
      </c>
      <c r="R183" s="168" t="inlineStr"/>
      <c r="S183" s="168" t="inlineStr"/>
      <c r="T183" s="168" t="inlineStr">
        <is>
          <t>0</t>
        </is>
      </c>
      <c r="U183" s="168" t="inlineStr">
        <is>
          <t>0</t>
        </is>
      </c>
      <c r="V183" s="402" t="n"/>
      <c r="W183" s="402" t="n"/>
      <c r="X183" s="170" t="inlineStr"/>
    </row>
    <row r="184" s="308">
      <c r="A184" s="64">
        <f>ROW()-ROW(A$181)</f>
        <v/>
      </c>
      <c r="B184" s="22" t="inlineStr">
        <is>
          <t>多功能表</t>
        </is>
      </c>
      <c r="C184" s="22" t="inlineStr">
        <is>
          <t>PM4101</t>
        </is>
      </c>
      <c r="D184" s="109" t="inlineStr">
        <is>
          <t>甲供/施耐德电气</t>
        </is>
      </c>
      <c r="E184" s="23" t="inlineStr">
        <is>
          <t>只</t>
        </is>
      </c>
      <c r="F184" s="23" t="n">
        <v>1</v>
      </c>
      <c r="G184" s="349">
        <f>IF(AND(B184="",C184=""),"",ROUND(M184*L184*N184,2))</f>
        <v/>
      </c>
      <c r="H184" s="349">
        <f>IF(AND(B184="",C184=""),"",ROUND(F184*G184,2))</f>
        <v/>
      </c>
      <c r="I184" s="45" t="inlineStr"/>
      <c r="J184" s="397">
        <f>IF(AND(B184="",C184=""),"",ROUND(M184*N184,2))</f>
        <v/>
      </c>
      <c r="K184" s="398">
        <f>IF(AND(B184="",C184=""),"",ROUND(J184*F184,2))</f>
        <v/>
      </c>
      <c r="L184" s="200" t="n">
        <v>1</v>
      </c>
      <c r="M184" s="399" t="n">
        <v>1e-07</v>
      </c>
      <c r="N184" s="154" t="n">
        <v>1</v>
      </c>
      <c r="O184" s="155">
        <f>IF(AND(B184="",C184=""),"",IF(G184&gt;=20000,0.05,IF(G184&gt;=10000,0.1,IF(G184&gt;=5000,0.2,IF(G184&gt;=1000,0.3,IF(G184&gt;=0,0.4,{0}))))))</f>
        <v/>
      </c>
      <c r="P184" s="400">
        <f>IF(AND(B184="",C184=""),"",ROUND(H184*O184,2))</f>
        <v/>
      </c>
      <c r="Q184" s="401" t="inlineStr">
        <is>
          <t>元件</t>
        </is>
      </c>
      <c r="R184" s="168" t="inlineStr"/>
      <c r="S184" s="168" t="inlineStr"/>
      <c r="T184" s="168" t="inlineStr">
        <is>
          <t>0</t>
        </is>
      </c>
      <c r="U184" s="168" t="inlineStr"/>
      <c r="V184" s="402" t="n"/>
      <c r="W184" s="402" t="n"/>
      <c r="X184" s="170" t="inlineStr">
        <is>
          <t>PM→PM5350P</t>
        </is>
      </c>
    </row>
    <row r="185" s="308">
      <c r="A185" s="64">
        <f>ROW()-ROW(A$181)</f>
        <v/>
      </c>
      <c r="B185" s="112" t="inlineStr">
        <is>
          <t>电流互感器</t>
        </is>
      </c>
      <c r="C185" s="22" t="inlineStr">
        <is>
          <t>SD-0.66-285III-C 5000/5A</t>
        </is>
      </c>
      <c r="D185" s="112" t="inlineStr">
        <is>
          <t>桑迪</t>
        </is>
      </c>
      <c r="E185" s="114" t="inlineStr">
        <is>
          <t>只</t>
        </is>
      </c>
      <c r="F185" s="23" t="n">
        <v>3</v>
      </c>
      <c r="G185" s="396">
        <f>IF(AND(B185="",C185=""),"",ROUND(M185*L185*N185,2))</f>
        <v/>
      </c>
      <c r="H185" s="349">
        <f>IF(AND(B185="",C185=""),"",ROUND(F185*G185,2))</f>
        <v/>
      </c>
      <c r="I185" s="45" t="inlineStr"/>
      <c r="J185" s="397">
        <f>IF(AND(B185="",C185=""),"",ROUND(M185*N185,2))</f>
        <v/>
      </c>
      <c r="K185" s="398">
        <f>IF(AND(B185="",C185=""),"",ROUND(J185*F185,2))</f>
        <v/>
      </c>
      <c r="L185" s="200" t="n">
        <v>1</v>
      </c>
      <c r="M185" s="399" t="n">
        <v>1026.31</v>
      </c>
      <c r="N185" s="154" t="n">
        <v>1</v>
      </c>
      <c r="O185" s="155">
        <f>IF(AND(B185="",C185=""),"",IF(G185&gt;=20000,0.05,IF(G185&gt;=10000,0.1,IF(G185&gt;=5000,0.2,IF(G185&gt;=1000,0.3,IF(G185&gt;=0,0.4,{0}))))))</f>
        <v/>
      </c>
      <c r="P185" s="400">
        <f>IF(AND(B185="",C185=""),"",ROUND(H185*O185,2))</f>
        <v/>
      </c>
      <c r="Q185" s="401" t="inlineStr">
        <is>
          <t>元件</t>
        </is>
      </c>
      <c r="R185" s="168" t="inlineStr"/>
      <c r="S185" s="168" t="inlineStr"/>
      <c r="T185" s="168" t="inlineStr">
        <is>
          <t>0</t>
        </is>
      </c>
      <c r="U185" s="168" t="inlineStr"/>
      <c r="V185" s="402" t="n"/>
      <c r="W185" s="402" t="n"/>
      <c r="X185" s="170" t="inlineStr">
        <is>
          <t>BH-0.66/80C(P) 800/5A→SD-0.66-80II-V 800/5A→SD-0.66-40II-C 400/5A→SD-0.66-60II-C 600/5A→SD-0.66-60II-C 750/5A→SD-0.66-80II-V 800/5A→SD-0.66-60II-C 600/5A</t>
        </is>
      </c>
    </row>
    <row r="186" s="308">
      <c r="A186" s="64">
        <f>ROW()-ROW(A$181)</f>
        <v/>
      </c>
      <c r="B186" s="112" t="inlineStr">
        <is>
          <t>电流互感器</t>
        </is>
      </c>
      <c r="C186" s="22" t="inlineStr">
        <is>
          <t>SD-0.66-60II-C 800/5A</t>
        </is>
      </c>
      <c r="D186" s="112" t="inlineStr">
        <is>
          <t>桑迪</t>
        </is>
      </c>
      <c r="E186" s="114" t="inlineStr">
        <is>
          <t>只</t>
        </is>
      </c>
      <c r="F186" s="23" t="n">
        <v>3</v>
      </c>
      <c r="G186" s="396">
        <f>IF(AND(B186="",C186=""),"",ROUND(M186*L186*N186,2))</f>
        <v/>
      </c>
      <c r="H186" s="349">
        <f>IF(AND(B186="",C186=""),"",ROUND(F186*G186,2))</f>
        <v/>
      </c>
      <c r="I186" s="45" t="inlineStr"/>
      <c r="J186" s="397">
        <f>IF(AND(B186="",C186=""),"",ROUND(M186*N186,2))</f>
        <v/>
      </c>
      <c r="K186" s="398">
        <f>IF(AND(B186="",C186=""),"",ROUND(J186*F186,2))</f>
        <v/>
      </c>
      <c r="L186" s="200" t="n">
        <v>1</v>
      </c>
      <c r="M186" s="399" t="n">
        <v>72.8</v>
      </c>
      <c r="N186" s="154" t="n">
        <v>1</v>
      </c>
      <c r="O186" s="155">
        <f>IF(AND(B186="",C186=""),"",IF(G186&gt;=20000,0.05,IF(G186&gt;=10000,0.1,IF(G186&gt;=5000,0.2,IF(G186&gt;=1000,0.3,IF(G186&gt;=0,0.4,{0}))))))</f>
        <v/>
      </c>
      <c r="P186" s="400">
        <f>IF(AND(B186="",C186=""),"",ROUND(H186*O186,2))</f>
        <v/>
      </c>
      <c r="Q186" s="401" t="inlineStr">
        <is>
          <t>元件</t>
        </is>
      </c>
      <c r="R186" s="168" t="inlineStr"/>
      <c r="S186" s="168" t="inlineStr"/>
      <c r="T186" s="168" t="inlineStr">
        <is>
          <t>0</t>
        </is>
      </c>
      <c r="U186" s="168" t="inlineStr"/>
      <c r="V186" s="402" t="n"/>
      <c r="W186" s="402" t="n"/>
      <c r="X186" s="170" t="inlineStr">
        <is>
          <t>BH-0.66/80C(P) 800/5A→SD-0.66-80II-V 800/5A→SD-0.66-40II-C 400/5A→SD-0.66-60II-C 600/5A→SD-0.66-60II-C 750/5A→SD-0.66-80II-V 800/5A→SD-0.66-60II-C 600/5A</t>
        </is>
      </c>
    </row>
    <row r="187" s="308">
      <c r="A187" s="64">
        <f>ROW()-ROW(A$181)</f>
        <v/>
      </c>
      <c r="B187" s="22" t="inlineStr">
        <is>
          <t>SVG</t>
        </is>
      </c>
      <c r="C187" s="22" t="inlineStr">
        <is>
          <t>375kvar</t>
        </is>
      </c>
      <c r="D187" s="27" t="inlineStr">
        <is>
          <t>甲供</t>
        </is>
      </c>
      <c r="E187" s="23" t="inlineStr">
        <is>
          <t>套</t>
        </is>
      </c>
      <c r="F187" s="23">
        <f>IF(AND(B187="",C187=""),"",1)</f>
        <v/>
      </c>
      <c r="G187" s="349">
        <f>IF(AND(B187="",C187=""),"",ROUND(M187*L187*N187,2))</f>
        <v/>
      </c>
      <c r="H187" s="349">
        <f>IF(AND(B187="",C187=""),"",ROUND(F187*G187,2))</f>
        <v/>
      </c>
      <c r="I187" s="45" t="inlineStr"/>
      <c r="J187" s="397">
        <f>IF(AND(B187="",C187=""),"",ROUND(M187*N187,2))</f>
        <v/>
      </c>
      <c r="K187" s="398">
        <f>IF(AND(B187="",C187=""),"",ROUND(J187*F187,2))</f>
        <v/>
      </c>
      <c r="L187" s="200" t="n">
        <v>1</v>
      </c>
      <c r="M187" s="399" t="n">
        <v>1e-07</v>
      </c>
      <c r="N187" s="154" t="n">
        <v>1</v>
      </c>
      <c r="O187" s="155">
        <f>IF(AND(B187="",C187=""),"",IF(G187&gt;=20000,0.05,IF(G187&gt;=10000,0.1,IF(G187&gt;=5000,0.2,IF(G187&gt;=1000,0.3,IF(G187&gt;=0,0.4,{0}))))))</f>
        <v/>
      </c>
      <c r="P187" s="400">
        <f>IF(AND(B187="",C187=""),"",ROUND(H187*O187,2))</f>
        <v/>
      </c>
      <c r="Q187" s="401" t="inlineStr">
        <is>
          <t>元件</t>
        </is>
      </c>
      <c r="R187" s="168" t="inlineStr"/>
      <c r="S187" s="168" t="inlineStr"/>
      <c r="T187" s="168" t="inlineStr">
        <is>
          <t>0</t>
        </is>
      </c>
      <c r="U187" s="168" t="inlineStr"/>
      <c r="V187" s="402" t="n"/>
      <c r="W187" s="402" t="n"/>
      <c r="X187" s="170" t="inlineStr"/>
    </row>
    <row r="188" s="308">
      <c r="A188" s="64">
        <f>ROW()-ROW(A$181)</f>
        <v/>
      </c>
      <c r="B188" s="112" t="inlineStr">
        <is>
          <t>避雷器</t>
        </is>
      </c>
      <c r="C188" s="22" t="inlineStr">
        <is>
          <t>YH3W2-0.28/1.3</t>
        </is>
      </c>
      <c r="D188" s="22" t="inlineStr">
        <is>
          <t>国产优质</t>
        </is>
      </c>
      <c r="E188" s="114" t="inlineStr">
        <is>
          <t>只</t>
        </is>
      </c>
      <c r="F188" s="23" t="n">
        <v>3</v>
      </c>
      <c r="G188" s="396">
        <f>IF(AND(B188="",C188=""),"",ROUND(M188*L188*N188,2))</f>
        <v/>
      </c>
      <c r="H188" s="349">
        <f>IF(AND(B188="",C188=""),"",ROUND(F188*G188,2))</f>
        <v/>
      </c>
      <c r="I188" s="45" t="inlineStr"/>
      <c r="J188" s="397">
        <f>IF(AND(B188="",C188=""),"",ROUND(M188*N188,2))</f>
        <v/>
      </c>
      <c r="K188" s="398">
        <f>IF(AND(B188="",C188=""),"",ROUND(J188*F188,2))</f>
        <v/>
      </c>
      <c r="L188" s="200" t="n">
        <v>1</v>
      </c>
      <c r="M188" s="399" t="n">
        <v>25</v>
      </c>
      <c r="N188" s="154" t="n">
        <v>1</v>
      </c>
      <c r="O188" s="155">
        <f>IF(AND(B188="",C188=""),"",IF(G188&gt;=20000,0.05,IF(G188&gt;=10000,0.1,IF(G188&gt;=5000,0.2,IF(G188&gt;=1000,0.3,IF(G188&gt;=0,0.4,{0}))))))</f>
        <v/>
      </c>
      <c r="P188" s="400">
        <f>IF(AND(B188="",C188=""),"",ROUND(H188*O188,2))</f>
        <v/>
      </c>
      <c r="Q188" s="401" t="inlineStr">
        <is>
          <t>元件</t>
        </is>
      </c>
      <c r="R188" s="168" t="inlineStr"/>
      <c r="S188" s="168" t="inlineStr"/>
      <c r="T188" s="168" t="inlineStr">
        <is>
          <t>0</t>
        </is>
      </c>
      <c r="U188" s="168" t="inlineStr">
        <is>
          <t>A9L208044</t>
        </is>
      </c>
      <c r="V188" s="402" t="n"/>
      <c r="W188" s="402" t="n"/>
      <c r="X188" s="170" t="inlineStr"/>
    </row>
    <row r="189" s="308">
      <c r="A189" s="64">
        <f>ROW()-ROW(A$181)</f>
        <v/>
      </c>
      <c r="B189" s="112" t="inlineStr">
        <is>
          <t>温湿度控制器</t>
        </is>
      </c>
      <c r="C189" s="112" t="inlineStr">
        <is>
          <t>ATH48G-11</t>
        </is>
      </c>
      <c r="D189" s="22" t="inlineStr">
        <is>
          <t>杭州安廷</t>
        </is>
      </c>
      <c r="E189" s="23" t="inlineStr">
        <is>
          <t>套</t>
        </is>
      </c>
      <c r="F189" s="23" t="n">
        <v>1</v>
      </c>
      <c r="G189" s="349">
        <f>IF(AND(B189="",C189=""),"",ROUND(M189*L189*N189,2))</f>
        <v/>
      </c>
      <c r="H189" s="396">
        <f>IF(AND(B189="",C189=""),"",ROUND(F189*G189,2))</f>
        <v/>
      </c>
      <c r="I189" s="150" t="inlineStr"/>
      <c r="J189" s="397">
        <f>IF(AND(B189="",C189=""),"",ROUND(M189*N189,2))</f>
        <v/>
      </c>
      <c r="K189" s="398">
        <f>IF(AND(B189="",C189=""),"",ROUND(J189*F189,2))</f>
        <v/>
      </c>
      <c r="L189" s="141" t="n">
        <v>1</v>
      </c>
      <c r="M189" s="399" t="n">
        <v>450</v>
      </c>
      <c r="N189" s="154" t="n">
        <v>1</v>
      </c>
      <c r="O189" s="155">
        <f>IF(AND(B189="",C189=""),"",IF(G189&gt;=20000,0.05,IF(G189&gt;=10000,0.1,IF(G189&gt;=5000,0.2,IF(G189&gt;=1000,0.3,IF(G189&gt;=0,0.4,{0}))))))</f>
        <v/>
      </c>
      <c r="P189" s="400">
        <f>IF(AND(B189="",C189=""),"",ROUND(H189*O189,2))</f>
        <v/>
      </c>
      <c r="Q189" s="401" t="inlineStr">
        <is>
          <t>元件</t>
        </is>
      </c>
      <c r="R189" s="168" t="inlineStr"/>
      <c r="S189" s="168" t="inlineStr"/>
      <c r="T189" s="168" t="inlineStr">
        <is>
          <t>0</t>
        </is>
      </c>
      <c r="U189" s="168" t="inlineStr"/>
      <c r="V189" s="402" t="n"/>
      <c r="W189" s="402" t="n"/>
      <c r="X189" s="170" t="inlineStr"/>
    </row>
    <row r="190" s="308">
      <c r="A190" s="64">
        <f>ROW()-ROW(A$181)</f>
        <v/>
      </c>
      <c r="B190" s="22" t="inlineStr">
        <is>
          <t>电容柜散热风扇</t>
        </is>
      </c>
      <c r="C190" s="22" t="inlineStr">
        <is>
          <t>SF2208HA2BMT+SVF105SND</t>
        </is>
      </c>
      <c r="D190" s="22" t="inlineStr">
        <is>
          <t>源顶</t>
        </is>
      </c>
      <c r="E190" s="23" t="inlineStr">
        <is>
          <t>只</t>
        </is>
      </c>
      <c r="F190" s="23" t="n">
        <v>2</v>
      </c>
      <c r="G190" s="349">
        <f>IF(AND(B190="",C190=""),"",ROUND(M190*L190*N190,2))</f>
        <v/>
      </c>
      <c r="H190" s="349">
        <f>IF(AND(B190="",C190=""),"",ROUND(F190*G190,2))</f>
        <v/>
      </c>
      <c r="I190" s="45" t="inlineStr"/>
      <c r="J190" s="397">
        <f>IF(AND(B190="",C190=""),"",ROUND(M190*N190,2))</f>
        <v/>
      </c>
      <c r="K190" s="398">
        <f>IF(AND(B190="",C190=""),"",ROUND(J190*F190,2))</f>
        <v/>
      </c>
      <c r="L190" s="200" t="n">
        <v>1</v>
      </c>
      <c r="M190" s="399" t="n">
        <v>241</v>
      </c>
      <c r="N190" s="154" t="n">
        <v>1</v>
      </c>
      <c r="O190" s="155">
        <f>IF(AND(B190="",C190=""),"",IF(G190&gt;=20000,0.05,IF(G190&gt;=10000,0.1,IF(G190&gt;=5000,0.2,IF(G190&gt;=1000,0.3,IF(G190&gt;=0,0.4,{0}))))))</f>
        <v/>
      </c>
      <c r="P190" s="400">
        <f>IF(AND(B190="",C190=""),"",ROUND(H190*O190,2))</f>
        <v/>
      </c>
      <c r="Q190" s="401" t="inlineStr">
        <is>
          <t>元件</t>
        </is>
      </c>
      <c r="R190" s="168" t="inlineStr"/>
      <c r="S190" s="168" t="inlineStr"/>
      <c r="T190" s="168" t="inlineStr">
        <is>
          <t>0</t>
        </is>
      </c>
      <c r="U190" s="168" t="inlineStr">
        <is>
          <t>0</t>
        </is>
      </c>
      <c r="V190" s="402" t="n"/>
      <c r="W190" s="402" t="n"/>
      <c r="X190" s="170" t="inlineStr">
        <is>
          <t>SF2208HA2BMT+SVF105SND</t>
        </is>
      </c>
    </row>
    <row r="191" s="308">
      <c r="A191" s="64">
        <f>ROW()-ROW(A$181)</f>
        <v/>
      </c>
      <c r="B191" s="22" t="inlineStr">
        <is>
          <t>带熔丝端子</t>
        </is>
      </c>
      <c r="C191" s="22" t="inlineStr">
        <is>
          <t>UK 5-HESI</t>
        </is>
      </c>
      <c r="D191" s="22" t="inlineStr">
        <is>
          <t>菲尼克斯</t>
        </is>
      </c>
      <c r="E191" s="23" t="inlineStr">
        <is>
          <t>只</t>
        </is>
      </c>
      <c r="F191" s="23" t="n">
        <v>10</v>
      </c>
      <c r="G191" s="349">
        <f>IF(AND(B191="",C191=""),"",ROUND(M191*L191*N191,2))</f>
        <v/>
      </c>
      <c r="H191" s="349">
        <f>IF(AND(B191="",C191=""),"",ROUND(F191*G191,2))</f>
        <v/>
      </c>
      <c r="I191" s="45" t="inlineStr"/>
      <c r="J191" s="397">
        <f>IF(AND(B191="",C191=""),"",ROUND(M191*N191,2))</f>
        <v/>
      </c>
      <c r="K191" s="398">
        <f>IF(AND(B191="",C191=""),"",ROUND(J191*F191,2))</f>
        <v/>
      </c>
      <c r="L191" s="200" t="n">
        <v>1</v>
      </c>
      <c r="M191" s="399" t="n">
        <v>7</v>
      </c>
      <c r="N191" s="154" t="n">
        <v>1</v>
      </c>
      <c r="O191" s="155">
        <f>IF(AND(B191="",C191=""),"",IF(G191&gt;=20000,0.05,IF(G191&gt;=10000,0.1,IF(G191&gt;=5000,0.2,IF(G191&gt;=1000,0.3,IF(G191&gt;=0,0.4,{0}))))))</f>
        <v/>
      </c>
      <c r="P191" s="400">
        <f>IF(AND(B191="",C191=""),"",ROUND(H191*O191,2))</f>
        <v/>
      </c>
      <c r="Q191" s="401" t="inlineStr">
        <is>
          <t>元件</t>
        </is>
      </c>
      <c r="R191" s="168" t="inlineStr"/>
      <c r="S191" s="168" t="inlineStr"/>
      <c r="T191" s="168" t="inlineStr">
        <is>
          <t>0</t>
        </is>
      </c>
      <c r="U191" s="168" t="inlineStr">
        <is>
          <t>3004100</t>
        </is>
      </c>
      <c r="V191" s="402" t="n"/>
      <c r="W191" s="402" t="n"/>
      <c r="X191" s="170" t="inlineStr"/>
    </row>
    <row r="192" s="308">
      <c r="A192" s="64">
        <f>ROW()-ROW(A$181)</f>
        <v/>
      </c>
      <c r="B192" s="22" t="inlineStr">
        <is>
          <t>水平母排</t>
        </is>
      </c>
      <c r="C192" s="22" t="inlineStr">
        <is>
          <t>TMY 4*(4*150*5)+2*50*5</t>
        </is>
      </c>
      <c r="D192" s="22" t="inlineStr">
        <is>
          <t>国产优质</t>
        </is>
      </c>
      <c r="E192" s="23" t="inlineStr">
        <is>
          <t>米</t>
        </is>
      </c>
      <c r="F192" s="23" t="n">
        <v>0.9</v>
      </c>
      <c r="G192" s="349">
        <f>IF(AND(B192="",C192=""),"",ROUND(M192*L192*N192,2))</f>
        <v/>
      </c>
      <c r="H192" s="349">
        <f>IF(AND(B192="",C192=""),"",ROUND(F192*G192,2))</f>
        <v/>
      </c>
      <c r="I192" s="45" t="inlineStr"/>
      <c r="J192" s="397">
        <f>IF(AND(B192="",C192=""),"",ROUND(M192*N192,2))</f>
        <v/>
      </c>
      <c r="K192" s="398">
        <f>IF(AND(B192="",C192=""),"",ROUND(J192*F192,2))</f>
        <v/>
      </c>
      <c r="L192" s="200" t="n">
        <v>1</v>
      </c>
      <c r="M192" s="399" t="n">
        <v>12026.68125</v>
      </c>
      <c r="N192" s="154">
        <f>(6317.932*1*1+2684.8*1*1)/9002.732</f>
        <v/>
      </c>
      <c r="O192" s="155">
        <f>IF(AND(B192="",C192=""),"",IF(G192&gt;=20000,0.05,IF(G192&gt;=10000,0.1,IF(G192&gt;=5000,0.2,IF(G192&gt;=1000,0.3,IF(G192&gt;=0,0.4,{0}))))))</f>
        <v/>
      </c>
      <c r="P192" s="400">
        <f>IF(AND(B192="",C192=""),"",ROUND(H192*O192,2))</f>
        <v/>
      </c>
      <c r="Q192" s="401" t="inlineStr">
        <is>
          <t>母排</t>
        </is>
      </c>
      <c r="R192" s="168" t="inlineStr"/>
      <c r="S192" s="168" t="inlineStr"/>
      <c r="T192" s="168" t="inlineStr">
        <is>
          <t>0</t>
        </is>
      </c>
      <c r="U192" s="168" t="inlineStr">
        <is>
          <t>0</t>
        </is>
      </c>
      <c r="V192" s="402" t="n"/>
      <c r="W192" s="402" t="n"/>
      <c r="X192" s="170" t="inlineStr"/>
    </row>
    <row r="193" s="308">
      <c r="A193" s="64">
        <f>ROW()-ROW(A$181)</f>
        <v/>
      </c>
      <c r="B193" s="22" t="inlineStr">
        <is>
          <t>铜排</t>
        </is>
      </c>
      <c r="C193" s="27" t="inlineStr">
        <is>
          <t>TMY 3*2*50*5</t>
        </is>
      </c>
      <c r="D193" s="22" t="inlineStr">
        <is>
          <t>国产优质</t>
        </is>
      </c>
      <c r="E193" s="23" t="inlineStr">
        <is>
          <t>米</t>
        </is>
      </c>
      <c r="F193" s="23" t="n">
        <v>1.5</v>
      </c>
      <c r="G193" s="349">
        <f>IF(AND(B193="",C193=""),"",ROUND(M193*L193*N193,2))</f>
        <v/>
      </c>
      <c r="H193" s="349">
        <f>IF(AND(B193="",C193=""),"",ROUND(F193*G193,2))</f>
        <v/>
      </c>
      <c r="I193" s="45" t="inlineStr"/>
      <c r="J193" s="397">
        <f>IF(AND(B193="",C193=""),"",ROUND(M193*N193,2))</f>
        <v/>
      </c>
      <c r="K193" s="398">
        <f>IF(AND(B193="",C193=""),"",ROUND(J193*F193,2))</f>
        <v/>
      </c>
      <c r="L193" s="200" t="n">
        <v>1</v>
      </c>
      <c r="M193" s="399" t="n">
        <v>1443.20175</v>
      </c>
      <c r="N193" s="154" t="n">
        <v>1</v>
      </c>
      <c r="O193" s="155">
        <f>IF(AND(B193="",C193=""),"",IF(G193&gt;=20000,0.05,IF(G193&gt;=10000,0.1,IF(G193&gt;=5000,0.2,IF(G193&gt;=1000,0.3,IF(G193&gt;=0,0.4,{0}))))))</f>
        <v/>
      </c>
      <c r="P193" s="400">
        <f>IF(AND(B193="",C193=""),"",ROUND(H193*O193,2))</f>
        <v/>
      </c>
      <c r="Q193" s="401" t="inlineStr">
        <is>
          <t>母排</t>
        </is>
      </c>
      <c r="R193" s="168" t="inlineStr"/>
      <c r="S193" s="168" t="inlineStr"/>
      <c r="T193" s="168" t="inlineStr">
        <is>
          <t>0</t>
        </is>
      </c>
      <c r="U193" s="168" t="inlineStr">
        <is>
          <t>0</t>
        </is>
      </c>
      <c r="V193" s="402" t="n"/>
      <c r="W193" s="402" t="n"/>
      <c r="X193" s="170" t="inlineStr"/>
    </row>
    <row r="194" s="308">
      <c r="A194" s="64">
        <f>ROW()-ROW(A$181)</f>
        <v/>
      </c>
      <c r="B194" s="22" t="inlineStr">
        <is>
          <t>线缆</t>
        </is>
      </c>
      <c r="C194" s="27" t="inlineStr">
        <is>
          <t>95mm²</t>
        </is>
      </c>
      <c r="D194" s="22" t="inlineStr">
        <is>
          <t>凯布斯</t>
        </is>
      </c>
      <c r="E194" s="23" t="inlineStr">
        <is>
          <t>米</t>
        </is>
      </c>
      <c r="F194" s="23" t="n">
        <v>12</v>
      </c>
      <c r="G194" s="349">
        <f>IF(AND(B194="",C194=""),"",ROUND(M194*L194*N194,2))</f>
        <v/>
      </c>
      <c r="H194" s="349">
        <f>IF(AND(B194="",C194=""),"",ROUND(F194*G194,2))</f>
        <v/>
      </c>
      <c r="I194" s="45" t="inlineStr"/>
      <c r="J194" s="397">
        <f>IF(AND(B194="",C194=""),"",ROUND(M194*N194,2))</f>
        <v/>
      </c>
      <c r="K194" s="398">
        <f>IF(AND(B194="",C194=""),"",ROUND(J194*F194,2))</f>
        <v/>
      </c>
      <c r="L194" s="200" t="n">
        <v>1</v>
      </c>
      <c r="M194" s="399" t="n">
        <v>86.45</v>
      </c>
      <c r="N194" s="154" t="n">
        <v>1</v>
      </c>
      <c r="O194" s="155">
        <f>IF(AND(B194="",C194=""),"",IF(G194&gt;=20000,0.05,IF(G194&gt;=10000,0.1,IF(G194&gt;=5000,0.2,IF(G194&gt;=1000,0.3,IF(G194&gt;=0,0.4,{0}))))))</f>
        <v/>
      </c>
      <c r="P194" s="400">
        <f>IF(AND(B194="",C194=""),"",ROUND(H194*O194,2))</f>
        <v/>
      </c>
      <c r="Q194" s="401" t="inlineStr">
        <is>
          <t>元件</t>
        </is>
      </c>
      <c r="R194" s="168" t="inlineStr"/>
      <c r="S194" s="168" t="inlineStr"/>
      <c r="T194" s="168" t="inlineStr">
        <is>
          <t>0</t>
        </is>
      </c>
      <c r="U194" s="168" t="inlineStr"/>
      <c r="V194" s="402" t="n"/>
      <c r="W194" s="402" t="n"/>
      <c r="X194" s="170" t="inlineStr">
        <is>
          <t>TMY 60*5→25mm²</t>
        </is>
      </c>
    </row>
    <row r="195" s="308">
      <c r="A195" s="64">
        <f>ROW()-ROW(A$181)</f>
        <v/>
      </c>
      <c r="B195" s="22" t="inlineStr">
        <is>
          <t>辅料</t>
        </is>
      </c>
      <c r="C195" s="22" t="inlineStr"/>
      <c r="D195" s="22" t="inlineStr"/>
      <c r="E195" s="23" t="inlineStr">
        <is>
          <t>套</t>
        </is>
      </c>
      <c r="F195" s="23" t="n">
        <v>1</v>
      </c>
      <c r="G195" s="349">
        <f>IF(AND(B195="",C195=""),"",ROUND(M195*L195*N195,2))</f>
        <v/>
      </c>
      <c r="H195" s="349">
        <f>IF(AND(B195="",C195=""),"",ROUND(F195*G195,2))</f>
        <v/>
      </c>
      <c r="I195" s="45" t="inlineStr"/>
      <c r="J195" s="397">
        <f>IF(AND(B195="",C195=""),"",ROUND(M195*N195,2))</f>
        <v/>
      </c>
      <c r="K195" s="398">
        <f>IF(AND(B195="",C195=""),"",ROUND(J195*F195,2))</f>
        <v/>
      </c>
      <c r="L195" s="200" t="n">
        <v>1</v>
      </c>
      <c r="M195" s="399" t="n">
        <v>1000</v>
      </c>
      <c r="N195" s="154" t="n">
        <v>1</v>
      </c>
      <c r="O195" s="155">
        <f>IF(AND(B195="",C195=""),"",IF(G195&gt;=20000,0.05,IF(G195&gt;=10000,0.1,IF(G195&gt;=5000,0.2,IF(G195&gt;=1000,0.3,IF(G195&gt;=0,0.4,{0}))))))</f>
        <v/>
      </c>
      <c r="P195" s="400">
        <f>IF(AND(B195="",C195=""),"",ROUND(H195*O195,2))</f>
        <v/>
      </c>
      <c r="Q195" s="401" t="inlineStr">
        <is>
          <t>辅料</t>
        </is>
      </c>
      <c r="R195" s="168" t="inlineStr"/>
      <c r="S195" s="168" t="inlineStr"/>
      <c r="T195" s="168" t="inlineStr">
        <is>
          <t>0</t>
        </is>
      </c>
      <c r="U195" s="168" t="inlineStr">
        <is>
          <t>0</t>
        </is>
      </c>
      <c r="V195" s="402" t="n"/>
      <c r="W195" s="402" t="n"/>
      <c r="X195" s="170" t="inlineStr"/>
    </row>
    <row r="196" s="308">
      <c r="A196" s="64">
        <f>ROW()-ROW(A$181)</f>
        <v/>
      </c>
      <c r="B196" s="22" t="inlineStr">
        <is>
          <t>柜体Blokset</t>
        </is>
      </c>
      <c r="C196" s="22" t="inlineStr">
        <is>
          <t>800W*1200D*2200H</t>
        </is>
      </c>
      <c r="D196" s="22" t="inlineStr">
        <is>
          <t>清科</t>
        </is>
      </c>
      <c r="E196" s="23" t="inlineStr">
        <is>
          <t>台</t>
        </is>
      </c>
      <c r="F196" s="23" t="n">
        <v>1</v>
      </c>
      <c r="G196" s="349">
        <f>IF(AND(B196="",C196=""),"",ROUND(M196*L196*N196,2))</f>
        <v/>
      </c>
      <c r="H196" s="349">
        <f>IF(AND(B196="",C196=""),"",ROUND(F196*G196,2))</f>
        <v/>
      </c>
      <c r="I196" s="45" t="inlineStr"/>
      <c r="J196" s="397">
        <f>IF(AND(B196="",C196=""),"",ROUND(M196*N196,2))</f>
        <v/>
      </c>
      <c r="K196" s="398">
        <f>IF(AND(B196="",C196=""),"",ROUND(J196*F196,2))</f>
        <v/>
      </c>
      <c r="L196" s="200" t="n">
        <v>1</v>
      </c>
      <c r="M196" s="399" t="n">
        <v>4346</v>
      </c>
      <c r="N196" s="154" t="n">
        <v>1</v>
      </c>
      <c r="O196" s="155">
        <f>IF(AND(B196="",C196=""),"",IF(G196&gt;=20000,0.05,IF(G196&gt;=10000,0.1,IF(G196&gt;=5000,0.2,IF(G196&gt;=1000,0.3,IF(G196&gt;=0,0.4,{0}))))))</f>
        <v/>
      </c>
      <c r="P196" s="400">
        <f>IF(AND(B196="",C196=""),"",ROUND(H196*O196,2))</f>
        <v/>
      </c>
      <c r="Q196" s="401" t="inlineStr">
        <is>
          <t>箱体</t>
        </is>
      </c>
      <c r="R196" s="168" t="inlineStr"/>
      <c r="S196" s="168" t="inlineStr"/>
      <c r="T196" s="168" t="inlineStr">
        <is>
          <t>0</t>
        </is>
      </c>
      <c r="U196" s="168" t="inlineStr"/>
      <c r="V196" s="402" t="n"/>
      <c r="W196" s="402" t="n"/>
      <c r="X196" s="170" t="inlineStr">
        <is>
          <t>1300W*1000D*2200H→800W*1000D*2200H BC</t>
        </is>
      </c>
    </row>
    <row r="197" s="308">
      <c r="A197" s="64">
        <f>ROW()-ROW(A$181)</f>
        <v/>
      </c>
      <c r="B197" s="22" t="inlineStr"/>
      <c r="C197" s="22" t="inlineStr"/>
      <c r="D197" s="22" t="inlineStr"/>
      <c r="E197" s="23" t="n"/>
      <c r="F197" s="23">
        <f>IF(AND(B197="",C197=""),"",1)</f>
        <v/>
      </c>
      <c r="G197" s="349">
        <f>IF(AND(B197="",C197=""),"",ROUND(M197*L197*N197,2))</f>
        <v/>
      </c>
      <c r="H197" s="349">
        <f>IF(AND(B197="",C197=""),"",ROUND(F197*G197,2))</f>
        <v/>
      </c>
      <c r="I197" s="45" t="inlineStr"/>
      <c r="J197" s="397">
        <f>IF(AND(B197="",C197=""),"",ROUND(M197*N197,2))</f>
        <v/>
      </c>
      <c r="K197" s="398">
        <f>IF(AND(B197="",C197=""),"",ROUND(J197*F197,2))</f>
        <v/>
      </c>
      <c r="L197" s="200">
        <f>IF(AND(B197="",C197=""),"",1)</f>
        <v/>
      </c>
      <c r="M197" s="399" t="n"/>
      <c r="N197" s="154">
        <f>IF(AND(B197="",C197=""),"",1)</f>
        <v/>
      </c>
      <c r="O197" s="155">
        <f>IF(AND(B197="",C197=""),"",IF(J197&gt;=20000,0.05,IF(J197&gt;=10000,0.1,IF(J197&gt;=5000,0.2,IF(J197&gt;=1000,0.3,IF(J197&gt;=0,0.4,{0}))))))</f>
        <v/>
      </c>
      <c r="P197" s="400">
        <f>IF(AND(B197="",C197=""),"",ROUND(H197*O197,2))</f>
        <v/>
      </c>
      <c r="Q197" s="401">
        <f>IF(AND(B197="",C197=""),"","元件")</f>
        <v/>
      </c>
      <c r="R197" s="168" t="inlineStr"/>
      <c r="S197" s="168" t="inlineStr"/>
      <c r="T197" s="168" t="inlineStr"/>
      <c r="U197" s="168" t="inlineStr"/>
      <c r="V197" s="402" t="n"/>
      <c r="W197" s="402" t="n"/>
      <c r="X197" s="170" t="inlineStr"/>
    </row>
    <row r="198" s="308">
      <c r="A198" s="64">
        <f>ROW()-ROW(A$181)</f>
        <v/>
      </c>
      <c r="B198" s="171" t="inlineStr">
        <is>
          <t>小计</t>
        </is>
      </c>
      <c r="C198" s="172" t="n"/>
      <c r="D198" s="204" t="n"/>
      <c r="E198" s="114" t="n"/>
      <c r="F198" s="114" t="n"/>
      <c r="G198" s="396" t="n"/>
      <c r="H198" s="396">
        <f>ROUND(SUM(H181:INDEX(H:H,ROW()-1)),2)</f>
        <v/>
      </c>
      <c r="I198" s="45" t="inlineStr"/>
      <c r="J198" s="397" t="n"/>
      <c r="K198" s="398">
        <f>ROUND(SUM(K181:INDEX(K:K,ROW()-1)),2)</f>
        <v/>
      </c>
      <c r="L198" s="200" t="n"/>
      <c r="M198" s="399" t="n"/>
      <c r="N198" s="154" t="n"/>
      <c r="O198" s="155" t="n"/>
      <c r="P198" s="400" t="n"/>
      <c r="Q198" s="401" t="n"/>
      <c r="R198" s="168" t="inlineStr"/>
      <c r="S198" s="168" t="inlineStr"/>
      <c r="T198" s="168" t="inlineStr"/>
      <c r="U198" s="168" t="inlineStr"/>
      <c r="V198" s="402">
        <f>ROUND(SUMPRODUCT(F181:INDEX(F:F,ROW()-1),V181:INDEX(V:V,ROW()-1)),2)</f>
        <v/>
      </c>
      <c r="W198" s="402">
        <f>ROUND(SUMPRODUCT(F181:INDEX(F:F,ROW()-1),W181:INDEX(W:W,ROW()-1)),2)</f>
        <v/>
      </c>
      <c r="X198" s="170" t="inlineStr"/>
    </row>
    <row r="199" s="308">
      <c r="A199" s="64">
        <f>ROW()-ROW(A$181)</f>
        <v/>
      </c>
      <c r="B199" s="171" t="inlineStr">
        <is>
          <t>综合费(人工、管理、税金、利润等)</t>
        </is>
      </c>
      <c r="C199" s="172" t="n"/>
      <c r="D199" s="204" t="n"/>
      <c r="E199" s="114" t="n"/>
      <c r="F199" s="114" t="n"/>
      <c r="G199" s="396" t="n"/>
      <c r="H199" s="396">
        <f>2500</f>
        <v/>
      </c>
      <c r="I199" s="45" t="inlineStr"/>
      <c r="J199" s="397" t="n"/>
      <c r="K199" s="398" t="n"/>
      <c r="L199" s="200" t="n"/>
      <c r="M199" s="399" t="n"/>
      <c r="N199" s="154" t="n"/>
      <c r="O199" s="155" t="n"/>
      <c r="P199" s="400" t="n"/>
      <c r="Q199" s="401" t="inlineStr">
        <is>
          <t>费用</t>
        </is>
      </c>
      <c r="R199" s="168" t="inlineStr"/>
      <c r="S199" s="168" t="inlineStr"/>
      <c r="T199" s="168" t="inlineStr"/>
      <c r="U199" s="168" t="inlineStr"/>
      <c r="V199" s="402" t="n"/>
      <c r="W199" s="402" t="n"/>
      <c r="X199" s="170" t="inlineStr"/>
    </row>
    <row r="200" s="308">
      <c r="A200" s="64">
        <f>ROW()-ROW(A$181)</f>
        <v/>
      </c>
      <c r="B200" s="204" t="inlineStr">
        <is>
          <t>单台合计</t>
        </is>
      </c>
      <c r="C200" s="172" t="n"/>
      <c r="D200" s="204" t="n"/>
      <c r="E200" s="114" t="n"/>
      <c r="F200" s="114" t="n"/>
      <c r="G200" s="396" t="n"/>
      <c r="H200" s="396">
        <f>ROUND(SUM(H198:H199),2)</f>
        <v/>
      </c>
      <c r="I200" s="181" t="n"/>
      <c r="J200" s="397" t="n"/>
      <c r="K200" s="398">
        <f>ROUND(SUM(K198:K199),2)</f>
        <v/>
      </c>
      <c r="L200" s="209" t="n"/>
      <c r="M200" s="399" t="n"/>
      <c r="N200" s="210" t="n"/>
      <c r="O200" s="211" t="n"/>
      <c r="P200" s="400" t="n"/>
      <c r="Q200" s="401" t="n"/>
      <c r="R200" s="168" t="inlineStr"/>
      <c r="S200" s="168" t="inlineStr"/>
      <c r="T200" s="168" t="inlineStr"/>
      <c r="U200" s="168" t="inlineStr"/>
      <c r="V200" s="402" t="n"/>
      <c r="W200" s="402" t="n"/>
      <c r="X200" s="170" t="inlineStr"/>
    </row>
    <row r="201" s="308">
      <c r="A201" s="173" t="inlineStr">
        <is>
          <t>总计</t>
        </is>
      </c>
      <c r="B201" s="205" t="n"/>
      <c r="C201" s="175" t="n"/>
      <c r="D201" s="206" t="n"/>
      <c r="E201" s="206" t="inlineStr">
        <is>
          <t>台</t>
        </is>
      </c>
      <c r="F201" s="206" t="n">
        <v>2</v>
      </c>
      <c r="G201" s="414">
        <f>ROUND(H200,2)</f>
        <v/>
      </c>
      <c r="H201" s="414">
        <f>ROUND(F201*G201,2)</f>
        <v/>
      </c>
      <c r="I201" s="185" t="n"/>
      <c r="J201" s="415" t="n"/>
      <c r="K201" s="416">
        <f>ROUND(K200*F201,2)</f>
        <v/>
      </c>
      <c r="L201" s="214" t="n"/>
      <c r="M201" s="417" t="n"/>
      <c r="N201" s="216" t="n"/>
      <c r="O201" s="217" t="n"/>
      <c r="P201" s="418" t="n"/>
      <c r="Q201" s="401" t="n"/>
      <c r="R201" s="168" t="inlineStr"/>
      <c r="S201" s="168" t="inlineStr"/>
      <c r="T201" s="168" t="inlineStr"/>
      <c r="U201" s="168" t="inlineStr"/>
      <c r="V201" s="402" t="n"/>
      <c r="W201" s="402" t="n"/>
      <c r="X201" s="170" t="inlineStr"/>
    </row>
    <row r="202" customFormat="1" s="4">
      <c r="A202" s="6" t="n"/>
      <c r="B202" s="195" t="inlineStr"/>
      <c r="C202" s="195" t="inlineStr"/>
      <c r="D202" s="195" t="inlineStr"/>
      <c r="Q202" s="159" t="n"/>
      <c r="R202" s="159" t="n"/>
      <c r="S202" s="159" t="n"/>
      <c r="T202" s="159" t="n"/>
      <c r="U202" s="159" t="n"/>
      <c r="X202" s="195" t="inlineStr"/>
    </row>
    <row r="203" customFormat="1" s="4">
      <c r="A203" s="6" t="n"/>
      <c r="B203" s="195" t="inlineStr"/>
      <c r="C203" s="195" t="inlineStr"/>
      <c r="D203" s="195" t="inlineStr"/>
      <c r="Q203" s="159" t="n"/>
      <c r="R203" s="159" t="n"/>
      <c r="S203" s="159" t="n"/>
      <c r="T203" s="159" t="n"/>
      <c r="U203" s="159" t="n"/>
      <c r="X203" s="195" t="inlineStr"/>
    </row>
    <row r="204" s="308">
      <c r="A204" s="208">
        <f>CONCATENATE("报价人：",项目信息!$B$8)</f>
        <v/>
      </c>
      <c r="B204" s="208" t="n"/>
      <c r="C204" s="4" t="n"/>
      <c r="D204" s="4" t="n"/>
      <c r="E204" s="4" t="n"/>
      <c r="F204" s="4" t="n"/>
      <c r="G204" s="4" t="n"/>
      <c r="H204" s="178">
        <f>项目信息!$B$9</f>
        <v/>
      </c>
      <c r="Q204" s="159" t="n"/>
      <c r="R204" s="159" t="n"/>
      <c r="S204" s="159" t="n"/>
      <c r="T204" s="159" t="n"/>
      <c r="U204" s="159" t="n"/>
      <c r="X204" s="203" t="inlineStr"/>
    </row>
    <row r="205" s="308">
      <c r="A205" s="8">
        <f>T(项目信息!$B$22)</f>
        <v/>
      </c>
      <c r="Q205" s="159" t="n"/>
      <c r="R205" s="159" t="n"/>
      <c r="S205" s="159" t="n"/>
      <c r="T205" s="159" t="n"/>
      <c r="U205" s="159" t="n"/>
    </row>
    <row r="206" s="308">
      <c r="A206" s="9">
        <f>T(项目信息!$B$23)</f>
        <v/>
      </c>
      <c r="Q206" s="159" t="n"/>
      <c r="R206" s="159" t="n"/>
      <c r="S206" s="159" t="n"/>
      <c r="T206" s="159" t="n"/>
      <c r="U206" s="159" t="n"/>
    </row>
    <row r="207" s="308">
      <c r="A207" s="97" t="inlineStr">
        <is>
          <t>成套产品报价明细表</t>
        </is>
      </c>
      <c r="B207" s="378" t="n"/>
      <c r="C207" s="378" t="n"/>
      <c r="D207" s="378" t="n"/>
      <c r="E207" s="378" t="n"/>
      <c r="F207" s="378" t="n"/>
      <c r="G207" s="378" t="n"/>
      <c r="H207" s="378" t="n"/>
      <c r="I207" s="378" t="n"/>
      <c r="Q207" s="159" t="n"/>
      <c r="R207" s="159" t="n"/>
      <c r="S207" s="159" t="n"/>
      <c r="T207" s="159" t="n"/>
      <c r="U207" s="159" t="n"/>
    </row>
    <row r="208" customFormat="1" s="4">
      <c r="A208" s="98" t="inlineStr">
        <is>
          <t>柜号:</t>
        </is>
      </c>
      <c r="B208" s="99" t="inlineStr">
        <is>
          <t>AAN1-03-2、BAN2-03-2</t>
        </is>
      </c>
      <c r="C208" s="100" t="inlineStr">
        <is>
          <t>型号:</t>
        </is>
      </c>
      <c r="D208" s="99" t="inlineStr">
        <is>
          <t>BlokSeT</t>
        </is>
      </c>
      <c r="E208" s="379" t="n"/>
      <c r="F208" s="101" t="inlineStr">
        <is>
          <t>名称:</t>
        </is>
      </c>
      <c r="G208" s="99" t="inlineStr">
        <is>
          <t>电容柜</t>
        </is>
      </c>
      <c r="H208" s="379" t="n"/>
      <c r="I208" s="408" t="inlineStr"/>
      <c r="J208" s="194" t="inlineStr">
        <is>
          <t>箱柜尺寸:</t>
        </is>
      </c>
      <c r="K208" s="195" t="inlineStr">
        <is>
          <t>800W*1200D*2200H</t>
        </is>
      </c>
      <c r="L208" s="194" t="inlineStr">
        <is>
          <t>类别:</t>
        </is>
      </c>
      <c r="M208" s="195" t="inlineStr">
        <is>
          <t>低压固定柜</t>
        </is>
      </c>
      <c r="N208" s="409" t="inlineStr"/>
      <c r="Q208" s="159" t="n"/>
      <c r="R208" s="159" t="n"/>
      <c r="S208" s="159" t="n"/>
      <c r="T208" s="159" t="n"/>
      <c r="U208" s="159" t="n"/>
    </row>
    <row r="209" ht="20.1" customHeight="1" s="308">
      <c r="A209" s="102" t="inlineStr">
        <is>
          <t>序号</t>
        </is>
      </c>
      <c r="B209" s="103" t="inlineStr">
        <is>
          <t>元件名称</t>
        </is>
      </c>
      <c r="C209" s="103" t="inlineStr">
        <is>
          <t>型号规格</t>
        </is>
      </c>
      <c r="D209" s="104" t="inlineStr">
        <is>
          <t>生产厂家</t>
        </is>
      </c>
      <c r="E209" s="105" t="inlineStr">
        <is>
          <t>单位</t>
        </is>
      </c>
      <c r="F209" s="105" t="inlineStr">
        <is>
          <t>数量</t>
        </is>
      </c>
      <c r="G209" s="382" t="inlineStr">
        <is>
          <t>单   价</t>
        </is>
      </c>
      <c r="H209" s="383" t="inlineStr">
        <is>
          <t>总   价</t>
        </is>
      </c>
      <c r="I209" s="134" t="inlineStr">
        <is>
          <t>备注</t>
        </is>
      </c>
      <c r="J209" s="384" t="inlineStr">
        <is>
          <t>成本单价</t>
        </is>
      </c>
      <c r="K209" s="384" t="inlineStr">
        <is>
          <t>成本总价</t>
        </is>
      </c>
      <c r="L209" s="136" t="inlineStr">
        <is>
          <t>报出
系数</t>
        </is>
      </c>
      <c r="M209" s="384" t="inlineStr">
        <is>
          <t>表价</t>
        </is>
      </c>
      <c r="N209" s="136" t="inlineStr">
        <is>
          <t>折扣
系数</t>
        </is>
      </c>
      <c r="O209" s="137" t="inlineStr">
        <is>
          <t>取费
系数</t>
        </is>
      </c>
      <c r="P209" s="384" t="inlineStr">
        <is>
          <t>成套费</t>
        </is>
      </c>
      <c r="Q209" s="161" t="inlineStr">
        <is>
          <t>类别</t>
        </is>
      </c>
      <c r="R209" s="161" t="inlineStr">
        <is>
          <t>物料编码</t>
        </is>
      </c>
      <c r="S209" s="161" t="inlineStr">
        <is>
          <t>产地</t>
        </is>
      </c>
      <c r="T209" s="161" t="inlineStr">
        <is>
          <t>加工费</t>
        </is>
      </c>
      <c r="U209" s="161" t="inlineStr">
        <is>
          <t>订货号</t>
        </is>
      </c>
      <c r="V209" s="161" t="inlineStr">
        <is>
          <t>人工</t>
        </is>
      </c>
      <c r="W209" s="161" t="inlineStr">
        <is>
          <t>辅料</t>
        </is>
      </c>
      <c r="X209" s="203" t="inlineStr"/>
    </row>
    <row r="210" s="308">
      <c r="A210" s="108">
        <f>ROW()-ROW(A$209)</f>
        <v/>
      </c>
      <c r="B210" s="112" t="inlineStr">
        <is>
          <t>隔离开关熔断器组</t>
        </is>
      </c>
      <c r="C210" s="109" t="inlineStr">
        <is>
          <t>GS800/3P3F+正面延伸旋转手柄 黑色+旋转手柄轴200mm/630-1250A</t>
        </is>
      </c>
      <c r="D210" s="109" t="inlineStr">
        <is>
          <t>甲供/施耐德电气</t>
        </is>
      </c>
      <c r="E210" s="110" t="inlineStr">
        <is>
          <t>只</t>
        </is>
      </c>
      <c r="F210" s="110" t="n">
        <v>1</v>
      </c>
      <c r="G210" s="385">
        <f>IF(AND(B210="",C210=""),"",ROUND(M210*L210*N210,2))</f>
        <v/>
      </c>
      <c r="H210" s="385">
        <f>IF(AND(B210="",C210=""),"",ROUND(F210*G210,2))</f>
        <v/>
      </c>
      <c r="I210" s="197" t="inlineStr"/>
      <c r="J210" s="410">
        <f>IF(AND(B210="",C210=""),"",ROUND(M210*N210,2))</f>
        <v/>
      </c>
      <c r="K210" s="411">
        <f>IF(AND(B210="",C210=""),"",ROUND(J210*F210,2))</f>
        <v/>
      </c>
      <c r="L210" s="200" t="n">
        <v>1</v>
      </c>
      <c r="M210" s="412" t="n">
        <v>1e-07</v>
      </c>
      <c r="N210" s="154" t="n">
        <v>1</v>
      </c>
      <c r="O210" s="155">
        <f>IF(AND(B210="",C210=""),"",IF(G210&gt;=20000,0.05,IF(G210&gt;=10000,0.1,IF(G210&gt;=5000,0.2,IF(G210&gt;=1000,0.3,IF(G210&gt;=0,0.4,{0}))))))</f>
        <v/>
      </c>
      <c r="P210" s="413">
        <f>IF(AND(B210="",C210=""),"",ROUND(H210*O210,2))</f>
        <v/>
      </c>
      <c r="Q210" s="401" t="inlineStr">
        <is>
          <t>元件</t>
        </is>
      </c>
      <c r="R210" s="168" t="inlineStr"/>
      <c r="S210" s="168" t="inlineStr"/>
      <c r="T210" s="168" t="n">
        <v>0</v>
      </c>
      <c r="U210" s="168" t="inlineStr">
        <is>
          <t>LV481463+GS2AH550+GS2AE52</t>
        </is>
      </c>
      <c r="V210" s="402" t="n"/>
      <c r="W210" s="402" t="n"/>
      <c r="X210" s="170" t="inlineStr">
        <is>
          <t>GS800/3P3F 正面延伸旋转手柄 黑色+旋转手柄轴200mm/630-1250A→GS630/3P3F+正面延伸旋转手柄 黑色+旋转手柄轴200mm/630-1250A→WGR-500/3-FW→NSX630N Mic2.3 630A 3P3D P→NSX630N Mic5.3B 630A 3P3D P</t>
        </is>
      </c>
    </row>
    <row r="211" s="308">
      <c r="A211" s="108">
        <f>ROW()-ROW(A$209)</f>
        <v/>
      </c>
      <c r="B211" s="112" t="inlineStr">
        <is>
          <t>熔断器</t>
        </is>
      </c>
      <c r="C211" s="109" t="inlineStr">
        <is>
          <t>RT17(NT4) gG 400/690V 800A 3C</t>
        </is>
      </c>
      <c r="D211" s="109" t="inlineStr">
        <is>
          <t>茗熔</t>
        </is>
      </c>
      <c r="E211" s="110" t="inlineStr">
        <is>
          <t>只</t>
        </is>
      </c>
      <c r="F211" s="110" t="n">
        <v>3</v>
      </c>
      <c r="G211" s="385">
        <f>IF(AND(B211="",C211=""),"",ROUND(M211*L211*N211,2))</f>
        <v/>
      </c>
      <c r="H211" s="385">
        <f>IF(AND(B211="",C211=""),"",ROUND(F211*G211,2))</f>
        <v/>
      </c>
      <c r="I211" s="197" t="inlineStr"/>
      <c r="J211" s="410">
        <f>IF(AND(B211="",C211=""),"",ROUND(M211*N211,2))</f>
        <v/>
      </c>
      <c r="K211" s="411">
        <f>IF(AND(B211="",C211=""),"",ROUND(J211*F211,2))</f>
        <v/>
      </c>
      <c r="L211" s="200" t="n">
        <v>1</v>
      </c>
      <c r="M211" s="412" t="n">
        <v>198</v>
      </c>
      <c r="N211" s="154" t="n">
        <v>1</v>
      </c>
      <c r="O211" s="155">
        <f>IF(AND(B211="",C211=""),"",IF(G211&gt;=20000,0.05,IF(G211&gt;=10000,0.1,IF(G211&gt;=5000,0.2,IF(G211&gt;=1000,0.3,IF(G211&gt;=0,0.4,{0}))))))</f>
        <v/>
      </c>
      <c r="P211" s="413">
        <f>IF(AND(B211="",C211=""),"",ROUND(H211*O211,2))</f>
        <v/>
      </c>
      <c r="Q211" s="401" t="inlineStr">
        <is>
          <t>元件</t>
        </is>
      </c>
      <c r="R211" s="168" t="inlineStr"/>
      <c r="S211" s="168" t="inlineStr"/>
      <c r="T211" s="168" t="inlineStr">
        <is>
          <t>0</t>
        </is>
      </c>
      <c r="U211" s="168" t="inlineStr">
        <is>
          <t>0</t>
        </is>
      </c>
      <c r="V211" s="402" t="n"/>
      <c r="W211" s="402" t="n"/>
      <c r="X211" s="170" t="inlineStr"/>
    </row>
    <row r="212" s="308">
      <c r="A212" s="64">
        <f>ROW()-ROW(A$209)</f>
        <v/>
      </c>
      <c r="B212" s="22" t="inlineStr">
        <is>
          <t>多功能表</t>
        </is>
      </c>
      <c r="C212" s="22" t="inlineStr">
        <is>
          <t>PM4101</t>
        </is>
      </c>
      <c r="D212" s="109" t="inlineStr">
        <is>
          <t>甲供/施耐德电气</t>
        </is>
      </c>
      <c r="E212" s="23" t="inlineStr">
        <is>
          <t>只</t>
        </is>
      </c>
      <c r="F212" s="23" t="n">
        <v>1</v>
      </c>
      <c r="G212" s="349">
        <f>IF(AND(B212="",C212=""),"",ROUND(M212*L212*N212,2))</f>
        <v/>
      </c>
      <c r="H212" s="349">
        <f>IF(AND(B212="",C212=""),"",ROUND(F212*G212,2))</f>
        <v/>
      </c>
      <c r="I212" s="45" t="inlineStr"/>
      <c r="J212" s="397">
        <f>IF(AND(B212="",C212=""),"",ROUND(M212*N212,2))</f>
        <v/>
      </c>
      <c r="K212" s="398">
        <f>IF(AND(B212="",C212=""),"",ROUND(J212*F212,2))</f>
        <v/>
      </c>
      <c r="L212" s="200" t="n">
        <v>1</v>
      </c>
      <c r="M212" s="399" t="n">
        <v>1e-07</v>
      </c>
      <c r="N212" s="154" t="n">
        <v>1</v>
      </c>
      <c r="O212" s="155">
        <f>IF(AND(B212="",C212=""),"",IF(G212&gt;=20000,0.05,IF(G212&gt;=10000,0.1,IF(G212&gt;=5000,0.2,IF(G212&gt;=1000,0.3,IF(G212&gt;=0,0.4,{0}))))))</f>
        <v/>
      </c>
      <c r="P212" s="400">
        <f>IF(AND(B212="",C212=""),"",ROUND(H212*O212,2))</f>
        <v/>
      </c>
      <c r="Q212" s="401" t="inlineStr">
        <is>
          <t>元件</t>
        </is>
      </c>
      <c r="R212" s="168" t="inlineStr"/>
      <c r="S212" s="168" t="inlineStr"/>
      <c r="T212" s="168" t="inlineStr">
        <is>
          <t>0</t>
        </is>
      </c>
      <c r="U212" s="168" t="inlineStr"/>
      <c r="V212" s="402" t="n"/>
      <c r="W212" s="402" t="n"/>
      <c r="X212" s="170" t="inlineStr">
        <is>
          <t>PM→PM5350P</t>
        </is>
      </c>
    </row>
    <row r="213" s="308">
      <c r="A213" s="64">
        <f>ROW()-ROW(A$209)</f>
        <v/>
      </c>
      <c r="B213" s="112" t="inlineStr">
        <is>
          <t>电流互感器</t>
        </is>
      </c>
      <c r="C213" s="22" t="inlineStr">
        <is>
          <t>SD-0.66-285III-C 5000/5A</t>
        </is>
      </c>
      <c r="D213" s="112" t="inlineStr">
        <is>
          <t>桑迪</t>
        </is>
      </c>
      <c r="E213" s="114" t="inlineStr">
        <is>
          <t>只</t>
        </is>
      </c>
      <c r="F213" s="23" t="n">
        <v>3</v>
      </c>
      <c r="G213" s="396">
        <f>IF(AND(B213="",C213=""),"",ROUND(M213*L213*N213,2))</f>
        <v/>
      </c>
      <c r="H213" s="349">
        <f>IF(AND(B213="",C213=""),"",ROUND(F213*G213,2))</f>
        <v/>
      </c>
      <c r="I213" s="45" t="inlineStr"/>
      <c r="J213" s="397">
        <f>IF(AND(B213="",C213=""),"",ROUND(M213*N213,2))</f>
        <v/>
      </c>
      <c r="K213" s="398">
        <f>IF(AND(B213="",C213=""),"",ROUND(J213*F213,2))</f>
        <v/>
      </c>
      <c r="L213" s="200" t="n">
        <v>1</v>
      </c>
      <c r="M213" s="399" t="n">
        <v>1026.31</v>
      </c>
      <c r="N213" s="154" t="n">
        <v>1</v>
      </c>
      <c r="O213" s="155">
        <f>IF(AND(B213="",C213=""),"",IF(G213&gt;=20000,0.05,IF(G213&gt;=10000,0.1,IF(G213&gt;=5000,0.2,IF(G213&gt;=1000,0.3,IF(G213&gt;=0,0.4,{0}))))))</f>
        <v/>
      </c>
      <c r="P213" s="400">
        <f>IF(AND(B213="",C213=""),"",ROUND(H213*O213,2))</f>
        <v/>
      </c>
      <c r="Q213" s="401" t="inlineStr">
        <is>
          <t>元件</t>
        </is>
      </c>
      <c r="R213" s="168" t="inlineStr"/>
      <c r="S213" s="168" t="inlineStr"/>
      <c r="T213" s="168" t="inlineStr">
        <is>
          <t>0</t>
        </is>
      </c>
      <c r="U213" s="168" t="inlineStr"/>
      <c r="V213" s="402" t="n"/>
      <c r="W213" s="402" t="n"/>
      <c r="X213" s="170" t="inlineStr">
        <is>
          <t>BH-0.66/80C(P) 800/5A→SD-0.66-80II-V 800/5A→SD-0.66-40II-C 400/5A→SD-0.66-60II-C 600/5A→SD-0.66-60II-C 750/5A→SD-0.66-80II-V 800/5A→SD-0.66-60II-C 600/5A</t>
        </is>
      </c>
    </row>
    <row r="214" s="308">
      <c r="A214" s="64">
        <f>ROW()-ROW(A$209)</f>
        <v/>
      </c>
      <c r="B214" s="112" t="inlineStr">
        <is>
          <t>电流互感器</t>
        </is>
      </c>
      <c r="C214" s="22" t="inlineStr">
        <is>
          <t>SD-0.66-60II-C 800/5A</t>
        </is>
      </c>
      <c r="D214" s="112" t="inlineStr">
        <is>
          <t>桑迪</t>
        </is>
      </c>
      <c r="E214" s="114" t="inlineStr">
        <is>
          <t>只</t>
        </is>
      </c>
      <c r="F214" s="23" t="n">
        <v>3</v>
      </c>
      <c r="G214" s="396">
        <f>IF(AND(B214="",C214=""),"",ROUND(M214*L214*N214,2))</f>
        <v/>
      </c>
      <c r="H214" s="349">
        <f>IF(AND(B214="",C214=""),"",ROUND(F214*G214,2))</f>
        <v/>
      </c>
      <c r="I214" s="45" t="inlineStr"/>
      <c r="J214" s="397">
        <f>IF(AND(B214="",C214=""),"",ROUND(M214*N214,2))</f>
        <v/>
      </c>
      <c r="K214" s="398">
        <f>IF(AND(B214="",C214=""),"",ROUND(J214*F214,2))</f>
        <v/>
      </c>
      <c r="L214" s="200" t="n">
        <v>1</v>
      </c>
      <c r="M214" s="399" t="n">
        <v>72.8</v>
      </c>
      <c r="N214" s="154" t="n">
        <v>1</v>
      </c>
      <c r="O214" s="155">
        <f>IF(AND(B214="",C214=""),"",IF(G214&gt;=20000,0.05,IF(G214&gt;=10000,0.1,IF(G214&gt;=5000,0.2,IF(G214&gt;=1000,0.3,IF(G214&gt;=0,0.4,{0}))))))</f>
        <v/>
      </c>
      <c r="P214" s="400">
        <f>IF(AND(B214="",C214=""),"",ROUND(H214*O214,2))</f>
        <v/>
      </c>
      <c r="Q214" s="401" t="inlineStr">
        <is>
          <t>元件</t>
        </is>
      </c>
      <c r="R214" s="168" t="inlineStr"/>
      <c r="S214" s="168" t="inlineStr"/>
      <c r="T214" s="168" t="inlineStr">
        <is>
          <t>0</t>
        </is>
      </c>
      <c r="U214" s="168" t="inlineStr"/>
      <c r="V214" s="402" t="n"/>
      <c r="W214" s="402" t="n"/>
      <c r="X214" s="170" t="inlineStr">
        <is>
          <t>BH-0.66/80C(P) 800/5A→SD-0.66-80II-V 800/5A→SD-0.66-40II-C 400/5A→SD-0.66-60II-C 600/5A→SD-0.66-60II-C 750/5A→SD-0.66-80II-V 800/5A→SD-0.66-60II-C 600/5A</t>
        </is>
      </c>
    </row>
    <row r="215" s="308">
      <c r="A215" s="64">
        <f>ROW()-ROW(A$209)</f>
        <v/>
      </c>
      <c r="B215" s="22" t="inlineStr">
        <is>
          <t>SVG</t>
        </is>
      </c>
      <c r="C215" s="22" t="inlineStr">
        <is>
          <t>375kvar</t>
        </is>
      </c>
      <c r="D215" s="27" t="inlineStr">
        <is>
          <t>甲供</t>
        </is>
      </c>
      <c r="E215" s="23" t="inlineStr">
        <is>
          <t>套</t>
        </is>
      </c>
      <c r="F215" s="23">
        <f>IF(AND(B215="",C215=""),"",1)</f>
        <v/>
      </c>
      <c r="G215" s="349">
        <f>IF(AND(B215="",C215=""),"",ROUND(M215*L215*N215,2))</f>
        <v/>
      </c>
      <c r="H215" s="349">
        <f>IF(AND(B215="",C215=""),"",ROUND(F215*G215,2))</f>
        <v/>
      </c>
      <c r="I215" s="45" t="inlineStr"/>
      <c r="J215" s="397">
        <f>IF(AND(B215="",C215=""),"",ROUND(M215*N215,2))</f>
        <v/>
      </c>
      <c r="K215" s="398">
        <f>IF(AND(B215="",C215=""),"",ROUND(J215*F215,2))</f>
        <v/>
      </c>
      <c r="L215" s="200" t="n">
        <v>1</v>
      </c>
      <c r="M215" s="399" t="n">
        <v>1e-07</v>
      </c>
      <c r="N215" s="154" t="n">
        <v>1</v>
      </c>
      <c r="O215" s="155">
        <f>IF(AND(B215="",C215=""),"",IF(G215&gt;=20000,0.05,IF(G215&gt;=10000,0.1,IF(G215&gt;=5000,0.2,IF(G215&gt;=1000,0.3,IF(G215&gt;=0,0.4,{0}))))))</f>
        <v/>
      </c>
      <c r="P215" s="400">
        <f>IF(AND(B215="",C215=""),"",ROUND(H215*O215,2))</f>
        <v/>
      </c>
      <c r="Q215" s="401" t="inlineStr">
        <is>
          <t>元件</t>
        </is>
      </c>
      <c r="R215" s="168" t="inlineStr"/>
      <c r="S215" s="168" t="inlineStr"/>
      <c r="T215" s="168" t="inlineStr">
        <is>
          <t>0</t>
        </is>
      </c>
      <c r="U215" s="168" t="inlineStr"/>
      <c r="V215" s="402" t="n"/>
      <c r="W215" s="402" t="n"/>
      <c r="X215" s="170" t="inlineStr"/>
    </row>
    <row r="216" s="308">
      <c r="A216" s="64">
        <f>ROW()-ROW(A$209)</f>
        <v/>
      </c>
      <c r="B216" s="112" t="inlineStr">
        <is>
          <t>避雷器</t>
        </is>
      </c>
      <c r="C216" s="22" t="inlineStr">
        <is>
          <t>YH3W2-0.28/1.3</t>
        </is>
      </c>
      <c r="D216" s="22" t="inlineStr">
        <is>
          <t>国产优质</t>
        </is>
      </c>
      <c r="E216" s="114" t="inlineStr">
        <is>
          <t>只</t>
        </is>
      </c>
      <c r="F216" s="23" t="n">
        <v>3</v>
      </c>
      <c r="G216" s="396">
        <f>IF(AND(B216="",C216=""),"",ROUND(M216*L216*N216,2))</f>
        <v/>
      </c>
      <c r="H216" s="349">
        <f>IF(AND(B216="",C216=""),"",ROUND(F216*G216,2))</f>
        <v/>
      </c>
      <c r="I216" s="45" t="inlineStr"/>
      <c r="J216" s="397">
        <f>IF(AND(B216="",C216=""),"",ROUND(M216*N216,2))</f>
        <v/>
      </c>
      <c r="K216" s="398">
        <f>IF(AND(B216="",C216=""),"",ROUND(J216*F216,2))</f>
        <v/>
      </c>
      <c r="L216" s="200" t="n">
        <v>1</v>
      </c>
      <c r="M216" s="399" t="n">
        <v>25</v>
      </c>
      <c r="N216" s="154" t="n">
        <v>1</v>
      </c>
      <c r="O216" s="155">
        <f>IF(AND(B216="",C216=""),"",IF(G216&gt;=20000,0.05,IF(G216&gt;=10000,0.1,IF(G216&gt;=5000,0.2,IF(G216&gt;=1000,0.3,IF(G216&gt;=0,0.4,{0}))))))</f>
        <v/>
      </c>
      <c r="P216" s="400">
        <f>IF(AND(B216="",C216=""),"",ROUND(H216*O216,2))</f>
        <v/>
      </c>
      <c r="Q216" s="401" t="inlineStr">
        <is>
          <t>元件</t>
        </is>
      </c>
      <c r="R216" s="168" t="inlineStr"/>
      <c r="S216" s="168" t="inlineStr"/>
      <c r="T216" s="168" t="inlineStr">
        <is>
          <t>0</t>
        </is>
      </c>
      <c r="U216" s="168" t="inlineStr">
        <is>
          <t>A9L208044</t>
        </is>
      </c>
      <c r="V216" s="402" t="n"/>
      <c r="W216" s="402" t="n"/>
      <c r="X216" s="170" t="inlineStr"/>
    </row>
    <row r="217" s="308">
      <c r="A217" s="64">
        <f>ROW()-ROW(A$209)</f>
        <v/>
      </c>
      <c r="B217" s="112" t="inlineStr">
        <is>
          <t>温湿度控制器</t>
        </is>
      </c>
      <c r="C217" s="112" t="inlineStr">
        <is>
          <t>ATH48G-11</t>
        </is>
      </c>
      <c r="D217" s="22" t="inlineStr">
        <is>
          <t>杭州安廷</t>
        </is>
      </c>
      <c r="E217" s="23" t="inlineStr">
        <is>
          <t>套</t>
        </is>
      </c>
      <c r="F217" s="23" t="n">
        <v>1</v>
      </c>
      <c r="G217" s="349">
        <f>IF(AND(B217="",C217=""),"",ROUND(M217*L217*N217,2))</f>
        <v/>
      </c>
      <c r="H217" s="396">
        <f>IF(AND(B217="",C217=""),"",ROUND(F217*G217,2))</f>
        <v/>
      </c>
      <c r="I217" s="150" t="inlineStr"/>
      <c r="J217" s="397">
        <f>IF(AND(B217="",C217=""),"",ROUND(M217*N217,2))</f>
        <v/>
      </c>
      <c r="K217" s="398">
        <f>IF(AND(B217="",C217=""),"",ROUND(J217*F217,2))</f>
        <v/>
      </c>
      <c r="L217" s="141" t="n">
        <v>1</v>
      </c>
      <c r="M217" s="399" t="n">
        <v>450</v>
      </c>
      <c r="N217" s="154" t="n">
        <v>1</v>
      </c>
      <c r="O217" s="155">
        <f>IF(AND(B217="",C217=""),"",IF(G217&gt;=20000,0.05,IF(G217&gt;=10000,0.1,IF(G217&gt;=5000,0.2,IF(G217&gt;=1000,0.3,IF(G217&gt;=0,0.4,{0}))))))</f>
        <v/>
      </c>
      <c r="P217" s="400">
        <f>IF(AND(B217="",C217=""),"",ROUND(H217*O217,2))</f>
        <v/>
      </c>
      <c r="Q217" s="401" t="inlineStr">
        <is>
          <t>元件</t>
        </is>
      </c>
      <c r="R217" s="168" t="inlineStr"/>
      <c r="S217" s="168" t="inlineStr"/>
      <c r="T217" s="168" t="inlineStr">
        <is>
          <t>0</t>
        </is>
      </c>
      <c r="U217" s="168" t="inlineStr"/>
      <c r="V217" s="402" t="n"/>
      <c r="W217" s="402" t="n"/>
      <c r="X217" s="170" t="inlineStr"/>
    </row>
    <row r="218" s="308">
      <c r="A218" s="64">
        <f>ROW()-ROW(A$209)</f>
        <v/>
      </c>
      <c r="B218" s="22" t="inlineStr">
        <is>
          <t>电容柜散热风扇</t>
        </is>
      </c>
      <c r="C218" s="22" t="inlineStr">
        <is>
          <t>SF2208HA2BMT+SVF105SND</t>
        </is>
      </c>
      <c r="D218" s="22" t="inlineStr">
        <is>
          <t>源顶</t>
        </is>
      </c>
      <c r="E218" s="23" t="inlineStr">
        <is>
          <t>只</t>
        </is>
      </c>
      <c r="F218" s="23" t="n">
        <v>2</v>
      </c>
      <c r="G218" s="349">
        <f>IF(AND(B218="",C218=""),"",ROUND(M218*L218*N218,2))</f>
        <v/>
      </c>
      <c r="H218" s="349">
        <f>IF(AND(B218="",C218=""),"",ROUND(F218*G218,2))</f>
        <v/>
      </c>
      <c r="I218" s="45" t="inlineStr"/>
      <c r="J218" s="397">
        <f>IF(AND(B218="",C218=""),"",ROUND(M218*N218,2))</f>
        <v/>
      </c>
      <c r="K218" s="398">
        <f>IF(AND(B218="",C218=""),"",ROUND(J218*F218,2))</f>
        <v/>
      </c>
      <c r="L218" s="200" t="n">
        <v>1</v>
      </c>
      <c r="M218" s="399" t="n">
        <v>241</v>
      </c>
      <c r="N218" s="154" t="n">
        <v>1</v>
      </c>
      <c r="O218" s="155">
        <f>IF(AND(B218="",C218=""),"",IF(G218&gt;=20000,0.05,IF(G218&gt;=10000,0.1,IF(G218&gt;=5000,0.2,IF(G218&gt;=1000,0.3,IF(G218&gt;=0,0.4,{0}))))))</f>
        <v/>
      </c>
      <c r="P218" s="400">
        <f>IF(AND(B218="",C218=""),"",ROUND(H218*O218,2))</f>
        <v/>
      </c>
      <c r="Q218" s="401" t="inlineStr">
        <is>
          <t>元件</t>
        </is>
      </c>
      <c r="R218" s="168" t="inlineStr"/>
      <c r="S218" s="168" t="inlineStr"/>
      <c r="T218" s="168" t="inlineStr">
        <is>
          <t>0</t>
        </is>
      </c>
      <c r="U218" s="168" t="inlineStr">
        <is>
          <t>0</t>
        </is>
      </c>
      <c r="V218" s="402" t="n"/>
      <c r="W218" s="402" t="n"/>
      <c r="X218" s="170" t="inlineStr">
        <is>
          <t>SF2208HA2BMT+SVF105SND</t>
        </is>
      </c>
    </row>
    <row r="219" s="308">
      <c r="A219" s="64">
        <f>ROW()-ROW(A$209)</f>
        <v/>
      </c>
      <c r="B219" s="22" t="inlineStr">
        <is>
          <t>带熔丝端子</t>
        </is>
      </c>
      <c r="C219" s="22" t="inlineStr">
        <is>
          <t>UK 5-HESI</t>
        </is>
      </c>
      <c r="D219" s="22" t="inlineStr">
        <is>
          <t>菲尼克斯</t>
        </is>
      </c>
      <c r="E219" s="23" t="inlineStr">
        <is>
          <t>只</t>
        </is>
      </c>
      <c r="F219" s="23" t="n">
        <v>10</v>
      </c>
      <c r="G219" s="349">
        <f>IF(AND(B219="",C219=""),"",ROUND(M219*L219*N219,2))</f>
        <v/>
      </c>
      <c r="H219" s="349">
        <f>IF(AND(B219="",C219=""),"",ROUND(F219*G219,2))</f>
        <v/>
      </c>
      <c r="I219" s="45" t="inlineStr"/>
      <c r="J219" s="397">
        <f>IF(AND(B219="",C219=""),"",ROUND(M219*N219,2))</f>
        <v/>
      </c>
      <c r="K219" s="398">
        <f>IF(AND(B219="",C219=""),"",ROUND(J219*F219,2))</f>
        <v/>
      </c>
      <c r="L219" s="200" t="n">
        <v>1</v>
      </c>
      <c r="M219" s="399" t="n">
        <v>7</v>
      </c>
      <c r="N219" s="154" t="n">
        <v>1</v>
      </c>
      <c r="O219" s="155">
        <f>IF(AND(B219="",C219=""),"",IF(G219&gt;=20000,0.05,IF(G219&gt;=10000,0.1,IF(G219&gt;=5000,0.2,IF(G219&gt;=1000,0.3,IF(G219&gt;=0,0.4,{0}))))))</f>
        <v/>
      </c>
      <c r="P219" s="400">
        <f>IF(AND(B219="",C219=""),"",ROUND(H219*O219,2))</f>
        <v/>
      </c>
      <c r="Q219" s="401" t="inlineStr">
        <is>
          <t>元件</t>
        </is>
      </c>
      <c r="R219" s="168" t="inlineStr"/>
      <c r="S219" s="168" t="inlineStr"/>
      <c r="T219" s="168" t="inlineStr">
        <is>
          <t>0</t>
        </is>
      </c>
      <c r="U219" s="168" t="inlineStr">
        <is>
          <t>3004100</t>
        </is>
      </c>
      <c r="V219" s="402" t="n"/>
      <c r="W219" s="402" t="n"/>
      <c r="X219" s="170" t="inlineStr"/>
    </row>
    <row r="220" s="308">
      <c r="A220" s="64">
        <f>ROW()-ROW(A$209)</f>
        <v/>
      </c>
      <c r="B220" s="22" t="inlineStr">
        <is>
          <t>水平母排</t>
        </is>
      </c>
      <c r="C220" s="22" t="inlineStr">
        <is>
          <t>TMY 4*(4*150*5)+2*50*5</t>
        </is>
      </c>
      <c r="D220" s="22" t="inlineStr">
        <is>
          <t>国产优质</t>
        </is>
      </c>
      <c r="E220" s="23" t="inlineStr">
        <is>
          <t>米</t>
        </is>
      </c>
      <c r="F220" s="23" t="n">
        <v>0.9</v>
      </c>
      <c r="G220" s="349">
        <f>IF(AND(B220="",C220=""),"",ROUND(M220*L220*N220,2))</f>
        <v/>
      </c>
      <c r="H220" s="349">
        <f>IF(AND(B220="",C220=""),"",ROUND(F220*G220,2))</f>
        <v/>
      </c>
      <c r="I220" s="45" t="inlineStr"/>
      <c r="J220" s="397">
        <f>IF(AND(B220="",C220=""),"",ROUND(M220*N220,2))</f>
        <v/>
      </c>
      <c r="K220" s="398">
        <f>IF(AND(B220="",C220=""),"",ROUND(J220*F220,2))</f>
        <v/>
      </c>
      <c r="L220" s="200" t="n">
        <v>1</v>
      </c>
      <c r="M220" s="399" t="n">
        <v>12026.68125</v>
      </c>
      <c r="N220" s="154">
        <f>(6317.932*1*1+2684.8*1*1)/9002.732</f>
        <v/>
      </c>
      <c r="O220" s="155">
        <f>IF(AND(B220="",C220=""),"",IF(G220&gt;=20000,0.05,IF(G220&gt;=10000,0.1,IF(G220&gt;=5000,0.2,IF(G220&gt;=1000,0.3,IF(G220&gt;=0,0.4,{0}))))))</f>
        <v/>
      </c>
      <c r="P220" s="400">
        <f>IF(AND(B220="",C220=""),"",ROUND(H220*O220,2))</f>
        <v/>
      </c>
      <c r="Q220" s="401" t="inlineStr">
        <is>
          <t>母排</t>
        </is>
      </c>
      <c r="R220" s="168" t="inlineStr"/>
      <c r="S220" s="168" t="inlineStr"/>
      <c r="T220" s="168" t="inlineStr">
        <is>
          <t>0</t>
        </is>
      </c>
      <c r="U220" s="168" t="inlineStr">
        <is>
          <t>0</t>
        </is>
      </c>
      <c r="V220" s="402" t="n"/>
      <c r="W220" s="402" t="n"/>
      <c r="X220" s="170" t="inlineStr"/>
    </row>
    <row r="221" s="308">
      <c r="A221" s="64">
        <f>ROW()-ROW(A$209)</f>
        <v/>
      </c>
      <c r="B221" s="22" t="inlineStr">
        <is>
          <t>铜排</t>
        </is>
      </c>
      <c r="C221" s="27" t="inlineStr">
        <is>
          <t>TMY 3*2*50*5</t>
        </is>
      </c>
      <c r="D221" s="22" t="inlineStr">
        <is>
          <t>国产优质</t>
        </is>
      </c>
      <c r="E221" s="23" t="inlineStr">
        <is>
          <t>米</t>
        </is>
      </c>
      <c r="F221" s="23" t="n">
        <v>1.5</v>
      </c>
      <c r="G221" s="349">
        <f>IF(AND(B221="",C221=""),"",ROUND(M221*L221*N221,2))</f>
        <v/>
      </c>
      <c r="H221" s="349">
        <f>IF(AND(B221="",C221=""),"",ROUND(F221*G221,2))</f>
        <v/>
      </c>
      <c r="I221" s="45" t="inlineStr"/>
      <c r="J221" s="397">
        <f>IF(AND(B221="",C221=""),"",ROUND(M221*N221,2))</f>
        <v/>
      </c>
      <c r="K221" s="398">
        <f>IF(AND(B221="",C221=""),"",ROUND(J221*F221,2))</f>
        <v/>
      </c>
      <c r="L221" s="200" t="n">
        <v>1</v>
      </c>
      <c r="M221" s="399" t="n">
        <v>1443.20175</v>
      </c>
      <c r="N221" s="154" t="n">
        <v>1</v>
      </c>
      <c r="O221" s="155">
        <f>IF(AND(B221="",C221=""),"",IF(G221&gt;=20000,0.05,IF(G221&gt;=10000,0.1,IF(G221&gt;=5000,0.2,IF(G221&gt;=1000,0.3,IF(G221&gt;=0,0.4,{0}))))))</f>
        <v/>
      </c>
      <c r="P221" s="400">
        <f>IF(AND(B221="",C221=""),"",ROUND(H221*O221,2))</f>
        <v/>
      </c>
      <c r="Q221" s="401" t="inlineStr">
        <is>
          <t>母排</t>
        </is>
      </c>
      <c r="R221" s="168" t="inlineStr"/>
      <c r="S221" s="168" t="inlineStr"/>
      <c r="T221" s="168" t="inlineStr">
        <is>
          <t>0</t>
        </is>
      </c>
      <c r="U221" s="168" t="inlineStr">
        <is>
          <t>0</t>
        </is>
      </c>
      <c r="V221" s="402" t="n"/>
      <c r="W221" s="402" t="n"/>
      <c r="X221" s="170" t="inlineStr"/>
    </row>
    <row r="222" s="308">
      <c r="A222" s="64">
        <f>ROW()-ROW(A$209)</f>
        <v/>
      </c>
      <c r="B222" s="22" t="inlineStr">
        <is>
          <t>线缆</t>
        </is>
      </c>
      <c r="C222" s="27" t="inlineStr">
        <is>
          <t>95mm²</t>
        </is>
      </c>
      <c r="D222" s="22" t="inlineStr">
        <is>
          <t>凯布斯</t>
        </is>
      </c>
      <c r="E222" s="23" t="inlineStr">
        <is>
          <t>米</t>
        </is>
      </c>
      <c r="F222" s="23" t="n">
        <v>12</v>
      </c>
      <c r="G222" s="349">
        <f>IF(AND(B222="",C222=""),"",ROUND(M222*L222*N222,2))</f>
        <v/>
      </c>
      <c r="H222" s="349">
        <f>IF(AND(B222="",C222=""),"",ROUND(F222*G222,2))</f>
        <v/>
      </c>
      <c r="I222" s="45" t="inlineStr"/>
      <c r="J222" s="397">
        <f>IF(AND(B222="",C222=""),"",ROUND(M222*N222,2))</f>
        <v/>
      </c>
      <c r="K222" s="398">
        <f>IF(AND(B222="",C222=""),"",ROUND(J222*F222,2))</f>
        <v/>
      </c>
      <c r="L222" s="200" t="n">
        <v>1</v>
      </c>
      <c r="M222" s="399" t="n">
        <v>86.45</v>
      </c>
      <c r="N222" s="154" t="n">
        <v>1</v>
      </c>
      <c r="O222" s="155">
        <f>IF(AND(B222="",C222=""),"",IF(G222&gt;=20000,0.05,IF(G222&gt;=10000,0.1,IF(G222&gt;=5000,0.2,IF(G222&gt;=1000,0.3,IF(G222&gt;=0,0.4,{0}))))))</f>
        <v/>
      </c>
      <c r="P222" s="400">
        <f>IF(AND(B222="",C222=""),"",ROUND(H222*O222,2))</f>
        <v/>
      </c>
      <c r="Q222" s="401" t="inlineStr">
        <is>
          <t>元件</t>
        </is>
      </c>
      <c r="R222" s="168" t="inlineStr"/>
      <c r="S222" s="168" t="inlineStr"/>
      <c r="T222" s="168" t="inlineStr">
        <is>
          <t>0</t>
        </is>
      </c>
      <c r="U222" s="168" t="inlineStr"/>
      <c r="V222" s="402" t="n"/>
      <c r="W222" s="402" t="n"/>
      <c r="X222" s="170" t="inlineStr">
        <is>
          <t>TMY 60*5→25mm²</t>
        </is>
      </c>
    </row>
    <row r="223" s="308">
      <c r="A223" s="64">
        <f>ROW()-ROW(A$209)</f>
        <v/>
      </c>
      <c r="B223" s="22" t="inlineStr">
        <is>
          <t>辅料</t>
        </is>
      </c>
      <c r="C223" s="22" t="inlineStr"/>
      <c r="D223" s="22" t="inlineStr"/>
      <c r="E223" s="23" t="inlineStr">
        <is>
          <t>套</t>
        </is>
      </c>
      <c r="F223" s="23" t="n">
        <v>1</v>
      </c>
      <c r="G223" s="349">
        <f>IF(AND(B223="",C223=""),"",ROUND(M223*L223*N223,2))</f>
        <v/>
      </c>
      <c r="H223" s="349">
        <f>IF(AND(B223="",C223=""),"",ROUND(F223*G223,2))</f>
        <v/>
      </c>
      <c r="I223" s="45" t="inlineStr"/>
      <c r="J223" s="397">
        <f>IF(AND(B223="",C223=""),"",ROUND(M223*N223,2))</f>
        <v/>
      </c>
      <c r="K223" s="398">
        <f>IF(AND(B223="",C223=""),"",ROUND(J223*F223,2))</f>
        <v/>
      </c>
      <c r="L223" s="200" t="n">
        <v>1</v>
      </c>
      <c r="M223" s="399" t="n">
        <v>1000</v>
      </c>
      <c r="N223" s="154" t="n">
        <v>1</v>
      </c>
      <c r="O223" s="155">
        <f>IF(AND(B223="",C223=""),"",IF(G223&gt;=20000,0.05,IF(G223&gt;=10000,0.1,IF(G223&gt;=5000,0.2,IF(G223&gt;=1000,0.3,IF(G223&gt;=0,0.4,{0}))))))</f>
        <v/>
      </c>
      <c r="P223" s="400">
        <f>IF(AND(B223="",C223=""),"",ROUND(H223*O223,2))</f>
        <v/>
      </c>
      <c r="Q223" s="401" t="inlineStr">
        <is>
          <t>辅料</t>
        </is>
      </c>
      <c r="R223" s="168" t="inlineStr"/>
      <c r="S223" s="168" t="inlineStr"/>
      <c r="T223" s="168" t="inlineStr">
        <is>
          <t>0</t>
        </is>
      </c>
      <c r="U223" s="168" t="inlineStr">
        <is>
          <t>0</t>
        </is>
      </c>
      <c r="V223" s="402" t="n"/>
      <c r="W223" s="402" t="n"/>
      <c r="X223" s="170" t="inlineStr"/>
    </row>
    <row r="224" s="308">
      <c r="A224" s="64">
        <f>ROW()-ROW(A$209)</f>
        <v/>
      </c>
      <c r="B224" s="22" t="inlineStr">
        <is>
          <t>柜体Blokset</t>
        </is>
      </c>
      <c r="C224" s="22" t="inlineStr">
        <is>
          <t>800W*1200D*2200H</t>
        </is>
      </c>
      <c r="D224" s="22" t="inlineStr">
        <is>
          <t>清科</t>
        </is>
      </c>
      <c r="E224" s="23" t="inlineStr">
        <is>
          <t>台</t>
        </is>
      </c>
      <c r="F224" s="23" t="n">
        <v>1</v>
      </c>
      <c r="G224" s="349">
        <f>IF(AND(B224="",C224=""),"",ROUND(M224*L224*N224,2))</f>
        <v/>
      </c>
      <c r="H224" s="349">
        <f>IF(AND(B224="",C224=""),"",ROUND(F224*G224,2))</f>
        <v/>
      </c>
      <c r="I224" s="45" t="inlineStr"/>
      <c r="J224" s="397">
        <f>IF(AND(B224="",C224=""),"",ROUND(M224*N224,2))</f>
        <v/>
      </c>
      <c r="K224" s="398">
        <f>IF(AND(B224="",C224=""),"",ROUND(J224*F224,2))</f>
        <v/>
      </c>
      <c r="L224" s="200" t="n">
        <v>1</v>
      </c>
      <c r="M224" s="399" t="n">
        <v>4346</v>
      </c>
      <c r="N224" s="154" t="n">
        <v>1</v>
      </c>
      <c r="O224" s="155">
        <f>IF(AND(B224="",C224=""),"",IF(G224&gt;=20000,0.05,IF(G224&gt;=10000,0.1,IF(G224&gt;=5000,0.2,IF(G224&gt;=1000,0.3,IF(G224&gt;=0,0.4,{0}))))))</f>
        <v/>
      </c>
      <c r="P224" s="400">
        <f>IF(AND(B224="",C224=""),"",ROUND(H224*O224,2))</f>
        <v/>
      </c>
      <c r="Q224" s="401" t="inlineStr">
        <is>
          <t>箱体</t>
        </is>
      </c>
      <c r="R224" s="168" t="inlineStr"/>
      <c r="S224" s="168" t="inlineStr"/>
      <c r="T224" s="168" t="inlineStr">
        <is>
          <t>0</t>
        </is>
      </c>
      <c r="U224" s="168" t="inlineStr"/>
      <c r="V224" s="402" t="n"/>
      <c r="W224" s="402" t="n"/>
      <c r="X224" s="170" t="inlineStr">
        <is>
          <t>1300W*1000D*2200H→800W*1000D*2200H BC</t>
        </is>
      </c>
    </row>
    <row r="225" s="308">
      <c r="A225" s="64">
        <f>ROW()-ROW(A$209)</f>
        <v/>
      </c>
      <c r="B225" s="22" t="inlineStr"/>
      <c r="C225" s="22" t="inlineStr"/>
      <c r="D225" s="22" t="inlineStr"/>
      <c r="E225" s="23" t="n"/>
      <c r="F225" s="23">
        <f>IF(AND(B225="",C225=""),"",1)</f>
        <v/>
      </c>
      <c r="G225" s="349">
        <f>IF(AND(B225="",C225=""),"",ROUND(M225*L225*N225,2))</f>
        <v/>
      </c>
      <c r="H225" s="349">
        <f>IF(AND(B225="",C225=""),"",ROUND(F225*G225,2))</f>
        <v/>
      </c>
      <c r="I225" s="45" t="inlineStr"/>
      <c r="J225" s="397">
        <f>IF(AND(B225="",C225=""),"",ROUND(M225*N225,2))</f>
        <v/>
      </c>
      <c r="K225" s="398">
        <f>IF(AND(B225="",C225=""),"",ROUND(J225*F225,2))</f>
        <v/>
      </c>
      <c r="L225" s="200">
        <f>IF(AND(B225="",C225=""),"",1)</f>
        <v/>
      </c>
      <c r="M225" s="399" t="n"/>
      <c r="N225" s="154">
        <f>IF(AND(B225="",C225=""),"",1)</f>
        <v/>
      </c>
      <c r="O225" s="155">
        <f>IF(AND(B225="",C225=""),"",IF(J225&gt;=20000,0.05,IF(J225&gt;=10000,0.1,IF(J225&gt;=5000,0.2,IF(J225&gt;=1000,0.3,IF(J225&gt;=0,0.4,{0}))))))</f>
        <v/>
      </c>
      <c r="P225" s="400">
        <f>IF(AND(B225="",C225=""),"",ROUND(H225*O225,2))</f>
        <v/>
      </c>
      <c r="Q225" s="401">
        <f>IF(AND(B225="",C225=""),"","元件")</f>
        <v/>
      </c>
      <c r="R225" s="168" t="inlineStr"/>
      <c r="S225" s="168" t="inlineStr"/>
      <c r="T225" s="168" t="inlineStr"/>
      <c r="U225" s="168" t="inlineStr"/>
      <c r="V225" s="402" t="n"/>
      <c r="W225" s="402" t="n"/>
      <c r="X225" s="170" t="inlineStr"/>
    </row>
    <row r="226" s="308">
      <c r="A226" s="64">
        <f>ROW()-ROW(A$209)</f>
        <v/>
      </c>
      <c r="B226" s="171" t="inlineStr">
        <is>
          <t>小计</t>
        </is>
      </c>
      <c r="C226" s="172" t="n"/>
      <c r="D226" s="204" t="n"/>
      <c r="E226" s="114" t="n"/>
      <c r="F226" s="114" t="n"/>
      <c r="G226" s="396" t="n"/>
      <c r="H226" s="396">
        <f>ROUND(SUM(H209:INDEX(H:H,ROW()-1)),2)</f>
        <v/>
      </c>
      <c r="I226" s="45" t="inlineStr"/>
      <c r="J226" s="397" t="n"/>
      <c r="K226" s="398">
        <f>ROUND(SUM(K209:INDEX(K:K,ROW()-1)),2)</f>
        <v/>
      </c>
      <c r="L226" s="200" t="n"/>
      <c r="M226" s="399" t="n"/>
      <c r="N226" s="154" t="n"/>
      <c r="O226" s="155" t="n"/>
      <c r="P226" s="400" t="n"/>
      <c r="Q226" s="401" t="n"/>
      <c r="R226" s="168" t="inlineStr"/>
      <c r="S226" s="168" t="inlineStr"/>
      <c r="T226" s="168" t="inlineStr"/>
      <c r="U226" s="168" t="inlineStr"/>
      <c r="V226" s="402">
        <f>ROUND(SUMPRODUCT(F209:INDEX(F:F,ROW()-1),V209:INDEX(V:V,ROW()-1)),2)</f>
        <v/>
      </c>
      <c r="W226" s="402">
        <f>ROUND(SUMPRODUCT(F209:INDEX(F:F,ROW()-1),W209:INDEX(W:W,ROW()-1)),2)</f>
        <v/>
      </c>
      <c r="X226" s="170" t="inlineStr"/>
    </row>
    <row r="227" s="308">
      <c r="A227" s="64">
        <f>ROW()-ROW(A$209)</f>
        <v/>
      </c>
      <c r="B227" s="171" t="inlineStr">
        <is>
          <t>综合费(人工、管理、税金、利润等)</t>
        </is>
      </c>
      <c r="C227" s="172" t="n"/>
      <c r="D227" s="204" t="n"/>
      <c r="E227" s="114" t="n"/>
      <c r="F227" s="114" t="n"/>
      <c r="G227" s="396" t="n"/>
      <c r="H227" s="396">
        <f>2500</f>
        <v/>
      </c>
      <c r="I227" s="45" t="inlineStr"/>
      <c r="J227" s="397" t="n"/>
      <c r="K227" s="398" t="n"/>
      <c r="L227" s="200" t="n"/>
      <c r="M227" s="399" t="n"/>
      <c r="N227" s="154" t="n"/>
      <c r="O227" s="155" t="n"/>
      <c r="P227" s="400" t="n"/>
      <c r="Q227" s="401" t="inlineStr">
        <is>
          <t>费用</t>
        </is>
      </c>
      <c r="R227" s="168" t="inlineStr"/>
      <c r="S227" s="168" t="inlineStr"/>
      <c r="T227" s="168" t="inlineStr"/>
      <c r="U227" s="168" t="inlineStr"/>
      <c r="V227" s="402" t="n"/>
      <c r="W227" s="402" t="n"/>
      <c r="X227" s="170" t="inlineStr"/>
    </row>
    <row r="228" s="308">
      <c r="A228" s="64">
        <f>ROW()-ROW(A$209)</f>
        <v/>
      </c>
      <c r="B228" s="204" t="inlineStr">
        <is>
          <t>单台合计</t>
        </is>
      </c>
      <c r="C228" s="172" t="n"/>
      <c r="D228" s="204" t="n"/>
      <c r="E228" s="114" t="n"/>
      <c r="F228" s="114" t="n"/>
      <c r="G228" s="396" t="n"/>
      <c r="H228" s="396">
        <f>ROUND(SUM(H226:H227),2)</f>
        <v/>
      </c>
      <c r="I228" s="181" t="n"/>
      <c r="J228" s="397" t="n"/>
      <c r="K228" s="398">
        <f>ROUND(SUM(K226:K227),2)</f>
        <v/>
      </c>
      <c r="L228" s="209" t="n"/>
      <c r="M228" s="399" t="n"/>
      <c r="N228" s="210" t="n"/>
      <c r="O228" s="211" t="n"/>
      <c r="P228" s="400" t="n"/>
      <c r="Q228" s="401" t="n"/>
      <c r="R228" s="168" t="inlineStr"/>
      <c r="S228" s="168" t="inlineStr"/>
      <c r="T228" s="168" t="inlineStr"/>
      <c r="U228" s="168" t="inlineStr"/>
      <c r="V228" s="402" t="n"/>
      <c r="W228" s="402" t="n"/>
      <c r="X228" s="170" t="inlineStr"/>
    </row>
    <row r="229" s="308">
      <c r="A229" s="173" t="inlineStr">
        <is>
          <t>总计</t>
        </is>
      </c>
      <c r="B229" s="205" t="n"/>
      <c r="C229" s="175" t="n"/>
      <c r="D229" s="206" t="n"/>
      <c r="E229" s="206" t="inlineStr">
        <is>
          <t>台</t>
        </is>
      </c>
      <c r="F229" s="206" t="n">
        <v>2</v>
      </c>
      <c r="G229" s="414">
        <f>ROUND(H228,2)</f>
        <v/>
      </c>
      <c r="H229" s="414">
        <f>ROUND(F229*G229,2)</f>
        <v/>
      </c>
      <c r="I229" s="185" t="n"/>
      <c r="J229" s="415" t="n"/>
      <c r="K229" s="416">
        <f>ROUND(K228*F229,2)</f>
        <v/>
      </c>
      <c r="L229" s="214" t="n"/>
      <c r="M229" s="417" t="n"/>
      <c r="N229" s="216" t="n"/>
      <c r="O229" s="217" t="n"/>
      <c r="P229" s="418" t="n"/>
      <c r="Q229" s="401" t="n"/>
      <c r="R229" s="168" t="inlineStr"/>
      <c r="S229" s="168" t="inlineStr"/>
      <c r="T229" s="168" t="inlineStr"/>
      <c r="U229" s="168" t="inlineStr"/>
      <c r="V229" s="402" t="n"/>
      <c r="W229" s="402" t="n"/>
      <c r="X229" s="170" t="inlineStr"/>
    </row>
    <row r="230" customFormat="1" s="4">
      <c r="A230" s="6" t="n"/>
      <c r="B230" s="195" t="inlineStr"/>
      <c r="C230" s="195" t="inlineStr"/>
      <c r="D230" s="195" t="inlineStr"/>
      <c r="Q230" s="159" t="n"/>
      <c r="R230" s="159" t="n"/>
      <c r="S230" s="159" t="n"/>
      <c r="T230" s="159" t="n"/>
      <c r="U230" s="159" t="n"/>
      <c r="X230" s="195" t="inlineStr"/>
    </row>
    <row r="231" customFormat="1" s="4">
      <c r="A231" s="6" t="n"/>
      <c r="B231" s="195" t="inlineStr"/>
      <c r="C231" s="195" t="inlineStr"/>
      <c r="D231" s="195" t="inlineStr"/>
      <c r="Q231" s="159" t="n"/>
      <c r="R231" s="159" t="n"/>
      <c r="S231" s="159" t="n"/>
      <c r="T231" s="159" t="n"/>
      <c r="U231" s="159" t="n"/>
      <c r="X231" s="195" t="inlineStr"/>
    </row>
    <row r="232" s="308">
      <c r="A232" s="208">
        <f>CONCATENATE("报价人：",项目信息!$B$8)</f>
        <v/>
      </c>
      <c r="B232" s="208" t="n"/>
      <c r="C232" s="4" t="n"/>
      <c r="D232" s="4" t="n"/>
      <c r="E232" s="4" t="n"/>
      <c r="F232" s="4" t="n"/>
      <c r="G232" s="4" t="n"/>
      <c r="H232" s="178">
        <f>项目信息!$B$9</f>
        <v/>
      </c>
      <c r="Q232" s="159" t="n"/>
      <c r="R232" s="159" t="n"/>
      <c r="S232" s="159" t="n"/>
      <c r="T232" s="159" t="n"/>
      <c r="U232" s="159" t="n"/>
      <c r="X232" s="203" t="inlineStr"/>
    </row>
    <row r="233" s="308">
      <c r="A233" s="8">
        <f>T(项目信息!$B$22)</f>
        <v/>
      </c>
      <c r="Q233" s="159" t="n"/>
      <c r="R233" s="159" t="n"/>
      <c r="S233" s="159" t="n"/>
      <c r="T233" s="159" t="n"/>
      <c r="U233" s="159" t="n"/>
    </row>
    <row r="234" s="308">
      <c r="A234" s="9">
        <f>T(项目信息!$B$23)</f>
        <v/>
      </c>
      <c r="Q234" s="159" t="n"/>
      <c r="R234" s="159" t="n"/>
      <c r="S234" s="159" t="n"/>
      <c r="T234" s="159" t="n"/>
      <c r="U234" s="159" t="n"/>
    </row>
    <row r="235" s="308">
      <c r="A235" s="97" t="inlineStr">
        <is>
          <t>成套产品报价明细表</t>
        </is>
      </c>
      <c r="B235" s="378" t="n"/>
      <c r="C235" s="378" t="n"/>
      <c r="D235" s="378" t="n"/>
      <c r="E235" s="378" t="n"/>
      <c r="F235" s="378" t="n"/>
      <c r="G235" s="378" t="n"/>
      <c r="H235" s="378" t="n"/>
      <c r="I235" s="378" t="n"/>
      <c r="Q235" s="159" t="n"/>
      <c r="R235" s="159" t="n"/>
      <c r="S235" s="159" t="n"/>
      <c r="T235" s="159" t="n"/>
      <c r="U235" s="159" t="n"/>
    </row>
    <row r="236" customFormat="1" s="4">
      <c r="A236" s="98" t="inlineStr">
        <is>
          <t>柜号:</t>
        </is>
      </c>
      <c r="B236" s="99" t="inlineStr">
        <is>
          <t>AAN1-04、BAN2-04</t>
        </is>
      </c>
      <c r="C236" s="100" t="inlineStr">
        <is>
          <t>型号:</t>
        </is>
      </c>
      <c r="D236" s="99" t="inlineStr">
        <is>
          <t>BlokSeT</t>
        </is>
      </c>
      <c r="E236" s="379" t="n"/>
      <c r="F236" s="101" t="inlineStr">
        <is>
          <t>名称:</t>
        </is>
      </c>
      <c r="G236" s="99" t="inlineStr">
        <is>
          <t>有源滤波柜</t>
        </is>
      </c>
      <c r="H236" s="379" t="n"/>
      <c r="I236" s="408" t="inlineStr"/>
      <c r="J236" s="194" t="inlineStr">
        <is>
          <t>箱柜尺寸:</t>
        </is>
      </c>
      <c r="K236" s="195" t="inlineStr">
        <is>
          <t>800W*1200D*2200H</t>
        </is>
      </c>
      <c r="L236" s="194" t="inlineStr">
        <is>
          <t>类别:</t>
        </is>
      </c>
      <c r="M236" s="195" t="inlineStr">
        <is>
          <t>低压固定柜</t>
        </is>
      </c>
      <c r="N236" s="409" t="inlineStr"/>
      <c r="Q236" s="159" t="n"/>
      <c r="R236" s="159" t="n"/>
      <c r="S236" s="159" t="n"/>
      <c r="T236" s="159" t="n"/>
      <c r="U236" s="159" t="n"/>
    </row>
    <row r="237" ht="20.1" customHeight="1" s="308">
      <c r="A237" s="102" t="inlineStr">
        <is>
          <t>序号</t>
        </is>
      </c>
      <c r="B237" s="103" t="inlineStr">
        <is>
          <t>元件名称</t>
        </is>
      </c>
      <c r="C237" s="103" t="inlineStr">
        <is>
          <t>型号规格</t>
        </is>
      </c>
      <c r="D237" s="104" t="inlineStr">
        <is>
          <t>生产厂家</t>
        </is>
      </c>
      <c r="E237" s="105" t="inlineStr">
        <is>
          <t>单位</t>
        </is>
      </c>
      <c r="F237" s="105" t="inlineStr">
        <is>
          <t>数量</t>
        </is>
      </c>
      <c r="G237" s="382" t="inlineStr">
        <is>
          <t>单   价</t>
        </is>
      </c>
      <c r="H237" s="383" t="inlineStr">
        <is>
          <t>总   价</t>
        </is>
      </c>
      <c r="I237" s="134" t="inlineStr">
        <is>
          <t>备注</t>
        </is>
      </c>
      <c r="J237" s="384" t="inlineStr">
        <is>
          <t>成本单价</t>
        </is>
      </c>
      <c r="K237" s="384" t="inlineStr">
        <is>
          <t>成本总价</t>
        </is>
      </c>
      <c r="L237" s="136" t="inlineStr">
        <is>
          <t>报出
系数</t>
        </is>
      </c>
      <c r="M237" s="384" t="inlineStr">
        <is>
          <t>表价</t>
        </is>
      </c>
      <c r="N237" s="136" t="inlineStr">
        <is>
          <t>折扣
系数</t>
        </is>
      </c>
      <c r="O237" s="137" t="inlineStr">
        <is>
          <t>取费
系数</t>
        </is>
      </c>
      <c r="P237" s="384" t="inlineStr">
        <is>
          <t>成套费</t>
        </is>
      </c>
      <c r="Q237" s="161" t="inlineStr">
        <is>
          <t>类别</t>
        </is>
      </c>
      <c r="R237" s="161" t="inlineStr">
        <is>
          <t>物料编码</t>
        </is>
      </c>
      <c r="S237" s="161" t="inlineStr">
        <is>
          <t>产地</t>
        </is>
      </c>
      <c r="T237" s="161" t="inlineStr">
        <is>
          <t>加工费</t>
        </is>
      </c>
      <c r="U237" s="161" t="inlineStr">
        <is>
          <t>订货号</t>
        </is>
      </c>
      <c r="V237" s="161" t="inlineStr">
        <is>
          <t>人工</t>
        </is>
      </c>
      <c r="W237" s="161" t="inlineStr">
        <is>
          <t>辅料</t>
        </is>
      </c>
      <c r="X237" s="203" t="inlineStr"/>
    </row>
    <row r="238" s="308">
      <c r="A238" s="108">
        <f>ROW()-ROW(A$237)</f>
        <v/>
      </c>
      <c r="B238" s="112" t="inlineStr">
        <is>
          <t>隔离开关熔断器组</t>
        </is>
      </c>
      <c r="C238" s="109" t="inlineStr">
        <is>
          <t>GS1250/3P3F+正面延伸旋转手柄 黑色+旋转手柄轴200mm/630-1250A</t>
        </is>
      </c>
      <c r="D238" s="109" t="inlineStr">
        <is>
          <t>甲供/施耐德电气</t>
        </is>
      </c>
      <c r="E238" s="110" t="inlineStr">
        <is>
          <t>只</t>
        </is>
      </c>
      <c r="F238" s="110" t="n">
        <v>1</v>
      </c>
      <c r="G238" s="385">
        <f>IF(AND(B238="",C238=""),"",ROUND(M238*L238*N238,2))</f>
        <v/>
      </c>
      <c r="H238" s="385">
        <f>IF(AND(B238="",C238=""),"",ROUND(F238*G238,2))</f>
        <v/>
      </c>
      <c r="I238" s="197" t="inlineStr"/>
      <c r="J238" s="410">
        <f>IF(AND(B238="",C238=""),"",ROUND(M238*N238,2))</f>
        <v/>
      </c>
      <c r="K238" s="411">
        <f>IF(AND(B238="",C238=""),"",ROUND(J238*F238,2))</f>
        <v/>
      </c>
      <c r="L238" s="200" t="n">
        <v>1</v>
      </c>
      <c r="M238" s="412" t="n">
        <v>1e-07</v>
      </c>
      <c r="N238" s="154" t="n">
        <v>1</v>
      </c>
      <c r="O238" s="155">
        <f>IF(AND(B238="",C238=""),"",IF(G238&gt;=20000,0.05,IF(G238&gt;=10000,0.1,IF(G238&gt;=5000,0.2,IF(G238&gt;=1000,0.3,IF(G238&gt;=0,0.4,{0}))))))</f>
        <v/>
      </c>
      <c r="P238" s="413">
        <f>IF(AND(B238="",C238=""),"",ROUND(H238*O238,2))</f>
        <v/>
      </c>
      <c r="Q238" s="401" t="inlineStr">
        <is>
          <t>元件</t>
        </is>
      </c>
      <c r="R238" s="168" t="inlineStr"/>
      <c r="S238" s="168" t="inlineStr"/>
      <c r="T238" s="168" t="n">
        <v>0</v>
      </c>
      <c r="U238" s="168" t="inlineStr">
        <is>
          <t>LV481473+GS2AH570+GS2AE52</t>
        </is>
      </c>
      <c r="V238" s="402" t="n"/>
      <c r="W238" s="402" t="n"/>
      <c r="X238" s="170" t="inlineStr">
        <is>
          <t>GS800/3P3F 正面延伸旋转手柄 黑色+旋转手柄轴200mm/630-1250A→GS630/3P3F+正面延伸旋转手柄 黑色+旋转手柄轴200mm/630-1250A→WGR-500/3-FW→NSX630N Mic2.3 630A 3P3D P→NSX630N Mic5.3B 630A 3P3D P→GS800/3P3F+正面延伸旋转手柄 黑色+旋转手柄轴200mm/630-1250A</t>
        </is>
      </c>
    </row>
    <row r="239" s="308">
      <c r="A239" s="108">
        <f>ROW()-ROW(A$237)</f>
        <v/>
      </c>
      <c r="B239" s="112" t="inlineStr">
        <is>
          <t>熔断器</t>
        </is>
      </c>
      <c r="C239" s="109" t="inlineStr">
        <is>
          <t>RT17(NT4) gG 400/690V 800A 3C</t>
        </is>
      </c>
      <c r="D239" s="109" t="inlineStr">
        <is>
          <t>茗熔</t>
        </is>
      </c>
      <c r="E239" s="110" t="inlineStr">
        <is>
          <t>只</t>
        </is>
      </c>
      <c r="F239" s="110" t="n">
        <v>3</v>
      </c>
      <c r="G239" s="385">
        <f>IF(AND(B239="",C239=""),"",ROUND(M239*L239*N239,2))</f>
        <v/>
      </c>
      <c r="H239" s="385">
        <f>IF(AND(B239="",C239=""),"",ROUND(F239*G239,2))</f>
        <v/>
      </c>
      <c r="I239" s="197" t="inlineStr"/>
      <c r="J239" s="410">
        <f>IF(AND(B239="",C239=""),"",ROUND(M239*N239,2))</f>
        <v/>
      </c>
      <c r="K239" s="411">
        <f>IF(AND(B239="",C239=""),"",ROUND(J239*F239,2))</f>
        <v/>
      </c>
      <c r="L239" s="200" t="n">
        <v>1</v>
      </c>
      <c r="M239" s="412" t="n">
        <v>198</v>
      </c>
      <c r="N239" s="154" t="n">
        <v>1</v>
      </c>
      <c r="O239" s="155">
        <f>IF(AND(B239="",C239=""),"",IF(G239&gt;=20000,0.05,IF(G239&gt;=10000,0.1,IF(G239&gt;=5000,0.2,IF(G239&gt;=1000,0.3,IF(G239&gt;=0,0.4,{0}))))))</f>
        <v/>
      </c>
      <c r="P239" s="413">
        <f>IF(AND(B239="",C239=""),"",ROUND(H239*O239,2))</f>
        <v/>
      </c>
      <c r="Q239" s="401" t="inlineStr">
        <is>
          <t>元件</t>
        </is>
      </c>
      <c r="R239" s="168" t="inlineStr"/>
      <c r="S239" s="168" t="inlineStr"/>
      <c r="T239" s="168" t="inlineStr">
        <is>
          <t>0</t>
        </is>
      </c>
      <c r="U239" s="168" t="inlineStr">
        <is>
          <t>0</t>
        </is>
      </c>
      <c r="V239" s="402" t="n"/>
      <c r="W239" s="402" t="n"/>
      <c r="X239" s="170" t="inlineStr"/>
    </row>
    <row r="240" s="308">
      <c r="A240" s="64">
        <f>ROW()-ROW(A$237)</f>
        <v/>
      </c>
      <c r="B240" s="22" t="inlineStr">
        <is>
          <t>多功能表</t>
        </is>
      </c>
      <c r="C240" s="22" t="inlineStr">
        <is>
          <t>PM4101</t>
        </is>
      </c>
      <c r="D240" s="109" t="inlineStr">
        <is>
          <t>甲供/施耐德电气</t>
        </is>
      </c>
      <c r="E240" s="23" t="inlineStr">
        <is>
          <t>只</t>
        </is>
      </c>
      <c r="F240" s="23" t="n">
        <v>1</v>
      </c>
      <c r="G240" s="349">
        <f>IF(AND(B240="",C240=""),"",ROUND(M240*L240*N240,2))</f>
        <v/>
      </c>
      <c r="H240" s="349">
        <f>IF(AND(B240="",C240=""),"",ROUND(F240*G240,2))</f>
        <v/>
      </c>
      <c r="I240" s="45" t="inlineStr"/>
      <c r="J240" s="397">
        <f>IF(AND(B240="",C240=""),"",ROUND(M240*N240,2))</f>
        <v/>
      </c>
      <c r="K240" s="398">
        <f>IF(AND(B240="",C240=""),"",ROUND(J240*F240,2))</f>
        <v/>
      </c>
      <c r="L240" s="200" t="n">
        <v>1</v>
      </c>
      <c r="M240" s="399" t="n">
        <v>1e-07</v>
      </c>
      <c r="N240" s="154" t="n">
        <v>1</v>
      </c>
      <c r="O240" s="155">
        <f>IF(AND(B240="",C240=""),"",IF(G240&gt;=20000,0.05,IF(G240&gt;=10000,0.1,IF(G240&gt;=5000,0.2,IF(G240&gt;=1000,0.3,IF(G240&gt;=0,0.4,{0}))))))</f>
        <v/>
      </c>
      <c r="P240" s="400">
        <f>IF(AND(B240="",C240=""),"",ROUND(H240*O240,2))</f>
        <v/>
      </c>
      <c r="Q240" s="401" t="inlineStr">
        <is>
          <t>元件</t>
        </is>
      </c>
      <c r="R240" s="168" t="inlineStr"/>
      <c r="S240" s="168" t="inlineStr"/>
      <c r="T240" s="168" t="inlineStr">
        <is>
          <t>0</t>
        </is>
      </c>
      <c r="U240" s="168" t="inlineStr"/>
      <c r="V240" s="402" t="n"/>
      <c r="W240" s="402" t="n"/>
      <c r="X240" s="170" t="inlineStr">
        <is>
          <t>PM→PM5350P</t>
        </is>
      </c>
    </row>
    <row r="241" s="308">
      <c r="A241" s="64">
        <f>ROW()-ROW(A$237)</f>
        <v/>
      </c>
      <c r="B241" s="112" t="inlineStr">
        <is>
          <t>电流互感器</t>
        </is>
      </c>
      <c r="C241" s="22" t="inlineStr">
        <is>
          <t>SD-0.66-60II-C 800/5A</t>
        </is>
      </c>
      <c r="D241" s="112" t="inlineStr">
        <is>
          <t>桑迪</t>
        </is>
      </c>
      <c r="E241" s="114" t="inlineStr">
        <is>
          <t>只</t>
        </is>
      </c>
      <c r="F241" s="23" t="n">
        <v>3</v>
      </c>
      <c r="G241" s="396">
        <f>IF(AND(B241="",C241=""),"",ROUND(M241*L241*N241,2))</f>
        <v/>
      </c>
      <c r="H241" s="349">
        <f>IF(AND(B241="",C241=""),"",ROUND(F241*G241,2))</f>
        <v/>
      </c>
      <c r="I241" s="45" t="inlineStr"/>
      <c r="J241" s="397">
        <f>IF(AND(B241="",C241=""),"",ROUND(M241*N241,2))</f>
        <v/>
      </c>
      <c r="K241" s="398">
        <f>IF(AND(B241="",C241=""),"",ROUND(J241*F241,2))</f>
        <v/>
      </c>
      <c r="L241" s="200" t="n">
        <v>1</v>
      </c>
      <c r="M241" s="399" t="n">
        <v>72.8</v>
      </c>
      <c r="N241" s="154" t="n">
        <v>1</v>
      </c>
      <c r="O241" s="155">
        <f>IF(AND(B241="",C241=""),"",IF(G241&gt;=20000,0.05,IF(G241&gt;=10000,0.1,IF(G241&gt;=5000,0.2,IF(G241&gt;=1000,0.3,IF(G241&gt;=0,0.4,{0}))))))</f>
        <v/>
      </c>
      <c r="P241" s="400">
        <f>IF(AND(B241="",C241=""),"",ROUND(H241*O241,2))</f>
        <v/>
      </c>
      <c r="Q241" s="401" t="inlineStr">
        <is>
          <t>元件</t>
        </is>
      </c>
      <c r="R241" s="168" t="inlineStr"/>
      <c r="S241" s="168" t="inlineStr"/>
      <c r="T241" s="168" t="inlineStr">
        <is>
          <t>0</t>
        </is>
      </c>
      <c r="U241" s="168" t="inlineStr"/>
      <c r="V241" s="402" t="n"/>
      <c r="W241" s="402" t="n"/>
      <c r="X241" s="170" t="inlineStr">
        <is>
          <t>BH-0.66/80C(P) 800/5A→SD-0.66-80II-V 800/5A→SD-0.66-40II-C 400/5A→SD-0.66-60II-C 600/5A→SD-0.66-60II-C 750/5A→SD-0.66-80II-V 800/5A→SD-0.66-60II-C 600/5A</t>
        </is>
      </c>
    </row>
    <row r="242" s="308">
      <c r="A242" s="64">
        <f>ROW()-ROW(A$237)</f>
        <v/>
      </c>
      <c r="B242" s="22" t="inlineStr">
        <is>
          <t>APF</t>
        </is>
      </c>
      <c r="C242" s="22" t="inlineStr">
        <is>
          <t>600A</t>
        </is>
      </c>
      <c r="D242" s="27" t="inlineStr">
        <is>
          <t>甲供</t>
        </is>
      </c>
      <c r="E242" s="23" t="inlineStr">
        <is>
          <t>套</t>
        </is>
      </c>
      <c r="F242" s="23">
        <f>IF(AND(B242="",C242=""),"",1)</f>
        <v/>
      </c>
      <c r="G242" s="349">
        <f>IF(AND(B242="",C242=""),"",ROUND(M242*L242*N242,2))</f>
        <v/>
      </c>
      <c r="H242" s="349">
        <f>IF(AND(B242="",C242=""),"",ROUND(F242*G242,2))</f>
        <v/>
      </c>
      <c r="I242" s="45" t="inlineStr"/>
      <c r="J242" s="397">
        <f>IF(AND(B242="",C242=""),"",ROUND(M242*N242,2))</f>
        <v/>
      </c>
      <c r="K242" s="398">
        <f>IF(AND(B242="",C242=""),"",ROUND(J242*F242,2))</f>
        <v/>
      </c>
      <c r="L242" s="200" t="n">
        <v>1</v>
      </c>
      <c r="M242" s="399" t="n">
        <v>1e-07</v>
      </c>
      <c r="N242" s="154" t="n">
        <v>1</v>
      </c>
      <c r="O242" s="155">
        <f>IF(AND(B242="",C242=""),"",IF(G242&gt;=20000,0.05,IF(G242&gt;=10000,0.1,IF(G242&gt;=5000,0.2,IF(G242&gt;=1000,0.3,IF(G242&gt;=0,0.4,{0}))))))</f>
        <v/>
      </c>
      <c r="P242" s="400">
        <f>IF(AND(B242="",C242=""),"",ROUND(H242*O242,2))</f>
        <v/>
      </c>
      <c r="Q242" s="401" t="inlineStr">
        <is>
          <t>元件</t>
        </is>
      </c>
      <c r="R242" s="168" t="inlineStr"/>
      <c r="S242" s="168" t="inlineStr"/>
      <c r="T242" s="168" t="inlineStr">
        <is>
          <t>0</t>
        </is>
      </c>
      <c r="U242" s="168" t="inlineStr"/>
      <c r="V242" s="402" t="n"/>
      <c r="W242" s="402" t="n"/>
      <c r="X242" s="170" t="inlineStr"/>
    </row>
    <row r="243" s="308">
      <c r="A243" s="64">
        <f>ROW()-ROW(A$237)</f>
        <v/>
      </c>
      <c r="B243" s="112" t="inlineStr">
        <is>
          <t>避雷器</t>
        </is>
      </c>
      <c r="C243" s="22" t="inlineStr">
        <is>
          <t>YH3W2-0.28/1.3</t>
        </is>
      </c>
      <c r="D243" s="22" t="inlineStr">
        <is>
          <t>国产优质</t>
        </is>
      </c>
      <c r="E243" s="114" t="inlineStr">
        <is>
          <t>只</t>
        </is>
      </c>
      <c r="F243" s="23" t="n">
        <v>3</v>
      </c>
      <c r="G243" s="396">
        <f>IF(AND(B243="",C243=""),"",ROUND(M243*L243*N243,2))</f>
        <v/>
      </c>
      <c r="H243" s="349">
        <f>IF(AND(B243="",C243=""),"",ROUND(F243*G243,2))</f>
        <v/>
      </c>
      <c r="I243" s="45" t="inlineStr"/>
      <c r="J243" s="397">
        <f>IF(AND(B243="",C243=""),"",ROUND(M243*N243,2))</f>
        <v/>
      </c>
      <c r="K243" s="398">
        <f>IF(AND(B243="",C243=""),"",ROUND(J243*F243,2))</f>
        <v/>
      </c>
      <c r="L243" s="200" t="n">
        <v>1</v>
      </c>
      <c r="M243" s="399" t="n">
        <v>25</v>
      </c>
      <c r="N243" s="154" t="n">
        <v>1</v>
      </c>
      <c r="O243" s="155">
        <f>IF(AND(B243="",C243=""),"",IF(G243&gt;=20000,0.05,IF(G243&gt;=10000,0.1,IF(G243&gt;=5000,0.2,IF(G243&gt;=1000,0.3,IF(G243&gt;=0,0.4,{0}))))))</f>
        <v/>
      </c>
      <c r="P243" s="400">
        <f>IF(AND(B243="",C243=""),"",ROUND(H243*O243,2))</f>
        <v/>
      </c>
      <c r="Q243" s="401" t="inlineStr">
        <is>
          <t>元件</t>
        </is>
      </c>
      <c r="R243" s="168" t="inlineStr"/>
      <c r="S243" s="168" t="inlineStr"/>
      <c r="T243" s="168" t="inlineStr">
        <is>
          <t>0</t>
        </is>
      </c>
      <c r="U243" s="168" t="inlineStr">
        <is>
          <t>A9L208044</t>
        </is>
      </c>
      <c r="V243" s="402" t="n"/>
      <c r="W243" s="402" t="n"/>
      <c r="X243" s="170" t="inlineStr"/>
    </row>
    <row r="244" s="308">
      <c r="A244" s="64">
        <f>ROW()-ROW(A$237)</f>
        <v/>
      </c>
      <c r="B244" s="112" t="inlineStr">
        <is>
          <t>温湿度控制器</t>
        </is>
      </c>
      <c r="C244" s="112" t="inlineStr">
        <is>
          <t>ATH48G-11</t>
        </is>
      </c>
      <c r="D244" s="22" t="inlineStr">
        <is>
          <t>杭州安廷</t>
        </is>
      </c>
      <c r="E244" s="23" t="inlineStr">
        <is>
          <t>套</t>
        </is>
      </c>
      <c r="F244" s="23" t="n">
        <v>1</v>
      </c>
      <c r="G244" s="349">
        <f>IF(AND(B244="",C244=""),"",ROUND(M244*L244*N244,2))</f>
        <v/>
      </c>
      <c r="H244" s="396">
        <f>IF(AND(B244="",C244=""),"",ROUND(F244*G244,2))</f>
        <v/>
      </c>
      <c r="I244" s="150" t="inlineStr"/>
      <c r="J244" s="397">
        <f>IF(AND(B244="",C244=""),"",ROUND(M244*N244,2))</f>
        <v/>
      </c>
      <c r="K244" s="398">
        <f>IF(AND(B244="",C244=""),"",ROUND(J244*F244,2))</f>
        <v/>
      </c>
      <c r="L244" s="141" t="n">
        <v>1</v>
      </c>
      <c r="M244" s="399" t="n">
        <v>450</v>
      </c>
      <c r="N244" s="154" t="n">
        <v>1</v>
      </c>
      <c r="O244" s="155">
        <f>IF(AND(B244="",C244=""),"",IF(G244&gt;=20000,0.05,IF(G244&gt;=10000,0.1,IF(G244&gt;=5000,0.2,IF(G244&gt;=1000,0.3,IF(G244&gt;=0,0.4,{0}))))))</f>
        <v/>
      </c>
      <c r="P244" s="400">
        <f>IF(AND(B244="",C244=""),"",ROUND(H244*O244,2))</f>
        <v/>
      </c>
      <c r="Q244" s="401" t="inlineStr">
        <is>
          <t>元件</t>
        </is>
      </c>
      <c r="R244" s="168" t="inlineStr"/>
      <c r="S244" s="168" t="inlineStr"/>
      <c r="T244" s="168" t="inlineStr">
        <is>
          <t>0</t>
        </is>
      </c>
      <c r="U244" s="168" t="inlineStr"/>
      <c r="V244" s="402" t="n"/>
      <c r="W244" s="402" t="n"/>
      <c r="X244" s="170" t="inlineStr"/>
    </row>
    <row r="245" s="308">
      <c r="A245" s="64">
        <f>ROW()-ROW(A$237)</f>
        <v/>
      </c>
      <c r="B245" s="22" t="inlineStr">
        <is>
          <t>电容柜散热风扇</t>
        </is>
      </c>
      <c r="C245" s="22" t="inlineStr">
        <is>
          <t>SF2208HA2BMT+SVF105SND</t>
        </is>
      </c>
      <c r="D245" s="22" t="inlineStr">
        <is>
          <t>源顶</t>
        </is>
      </c>
      <c r="E245" s="23" t="inlineStr">
        <is>
          <t>只</t>
        </is>
      </c>
      <c r="F245" s="23" t="n">
        <v>2</v>
      </c>
      <c r="G245" s="349">
        <f>IF(AND(B245="",C245=""),"",ROUND(M245*L245*N245,2))</f>
        <v/>
      </c>
      <c r="H245" s="349">
        <f>IF(AND(B245="",C245=""),"",ROUND(F245*G245,2))</f>
        <v/>
      </c>
      <c r="I245" s="45" t="inlineStr"/>
      <c r="J245" s="397">
        <f>IF(AND(B245="",C245=""),"",ROUND(M245*N245,2))</f>
        <v/>
      </c>
      <c r="K245" s="398">
        <f>IF(AND(B245="",C245=""),"",ROUND(J245*F245,2))</f>
        <v/>
      </c>
      <c r="L245" s="200" t="n">
        <v>1</v>
      </c>
      <c r="M245" s="399" t="n">
        <v>241</v>
      </c>
      <c r="N245" s="154" t="n">
        <v>1</v>
      </c>
      <c r="O245" s="155">
        <f>IF(AND(B245="",C245=""),"",IF(G245&gt;=20000,0.05,IF(G245&gt;=10000,0.1,IF(G245&gt;=5000,0.2,IF(G245&gt;=1000,0.3,IF(G245&gt;=0,0.4,{0}))))))</f>
        <v/>
      </c>
      <c r="P245" s="400">
        <f>IF(AND(B245="",C245=""),"",ROUND(H245*O245,2))</f>
        <v/>
      </c>
      <c r="Q245" s="401" t="inlineStr">
        <is>
          <t>元件</t>
        </is>
      </c>
      <c r="R245" s="168" t="inlineStr"/>
      <c r="S245" s="168" t="inlineStr"/>
      <c r="T245" s="168" t="inlineStr">
        <is>
          <t>0</t>
        </is>
      </c>
      <c r="U245" s="168" t="inlineStr">
        <is>
          <t>0</t>
        </is>
      </c>
      <c r="V245" s="402" t="n"/>
      <c r="W245" s="402" t="n"/>
      <c r="X245" s="170" t="inlineStr">
        <is>
          <t>SF2208HA2BMT+SVF105SND</t>
        </is>
      </c>
    </row>
    <row r="246" s="308">
      <c r="A246" s="64">
        <f>ROW()-ROW(A$237)</f>
        <v/>
      </c>
      <c r="B246" s="22" t="inlineStr">
        <is>
          <t>带熔丝端子</t>
        </is>
      </c>
      <c r="C246" s="22" t="inlineStr">
        <is>
          <t>UK 5-HESI</t>
        </is>
      </c>
      <c r="D246" s="22" t="inlineStr">
        <is>
          <t>菲尼克斯</t>
        </is>
      </c>
      <c r="E246" s="23" t="inlineStr">
        <is>
          <t>只</t>
        </is>
      </c>
      <c r="F246" s="23" t="n">
        <v>10</v>
      </c>
      <c r="G246" s="349">
        <f>IF(AND(B246="",C246=""),"",ROUND(M246*L246*N246,2))</f>
        <v/>
      </c>
      <c r="H246" s="349">
        <f>IF(AND(B246="",C246=""),"",ROUND(F246*G246,2))</f>
        <v/>
      </c>
      <c r="I246" s="45" t="inlineStr"/>
      <c r="J246" s="397">
        <f>IF(AND(B246="",C246=""),"",ROUND(M246*N246,2))</f>
        <v/>
      </c>
      <c r="K246" s="398">
        <f>IF(AND(B246="",C246=""),"",ROUND(J246*F246,2))</f>
        <v/>
      </c>
      <c r="L246" s="200" t="n">
        <v>1</v>
      </c>
      <c r="M246" s="399" t="n">
        <v>7</v>
      </c>
      <c r="N246" s="154" t="n">
        <v>1</v>
      </c>
      <c r="O246" s="155">
        <f>IF(AND(B246="",C246=""),"",IF(G246&gt;=20000,0.05,IF(G246&gt;=10000,0.1,IF(G246&gt;=5000,0.2,IF(G246&gt;=1000,0.3,IF(G246&gt;=0,0.4,{0}))))))</f>
        <v/>
      </c>
      <c r="P246" s="400">
        <f>IF(AND(B246="",C246=""),"",ROUND(H246*O246,2))</f>
        <v/>
      </c>
      <c r="Q246" s="401" t="inlineStr">
        <is>
          <t>元件</t>
        </is>
      </c>
      <c r="R246" s="168" t="inlineStr"/>
      <c r="S246" s="168" t="inlineStr"/>
      <c r="T246" s="168" t="inlineStr">
        <is>
          <t>0</t>
        </is>
      </c>
      <c r="U246" s="168" t="inlineStr">
        <is>
          <t>3004100</t>
        </is>
      </c>
      <c r="V246" s="402" t="n"/>
      <c r="W246" s="402" t="n"/>
      <c r="X246" s="170" t="inlineStr"/>
    </row>
    <row r="247" s="308">
      <c r="A247" s="64">
        <f>ROW()-ROW(A$237)</f>
        <v/>
      </c>
      <c r="B247" s="22" t="inlineStr">
        <is>
          <t>水平母排</t>
        </is>
      </c>
      <c r="C247" s="22" t="inlineStr">
        <is>
          <t>TMY 4*(4*150*5)+2*50*5</t>
        </is>
      </c>
      <c r="D247" s="22" t="inlineStr">
        <is>
          <t>国产优质</t>
        </is>
      </c>
      <c r="E247" s="23" t="inlineStr">
        <is>
          <t>米</t>
        </is>
      </c>
      <c r="F247" s="23" t="n">
        <v>1.1</v>
      </c>
      <c r="G247" s="349">
        <f>IF(AND(B247="",C247=""),"",ROUND(M247*L247*N247,2))</f>
        <v/>
      </c>
      <c r="H247" s="349">
        <f>IF(AND(B247="",C247=""),"",ROUND(F247*G247,2))</f>
        <v/>
      </c>
      <c r="I247" s="45" t="inlineStr"/>
      <c r="J247" s="397">
        <f>IF(AND(B247="",C247=""),"",ROUND(M247*N247,2))</f>
        <v/>
      </c>
      <c r="K247" s="398">
        <f>IF(AND(B247="",C247=""),"",ROUND(J247*F247,2))</f>
        <v/>
      </c>
      <c r="L247" s="200" t="n">
        <v>1</v>
      </c>
      <c r="M247" s="399" t="n">
        <v>12026.68125</v>
      </c>
      <c r="N247" s="154">
        <f>(6317.932*1*1+2684.8*1*1)/9002.732</f>
        <v/>
      </c>
      <c r="O247" s="155">
        <f>IF(AND(B247="",C247=""),"",IF(G247&gt;=20000,0.05,IF(G247&gt;=10000,0.1,IF(G247&gt;=5000,0.2,IF(G247&gt;=1000,0.3,IF(G247&gt;=0,0.4,{0}))))))</f>
        <v/>
      </c>
      <c r="P247" s="400">
        <f>IF(AND(B247="",C247=""),"",ROUND(H247*O247,2))</f>
        <v/>
      </c>
      <c r="Q247" s="401" t="inlineStr">
        <is>
          <t>母排</t>
        </is>
      </c>
      <c r="R247" s="168" t="inlineStr"/>
      <c r="S247" s="168" t="inlineStr"/>
      <c r="T247" s="168" t="inlineStr">
        <is>
          <t>0</t>
        </is>
      </c>
      <c r="U247" s="168" t="inlineStr">
        <is>
          <t>0</t>
        </is>
      </c>
      <c r="V247" s="402" t="n"/>
      <c r="W247" s="402" t="n"/>
      <c r="X247" s="170" t="inlineStr"/>
    </row>
    <row r="248" s="308">
      <c r="A248" s="64">
        <f>ROW()-ROW(A$237)</f>
        <v/>
      </c>
      <c r="B248" s="22" t="inlineStr">
        <is>
          <t>铜排</t>
        </is>
      </c>
      <c r="C248" s="27" t="inlineStr">
        <is>
          <t>TMY 3*2*50*5</t>
        </is>
      </c>
      <c r="D248" s="22" t="inlineStr">
        <is>
          <t>国产优质</t>
        </is>
      </c>
      <c r="E248" s="23" t="inlineStr">
        <is>
          <t>米</t>
        </is>
      </c>
      <c r="F248" s="23" t="n">
        <v>1.5</v>
      </c>
      <c r="G248" s="349">
        <f>IF(AND(B248="",C248=""),"",ROUND(M248*L248*N248,2))</f>
        <v/>
      </c>
      <c r="H248" s="349">
        <f>IF(AND(B248="",C248=""),"",ROUND(F248*G248,2))</f>
        <v/>
      </c>
      <c r="I248" s="45" t="inlineStr"/>
      <c r="J248" s="397">
        <f>IF(AND(B248="",C248=""),"",ROUND(M248*N248,2))</f>
        <v/>
      </c>
      <c r="K248" s="398">
        <f>IF(AND(B248="",C248=""),"",ROUND(J248*F248,2))</f>
        <v/>
      </c>
      <c r="L248" s="200" t="n">
        <v>1</v>
      </c>
      <c r="M248" s="399" t="n">
        <v>1443.20175</v>
      </c>
      <c r="N248" s="154" t="n">
        <v>1</v>
      </c>
      <c r="O248" s="155">
        <f>IF(AND(B248="",C248=""),"",IF(G248&gt;=20000,0.05,IF(G248&gt;=10000,0.1,IF(G248&gt;=5000,0.2,IF(G248&gt;=1000,0.3,IF(G248&gt;=0,0.4,{0}))))))</f>
        <v/>
      </c>
      <c r="P248" s="400">
        <f>IF(AND(B248="",C248=""),"",ROUND(H248*O248,2))</f>
        <v/>
      </c>
      <c r="Q248" s="401" t="inlineStr">
        <is>
          <t>母排</t>
        </is>
      </c>
      <c r="R248" s="168" t="inlineStr"/>
      <c r="S248" s="168" t="inlineStr"/>
      <c r="T248" s="168" t="inlineStr">
        <is>
          <t>0</t>
        </is>
      </c>
      <c r="U248" s="168" t="inlineStr">
        <is>
          <t>0</t>
        </is>
      </c>
      <c r="V248" s="402" t="n"/>
      <c r="W248" s="402" t="n"/>
      <c r="X248" s="170" t="inlineStr"/>
    </row>
    <row r="249" s="308">
      <c r="A249" s="64">
        <f>ROW()-ROW(A$237)</f>
        <v/>
      </c>
      <c r="B249" s="22" t="inlineStr">
        <is>
          <t>线缆</t>
        </is>
      </c>
      <c r="C249" s="27" t="inlineStr">
        <is>
          <t>50mm²</t>
        </is>
      </c>
      <c r="D249" s="22" t="inlineStr">
        <is>
          <t>凯布斯</t>
        </is>
      </c>
      <c r="E249" s="23" t="inlineStr">
        <is>
          <t>米</t>
        </is>
      </c>
      <c r="F249" s="23" t="n">
        <v>18</v>
      </c>
      <c r="G249" s="349">
        <f>IF(AND(B249="",C249=""),"",ROUND(M249*L249*N249,2))</f>
        <v/>
      </c>
      <c r="H249" s="349">
        <f>IF(AND(B249="",C249=""),"",ROUND(F249*G249,2))</f>
        <v/>
      </c>
      <c r="I249" s="45" t="inlineStr"/>
      <c r="J249" s="397">
        <f>IF(AND(B249="",C249=""),"",ROUND(M249*N249,2))</f>
        <v/>
      </c>
      <c r="K249" s="398">
        <f>IF(AND(B249="",C249=""),"",ROUND(J249*F249,2))</f>
        <v/>
      </c>
      <c r="L249" s="200" t="n">
        <v>1</v>
      </c>
      <c r="M249" s="399" t="n">
        <v>46.84</v>
      </c>
      <c r="N249" s="154" t="n">
        <v>1</v>
      </c>
      <c r="O249" s="155">
        <f>IF(AND(B249="",C249=""),"",IF(G249&gt;=20000,0.05,IF(G249&gt;=10000,0.1,IF(G249&gt;=5000,0.2,IF(G249&gt;=1000,0.3,IF(G249&gt;=0,0.4,{0}))))))</f>
        <v/>
      </c>
      <c r="P249" s="400">
        <f>IF(AND(B249="",C249=""),"",ROUND(H249*O249,2))</f>
        <v/>
      </c>
      <c r="Q249" s="401" t="inlineStr">
        <is>
          <t>元件</t>
        </is>
      </c>
      <c r="R249" s="168" t="inlineStr"/>
      <c r="S249" s="168" t="inlineStr"/>
      <c r="T249" s="168" t="inlineStr">
        <is>
          <t>0</t>
        </is>
      </c>
      <c r="U249" s="168" t="inlineStr"/>
      <c r="V249" s="402" t="n"/>
      <c r="W249" s="402" t="n"/>
      <c r="X249" s="170" t="inlineStr">
        <is>
          <t>TMY 60*5→95mm²</t>
        </is>
      </c>
    </row>
    <row r="250" s="308">
      <c r="A250" s="64">
        <f>ROW()-ROW(A$237)</f>
        <v/>
      </c>
      <c r="B250" s="22" t="inlineStr">
        <is>
          <t>辅料</t>
        </is>
      </c>
      <c r="C250" s="22" t="inlineStr"/>
      <c r="D250" s="22" t="inlineStr"/>
      <c r="E250" s="23" t="inlineStr">
        <is>
          <t>套</t>
        </is>
      </c>
      <c r="F250" s="23" t="n">
        <v>1</v>
      </c>
      <c r="G250" s="349">
        <f>IF(AND(B250="",C250=""),"",ROUND(M250*L250*N250,2))</f>
        <v/>
      </c>
      <c r="H250" s="349">
        <f>IF(AND(B250="",C250=""),"",ROUND(F250*G250,2))</f>
        <v/>
      </c>
      <c r="I250" s="45" t="inlineStr"/>
      <c r="J250" s="397">
        <f>IF(AND(B250="",C250=""),"",ROUND(M250*N250,2))</f>
        <v/>
      </c>
      <c r="K250" s="398">
        <f>IF(AND(B250="",C250=""),"",ROUND(J250*F250,2))</f>
        <v/>
      </c>
      <c r="L250" s="200" t="n">
        <v>1</v>
      </c>
      <c r="M250" s="399" t="n">
        <v>1000</v>
      </c>
      <c r="N250" s="154" t="n">
        <v>1</v>
      </c>
      <c r="O250" s="155">
        <f>IF(AND(B250="",C250=""),"",IF(G250&gt;=20000,0.05,IF(G250&gt;=10000,0.1,IF(G250&gt;=5000,0.2,IF(G250&gt;=1000,0.3,IF(G250&gt;=0,0.4,{0}))))))</f>
        <v/>
      </c>
      <c r="P250" s="400">
        <f>IF(AND(B250="",C250=""),"",ROUND(H250*O250,2))</f>
        <v/>
      </c>
      <c r="Q250" s="401" t="inlineStr">
        <is>
          <t>辅料</t>
        </is>
      </c>
      <c r="R250" s="168" t="inlineStr"/>
      <c r="S250" s="168" t="inlineStr"/>
      <c r="T250" s="168" t="inlineStr">
        <is>
          <t>0</t>
        </is>
      </c>
      <c r="U250" s="168" t="inlineStr">
        <is>
          <t>0</t>
        </is>
      </c>
      <c r="V250" s="402" t="n"/>
      <c r="W250" s="402" t="n"/>
      <c r="X250" s="170" t="inlineStr"/>
    </row>
    <row r="251" s="308">
      <c r="A251" s="64">
        <f>ROW()-ROW(A$237)</f>
        <v/>
      </c>
      <c r="B251" s="22" t="inlineStr">
        <is>
          <t>柜体Blokset</t>
        </is>
      </c>
      <c r="C251" s="22" t="inlineStr">
        <is>
          <t>800W*1200D*2200H</t>
        </is>
      </c>
      <c r="D251" s="22" t="inlineStr">
        <is>
          <t>清科</t>
        </is>
      </c>
      <c r="E251" s="23" t="inlineStr">
        <is>
          <t>台</t>
        </is>
      </c>
      <c r="F251" s="23" t="n">
        <v>1</v>
      </c>
      <c r="G251" s="349">
        <f>IF(AND(B251="",C251=""),"",ROUND(M251*L251*N251,2))</f>
        <v/>
      </c>
      <c r="H251" s="349">
        <f>IF(AND(B251="",C251=""),"",ROUND(F251*G251,2))</f>
        <v/>
      </c>
      <c r="I251" s="45" t="inlineStr"/>
      <c r="J251" s="397">
        <f>IF(AND(B251="",C251=""),"",ROUND(M251*N251,2))</f>
        <v/>
      </c>
      <c r="K251" s="398">
        <f>IF(AND(B251="",C251=""),"",ROUND(J251*F251,2))</f>
        <v/>
      </c>
      <c r="L251" s="200" t="n">
        <v>1</v>
      </c>
      <c r="M251" s="399" t="n">
        <v>4346</v>
      </c>
      <c r="N251" s="154" t="n">
        <v>1</v>
      </c>
      <c r="O251" s="155">
        <f>IF(AND(B251="",C251=""),"",IF(G251&gt;=20000,0.05,IF(G251&gt;=10000,0.1,IF(G251&gt;=5000,0.2,IF(G251&gt;=1000,0.3,IF(G251&gt;=0,0.4,{0}))))))</f>
        <v/>
      </c>
      <c r="P251" s="400">
        <f>IF(AND(B251="",C251=""),"",ROUND(H251*O251,2))</f>
        <v/>
      </c>
      <c r="Q251" s="401" t="inlineStr">
        <is>
          <t>箱体</t>
        </is>
      </c>
      <c r="R251" s="168" t="inlineStr"/>
      <c r="S251" s="168" t="inlineStr"/>
      <c r="T251" s="168" t="inlineStr">
        <is>
          <t>0</t>
        </is>
      </c>
      <c r="U251" s="168" t="inlineStr"/>
      <c r="V251" s="402" t="n"/>
      <c r="W251" s="402" t="n"/>
      <c r="X251" s="170" t="inlineStr">
        <is>
          <t>1300W*1000D*2200H→800W*1000D*2200H BC</t>
        </is>
      </c>
    </row>
    <row r="252" s="308">
      <c r="A252" s="64">
        <f>ROW()-ROW(A$237)</f>
        <v/>
      </c>
      <c r="B252" s="22" t="inlineStr"/>
      <c r="C252" s="22" t="inlineStr"/>
      <c r="D252" s="22" t="inlineStr"/>
      <c r="E252" s="23" t="n"/>
      <c r="F252" s="23">
        <f>IF(AND(B252="",C252=""),"",1)</f>
        <v/>
      </c>
      <c r="G252" s="349">
        <f>IF(AND(B252="",C252=""),"",ROUND(M252*L252*N252,2))</f>
        <v/>
      </c>
      <c r="H252" s="349">
        <f>IF(AND(B252="",C252=""),"",ROUND(F252*G252,2))</f>
        <v/>
      </c>
      <c r="I252" s="45" t="inlineStr"/>
      <c r="J252" s="397">
        <f>IF(AND(B252="",C252=""),"",ROUND(M252*N252,2))</f>
        <v/>
      </c>
      <c r="K252" s="398">
        <f>IF(AND(B252="",C252=""),"",ROUND(J252*F252,2))</f>
        <v/>
      </c>
      <c r="L252" s="200">
        <f>IF(AND(B252="",C252=""),"",1)</f>
        <v/>
      </c>
      <c r="M252" s="399" t="n"/>
      <c r="N252" s="154">
        <f>IF(AND(B252="",C252=""),"",1)</f>
        <v/>
      </c>
      <c r="O252" s="155">
        <f>IF(AND(B252="",C252=""),"",IF(J252&gt;=20000,0.05,IF(J252&gt;=10000,0.1,IF(J252&gt;=5000,0.2,IF(J252&gt;=1000,0.3,IF(J252&gt;=0,0.4,{0}))))))</f>
        <v/>
      </c>
      <c r="P252" s="400">
        <f>IF(AND(B252="",C252=""),"",ROUND(H252*O252,2))</f>
        <v/>
      </c>
      <c r="Q252" s="401">
        <f>IF(AND(B252="",C252=""),"","元件")</f>
        <v/>
      </c>
      <c r="R252" s="168" t="inlineStr"/>
      <c r="S252" s="168" t="inlineStr"/>
      <c r="T252" s="168" t="inlineStr"/>
      <c r="U252" s="168" t="inlineStr"/>
      <c r="V252" s="402" t="n"/>
      <c r="W252" s="402" t="n"/>
      <c r="X252" s="170" t="inlineStr"/>
    </row>
    <row r="253" s="308">
      <c r="A253" s="64">
        <f>ROW()-ROW(A$237)</f>
        <v/>
      </c>
      <c r="B253" s="171" t="inlineStr">
        <is>
          <t>小计</t>
        </is>
      </c>
      <c r="C253" s="172" t="n"/>
      <c r="D253" s="204" t="n"/>
      <c r="E253" s="114" t="n"/>
      <c r="F253" s="114" t="n"/>
      <c r="G253" s="396" t="n"/>
      <c r="H253" s="396">
        <f>ROUND(SUM(H237:INDEX(H:H,ROW()-1)),2)</f>
        <v/>
      </c>
      <c r="I253" s="45" t="inlineStr"/>
      <c r="J253" s="397" t="n"/>
      <c r="K253" s="398">
        <f>ROUND(SUM(K237:INDEX(K:K,ROW()-1)),2)</f>
        <v/>
      </c>
      <c r="L253" s="200" t="n"/>
      <c r="M253" s="399" t="n"/>
      <c r="N253" s="154" t="n"/>
      <c r="O253" s="155" t="n"/>
      <c r="P253" s="400" t="n"/>
      <c r="Q253" s="401" t="n"/>
      <c r="R253" s="168" t="inlineStr"/>
      <c r="S253" s="168" t="inlineStr"/>
      <c r="T253" s="168" t="inlineStr"/>
      <c r="U253" s="168" t="inlineStr"/>
      <c r="V253" s="402">
        <f>ROUND(SUMPRODUCT(F237:INDEX(F:F,ROW()-1),V237:INDEX(V:V,ROW()-1)),2)</f>
        <v/>
      </c>
      <c r="W253" s="402">
        <f>ROUND(SUMPRODUCT(F237:INDEX(F:F,ROW()-1),W237:INDEX(W:W,ROW()-1)),2)</f>
        <v/>
      </c>
      <c r="X253" s="170" t="inlineStr"/>
    </row>
    <row r="254" s="308">
      <c r="A254" s="64">
        <f>ROW()-ROW(A$237)</f>
        <v/>
      </c>
      <c r="B254" s="171" t="inlineStr">
        <is>
          <t>综合费(人工、管理、税金、利润等)</t>
        </is>
      </c>
      <c r="C254" s="172" t="n"/>
      <c r="D254" s="204" t="n"/>
      <c r="E254" s="114" t="n"/>
      <c r="F254" s="114" t="n"/>
      <c r="G254" s="396" t="n"/>
      <c r="H254" s="396">
        <f>2500</f>
        <v/>
      </c>
      <c r="I254" s="45" t="inlineStr"/>
      <c r="J254" s="397" t="n"/>
      <c r="K254" s="398" t="n"/>
      <c r="L254" s="200" t="n"/>
      <c r="M254" s="399" t="n"/>
      <c r="N254" s="154" t="n"/>
      <c r="O254" s="155" t="n"/>
      <c r="P254" s="400" t="n"/>
      <c r="Q254" s="401" t="inlineStr">
        <is>
          <t>费用</t>
        </is>
      </c>
      <c r="R254" s="168" t="inlineStr"/>
      <c r="S254" s="168" t="inlineStr"/>
      <c r="T254" s="168" t="inlineStr"/>
      <c r="U254" s="168" t="inlineStr"/>
      <c r="V254" s="402" t="n"/>
      <c r="W254" s="402" t="n"/>
      <c r="X254" s="170" t="inlineStr"/>
    </row>
    <row r="255" s="308">
      <c r="A255" s="64">
        <f>ROW()-ROW(A$237)</f>
        <v/>
      </c>
      <c r="B255" s="204" t="inlineStr">
        <is>
          <t>单台合计</t>
        </is>
      </c>
      <c r="C255" s="172" t="n"/>
      <c r="D255" s="204" t="n"/>
      <c r="E255" s="114" t="n"/>
      <c r="F255" s="114" t="n"/>
      <c r="G255" s="396" t="n"/>
      <c r="H255" s="396">
        <f>ROUND(SUM(H253:H254),2)</f>
        <v/>
      </c>
      <c r="I255" s="181" t="n"/>
      <c r="J255" s="397" t="n"/>
      <c r="K255" s="398">
        <f>ROUND(SUM(K253:K254),2)</f>
        <v/>
      </c>
      <c r="L255" s="209" t="n"/>
      <c r="M255" s="399" t="n"/>
      <c r="N255" s="210" t="n"/>
      <c r="O255" s="211" t="n"/>
      <c r="P255" s="400" t="n"/>
      <c r="Q255" s="401" t="n"/>
      <c r="R255" s="168" t="inlineStr"/>
      <c r="S255" s="168" t="inlineStr"/>
      <c r="T255" s="168" t="inlineStr"/>
      <c r="U255" s="168" t="inlineStr"/>
      <c r="V255" s="402" t="n"/>
      <c r="W255" s="402" t="n"/>
      <c r="X255" s="170" t="inlineStr"/>
    </row>
    <row r="256" s="308">
      <c r="A256" s="173" t="inlineStr">
        <is>
          <t>总计</t>
        </is>
      </c>
      <c r="B256" s="205" t="n"/>
      <c r="C256" s="175" t="n"/>
      <c r="D256" s="206" t="n"/>
      <c r="E256" s="206" t="inlineStr">
        <is>
          <t>台</t>
        </is>
      </c>
      <c r="F256" s="206" t="n">
        <v>2</v>
      </c>
      <c r="G256" s="414">
        <f>ROUND(H255,2)</f>
        <v/>
      </c>
      <c r="H256" s="414">
        <f>ROUND(F256*G256,2)</f>
        <v/>
      </c>
      <c r="I256" s="185" t="n"/>
      <c r="J256" s="415" t="n"/>
      <c r="K256" s="416">
        <f>ROUND(K255*F256,2)</f>
        <v/>
      </c>
      <c r="L256" s="214" t="n"/>
      <c r="M256" s="417" t="n"/>
      <c r="N256" s="216" t="n"/>
      <c r="O256" s="217" t="n"/>
      <c r="P256" s="418" t="n"/>
      <c r="Q256" s="401" t="n"/>
      <c r="R256" s="168" t="inlineStr"/>
      <c r="S256" s="168" t="inlineStr"/>
      <c r="T256" s="168" t="inlineStr"/>
      <c r="U256" s="168" t="inlineStr"/>
      <c r="V256" s="402" t="n"/>
      <c r="W256" s="402" t="n"/>
      <c r="X256" s="170" t="inlineStr"/>
    </row>
    <row r="257" customFormat="1" s="4">
      <c r="A257" s="6" t="n"/>
      <c r="B257" s="195" t="inlineStr"/>
      <c r="C257" s="195" t="inlineStr"/>
      <c r="D257" s="195" t="inlineStr"/>
      <c r="Q257" s="159" t="n"/>
      <c r="R257" s="159" t="n"/>
      <c r="S257" s="159" t="n"/>
      <c r="T257" s="159" t="n"/>
      <c r="U257" s="159" t="n"/>
      <c r="X257" s="195" t="inlineStr"/>
    </row>
    <row r="258" customFormat="1" s="4">
      <c r="A258" s="6" t="n"/>
      <c r="B258" s="195" t="inlineStr"/>
      <c r="C258" s="195" t="inlineStr"/>
      <c r="D258" s="195" t="inlineStr"/>
      <c r="Q258" s="159" t="n"/>
      <c r="R258" s="159" t="n"/>
      <c r="S258" s="159" t="n"/>
      <c r="T258" s="159" t="n"/>
      <c r="U258" s="159" t="n"/>
      <c r="X258" s="195" t="inlineStr"/>
    </row>
    <row r="259" s="308">
      <c r="A259" s="208">
        <f>CONCATENATE("报价人：",项目信息!$B$8)</f>
        <v/>
      </c>
      <c r="B259" s="208" t="n"/>
      <c r="C259" s="4" t="n"/>
      <c r="D259" s="4" t="n"/>
      <c r="E259" s="4" t="n"/>
      <c r="F259" s="4" t="n"/>
      <c r="G259" s="4" t="n"/>
      <c r="H259" s="178">
        <f>项目信息!$B$9</f>
        <v/>
      </c>
      <c r="Q259" s="159" t="n"/>
      <c r="R259" s="159" t="n"/>
      <c r="S259" s="159" t="n"/>
      <c r="T259" s="159" t="n"/>
      <c r="U259" s="159" t="n"/>
      <c r="X259" s="203" t="inlineStr"/>
    </row>
    <row r="260" s="308">
      <c r="A260" s="8">
        <f>T(项目信息!$B$22)</f>
        <v/>
      </c>
      <c r="Q260" s="159" t="n"/>
      <c r="R260" s="159" t="n"/>
      <c r="S260" s="159" t="n"/>
      <c r="T260" s="159" t="n"/>
      <c r="U260" s="159" t="n"/>
    </row>
    <row r="261" s="308">
      <c r="A261" s="9">
        <f>T(项目信息!$B$23)</f>
        <v/>
      </c>
      <c r="Q261" s="159" t="n"/>
      <c r="R261" s="159" t="n"/>
      <c r="S261" s="159" t="n"/>
      <c r="T261" s="159" t="n"/>
      <c r="U261" s="159" t="n"/>
    </row>
    <row r="262" s="308">
      <c r="A262" s="97" t="inlineStr">
        <is>
          <t>成套产品报价明细表</t>
        </is>
      </c>
      <c r="B262" s="378" t="n"/>
      <c r="C262" s="378" t="n"/>
      <c r="D262" s="378" t="n"/>
      <c r="E262" s="378" t="n"/>
      <c r="F262" s="378" t="n"/>
      <c r="G262" s="378" t="n"/>
      <c r="H262" s="378" t="n"/>
      <c r="I262" s="378" t="n"/>
      <c r="Q262" s="159" t="n"/>
      <c r="R262" s="159" t="n"/>
      <c r="S262" s="159" t="n"/>
      <c r="T262" s="159" t="n"/>
      <c r="U262" s="159" t="n"/>
    </row>
    <row r="263" customFormat="1" s="4">
      <c r="A263" s="98" t="inlineStr">
        <is>
          <t>柜号:</t>
        </is>
      </c>
      <c r="B263" s="99" t="inlineStr">
        <is>
          <t>AAN1-05、BAN2-05</t>
        </is>
      </c>
      <c r="C263" s="100" t="inlineStr">
        <is>
          <t>型号:</t>
        </is>
      </c>
      <c r="D263" s="99" t="inlineStr">
        <is>
          <t>BlokSeT</t>
        </is>
      </c>
      <c r="E263" s="379" t="n"/>
      <c r="F263" s="101" t="inlineStr">
        <is>
          <t>名称:</t>
        </is>
      </c>
      <c r="G263" s="99" t="inlineStr">
        <is>
          <t>馈线柜</t>
        </is>
      </c>
      <c r="H263" s="379" t="n"/>
      <c r="I263" s="408" t="inlineStr"/>
      <c r="J263" s="194" t="inlineStr">
        <is>
          <t>箱柜尺寸:</t>
        </is>
      </c>
      <c r="K263" s="195" t="inlineStr">
        <is>
          <t>800W*1200D*2200H</t>
        </is>
      </c>
      <c r="L263" s="194" t="inlineStr">
        <is>
          <t>类别:</t>
        </is>
      </c>
      <c r="M263" s="195" t="inlineStr">
        <is>
          <t>低压固定柜</t>
        </is>
      </c>
      <c r="N263" s="409" t="inlineStr"/>
      <c r="Q263" s="159" t="n"/>
      <c r="R263" s="159" t="n"/>
      <c r="S263" s="159" t="n"/>
      <c r="T263" s="159" t="n"/>
      <c r="U263" s="159" t="n"/>
    </row>
    <row r="264" ht="20.1" customHeight="1" s="308">
      <c r="A264" s="102" t="inlineStr">
        <is>
          <t>序号</t>
        </is>
      </c>
      <c r="B264" s="103" t="inlineStr">
        <is>
          <t>元件名称</t>
        </is>
      </c>
      <c r="C264" s="103" t="inlineStr">
        <is>
          <t>型号规格</t>
        </is>
      </c>
      <c r="D264" s="104" t="inlineStr">
        <is>
          <t>生产厂家</t>
        </is>
      </c>
      <c r="E264" s="105" t="inlineStr">
        <is>
          <t>单位</t>
        </is>
      </c>
      <c r="F264" s="105" t="inlineStr">
        <is>
          <t>数量</t>
        </is>
      </c>
      <c r="G264" s="382" t="inlineStr">
        <is>
          <t>单   价</t>
        </is>
      </c>
      <c r="H264" s="383" t="inlineStr">
        <is>
          <t>总   价</t>
        </is>
      </c>
      <c r="I264" s="134" t="inlineStr">
        <is>
          <t>备注</t>
        </is>
      </c>
      <c r="J264" s="384" t="inlineStr">
        <is>
          <t>成本单价</t>
        </is>
      </c>
      <c r="K264" s="384" t="inlineStr">
        <is>
          <t>成本总价</t>
        </is>
      </c>
      <c r="L264" s="136" t="inlineStr">
        <is>
          <t>报出
系数</t>
        </is>
      </c>
      <c r="M264" s="384" t="inlineStr">
        <is>
          <t>表价</t>
        </is>
      </c>
      <c r="N264" s="136" t="inlineStr">
        <is>
          <t>折扣
系数</t>
        </is>
      </c>
      <c r="O264" s="137" t="inlineStr">
        <is>
          <t>取费
系数</t>
        </is>
      </c>
      <c r="P264" s="384" t="inlineStr">
        <is>
          <t>成套费</t>
        </is>
      </c>
      <c r="Q264" s="161" t="inlineStr">
        <is>
          <t>类别</t>
        </is>
      </c>
      <c r="R264" s="161" t="inlineStr">
        <is>
          <t>物料编码</t>
        </is>
      </c>
      <c r="S264" s="161" t="inlineStr">
        <is>
          <t>产地</t>
        </is>
      </c>
      <c r="T264" s="161" t="inlineStr">
        <is>
          <t>加工费</t>
        </is>
      </c>
      <c r="U264" s="161" t="inlineStr">
        <is>
          <t>订货号</t>
        </is>
      </c>
      <c r="V264" s="161" t="inlineStr">
        <is>
          <t>人工</t>
        </is>
      </c>
      <c r="W264" s="161" t="inlineStr">
        <is>
          <t>辅料</t>
        </is>
      </c>
      <c r="X264" s="203" t="inlineStr"/>
    </row>
    <row r="265" s="308">
      <c r="A265" s="64">
        <f>ROW()-ROW(A$264)</f>
        <v/>
      </c>
      <c r="B265" s="22" t="inlineStr">
        <is>
          <t>框架断路器</t>
        </is>
      </c>
      <c r="C265" s="22" t="inlineStr">
        <is>
          <t>MT16 H1 3P MIC5.0 E</t>
        </is>
      </c>
      <c r="D265" s="22" t="inlineStr">
        <is>
          <t>甲供/施耐德电气</t>
        </is>
      </c>
      <c r="E265" s="23" t="inlineStr">
        <is>
          <t>只</t>
        </is>
      </c>
      <c r="F265" s="23" t="n">
        <v>2</v>
      </c>
      <c r="G265" s="349">
        <f>IF(AND(B265="",C265=""),"",ROUND(M265*L265*N265,2))</f>
        <v/>
      </c>
      <c r="H265" s="349">
        <f>IF(AND(B265="",C265=""),"",ROUND(F265*G265,2))</f>
        <v/>
      </c>
      <c r="I265" s="45" t="inlineStr"/>
      <c r="J265" s="397">
        <f>IF(AND(B265="",C265=""),"",ROUND(M265*N265,2))</f>
        <v/>
      </c>
      <c r="K265" s="398">
        <f>IF(AND(B265="",C265=""),"",ROUND(J265*F265,2))</f>
        <v/>
      </c>
      <c r="L265" s="200" t="n">
        <v>1</v>
      </c>
      <c r="M265" s="399" t="n">
        <v>1e-07</v>
      </c>
      <c r="N265" s="154" t="n">
        <v>1</v>
      </c>
      <c r="O265" s="155">
        <f>IF(AND(B265="",C265=""),"",IF(G265&gt;=20000,0.05,IF(G265&gt;=10000,0.1,IF(G265&gt;=5000,0.2,IF(G265&gt;=1000,0.3,IF(G265&gt;=0,0.4,{0}))))))</f>
        <v/>
      </c>
      <c r="P265" s="400">
        <f>IF(AND(B265="",C265=""),"",ROUND(H265*O265,2))</f>
        <v/>
      </c>
      <c r="Q265" s="401" t="inlineStr">
        <is>
          <t>元件</t>
        </is>
      </c>
      <c r="R265" s="168" t="inlineStr"/>
      <c r="S265" s="168" t="inlineStr"/>
      <c r="T265" s="168" t="inlineStr">
        <is>
          <t>0</t>
        </is>
      </c>
      <c r="U265" s="168" t="inlineStr">
        <is>
          <t>C16F32D160</t>
        </is>
      </c>
      <c r="V265" s="402" t="n"/>
      <c r="W265" s="402" t="n"/>
      <c r="X265" s="170" t="inlineStr">
        <is>
          <t>NSX630N Mic2.3 630A 3P3D F→NSX630F MIC2.3 630 3P F→NSX630F MIC 2.3 630 3P F</t>
        </is>
      </c>
    </row>
    <row r="266" s="308">
      <c r="A266" s="64">
        <f>ROW()-ROW(A$264)</f>
        <v/>
      </c>
      <c r="B266" s="22" t="inlineStr">
        <is>
          <t>电流互感器</t>
        </is>
      </c>
      <c r="C266" s="22" t="inlineStr">
        <is>
          <t>SD-0.66-100II-C 1600/5A</t>
        </is>
      </c>
      <c r="D266" s="22" t="inlineStr">
        <is>
          <t>桑迪</t>
        </is>
      </c>
      <c r="E266" s="23" t="inlineStr">
        <is>
          <t>只</t>
        </is>
      </c>
      <c r="F266" s="23" t="n">
        <v>6</v>
      </c>
      <c r="G266" s="349">
        <f>IF(AND(B266="",C266=""),"",ROUND(M266*L266*N266,2))</f>
        <v/>
      </c>
      <c r="H266" s="396">
        <f>IF(AND(B266="",C266=""),"",ROUND(F266*G266,2))</f>
        <v/>
      </c>
      <c r="I266" s="219" t="inlineStr"/>
      <c r="J266" s="397">
        <f>IF(AND(B266="",C266=""),"",ROUND(M266*N266,2))</f>
        <v/>
      </c>
      <c r="K266" s="398">
        <f>IF(AND(B266="",C266=""),"",ROUND(J266*F266,2))</f>
        <v/>
      </c>
      <c r="L266" s="200" t="n">
        <v>1</v>
      </c>
      <c r="M266" s="399" t="n">
        <v>146.25</v>
      </c>
      <c r="N266" s="154" t="n">
        <v>1</v>
      </c>
      <c r="O266" s="155">
        <f>IF(AND(B266="",C266=""),"",IF(G266&gt;=20000,0.05,IF(G266&gt;=10000,0.1,IF(G266&gt;=5000,0.2,IF(G266&gt;=1000,0.3,IF(G266&gt;=0,0.4,{0}))))))</f>
        <v/>
      </c>
      <c r="P266" s="400">
        <f>IF(AND(B266="",C266=""),"",ROUND(H266*O266,2))</f>
        <v/>
      </c>
      <c r="Q266" s="401" t="inlineStr">
        <is>
          <t>元件</t>
        </is>
      </c>
      <c r="R266" s="168" t="inlineStr"/>
      <c r="S266" s="168" t="inlineStr"/>
      <c r="T266" s="168" t="inlineStr">
        <is>
          <t>0</t>
        </is>
      </c>
      <c r="U266" s="168" t="inlineStr">
        <is>
          <t>710141426552500</t>
        </is>
      </c>
      <c r="V266" s="402" t="n"/>
      <c r="W266" s="402" t="n"/>
      <c r="X266" s="170" t="inlineStr">
        <is>
          <t>SD→SD-0.66-40II-C 400/5A→SD-0.66-30I 250/5A→SD-0.66-30I 150/5A→SD-0.66-60II-C 750/5A→SD-0.66-60II-C 600/5A→SD-0.66-30I 150/5A→SD-0.66-40II-C 400/5A</t>
        </is>
      </c>
    </row>
    <row r="267" s="308">
      <c r="A267" s="64">
        <f>ROW()-ROW(A$264)</f>
        <v/>
      </c>
      <c r="B267" s="112" t="inlineStr">
        <is>
          <t>多功能表</t>
        </is>
      </c>
      <c r="C267" s="112" t="inlineStr">
        <is>
          <t>PM4101</t>
        </is>
      </c>
      <c r="D267" s="112" t="inlineStr">
        <is>
          <t>甲供/施耐德电气</t>
        </is>
      </c>
      <c r="E267" s="114" t="inlineStr">
        <is>
          <t>只</t>
        </is>
      </c>
      <c r="F267" s="114" t="n">
        <v>2</v>
      </c>
      <c r="G267" s="396">
        <f>IF(AND(B267="",C267=""),"",ROUND(M267*L267*N267,2))</f>
        <v/>
      </c>
      <c r="H267" s="349">
        <f>IF(AND(B267="",C267=""),"",ROUND(F267*G267,2))</f>
        <v/>
      </c>
      <c r="I267" s="45" t="inlineStr"/>
      <c r="J267" s="397">
        <f>IF(AND(B267="",C267=""),"",ROUND(M267*N267,2))</f>
        <v/>
      </c>
      <c r="K267" s="398">
        <f>IF(AND(B267="",C267=""),"",ROUND(J267*F267,2))</f>
        <v/>
      </c>
      <c r="L267" s="200" t="n">
        <v>1</v>
      </c>
      <c r="M267" s="399" t="n">
        <v>1e-07</v>
      </c>
      <c r="N267" s="154" t="n">
        <v>1</v>
      </c>
      <c r="O267" s="155">
        <f>IF(AND(B267="",C267=""),"",IF(J267&gt;=20000,0.05,IF(J267&gt;=10000,0.1,IF(J267&gt;=5000,0.2,IF(J267&gt;=1000,0.3,IF(J267&gt;=0,0.4,{0}))))))</f>
        <v/>
      </c>
      <c r="P267" s="400">
        <f>IF(AND(B267="",C267=""),"",ROUND(H267*O267,2))</f>
        <v/>
      </c>
      <c r="Q267" s="401" t="inlineStr">
        <is>
          <t>元件</t>
        </is>
      </c>
      <c r="R267" s="168" t="inlineStr"/>
      <c r="S267" s="168" t="inlineStr"/>
      <c r="T267" s="168" t="inlineStr">
        <is>
          <t>0</t>
        </is>
      </c>
      <c r="U267" s="168" t="inlineStr"/>
      <c r="V267" s="402" t="n"/>
      <c r="W267" s="402" t="n"/>
      <c r="X267" s="170" t="inlineStr"/>
    </row>
    <row r="268" customFormat="1" s="3">
      <c r="A268" s="64">
        <f>ROW()-ROW(A$264)</f>
        <v/>
      </c>
      <c r="B268" s="22" t="inlineStr">
        <is>
          <t>指示灯</t>
        </is>
      </c>
      <c r="C268" s="22" t="inlineStr">
        <is>
          <t>XB2BVM3LC</t>
        </is>
      </c>
      <c r="D268" s="22" t="inlineStr">
        <is>
          <t>甲供/施耐德电气</t>
        </is>
      </c>
      <c r="E268" s="23" t="inlineStr">
        <is>
          <t>只</t>
        </is>
      </c>
      <c r="F268" s="23" t="n">
        <v>2</v>
      </c>
      <c r="G268" s="349">
        <f>IF(AND(B268="",C268=""),"",ROUND(M268*L268*N268,2))</f>
        <v/>
      </c>
      <c r="H268" s="353">
        <f>IF(AND(B268="",C268=""),"",ROUND(F268*G268,2))</f>
        <v/>
      </c>
      <c r="I268" s="180" t="inlineStr"/>
      <c r="J268" s="392">
        <f>IF(AND(B268="",C268=""),"",ROUND(M268*N268,2))</f>
        <v/>
      </c>
      <c r="K268" s="393">
        <f>IF(AND(B268="",C268=""),"",ROUND(J268*F268,2))</f>
        <v/>
      </c>
      <c r="L268" s="141" t="n">
        <v>1</v>
      </c>
      <c r="M268" s="394" t="n">
        <v>1e-07</v>
      </c>
      <c r="N268" s="220" t="n">
        <v>1</v>
      </c>
      <c r="O268" s="221">
        <f>IF(AND(B268="",C268=""),"",IF(G268&gt;=20000,0.05,IF(G268&gt;=10000,0.1,IF(G268&gt;=5000,0.2,IF(G268&gt;=1000,0.3,IF(G268&gt;=0,0.4,{0}))))))</f>
        <v/>
      </c>
      <c r="P268" s="419">
        <f>IF(AND(B268="",C268=""),"",ROUND(H268*O268,2))</f>
        <v/>
      </c>
      <c r="Q268" s="420" t="inlineStr">
        <is>
          <t>元件</t>
        </is>
      </c>
      <c r="R268" s="231" t="inlineStr"/>
      <c r="S268" s="231" t="inlineStr"/>
      <c r="T268" s="231" t="inlineStr">
        <is>
          <t>0</t>
        </is>
      </c>
      <c r="U268" s="231" t="inlineStr">
        <is>
          <t>XB2BVM3LC</t>
        </is>
      </c>
      <c r="V268" s="421" t="n"/>
      <c r="W268" s="421" t="n"/>
      <c r="X268" s="166" t="inlineStr">
        <is>
          <t>XA2EVM3LC</t>
        </is>
      </c>
    </row>
    <row r="269" customFormat="1" s="3">
      <c r="A269" s="64">
        <f>ROW()-ROW(A$264)</f>
        <v/>
      </c>
      <c r="B269" s="22" t="inlineStr">
        <is>
          <t>指示灯</t>
        </is>
      </c>
      <c r="C269" s="22" t="inlineStr">
        <is>
          <t>XB2BVM4LC</t>
        </is>
      </c>
      <c r="D269" s="22" t="inlineStr">
        <is>
          <t>甲供/施耐德电气</t>
        </is>
      </c>
      <c r="E269" s="23" t="inlineStr">
        <is>
          <t>只</t>
        </is>
      </c>
      <c r="F269" s="23" t="n">
        <v>2</v>
      </c>
      <c r="G269" s="349">
        <f>IF(AND(B269="",C269=""),"",ROUND(M269*L269*N269,2))</f>
        <v/>
      </c>
      <c r="H269" s="353">
        <f>IF(AND(B269="",C269=""),"",ROUND(F269*G269,2))</f>
        <v/>
      </c>
      <c r="I269" s="180" t="inlineStr"/>
      <c r="J269" s="392">
        <f>IF(AND(B269="",C269=""),"",ROUND(M269*N269,2))</f>
        <v/>
      </c>
      <c r="K269" s="393">
        <f>IF(AND(B269="",C269=""),"",ROUND(J269*F269,2))</f>
        <v/>
      </c>
      <c r="L269" s="141" t="n">
        <v>1</v>
      </c>
      <c r="M269" s="394" t="n">
        <v>1e-07</v>
      </c>
      <c r="N269" s="220" t="n">
        <v>1</v>
      </c>
      <c r="O269" s="221">
        <f>IF(AND(B269="",C269=""),"",IF(G269&gt;=20000,0.05,IF(G269&gt;=10000,0.1,IF(G269&gt;=5000,0.2,IF(G269&gt;=1000,0.3,IF(G269&gt;=0,0.4,{0}))))))</f>
        <v/>
      </c>
      <c r="P269" s="419">
        <f>IF(AND(B269="",C269=""),"",ROUND(H269*O269,2))</f>
        <v/>
      </c>
      <c r="Q269" s="420" t="inlineStr">
        <is>
          <t>元件</t>
        </is>
      </c>
      <c r="R269" s="231" t="inlineStr"/>
      <c r="S269" s="231" t="inlineStr"/>
      <c r="T269" s="231" t="inlineStr">
        <is>
          <t>0</t>
        </is>
      </c>
      <c r="U269" s="231" t="inlineStr">
        <is>
          <t>XB2BVM4LC</t>
        </is>
      </c>
      <c r="V269" s="421" t="n"/>
      <c r="W269" s="421" t="n"/>
      <c r="X269" s="166" t="inlineStr">
        <is>
          <t>XA2EVM4LC</t>
        </is>
      </c>
    </row>
    <row r="270" s="308">
      <c r="A270" s="64">
        <f>ROW()-ROW(A$264)</f>
        <v/>
      </c>
      <c r="B270" s="112" t="inlineStr">
        <is>
          <t>指示灯</t>
        </is>
      </c>
      <c r="C270" s="112" t="inlineStr">
        <is>
          <t>XB2BVM5LC</t>
        </is>
      </c>
      <c r="D270" s="112" t="inlineStr">
        <is>
          <t>甲供/施耐德电气</t>
        </is>
      </c>
      <c r="E270" s="114" t="inlineStr">
        <is>
          <t>只</t>
        </is>
      </c>
      <c r="F270" s="114" t="n">
        <v>2</v>
      </c>
      <c r="G270" s="396">
        <f>IF(AND(B270="",C270=""),"",ROUND(M270*L270*N270,2))</f>
        <v/>
      </c>
      <c r="H270" s="396">
        <f>IF(AND(B270="",C270=""),"",ROUND(F270*G270,2))</f>
        <v/>
      </c>
      <c r="I270" s="150" t="inlineStr"/>
      <c r="J270" s="397">
        <f>IF(AND(B270="",C270=""),"",ROUND(M270*N270,2))</f>
        <v/>
      </c>
      <c r="K270" s="398">
        <f>IF(AND(B270="",C270=""),"",ROUND(J270*F270,2))</f>
        <v/>
      </c>
      <c r="L270" s="141" t="n">
        <v>1</v>
      </c>
      <c r="M270" s="399" t="n">
        <v>1e-07</v>
      </c>
      <c r="N270" s="154" t="n">
        <v>1</v>
      </c>
      <c r="O270" s="155">
        <f>IF(AND(B270="",C270=""),"",IF(G270&gt;=20000,0.05,IF(G270&gt;=10000,0.1,IF(G270&gt;=5000,0.2,IF(G270&gt;=1000,0.3,IF(G270&gt;=0,0.4,{0}))))))</f>
        <v/>
      </c>
      <c r="P270" s="400">
        <f>IF(AND(B270="",C270=""),"",ROUND(H270*O270,2))</f>
        <v/>
      </c>
      <c r="Q270" s="401" t="inlineStr">
        <is>
          <t>元件</t>
        </is>
      </c>
      <c r="R270" s="168" t="inlineStr"/>
      <c r="S270" s="168" t="inlineStr"/>
      <c r="T270" s="168" t="inlineStr">
        <is>
          <t>0</t>
        </is>
      </c>
      <c r="U270" s="168" t="inlineStr">
        <is>
          <t>XA2EVM5LC</t>
        </is>
      </c>
      <c r="V270" s="402" t="n"/>
      <c r="W270" s="402" t="n"/>
      <c r="X270" s="170" t="inlineStr"/>
    </row>
    <row r="271" s="308">
      <c r="A271" s="64">
        <f>ROW()-ROW(A$264)</f>
        <v/>
      </c>
      <c r="B271" s="112" t="inlineStr">
        <is>
          <t>按钮</t>
        </is>
      </c>
      <c r="C271" s="112" t="inlineStr">
        <is>
          <t>XB2BA31C</t>
        </is>
      </c>
      <c r="D271" s="112" t="inlineStr">
        <is>
          <t>甲供/施耐德电气</t>
        </is>
      </c>
      <c r="E271" s="114" t="inlineStr">
        <is>
          <t>只</t>
        </is>
      </c>
      <c r="F271" s="114" t="n">
        <v>2</v>
      </c>
      <c r="G271" s="396">
        <f>IF(AND(B271="",C271=""),"",ROUND(M271*L271*N271,2))</f>
        <v/>
      </c>
      <c r="H271" s="396">
        <f>IF(AND(B271="",C271=""),"",ROUND(F271*G271,2))</f>
        <v/>
      </c>
      <c r="I271" s="150" t="inlineStr"/>
      <c r="J271" s="397">
        <f>IF(AND(B271="",C271=""),"",ROUND(M271*N271,2))</f>
        <v/>
      </c>
      <c r="K271" s="398">
        <f>IF(AND(B271="",C271=""),"",ROUND(J271*F271,2))</f>
        <v/>
      </c>
      <c r="L271" s="141" t="n">
        <v>1</v>
      </c>
      <c r="M271" s="399" t="n">
        <v>1e-07</v>
      </c>
      <c r="N271" s="154" t="n">
        <v>1</v>
      </c>
      <c r="O271" s="155">
        <f>IF(AND(B271="",C271=""),"",IF(G271&gt;=20000,0.05,IF(G271&gt;=10000,0.1,IF(G271&gt;=5000,0.2,IF(G271&gt;=1000,0.3,IF(G271&gt;=0,0.4,{0}))))))</f>
        <v/>
      </c>
      <c r="P271" s="400">
        <f>IF(AND(B271="",C271=""),"",ROUND(H271*O271,2))</f>
        <v/>
      </c>
      <c r="Q271" s="401" t="inlineStr">
        <is>
          <t>元件</t>
        </is>
      </c>
      <c r="R271" s="168" t="inlineStr"/>
      <c r="S271" s="168" t="inlineStr"/>
      <c r="T271" s="168" t="inlineStr">
        <is>
          <t>0</t>
        </is>
      </c>
      <c r="U271" s="168" t="inlineStr">
        <is>
          <t>XB2BA31C</t>
        </is>
      </c>
      <c r="V271" s="402" t="n"/>
      <c r="W271" s="402" t="n"/>
      <c r="X271" s="170" t="inlineStr">
        <is>
          <t>XA2EA31</t>
        </is>
      </c>
    </row>
    <row r="272" s="308">
      <c r="A272" s="64">
        <f>ROW()-ROW(A$264)</f>
        <v/>
      </c>
      <c r="B272" s="22" t="inlineStr">
        <is>
          <t>按钮</t>
        </is>
      </c>
      <c r="C272" s="22" t="inlineStr">
        <is>
          <t>XB2BA42C</t>
        </is>
      </c>
      <c r="D272" s="22" t="inlineStr">
        <is>
          <t>甲供/施耐德电气</t>
        </is>
      </c>
      <c r="E272" s="23" t="inlineStr">
        <is>
          <t>只</t>
        </is>
      </c>
      <c r="F272" s="23" t="n">
        <v>2</v>
      </c>
      <c r="G272" s="349">
        <f>IF(AND(B272="",C272=""),"",ROUND(M272*L272*N272,2))</f>
        <v/>
      </c>
      <c r="H272" s="396">
        <f>IF(AND(B272="",C272=""),"",ROUND(F272*G272,2))</f>
        <v/>
      </c>
      <c r="I272" s="150" t="inlineStr"/>
      <c r="J272" s="397">
        <f>IF(AND(B272="",C272=""),"",ROUND(M272*N272,2))</f>
        <v/>
      </c>
      <c r="K272" s="398">
        <f>IF(AND(B272="",C272=""),"",ROUND(J272*F272,2))</f>
        <v/>
      </c>
      <c r="L272" s="141" t="n">
        <v>1</v>
      </c>
      <c r="M272" s="399" t="n">
        <v>1e-07</v>
      </c>
      <c r="N272" s="154" t="n">
        <v>1</v>
      </c>
      <c r="O272" s="155">
        <f>IF(AND(B272="",C272=""),"",IF(G272&gt;=20000,0.05,IF(G272&gt;=10000,0.1,IF(G272&gt;=5000,0.2,IF(G272&gt;=1000,0.3,IF(G272&gt;=0,0.4,{0}))))))</f>
        <v/>
      </c>
      <c r="P272" s="400">
        <f>IF(AND(B272="",C272=""),"",ROUND(H272*O272,2))</f>
        <v/>
      </c>
      <c r="Q272" s="401" t="inlineStr">
        <is>
          <t>元件</t>
        </is>
      </c>
      <c r="R272" s="168" t="inlineStr"/>
      <c r="S272" s="168" t="inlineStr"/>
      <c r="T272" s="168" t="inlineStr">
        <is>
          <t>0</t>
        </is>
      </c>
      <c r="U272" s="168" t="inlineStr">
        <is>
          <t>XB2BA42C</t>
        </is>
      </c>
      <c r="V272" s="402" t="n"/>
      <c r="W272" s="402" t="n"/>
      <c r="X272" s="170" t="inlineStr">
        <is>
          <t>XA2EA41</t>
        </is>
      </c>
    </row>
    <row r="273" s="308">
      <c r="A273" s="64">
        <f>ROW()-ROW(A$264)</f>
        <v/>
      </c>
      <c r="B273" s="112" t="inlineStr">
        <is>
          <t>温湿度控制器</t>
        </is>
      </c>
      <c r="C273" s="112" t="inlineStr">
        <is>
          <t>ATH48G-11</t>
        </is>
      </c>
      <c r="D273" s="22" t="inlineStr">
        <is>
          <t>杭州安廷</t>
        </is>
      </c>
      <c r="E273" s="23" t="inlineStr">
        <is>
          <t>套</t>
        </is>
      </c>
      <c r="F273" s="23" t="n">
        <v>1</v>
      </c>
      <c r="G273" s="349">
        <f>IF(AND(B273="",C273=""),"",ROUND(M273*L273*N273,2))</f>
        <v/>
      </c>
      <c r="H273" s="396">
        <f>IF(AND(B273="",C273=""),"",ROUND(F273*G273,2))</f>
        <v/>
      </c>
      <c r="I273" s="150" t="inlineStr"/>
      <c r="J273" s="397">
        <f>IF(AND(B273="",C273=""),"",ROUND(M273*N273,2))</f>
        <v/>
      </c>
      <c r="K273" s="398">
        <f>IF(AND(B273="",C273=""),"",ROUND(J273*F273,2))</f>
        <v/>
      </c>
      <c r="L273" s="141" t="n">
        <v>1</v>
      </c>
      <c r="M273" s="399" t="n">
        <v>450</v>
      </c>
      <c r="N273" s="154" t="n">
        <v>1</v>
      </c>
      <c r="O273" s="155">
        <f>IF(AND(B273="",C273=""),"",IF(G273&gt;=20000,0.05,IF(G273&gt;=10000,0.1,IF(G273&gt;=5000,0.2,IF(G273&gt;=1000,0.3,IF(G273&gt;=0,0.4,{0}))))))</f>
        <v/>
      </c>
      <c r="P273" s="400">
        <f>IF(AND(B273="",C273=""),"",ROUND(H273*O273,2))</f>
        <v/>
      </c>
      <c r="Q273" s="401" t="inlineStr">
        <is>
          <t>元件</t>
        </is>
      </c>
      <c r="R273" s="168" t="inlineStr"/>
      <c r="S273" s="168" t="inlineStr"/>
      <c r="T273" s="168" t="inlineStr">
        <is>
          <t>0</t>
        </is>
      </c>
      <c r="U273" s="168" t="inlineStr"/>
      <c r="V273" s="402" t="n"/>
      <c r="W273" s="402" t="n"/>
      <c r="X273" s="170" t="inlineStr"/>
    </row>
    <row r="274" s="308">
      <c r="A274" s="64">
        <f>ROW()-ROW(A$264)</f>
        <v/>
      </c>
      <c r="B274" s="22" t="inlineStr">
        <is>
          <t>中间继电器</t>
        </is>
      </c>
      <c r="C274" s="22" t="inlineStr">
        <is>
          <t>RXM4AB2P7+RXZE2S114M+RXZ400</t>
        </is>
      </c>
      <c r="D274" s="22" t="inlineStr">
        <is>
          <t>甲供/施耐德电气</t>
        </is>
      </c>
      <c r="E274" s="23" t="inlineStr">
        <is>
          <t>只</t>
        </is>
      </c>
      <c r="F274" s="23" t="n">
        <v>4</v>
      </c>
      <c r="G274" s="349">
        <f>IF(AND(B274="",C274=""),"",ROUND(M274*L274*N274,2))</f>
        <v/>
      </c>
      <c r="H274" s="349">
        <f>IF(AND(B274="",C274=""),"",ROUND(F274*G274,2))</f>
        <v/>
      </c>
      <c r="I274" s="45" t="inlineStr"/>
      <c r="J274" s="397">
        <f>IF(AND(B274="",C274=""),"",ROUND(M274*N274,2))</f>
        <v/>
      </c>
      <c r="K274" s="398">
        <f>IF(AND(B274="",C274=""),"",ROUND(J274*F274,2))</f>
        <v/>
      </c>
      <c r="L274" s="141" t="n">
        <v>1</v>
      </c>
      <c r="M274" s="399" t="n">
        <v>1e-07</v>
      </c>
      <c r="N274" s="154" t="n">
        <v>1</v>
      </c>
      <c r="O274" s="155">
        <f>IF(AND(B274="",C274=""),"",IF(G274&gt;=20000,0.05,IF(G274&gt;=10000,0.1,IF(G274&gt;=5000,0.2,IF(G274&gt;=1000,0.3,IF(G274&gt;=0,0.4,{0}))))))</f>
        <v/>
      </c>
      <c r="P274" s="400">
        <f>IF(AND(B274="",C274=""),"",ROUND(H274*O274,2))</f>
        <v/>
      </c>
      <c r="Q274" s="401" t="inlineStr">
        <is>
          <t>元件</t>
        </is>
      </c>
      <c r="R274" s="168" t="inlineStr"/>
      <c r="S274" s="168" t="inlineStr"/>
      <c r="T274" s="168" t="inlineStr">
        <is>
          <t>0</t>
        </is>
      </c>
      <c r="U274" s="168" t="inlineStr">
        <is>
          <t>RXM4AB2P7+RXZE2S114M+RXZ400</t>
        </is>
      </c>
      <c r="V274" s="402" t="n"/>
      <c r="W274" s="402" t="n"/>
      <c r="X274" s="170" t="inlineStr">
        <is>
          <t>REL-IR-BL/L-230AC/4X21，含底座→RXM4AB2P7+RXZE2S114M+RXZ400→REL-IR-BL/L-230AC/4X21，含底座</t>
        </is>
      </c>
    </row>
    <row r="275" customFormat="1" s="3">
      <c r="A275" s="64">
        <f>ROW()-ROW(A$264)</f>
        <v/>
      </c>
      <c r="B275" s="22" t="inlineStr">
        <is>
          <t>带熔丝端子</t>
        </is>
      </c>
      <c r="C275" s="22" t="inlineStr">
        <is>
          <t>UK 5-HESI</t>
        </is>
      </c>
      <c r="D275" s="22" t="inlineStr">
        <is>
          <t>菲尼克斯</t>
        </is>
      </c>
      <c r="E275" s="23" t="inlineStr">
        <is>
          <t>只</t>
        </is>
      </c>
      <c r="F275" s="23" t="n">
        <v>8</v>
      </c>
      <c r="G275" s="349">
        <f>IF(AND(B275="",C275=""),"",ROUND(M275*L275*N275,2))</f>
        <v/>
      </c>
      <c r="H275" s="349">
        <f>IF(AND(B275="",C275=""),"",ROUND(F275*G275,2))</f>
        <v/>
      </c>
      <c r="I275" s="45" t="inlineStr"/>
      <c r="J275" s="392">
        <f>IF(AND(B275="",C275=""),"",ROUND(M275*N275,2))</f>
        <v/>
      </c>
      <c r="K275" s="393">
        <f>IF(AND(B275="",C275=""),"",ROUND(J275*F275,2))</f>
        <v/>
      </c>
      <c r="L275" s="141" t="n">
        <v>1</v>
      </c>
      <c r="M275" s="394" t="n">
        <v>7</v>
      </c>
      <c r="N275" s="220" t="n">
        <v>1</v>
      </c>
      <c r="O275" s="221">
        <f>IF(AND(B275="",C275=""),"",IF(G275&gt;=20000,0.05,IF(G275&gt;=10000,0.1,IF(G275&gt;=5000,0.2,IF(G275&gt;=1000,0.3,IF(G275&gt;=0,0.4,{0}))))))</f>
        <v/>
      </c>
      <c r="P275" s="419">
        <f>IF(AND(B275="",C275=""),"",ROUND(H275*O275,2))</f>
        <v/>
      </c>
      <c r="Q275" s="420" t="inlineStr">
        <is>
          <t>元件</t>
        </is>
      </c>
      <c r="R275" s="231" t="inlineStr"/>
      <c r="S275" s="231" t="inlineStr"/>
      <c r="T275" s="231" t="inlineStr">
        <is>
          <t>0</t>
        </is>
      </c>
      <c r="U275" s="231" t="inlineStr">
        <is>
          <t>True</t>
        </is>
      </c>
      <c r="V275" s="421" t="n"/>
      <c r="W275" s="421" t="n"/>
      <c r="X275" s="166" t="inlineStr"/>
    </row>
    <row r="276" s="308">
      <c r="A276" s="64">
        <f>ROW()-ROW(A$264)</f>
        <v/>
      </c>
      <c r="B276" s="22" t="inlineStr">
        <is>
          <t>水平母排</t>
        </is>
      </c>
      <c r="C276" s="22" t="inlineStr">
        <is>
          <t>TMY 4*(4*150*5)+2*50*5</t>
        </is>
      </c>
      <c r="D276" s="22" t="inlineStr">
        <is>
          <t>国产优质</t>
        </is>
      </c>
      <c r="E276" s="23" t="inlineStr">
        <is>
          <t>米</t>
        </is>
      </c>
      <c r="F276" s="23" t="n">
        <v>0.9</v>
      </c>
      <c r="G276" s="349">
        <f>IF(AND(B276="",C276=""),"",ROUND(M276*L276*N276,2))</f>
        <v/>
      </c>
      <c r="H276" s="349">
        <f>IF(AND(B276="",C276=""),"",ROUND(F276*G276,2))</f>
        <v/>
      </c>
      <c r="I276" s="45" t="inlineStr"/>
      <c r="J276" s="397">
        <f>IF(AND(B276="",C276=""),"",ROUND(M276*N276,2))</f>
        <v/>
      </c>
      <c r="K276" s="398">
        <f>IF(AND(B276="",C276=""),"",ROUND(J276*F276,2))</f>
        <v/>
      </c>
      <c r="L276" s="200" t="n">
        <v>1</v>
      </c>
      <c r="M276" s="399" t="n">
        <v>12026.68125</v>
      </c>
      <c r="N276" s="154">
        <f>(6317.932*1*1+2684.8*1*1)/9002.732</f>
        <v/>
      </c>
      <c r="O276" s="155">
        <f>IF(AND(B276="",C276=""),"",IF(J276&gt;=20000,0.05,IF(J276&gt;=10000,0.1,IF(J276&gt;=5000,0.2,IF(J276&gt;=1000,0.3,IF(J276&gt;=0,0.4,{0}))))))</f>
        <v/>
      </c>
      <c r="P276" s="400">
        <f>IF(AND(B276="",C276=""),"",ROUND(H276*O276,2))</f>
        <v/>
      </c>
      <c r="Q276" s="401" t="inlineStr">
        <is>
          <t>母排</t>
        </is>
      </c>
      <c r="R276" s="168" t="inlineStr"/>
      <c r="S276" s="168" t="inlineStr"/>
      <c r="T276" s="168" t="inlineStr">
        <is>
          <t>0</t>
        </is>
      </c>
      <c r="U276" s="168" t="inlineStr"/>
      <c r="V276" s="402" t="n"/>
      <c r="W276" s="402" t="n"/>
      <c r="X276" s="170" t="inlineStr"/>
    </row>
    <row r="277" customFormat="1" s="5">
      <c r="A277" s="64">
        <f>ROW()-ROW(A$264)</f>
        <v/>
      </c>
      <c r="B277" s="22" t="inlineStr">
        <is>
          <t>桩头排</t>
        </is>
      </c>
      <c r="C277" s="22" t="inlineStr">
        <is>
          <t>TMY 3*2*80*5</t>
        </is>
      </c>
      <c r="D277" s="22" t="inlineStr">
        <is>
          <t>国产优质</t>
        </is>
      </c>
      <c r="E277" s="23" t="inlineStr">
        <is>
          <t>米</t>
        </is>
      </c>
      <c r="F277" s="23" t="n">
        <v>3</v>
      </c>
      <c r="G277" s="349">
        <f>IF(AND(B277="",C277=""),"",ROUND(M277*L277*N277,2))</f>
        <v/>
      </c>
      <c r="H277" s="349">
        <f>IF(AND(B277="",C277=""),"",ROUND(F277*G277,2))</f>
        <v/>
      </c>
      <c r="I277" s="45" t="inlineStr"/>
      <c r="J277" s="422">
        <f>IF(AND(B277="",C277=""),"",ROUND(M277*N277,2))</f>
        <v/>
      </c>
      <c r="K277" s="423">
        <f>IF(AND(B277="",C277=""),"",ROUND(J277*F277,2))</f>
        <v/>
      </c>
      <c r="L277" s="225" t="n">
        <v>1</v>
      </c>
      <c r="M277" s="424" t="n">
        <v>2309.1228</v>
      </c>
      <c r="N277" s="227" t="n">
        <v>1</v>
      </c>
      <c r="O277" s="228">
        <f>IF(AND(B277="",C277=""),"",IF(G277&gt;=20000,0.05,IF(G277&gt;=10000,0.1,IF(G277&gt;=5000,0.2,IF(G277&gt;=1000,0.3,IF(G277&gt;=0,0.4,{0}))))))</f>
        <v/>
      </c>
      <c r="P277" s="425">
        <f>IF(AND(B277="",C277=""),"",ROUND(H277*O277,2))</f>
        <v/>
      </c>
      <c r="Q277" s="426" t="inlineStr">
        <is>
          <t>母排</t>
        </is>
      </c>
      <c r="R277" s="234" t="inlineStr"/>
      <c r="S277" s="234" t="inlineStr"/>
      <c r="T277" s="235" t="inlineStr">
        <is>
          <t>0</t>
        </is>
      </c>
      <c r="U277" s="235" t="inlineStr"/>
      <c r="V277" s="427" t="n"/>
      <c r="W277" s="427" t="n"/>
      <c r="X277" s="237" t="inlineStr">
        <is>
          <t>TMY 2*30*5→TMY 30*8</t>
        </is>
      </c>
    </row>
    <row r="278" customFormat="1" s="5">
      <c r="A278" s="64">
        <f>ROW()-ROW(A$264)</f>
        <v/>
      </c>
      <c r="B278" s="22" t="inlineStr">
        <is>
          <t>垂直排</t>
        </is>
      </c>
      <c r="C278" s="22" t="inlineStr">
        <is>
          <t>TMY 3*2*80*5</t>
        </is>
      </c>
      <c r="D278" s="22" t="inlineStr">
        <is>
          <t>国产优质</t>
        </is>
      </c>
      <c r="E278" s="23" t="inlineStr">
        <is>
          <t>米</t>
        </is>
      </c>
      <c r="F278" s="23" t="n">
        <v>2</v>
      </c>
      <c r="G278" s="349">
        <f>IF(AND(B278="",C278=""),"",ROUND(M278*L278*N278,2))</f>
        <v/>
      </c>
      <c r="H278" s="349">
        <f>IF(AND(B278="",C278=""),"",ROUND(F278*G278,2))</f>
        <v/>
      </c>
      <c r="I278" s="45" t="inlineStr"/>
      <c r="J278" s="422">
        <f>IF(AND(B278="",C278=""),"",ROUND(M278*N278,2))</f>
        <v/>
      </c>
      <c r="K278" s="423">
        <f>IF(AND(B278="",C278=""),"",ROUND(J278*F278,2))</f>
        <v/>
      </c>
      <c r="L278" s="225" t="n">
        <v>1</v>
      </c>
      <c r="M278" s="424" t="n">
        <v>2309.1228</v>
      </c>
      <c r="N278" s="227" t="n">
        <v>1</v>
      </c>
      <c r="O278" s="228">
        <f>IF(AND(B278="",C278=""),"",IF(G278&gt;=20000,0.05,IF(G278&gt;=10000,0.1,IF(G278&gt;=5000,0.2,IF(G278&gt;=1000,0.3,IF(G278&gt;=0,0.4,{0}))))))</f>
        <v/>
      </c>
      <c r="P278" s="425">
        <f>IF(AND(B278="",C278=""),"",ROUND(H278*O278,2))</f>
        <v/>
      </c>
      <c r="Q278" s="426" t="inlineStr">
        <is>
          <t>母排</t>
        </is>
      </c>
      <c r="R278" s="234" t="inlineStr"/>
      <c r="S278" s="234" t="inlineStr"/>
      <c r="T278" s="235" t="inlineStr">
        <is>
          <t>0</t>
        </is>
      </c>
      <c r="U278" s="235" t="inlineStr"/>
      <c r="V278" s="427" t="n"/>
      <c r="W278" s="427" t="n"/>
      <c r="X278" s="237" t="inlineStr">
        <is>
          <t>TMY 2*30*5→TMY 30*8</t>
        </is>
      </c>
    </row>
    <row r="279" customFormat="1" s="5">
      <c r="A279" s="64">
        <f>ROW()-ROW(A$264)</f>
        <v/>
      </c>
      <c r="B279" s="22" t="inlineStr">
        <is>
          <t>N排</t>
        </is>
      </c>
      <c r="C279" s="22" t="inlineStr">
        <is>
          <t>TMY 2*80*10</t>
        </is>
      </c>
      <c r="D279" s="22" t="inlineStr">
        <is>
          <t>国产优质</t>
        </is>
      </c>
      <c r="E279" s="23" t="inlineStr">
        <is>
          <t>米</t>
        </is>
      </c>
      <c r="F279" s="23" t="n">
        <v>3</v>
      </c>
      <c r="G279" s="349">
        <f>IF(AND(B279="",C279=""),"",ROUND(M279*L279*N279,2))</f>
        <v/>
      </c>
      <c r="H279" s="349">
        <f>IF(AND(B279="",C279=""),"",ROUND(F279*G279,2))</f>
        <v/>
      </c>
      <c r="I279" s="45" t="inlineStr"/>
      <c r="J279" s="422">
        <f>IF(AND(B279="",C279=""),"",ROUND(M279*N279,2))</f>
        <v/>
      </c>
      <c r="K279" s="423">
        <f>IF(AND(B279="",C279=""),"",ROUND(J279*F279,2))</f>
        <v/>
      </c>
      <c r="L279" s="225" t="n">
        <v>1</v>
      </c>
      <c r="M279" s="424" t="n">
        <v>1539.4152</v>
      </c>
      <c r="N279" s="227" t="n">
        <v>1</v>
      </c>
      <c r="O279" s="228">
        <f>IF(AND(B279="",C279=""),"",IF(G279&gt;=20000,0.05,IF(G279&gt;=10000,0.1,IF(G279&gt;=5000,0.2,IF(G279&gt;=1000,0.3,IF(G279&gt;=0,0.4,{0}))))))</f>
        <v/>
      </c>
      <c r="P279" s="425">
        <f>IF(AND(B279="",C279=""),"",ROUND(H279*O279,2))</f>
        <v/>
      </c>
      <c r="Q279" s="426" t="inlineStr">
        <is>
          <t>母排</t>
        </is>
      </c>
      <c r="R279" s="234" t="inlineStr"/>
      <c r="S279" s="234" t="inlineStr"/>
      <c r="T279" s="235" t="inlineStr">
        <is>
          <t>0</t>
        </is>
      </c>
      <c r="U279" s="235" t="inlineStr"/>
      <c r="V279" s="427" t="n"/>
      <c r="W279" s="427" t="n"/>
      <c r="X279" s="237" t="inlineStr">
        <is>
          <t>TMY 2*30*5→TMY 30*8</t>
        </is>
      </c>
    </row>
    <row r="280" customFormat="1" s="5">
      <c r="A280" s="64">
        <f>ROW()-ROW(A$264)</f>
        <v/>
      </c>
      <c r="B280" s="22" t="inlineStr">
        <is>
          <t>PE排</t>
        </is>
      </c>
      <c r="C280" s="22" t="inlineStr">
        <is>
          <t>TMY 2*50*5</t>
        </is>
      </c>
      <c r="D280" s="22" t="inlineStr">
        <is>
          <t>国产优质</t>
        </is>
      </c>
      <c r="E280" s="23" t="inlineStr">
        <is>
          <t>米</t>
        </is>
      </c>
      <c r="F280" s="23" t="n">
        <v>2</v>
      </c>
      <c r="G280" s="349">
        <f>IF(AND(B280="",C280=""),"",ROUND(M280*L280*N280,2))</f>
        <v/>
      </c>
      <c r="H280" s="349">
        <f>IF(AND(B280="",C280=""),"",ROUND(F280*G280,2))</f>
        <v/>
      </c>
      <c r="I280" s="45" t="inlineStr"/>
      <c r="J280" s="422">
        <f>IF(AND(B280="",C280=""),"",ROUND(M280*N280,2))</f>
        <v/>
      </c>
      <c r="K280" s="423">
        <f>IF(AND(B280="",C280=""),"",ROUND(J280*F280,2))</f>
        <v/>
      </c>
      <c r="L280" s="225" t="n">
        <v>1</v>
      </c>
      <c r="M280" s="424" t="n">
        <v>481.06725</v>
      </c>
      <c r="N280" s="227" t="n">
        <v>1</v>
      </c>
      <c r="O280" s="228">
        <f>IF(AND(B280="",C280=""),"",IF(G280&gt;=20000,0.05,IF(G280&gt;=10000,0.1,IF(G280&gt;=5000,0.2,IF(G280&gt;=1000,0.3,IF(G280&gt;=0,0.4,{0}))))))</f>
        <v/>
      </c>
      <c r="P280" s="425">
        <f>IF(AND(B280="",C280=""),"",ROUND(H280*O280,2))</f>
        <v/>
      </c>
      <c r="Q280" s="426" t="inlineStr">
        <is>
          <t>母排</t>
        </is>
      </c>
      <c r="R280" s="234" t="inlineStr"/>
      <c r="S280" s="234" t="inlineStr"/>
      <c r="T280" s="235" t="inlineStr">
        <is>
          <t>0</t>
        </is>
      </c>
      <c r="U280" s="235" t="inlineStr"/>
      <c r="V280" s="427" t="n"/>
      <c r="W280" s="427" t="n"/>
      <c r="X280" s="237" t="inlineStr">
        <is>
          <t>TMY 2*30*5→TMY 30*8</t>
        </is>
      </c>
    </row>
    <row r="281" s="308">
      <c r="A281" s="64">
        <f>ROW()-ROW(A$264)</f>
        <v/>
      </c>
      <c r="B281" s="112" t="inlineStr">
        <is>
          <t>辅料</t>
        </is>
      </c>
      <c r="C281" s="112" t="inlineStr"/>
      <c r="D281" s="112" t="inlineStr"/>
      <c r="E281" s="114" t="inlineStr">
        <is>
          <t>套</t>
        </is>
      </c>
      <c r="F281" s="114" t="n">
        <v>1</v>
      </c>
      <c r="G281" s="396">
        <f>IF(AND(B281="",C281=""),"",ROUND(M281*L281*N281,2))</f>
        <v/>
      </c>
      <c r="H281" s="396">
        <f>IF(AND(B281="",C281=""),"",ROUND(F281*G281,2))</f>
        <v/>
      </c>
      <c r="I281" s="219" t="inlineStr"/>
      <c r="J281" s="397">
        <f>IF(AND(B281="",C281=""),"",ROUND(M281*N281,2))</f>
        <v/>
      </c>
      <c r="K281" s="398">
        <f>IF(AND(B281="",C281=""),"",ROUND(J281*F281,2))</f>
        <v/>
      </c>
      <c r="L281" s="200" t="n">
        <v>1</v>
      </c>
      <c r="M281" s="399" t="n">
        <v>800</v>
      </c>
      <c r="N281" s="154" t="n">
        <v>1</v>
      </c>
      <c r="O281" s="155">
        <f>IF(AND(B281="",C281=""),"",IF(G281&gt;=20000,0.05,IF(G281&gt;=10000,0.1,IF(G281&gt;=5000,0.2,IF(G281&gt;=1000,0.3,IF(G281&gt;=0,0.4,{0}))))))</f>
        <v/>
      </c>
      <c r="P281" s="400">
        <f>IF(AND(B281="",C281=""),"",ROUND(H281*O281,2))</f>
        <v/>
      </c>
      <c r="Q281" s="401" t="inlineStr">
        <is>
          <t>辅料</t>
        </is>
      </c>
      <c r="R281" s="168" t="inlineStr"/>
      <c r="S281" s="168" t="inlineStr"/>
      <c r="T281" s="168" t="inlineStr">
        <is>
          <t>0</t>
        </is>
      </c>
      <c r="U281" s="168" t="inlineStr"/>
      <c r="V281" s="402" t="n"/>
      <c r="W281" s="402" t="n"/>
      <c r="X281" s="170" t="inlineStr"/>
    </row>
    <row r="282" s="308">
      <c r="A282" s="64">
        <f>ROW()-ROW(A$264)</f>
        <v/>
      </c>
      <c r="B282" s="112" t="inlineStr">
        <is>
          <t>柜体Blokset</t>
        </is>
      </c>
      <c r="C282" s="22" t="inlineStr">
        <is>
          <t>800W*1200D*2200H</t>
        </is>
      </c>
      <c r="D282" s="112" t="inlineStr">
        <is>
          <t>清科</t>
        </is>
      </c>
      <c r="E282" s="114" t="inlineStr">
        <is>
          <t>台</t>
        </is>
      </c>
      <c r="F282" s="114" t="n">
        <v>1</v>
      </c>
      <c r="G282" s="396">
        <f>IF(AND(B282="",C282=""),"",ROUND(M282*L282*N282,2))</f>
        <v/>
      </c>
      <c r="H282" s="396">
        <f>IF(AND(B282="",C282=""),"",ROUND(F282*G282,2))</f>
        <v/>
      </c>
      <c r="I282" s="219" t="inlineStr"/>
      <c r="J282" s="397">
        <f>IF(AND(B282="",C282=""),"",ROUND(M282*N282,2))</f>
        <v/>
      </c>
      <c r="K282" s="398">
        <f>IF(AND(B282="",C282=""),"",ROUND(J282*F282,2))</f>
        <v/>
      </c>
      <c r="L282" s="200" t="n">
        <v>1</v>
      </c>
      <c r="M282" s="399" t="n">
        <v>4916</v>
      </c>
      <c r="N282" s="154" t="n">
        <v>1</v>
      </c>
      <c r="O282" s="155">
        <f>IF(AND(B282="",C282=""),"",IF(G282&gt;=20000,0.05,IF(G282&gt;=10000,0.1,IF(G282&gt;=5000,0.2,IF(G282&gt;=1000,0.3,IF(G282&gt;=0,0.4,{0}))))))</f>
        <v/>
      </c>
      <c r="P282" s="400">
        <f>IF(AND(B282="",C282=""),"",ROUND(H282*O282,2))</f>
        <v/>
      </c>
      <c r="Q282" s="401" t="inlineStr">
        <is>
          <t>箱体</t>
        </is>
      </c>
      <c r="R282" s="168" t="inlineStr"/>
      <c r="S282" s="168" t="inlineStr"/>
      <c r="T282" s="168" t="inlineStr">
        <is>
          <t>0</t>
        </is>
      </c>
      <c r="U282" s="168" t="inlineStr"/>
      <c r="V282" s="402" t="n"/>
      <c r="W282" s="402" t="n"/>
      <c r="X282" s="170" t="inlineStr">
        <is>
          <t>BlokSeT</t>
        </is>
      </c>
    </row>
    <row r="283" s="308">
      <c r="A283" s="64">
        <f>ROW()-ROW(A$264)</f>
        <v/>
      </c>
      <c r="B283" s="22" t="inlineStr"/>
      <c r="C283" s="22" t="inlineStr"/>
      <c r="D283" s="22" t="inlineStr"/>
      <c r="E283" s="23" t="n"/>
      <c r="F283" s="23">
        <f>IF(AND(B283="",C283=""),"",1)</f>
        <v/>
      </c>
      <c r="G283" s="349">
        <f>IF(AND(B283="",C283=""),"",ROUND(M283*L283*N283,2))</f>
        <v/>
      </c>
      <c r="H283" s="349">
        <f>IF(AND(B283="",C283=""),"",ROUND(F283*G283,2))</f>
        <v/>
      </c>
      <c r="I283" s="45" t="inlineStr"/>
      <c r="J283" s="397">
        <f>IF(AND(B283="",C283=""),"",ROUND(M283*N283,2))</f>
        <v/>
      </c>
      <c r="K283" s="398">
        <f>IF(AND(B283="",C283=""),"",ROUND(J283*F283,2))</f>
        <v/>
      </c>
      <c r="L283" s="200">
        <f>IF(AND(B283="",C283=""),"",1)</f>
        <v/>
      </c>
      <c r="M283" s="399" t="n"/>
      <c r="N283" s="154">
        <f>IF(AND(B283="",C283=""),"",1)</f>
        <v/>
      </c>
      <c r="O283" s="155">
        <f>IF(AND(B283="",C283=""),"",IF(J283&gt;=20000,0.05,IF(J283&gt;=10000,0.1,IF(J283&gt;=5000,0.2,IF(J283&gt;=1000,0.3,IF(J283&gt;=0,0.4,{0}))))))</f>
        <v/>
      </c>
      <c r="P283" s="400">
        <f>IF(AND(B283="",C283=""),"",ROUND(H283*O283,2))</f>
        <v/>
      </c>
      <c r="Q283" s="401">
        <f>IF(AND(B283="",C283=""),"","元件")</f>
        <v/>
      </c>
      <c r="R283" s="168" t="inlineStr"/>
      <c r="S283" s="168" t="inlineStr"/>
      <c r="T283" s="168" t="inlineStr"/>
      <c r="U283" s="168" t="inlineStr"/>
      <c r="V283" s="402" t="n"/>
      <c r="W283" s="402" t="n"/>
      <c r="X283" s="170" t="inlineStr"/>
    </row>
    <row r="284" s="308">
      <c r="A284" s="64">
        <f>ROW()-ROW(A$264)</f>
        <v/>
      </c>
      <c r="B284" s="171" t="inlineStr">
        <is>
          <t>小计</t>
        </is>
      </c>
      <c r="C284" s="172" t="n"/>
      <c r="D284" s="204" t="n"/>
      <c r="E284" s="114" t="n"/>
      <c r="F284" s="114" t="n"/>
      <c r="G284" s="396" t="n"/>
      <c r="H284" s="396">
        <f>ROUND(SUM(H264:INDEX(H:H,ROW()-1)),2)</f>
        <v/>
      </c>
      <c r="I284" s="45" t="inlineStr"/>
      <c r="J284" s="397" t="n"/>
      <c r="K284" s="398">
        <f>ROUND(SUM(K264:INDEX(K:K,ROW()-1)),2)</f>
        <v/>
      </c>
      <c r="L284" s="200" t="n"/>
      <c r="M284" s="399" t="n"/>
      <c r="N284" s="154" t="n"/>
      <c r="O284" s="155" t="n"/>
      <c r="P284" s="400" t="n"/>
      <c r="Q284" s="401" t="n"/>
      <c r="R284" s="168" t="inlineStr"/>
      <c r="S284" s="168" t="inlineStr"/>
      <c r="T284" s="168" t="inlineStr"/>
      <c r="U284" s="168" t="inlineStr"/>
      <c r="V284" s="402">
        <f>ROUND(SUMPRODUCT(F264:INDEX(F:F,ROW()-1),V264:INDEX(V:V,ROW()-1)),2)</f>
        <v/>
      </c>
      <c r="W284" s="402">
        <f>ROUND(SUMPRODUCT(F264:INDEX(F:F,ROW()-1),W264:INDEX(W:W,ROW()-1)),2)</f>
        <v/>
      </c>
      <c r="X284" s="170" t="inlineStr"/>
    </row>
    <row r="285" s="308">
      <c r="A285" s="64">
        <f>ROW()-ROW(A$264)</f>
        <v/>
      </c>
      <c r="B285" s="171" t="inlineStr">
        <is>
          <t>综合费(人工、管理、税金、利润等)</t>
        </is>
      </c>
      <c r="C285" s="172" t="n"/>
      <c r="D285" s="204" t="n"/>
      <c r="E285" s="114" t="n"/>
      <c r="F285" s="114" t="n"/>
      <c r="G285" s="396" t="n"/>
      <c r="H285" s="396">
        <f>2500</f>
        <v/>
      </c>
      <c r="I285" s="45" t="inlineStr"/>
      <c r="J285" s="397" t="n"/>
      <c r="K285" s="398" t="n"/>
      <c r="L285" s="200" t="n"/>
      <c r="M285" s="399" t="n"/>
      <c r="N285" s="154" t="n"/>
      <c r="O285" s="155" t="n"/>
      <c r="P285" s="400" t="n"/>
      <c r="Q285" s="401" t="inlineStr">
        <is>
          <t>费用</t>
        </is>
      </c>
      <c r="R285" s="168" t="inlineStr"/>
      <c r="S285" s="168" t="inlineStr"/>
      <c r="T285" s="168" t="inlineStr"/>
      <c r="U285" s="168" t="inlineStr"/>
      <c r="V285" s="402" t="n"/>
      <c r="W285" s="402" t="n"/>
      <c r="X285" s="170" t="inlineStr"/>
    </row>
    <row r="286" s="308">
      <c r="A286" s="64">
        <f>ROW()-ROW(A$264)</f>
        <v/>
      </c>
      <c r="B286" s="204" t="inlineStr">
        <is>
          <t>单台合计</t>
        </is>
      </c>
      <c r="C286" s="172" t="n"/>
      <c r="D286" s="204" t="n"/>
      <c r="E286" s="114" t="n"/>
      <c r="F286" s="114" t="n"/>
      <c r="G286" s="396" t="n"/>
      <c r="H286" s="396">
        <f>ROUND(SUM(H284:H285),2)</f>
        <v/>
      </c>
      <c r="I286" s="181" t="n"/>
      <c r="J286" s="397" t="n"/>
      <c r="K286" s="398">
        <f>ROUND(SUM(K284:K285),2)</f>
        <v/>
      </c>
      <c r="L286" s="209" t="n"/>
      <c r="M286" s="399" t="n"/>
      <c r="N286" s="210" t="n"/>
      <c r="O286" s="211" t="n"/>
      <c r="P286" s="400" t="n"/>
      <c r="Q286" s="401" t="n"/>
      <c r="R286" s="168" t="inlineStr"/>
      <c r="S286" s="168" t="inlineStr"/>
      <c r="T286" s="168" t="inlineStr"/>
      <c r="U286" s="168" t="inlineStr"/>
      <c r="V286" s="402" t="n"/>
      <c r="W286" s="402" t="n"/>
      <c r="X286" s="170" t="inlineStr"/>
    </row>
    <row r="287" s="308">
      <c r="A287" s="173" t="inlineStr">
        <is>
          <t>总计</t>
        </is>
      </c>
      <c r="B287" s="205" t="n"/>
      <c r="C287" s="175" t="n"/>
      <c r="D287" s="206" t="n"/>
      <c r="E287" s="206" t="inlineStr">
        <is>
          <t>台</t>
        </is>
      </c>
      <c r="F287" s="206" t="n">
        <v>2</v>
      </c>
      <c r="G287" s="414">
        <f>ROUND(H286,2)</f>
        <v/>
      </c>
      <c r="H287" s="414">
        <f>ROUND(F287*G287,2)</f>
        <v/>
      </c>
      <c r="I287" s="185" t="n"/>
      <c r="J287" s="415" t="n"/>
      <c r="K287" s="416">
        <f>ROUND(K286*F287,2)</f>
        <v/>
      </c>
      <c r="L287" s="214" t="n"/>
      <c r="M287" s="417" t="n"/>
      <c r="N287" s="216" t="n"/>
      <c r="O287" s="217" t="n"/>
      <c r="P287" s="418" t="n"/>
      <c r="Q287" s="401" t="n"/>
      <c r="R287" s="168" t="inlineStr"/>
      <c r="S287" s="168" t="inlineStr"/>
      <c r="T287" s="168" t="inlineStr"/>
      <c r="U287" s="168" t="inlineStr"/>
      <c r="V287" s="402" t="n"/>
      <c r="W287" s="402" t="n"/>
      <c r="X287" s="170" t="inlineStr"/>
    </row>
    <row r="288" customFormat="1" s="4">
      <c r="A288" s="6" t="n"/>
      <c r="B288" s="195" t="inlineStr"/>
      <c r="C288" s="195" t="inlineStr"/>
      <c r="D288" s="195" t="inlineStr"/>
      <c r="Q288" s="159" t="n"/>
      <c r="R288" s="159" t="n"/>
      <c r="S288" s="159" t="n"/>
      <c r="T288" s="159" t="n"/>
      <c r="U288" s="159" t="n"/>
      <c r="X288" s="195" t="inlineStr"/>
    </row>
    <row r="289" customFormat="1" s="4">
      <c r="A289" s="6" t="n"/>
      <c r="B289" s="195" t="inlineStr"/>
      <c r="C289" s="195" t="inlineStr"/>
      <c r="D289" s="195" t="inlineStr"/>
      <c r="Q289" s="159" t="n"/>
      <c r="R289" s="159" t="n"/>
      <c r="S289" s="159" t="n"/>
      <c r="T289" s="159" t="n"/>
      <c r="U289" s="159" t="n"/>
      <c r="X289" s="195" t="inlineStr"/>
    </row>
    <row r="290" s="308">
      <c r="A290" s="208">
        <f>CONCATENATE("报价人：",项目信息!$B$8)</f>
        <v/>
      </c>
      <c r="B290" s="208" t="n"/>
      <c r="C290" s="4" t="n"/>
      <c r="D290" s="4" t="n"/>
      <c r="E290" s="4" t="n"/>
      <c r="F290" s="4" t="n"/>
      <c r="G290" s="4" t="n"/>
      <c r="H290" s="178">
        <f>项目信息!$B$9</f>
        <v/>
      </c>
      <c r="Q290" s="159" t="n"/>
      <c r="R290" s="159" t="n"/>
      <c r="S290" s="159" t="n"/>
      <c r="T290" s="159" t="n"/>
      <c r="U290" s="159" t="n"/>
      <c r="X290" s="203" t="inlineStr"/>
    </row>
    <row r="291" s="308">
      <c r="A291" s="8">
        <f>T(项目信息!$B$22)</f>
        <v/>
      </c>
      <c r="Q291" s="159" t="n"/>
      <c r="R291" s="159" t="n"/>
      <c r="S291" s="159" t="n"/>
      <c r="T291" s="159" t="n"/>
      <c r="U291" s="159" t="n"/>
    </row>
    <row r="292" s="308">
      <c r="A292" s="9">
        <f>T(项目信息!$B$23)</f>
        <v/>
      </c>
      <c r="Q292" s="159" t="n"/>
      <c r="R292" s="159" t="n"/>
      <c r="S292" s="159" t="n"/>
      <c r="T292" s="159" t="n"/>
      <c r="U292" s="159" t="n"/>
    </row>
    <row r="293" s="308">
      <c r="A293" s="97" t="inlineStr">
        <is>
          <t>成套产品报价明细表</t>
        </is>
      </c>
      <c r="B293" s="378" t="n"/>
      <c r="C293" s="378" t="n"/>
      <c r="D293" s="378" t="n"/>
      <c r="E293" s="378" t="n"/>
      <c r="F293" s="378" t="n"/>
      <c r="G293" s="378" t="n"/>
      <c r="H293" s="378" t="n"/>
      <c r="I293" s="378" t="n"/>
      <c r="Q293" s="159" t="n"/>
      <c r="R293" s="159" t="n"/>
      <c r="S293" s="159" t="n"/>
      <c r="T293" s="159" t="n"/>
      <c r="U293" s="159" t="n"/>
    </row>
    <row r="294" customFormat="1" s="4">
      <c r="A294" s="98" t="inlineStr">
        <is>
          <t>柜号:</t>
        </is>
      </c>
      <c r="B294" s="99" t="inlineStr">
        <is>
          <t>AAN1-06、BAN2-06</t>
        </is>
      </c>
      <c r="C294" s="100" t="inlineStr">
        <is>
          <t>型号:</t>
        </is>
      </c>
      <c r="D294" s="99" t="inlineStr">
        <is>
          <t>BlokSeT</t>
        </is>
      </c>
      <c r="E294" s="379" t="n"/>
      <c r="F294" s="101" t="inlineStr">
        <is>
          <t>名称:</t>
        </is>
      </c>
      <c r="G294" s="99" t="inlineStr">
        <is>
          <t>馈线柜</t>
        </is>
      </c>
      <c r="H294" s="379" t="n"/>
      <c r="I294" s="408" t="inlineStr"/>
      <c r="J294" s="194" t="inlineStr">
        <is>
          <t>箱柜尺寸:</t>
        </is>
      </c>
      <c r="K294" s="195" t="inlineStr">
        <is>
          <t>800W*1200D*2200H</t>
        </is>
      </c>
      <c r="L294" s="194" t="inlineStr">
        <is>
          <t>类别:</t>
        </is>
      </c>
      <c r="M294" s="195" t="inlineStr">
        <is>
          <t>低压固定柜</t>
        </is>
      </c>
      <c r="N294" s="409" t="inlineStr"/>
      <c r="Q294" s="159" t="n"/>
      <c r="R294" s="159" t="n"/>
      <c r="S294" s="159" t="n"/>
      <c r="T294" s="159" t="n"/>
      <c r="U294" s="159" t="n"/>
    </row>
    <row r="295" ht="20.1" customHeight="1" s="308">
      <c r="A295" s="102" t="inlineStr">
        <is>
          <t>序号</t>
        </is>
      </c>
      <c r="B295" s="103" t="inlineStr">
        <is>
          <t>元件名称</t>
        </is>
      </c>
      <c r="C295" s="103" t="inlineStr">
        <is>
          <t>型号规格</t>
        </is>
      </c>
      <c r="D295" s="104" t="inlineStr">
        <is>
          <t>生产厂家</t>
        </is>
      </c>
      <c r="E295" s="105" t="inlineStr">
        <is>
          <t>单位</t>
        </is>
      </c>
      <c r="F295" s="105" t="inlineStr">
        <is>
          <t>数量</t>
        </is>
      </c>
      <c r="G295" s="382" t="inlineStr">
        <is>
          <t>单   价</t>
        </is>
      </c>
      <c r="H295" s="383" t="inlineStr">
        <is>
          <t>总   价</t>
        </is>
      </c>
      <c r="I295" s="134" t="inlineStr">
        <is>
          <t>备注</t>
        </is>
      </c>
      <c r="J295" s="384" t="inlineStr">
        <is>
          <t>成本单价</t>
        </is>
      </c>
      <c r="K295" s="384" t="inlineStr">
        <is>
          <t>成本总价</t>
        </is>
      </c>
      <c r="L295" s="136" t="inlineStr">
        <is>
          <t>报出
系数</t>
        </is>
      </c>
      <c r="M295" s="384" t="inlineStr">
        <is>
          <t>表价</t>
        </is>
      </c>
      <c r="N295" s="136" t="inlineStr">
        <is>
          <t>折扣
系数</t>
        </is>
      </c>
      <c r="O295" s="137" t="inlineStr">
        <is>
          <t>取费
系数</t>
        </is>
      </c>
      <c r="P295" s="384" t="inlineStr">
        <is>
          <t>成套费</t>
        </is>
      </c>
      <c r="Q295" s="161" t="inlineStr">
        <is>
          <t>类别</t>
        </is>
      </c>
      <c r="R295" s="161" t="inlineStr">
        <is>
          <t>物料编码</t>
        </is>
      </c>
      <c r="S295" s="161" t="inlineStr">
        <is>
          <t>产地</t>
        </is>
      </c>
      <c r="T295" s="161" t="inlineStr">
        <is>
          <t>加工费</t>
        </is>
      </c>
      <c r="U295" s="161" t="inlineStr">
        <is>
          <t>订货号</t>
        </is>
      </c>
      <c r="V295" s="161" t="inlineStr">
        <is>
          <t>人工</t>
        </is>
      </c>
      <c r="W295" s="161" t="inlineStr">
        <is>
          <t>辅料</t>
        </is>
      </c>
      <c r="X295" s="203" t="inlineStr"/>
    </row>
    <row r="296" s="308">
      <c r="A296" s="64">
        <f>ROW()-ROW(A$295)</f>
        <v/>
      </c>
      <c r="B296" s="22" t="inlineStr">
        <is>
          <t>框架断路器</t>
        </is>
      </c>
      <c r="C296" s="22" t="inlineStr">
        <is>
          <t>MT16 H1 3P MIC5.0 E</t>
        </is>
      </c>
      <c r="D296" s="22" t="inlineStr">
        <is>
          <t>甲供/施耐德电气</t>
        </is>
      </c>
      <c r="E296" s="23" t="inlineStr">
        <is>
          <t>只</t>
        </is>
      </c>
      <c r="F296" s="23" t="n">
        <v>2</v>
      </c>
      <c r="G296" s="349">
        <f>IF(AND(B296="",C296=""),"",ROUND(M296*L296*N296,2))</f>
        <v/>
      </c>
      <c r="H296" s="349">
        <f>IF(AND(B296="",C296=""),"",ROUND(F296*G296,2))</f>
        <v/>
      </c>
      <c r="I296" s="45" t="inlineStr"/>
      <c r="J296" s="397">
        <f>IF(AND(B296="",C296=""),"",ROUND(M296*N296,2))</f>
        <v/>
      </c>
      <c r="K296" s="398">
        <f>IF(AND(B296="",C296=""),"",ROUND(J296*F296,2))</f>
        <v/>
      </c>
      <c r="L296" s="200" t="n">
        <v>1</v>
      </c>
      <c r="M296" s="399" t="n">
        <v>1e-07</v>
      </c>
      <c r="N296" s="154" t="n">
        <v>1</v>
      </c>
      <c r="O296" s="155">
        <f>IF(AND(B296="",C296=""),"",IF(G296&gt;=20000,0.05,IF(G296&gt;=10000,0.1,IF(G296&gt;=5000,0.2,IF(G296&gt;=1000,0.3,IF(G296&gt;=0,0.4,{0}))))))</f>
        <v/>
      </c>
      <c r="P296" s="400">
        <f>IF(AND(B296="",C296=""),"",ROUND(H296*O296,2))</f>
        <v/>
      </c>
      <c r="Q296" s="401" t="inlineStr">
        <is>
          <t>元件</t>
        </is>
      </c>
      <c r="R296" s="168" t="inlineStr"/>
      <c r="S296" s="168" t="inlineStr"/>
      <c r="T296" s="168" t="inlineStr">
        <is>
          <t>0</t>
        </is>
      </c>
      <c r="U296" s="168" t="inlineStr">
        <is>
          <t>C16F32D160</t>
        </is>
      </c>
      <c r="V296" s="402" t="n"/>
      <c r="W296" s="402" t="n"/>
      <c r="X296" s="170" t="inlineStr">
        <is>
          <t>NSX630N Mic2.3 630A 3P3D F→NSX630F MIC2.3 630 3P F→NSX630F MIC 2.3 630 3P F</t>
        </is>
      </c>
    </row>
    <row r="297" s="308">
      <c r="A297" s="64">
        <f>ROW()-ROW(A$295)</f>
        <v/>
      </c>
      <c r="B297" s="22" t="inlineStr">
        <is>
          <t>电流互感器</t>
        </is>
      </c>
      <c r="C297" s="22" t="inlineStr">
        <is>
          <t>SD-0.66-100II-C 1600/5A</t>
        </is>
      </c>
      <c r="D297" s="22" t="inlineStr">
        <is>
          <t>桑迪</t>
        </is>
      </c>
      <c r="E297" s="23" t="inlineStr">
        <is>
          <t>只</t>
        </is>
      </c>
      <c r="F297" s="23" t="n">
        <v>6</v>
      </c>
      <c r="G297" s="349">
        <f>IF(AND(B297="",C297=""),"",ROUND(M297*L297*N297,2))</f>
        <v/>
      </c>
      <c r="H297" s="396">
        <f>IF(AND(B297="",C297=""),"",ROUND(F297*G297,2))</f>
        <v/>
      </c>
      <c r="I297" s="219" t="inlineStr"/>
      <c r="J297" s="397">
        <f>IF(AND(B297="",C297=""),"",ROUND(M297*N297,2))</f>
        <v/>
      </c>
      <c r="K297" s="398">
        <f>IF(AND(B297="",C297=""),"",ROUND(J297*F297,2))</f>
        <v/>
      </c>
      <c r="L297" s="200" t="n">
        <v>1</v>
      </c>
      <c r="M297" s="399" t="n">
        <v>146.25</v>
      </c>
      <c r="N297" s="154" t="n">
        <v>1</v>
      </c>
      <c r="O297" s="155">
        <f>IF(AND(B297="",C297=""),"",IF(G297&gt;=20000,0.05,IF(G297&gt;=10000,0.1,IF(G297&gt;=5000,0.2,IF(G297&gt;=1000,0.3,IF(G297&gt;=0,0.4,{0}))))))</f>
        <v/>
      </c>
      <c r="P297" s="400">
        <f>IF(AND(B297="",C297=""),"",ROUND(H297*O297,2))</f>
        <v/>
      </c>
      <c r="Q297" s="401" t="inlineStr">
        <is>
          <t>元件</t>
        </is>
      </c>
      <c r="R297" s="168" t="inlineStr"/>
      <c r="S297" s="168" t="inlineStr"/>
      <c r="T297" s="168" t="inlineStr">
        <is>
          <t>0</t>
        </is>
      </c>
      <c r="U297" s="168" t="inlineStr">
        <is>
          <t>710141426552500</t>
        </is>
      </c>
      <c r="V297" s="402" t="n"/>
      <c r="W297" s="402" t="n"/>
      <c r="X297" s="170" t="inlineStr">
        <is>
          <t>SD→SD-0.66-40II-C 400/5A→SD-0.66-30I 250/5A→SD-0.66-30I 150/5A→SD-0.66-60II-C 750/5A→SD-0.66-60II-C 600/5A→SD-0.66-30I 150/5A→SD-0.66-40II-C 400/5A</t>
        </is>
      </c>
    </row>
    <row r="298" s="308">
      <c r="A298" s="64">
        <f>ROW()-ROW(A$295)</f>
        <v/>
      </c>
      <c r="B298" s="112" t="inlineStr">
        <is>
          <t>多功能表</t>
        </is>
      </c>
      <c r="C298" s="112" t="inlineStr">
        <is>
          <t>PM4101</t>
        </is>
      </c>
      <c r="D298" s="112" t="inlineStr">
        <is>
          <t>甲供/施耐德电气</t>
        </is>
      </c>
      <c r="E298" s="114" t="inlineStr">
        <is>
          <t>只</t>
        </is>
      </c>
      <c r="F298" s="114" t="n">
        <v>2</v>
      </c>
      <c r="G298" s="396">
        <f>IF(AND(B298="",C298=""),"",ROUND(M298*L298*N298,2))</f>
        <v/>
      </c>
      <c r="H298" s="349">
        <f>IF(AND(B298="",C298=""),"",ROUND(F298*G298,2))</f>
        <v/>
      </c>
      <c r="I298" s="45" t="inlineStr"/>
      <c r="J298" s="397">
        <f>IF(AND(B298="",C298=""),"",ROUND(M298*N298,2))</f>
        <v/>
      </c>
      <c r="K298" s="398">
        <f>IF(AND(B298="",C298=""),"",ROUND(J298*F298,2))</f>
        <v/>
      </c>
      <c r="L298" s="200" t="n">
        <v>1</v>
      </c>
      <c r="M298" s="399" t="n">
        <v>1e-07</v>
      </c>
      <c r="N298" s="154" t="n">
        <v>1</v>
      </c>
      <c r="O298" s="155">
        <f>IF(AND(B298="",C298=""),"",IF(J298&gt;=20000,0.05,IF(J298&gt;=10000,0.1,IF(J298&gt;=5000,0.2,IF(J298&gt;=1000,0.3,IF(J298&gt;=0,0.4,{0}))))))</f>
        <v/>
      </c>
      <c r="P298" s="400">
        <f>IF(AND(B298="",C298=""),"",ROUND(H298*O298,2))</f>
        <v/>
      </c>
      <c r="Q298" s="401" t="inlineStr">
        <is>
          <t>元件</t>
        </is>
      </c>
      <c r="R298" s="168" t="inlineStr"/>
      <c r="S298" s="168" t="inlineStr"/>
      <c r="T298" s="168" t="inlineStr">
        <is>
          <t>0</t>
        </is>
      </c>
      <c r="U298" s="168" t="inlineStr"/>
      <c r="V298" s="402" t="n"/>
      <c r="W298" s="402" t="n"/>
      <c r="X298" s="170" t="inlineStr"/>
    </row>
    <row r="299" customFormat="1" s="3">
      <c r="A299" s="64">
        <f>ROW()-ROW(A$295)</f>
        <v/>
      </c>
      <c r="B299" s="22" t="inlineStr">
        <is>
          <t>指示灯</t>
        </is>
      </c>
      <c r="C299" s="22" t="inlineStr">
        <is>
          <t>XB2BVM3LC</t>
        </is>
      </c>
      <c r="D299" s="22" t="inlineStr">
        <is>
          <t>甲供/施耐德电气</t>
        </is>
      </c>
      <c r="E299" s="23" t="inlineStr">
        <is>
          <t>只</t>
        </is>
      </c>
      <c r="F299" s="23" t="n">
        <v>2</v>
      </c>
      <c r="G299" s="349">
        <f>IF(AND(B299="",C299=""),"",ROUND(M299*L299*N299,2))</f>
        <v/>
      </c>
      <c r="H299" s="353">
        <f>IF(AND(B299="",C299=""),"",ROUND(F299*G299,2))</f>
        <v/>
      </c>
      <c r="I299" s="180" t="inlineStr"/>
      <c r="J299" s="392">
        <f>IF(AND(B299="",C299=""),"",ROUND(M299*N299,2))</f>
        <v/>
      </c>
      <c r="K299" s="393">
        <f>IF(AND(B299="",C299=""),"",ROUND(J299*F299,2))</f>
        <v/>
      </c>
      <c r="L299" s="141" t="n">
        <v>1</v>
      </c>
      <c r="M299" s="394" t="n">
        <v>1e-07</v>
      </c>
      <c r="N299" s="220" t="n">
        <v>1</v>
      </c>
      <c r="O299" s="221">
        <f>IF(AND(B299="",C299=""),"",IF(G299&gt;=20000,0.05,IF(G299&gt;=10000,0.1,IF(G299&gt;=5000,0.2,IF(G299&gt;=1000,0.3,IF(G299&gt;=0,0.4,{0}))))))</f>
        <v/>
      </c>
      <c r="P299" s="419">
        <f>IF(AND(B299="",C299=""),"",ROUND(H299*O299,2))</f>
        <v/>
      </c>
      <c r="Q299" s="420" t="inlineStr">
        <is>
          <t>元件</t>
        </is>
      </c>
      <c r="R299" s="231" t="inlineStr"/>
      <c r="S299" s="231" t="inlineStr"/>
      <c r="T299" s="231" t="inlineStr">
        <is>
          <t>0</t>
        </is>
      </c>
      <c r="U299" s="231" t="inlineStr">
        <is>
          <t>XB2BVM3LC</t>
        </is>
      </c>
      <c r="V299" s="421" t="n"/>
      <c r="W299" s="421" t="n"/>
      <c r="X299" s="166" t="inlineStr">
        <is>
          <t>XA2EVM3LC</t>
        </is>
      </c>
    </row>
    <row r="300" customFormat="1" s="3">
      <c r="A300" s="64">
        <f>ROW()-ROW(A$295)</f>
        <v/>
      </c>
      <c r="B300" s="22" t="inlineStr">
        <is>
          <t>指示灯</t>
        </is>
      </c>
      <c r="C300" s="22" t="inlineStr">
        <is>
          <t>XB2BVM4LC</t>
        </is>
      </c>
      <c r="D300" s="22" t="inlineStr">
        <is>
          <t>甲供/施耐德电气</t>
        </is>
      </c>
      <c r="E300" s="23" t="inlineStr">
        <is>
          <t>只</t>
        </is>
      </c>
      <c r="F300" s="23" t="n">
        <v>2</v>
      </c>
      <c r="G300" s="349">
        <f>IF(AND(B300="",C300=""),"",ROUND(M300*L300*N300,2))</f>
        <v/>
      </c>
      <c r="H300" s="353">
        <f>IF(AND(B300="",C300=""),"",ROUND(F300*G300,2))</f>
        <v/>
      </c>
      <c r="I300" s="180" t="inlineStr"/>
      <c r="J300" s="392">
        <f>IF(AND(B300="",C300=""),"",ROUND(M300*N300,2))</f>
        <v/>
      </c>
      <c r="K300" s="393">
        <f>IF(AND(B300="",C300=""),"",ROUND(J300*F300,2))</f>
        <v/>
      </c>
      <c r="L300" s="141" t="n">
        <v>1</v>
      </c>
      <c r="M300" s="394" t="n">
        <v>1e-07</v>
      </c>
      <c r="N300" s="220" t="n">
        <v>1</v>
      </c>
      <c r="O300" s="221">
        <f>IF(AND(B300="",C300=""),"",IF(G300&gt;=20000,0.05,IF(G300&gt;=10000,0.1,IF(G300&gt;=5000,0.2,IF(G300&gt;=1000,0.3,IF(G300&gt;=0,0.4,{0}))))))</f>
        <v/>
      </c>
      <c r="P300" s="419">
        <f>IF(AND(B300="",C300=""),"",ROUND(H300*O300,2))</f>
        <v/>
      </c>
      <c r="Q300" s="420" t="inlineStr">
        <is>
          <t>元件</t>
        </is>
      </c>
      <c r="R300" s="231" t="inlineStr"/>
      <c r="S300" s="231" t="inlineStr"/>
      <c r="T300" s="231" t="inlineStr">
        <is>
          <t>0</t>
        </is>
      </c>
      <c r="U300" s="231" t="inlineStr">
        <is>
          <t>XB2BVM4LC</t>
        </is>
      </c>
      <c r="V300" s="421" t="n"/>
      <c r="W300" s="421" t="n"/>
      <c r="X300" s="166" t="inlineStr">
        <is>
          <t>XA2EVM4LC</t>
        </is>
      </c>
    </row>
    <row r="301" s="308">
      <c r="A301" s="64">
        <f>ROW()-ROW(A$295)</f>
        <v/>
      </c>
      <c r="B301" s="112" t="inlineStr">
        <is>
          <t>指示灯</t>
        </is>
      </c>
      <c r="C301" s="112" t="inlineStr">
        <is>
          <t>XB2BVM5LC</t>
        </is>
      </c>
      <c r="D301" s="112" t="inlineStr">
        <is>
          <t>甲供/施耐德电气</t>
        </is>
      </c>
      <c r="E301" s="114" t="inlineStr">
        <is>
          <t>只</t>
        </is>
      </c>
      <c r="F301" s="114" t="n">
        <v>2</v>
      </c>
      <c r="G301" s="396">
        <f>IF(AND(B301="",C301=""),"",ROUND(M301*L301*N301,2))</f>
        <v/>
      </c>
      <c r="H301" s="396">
        <f>IF(AND(B301="",C301=""),"",ROUND(F301*G301,2))</f>
        <v/>
      </c>
      <c r="I301" s="150" t="inlineStr"/>
      <c r="J301" s="397">
        <f>IF(AND(B301="",C301=""),"",ROUND(M301*N301,2))</f>
        <v/>
      </c>
      <c r="K301" s="398">
        <f>IF(AND(B301="",C301=""),"",ROUND(J301*F301,2))</f>
        <v/>
      </c>
      <c r="L301" s="141" t="n">
        <v>1</v>
      </c>
      <c r="M301" s="399" t="n">
        <v>1e-07</v>
      </c>
      <c r="N301" s="154" t="n">
        <v>1</v>
      </c>
      <c r="O301" s="155">
        <f>IF(AND(B301="",C301=""),"",IF(G301&gt;=20000,0.05,IF(G301&gt;=10000,0.1,IF(G301&gt;=5000,0.2,IF(G301&gt;=1000,0.3,IF(G301&gt;=0,0.4,{0}))))))</f>
        <v/>
      </c>
      <c r="P301" s="400">
        <f>IF(AND(B301="",C301=""),"",ROUND(H301*O301,2))</f>
        <v/>
      </c>
      <c r="Q301" s="401" t="inlineStr">
        <is>
          <t>元件</t>
        </is>
      </c>
      <c r="R301" s="168" t="inlineStr"/>
      <c r="S301" s="168" t="inlineStr"/>
      <c r="T301" s="168" t="inlineStr">
        <is>
          <t>0</t>
        </is>
      </c>
      <c r="U301" s="168" t="inlineStr">
        <is>
          <t>XA2EVM5LC</t>
        </is>
      </c>
      <c r="V301" s="402" t="n"/>
      <c r="W301" s="402" t="n"/>
      <c r="X301" s="170" t="inlineStr"/>
    </row>
    <row r="302" s="308">
      <c r="A302" s="64">
        <f>ROW()-ROW(A$295)</f>
        <v/>
      </c>
      <c r="B302" s="112" t="inlineStr">
        <is>
          <t>按钮</t>
        </is>
      </c>
      <c r="C302" s="112" t="inlineStr">
        <is>
          <t>XB2BA31C</t>
        </is>
      </c>
      <c r="D302" s="112" t="inlineStr">
        <is>
          <t>甲供/施耐德电气</t>
        </is>
      </c>
      <c r="E302" s="114" t="inlineStr">
        <is>
          <t>只</t>
        </is>
      </c>
      <c r="F302" s="114" t="n">
        <v>2</v>
      </c>
      <c r="G302" s="396">
        <f>IF(AND(B302="",C302=""),"",ROUND(M302*L302*N302,2))</f>
        <v/>
      </c>
      <c r="H302" s="396">
        <f>IF(AND(B302="",C302=""),"",ROUND(F302*G302,2))</f>
        <v/>
      </c>
      <c r="I302" s="150" t="inlineStr"/>
      <c r="J302" s="397">
        <f>IF(AND(B302="",C302=""),"",ROUND(M302*N302,2))</f>
        <v/>
      </c>
      <c r="K302" s="398">
        <f>IF(AND(B302="",C302=""),"",ROUND(J302*F302,2))</f>
        <v/>
      </c>
      <c r="L302" s="141" t="n">
        <v>1</v>
      </c>
      <c r="M302" s="399" t="n">
        <v>1e-07</v>
      </c>
      <c r="N302" s="154" t="n">
        <v>1</v>
      </c>
      <c r="O302" s="155">
        <f>IF(AND(B302="",C302=""),"",IF(G302&gt;=20000,0.05,IF(G302&gt;=10000,0.1,IF(G302&gt;=5000,0.2,IF(G302&gt;=1000,0.3,IF(G302&gt;=0,0.4,{0}))))))</f>
        <v/>
      </c>
      <c r="P302" s="400">
        <f>IF(AND(B302="",C302=""),"",ROUND(H302*O302,2))</f>
        <v/>
      </c>
      <c r="Q302" s="401" t="inlineStr">
        <is>
          <t>元件</t>
        </is>
      </c>
      <c r="R302" s="168" t="inlineStr"/>
      <c r="S302" s="168" t="inlineStr"/>
      <c r="T302" s="168" t="inlineStr">
        <is>
          <t>0</t>
        </is>
      </c>
      <c r="U302" s="168" t="inlineStr">
        <is>
          <t>XB2BA31C</t>
        </is>
      </c>
      <c r="V302" s="402" t="n"/>
      <c r="W302" s="402" t="n"/>
      <c r="X302" s="170" t="inlineStr">
        <is>
          <t>XA2EA31</t>
        </is>
      </c>
    </row>
    <row r="303" s="308">
      <c r="A303" s="64">
        <f>ROW()-ROW(A$295)</f>
        <v/>
      </c>
      <c r="B303" s="22" t="inlineStr">
        <is>
          <t>按钮</t>
        </is>
      </c>
      <c r="C303" s="22" t="inlineStr">
        <is>
          <t>XB2BA42C</t>
        </is>
      </c>
      <c r="D303" s="22" t="inlineStr">
        <is>
          <t>甲供/施耐德电气</t>
        </is>
      </c>
      <c r="E303" s="23" t="inlineStr">
        <is>
          <t>只</t>
        </is>
      </c>
      <c r="F303" s="23" t="n">
        <v>2</v>
      </c>
      <c r="G303" s="349">
        <f>IF(AND(B303="",C303=""),"",ROUND(M303*L303*N303,2))</f>
        <v/>
      </c>
      <c r="H303" s="396">
        <f>IF(AND(B303="",C303=""),"",ROUND(F303*G303,2))</f>
        <v/>
      </c>
      <c r="I303" s="150" t="inlineStr"/>
      <c r="J303" s="397">
        <f>IF(AND(B303="",C303=""),"",ROUND(M303*N303,2))</f>
        <v/>
      </c>
      <c r="K303" s="398">
        <f>IF(AND(B303="",C303=""),"",ROUND(J303*F303,2))</f>
        <v/>
      </c>
      <c r="L303" s="141" t="n">
        <v>1</v>
      </c>
      <c r="M303" s="399" t="n">
        <v>1e-07</v>
      </c>
      <c r="N303" s="154" t="n">
        <v>1</v>
      </c>
      <c r="O303" s="155">
        <f>IF(AND(B303="",C303=""),"",IF(G303&gt;=20000,0.05,IF(G303&gt;=10000,0.1,IF(G303&gt;=5000,0.2,IF(G303&gt;=1000,0.3,IF(G303&gt;=0,0.4,{0}))))))</f>
        <v/>
      </c>
      <c r="P303" s="400">
        <f>IF(AND(B303="",C303=""),"",ROUND(H303*O303,2))</f>
        <v/>
      </c>
      <c r="Q303" s="401" t="inlineStr">
        <is>
          <t>元件</t>
        </is>
      </c>
      <c r="R303" s="168" t="inlineStr"/>
      <c r="S303" s="168" t="inlineStr"/>
      <c r="T303" s="168" t="inlineStr">
        <is>
          <t>0</t>
        </is>
      </c>
      <c r="U303" s="168" t="inlineStr">
        <is>
          <t>XB2BA42C</t>
        </is>
      </c>
      <c r="V303" s="402" t="n"/>
      <c r="W303" s="402" t="n"/>
      <c r="X303" s="170" t="inlineStr">
        <is>
          <t>XA2EA41</t>
        </is>
      </c>
    </row>
    <row r="304" s="308">
      <c r="A304" s="64">
        <f>ROW()-ROW(A$295)</f>
        <v/>
      </c>
      <c r="B304" s="112" t="inlineStr">
        <is>
          <t>温湿度控制器</t>
        </is>
      </c>
      <c r="C304" s="112" t="inlineStr">
        <is>
          <t>ATH48G-11</t>
        </is>
      </c>
      <c r="D304" s="22" t="inlineStr">
        <is>
          <t>杭州安廷</t>
        </is>
      </c>
      <c r="E304" s="23" t="inlineStr">
        <is>
          <t>套</t>
        </is>
      </c>
      <c r="F304" s="23" t="n">
        <v>1</v>
      </c>
      <c r="G304" s="349">
        <f>IF(AND(B304="",C304=""),"",ROUND(M304*L304*N304,2))</f>
        <v/>
      </c>
      <c r="H304" s="396">
        <f>IF(AND(B304="",C304=""),"",ROUND(F304*G304,2))</f>
        <v/>
      </c>
      <c r="I304" s="150" t="inlineStr"/>
      <c r="J304" s="397">
        <f>IF(AND(B304="",C304=""),"",ROUND(M304*N304,2))</f>
        <v/>
      </c>
      <c r="K304" s="398">
        <f>IF(AND(B304="",C304=""),"",ROUND(J304*F304,2))</f>
        <v/>
      </c>
      <c r="L304" s="141" t="n">
        <v>1</v>
      </c>
      <c r="M304" s="399" t="n">
        <v>450</v>
      </c>
      <c r="N304" s="154" t="n">
        <v>1</v>
      </c>
      <c r="O304" s="155">
        <f>IF(AND(B304="",C304=""),"",IF(G304&gt;=20000,0.05,IF(G304&gt;=10000,0.1,IF(G304&gt;=5000,0.2,IF(G304&gt;=1000,0.3,IF(G304&gt;=0,0.4,{0}))))))</f>
        <v/>
      </c>
      <c r="P304" s="400">
        <f>IF(AND(B304="",C304=""),"",ROUND(H304*O304,2))</f>
        <v/>
      </c>
      <c r="Q304" s="401" t="inlineStr">
        <is>
          <t>元件</t>
        </is>
      </c>
      <c r="R304" s="168" t="inlineStr"/>
      <c r="S304" s="168" t="inlineStr"/>
      <c r="T304" s="168" t="inlineStr">
        <is>
          <t>0</t>
        </is>
      </c>
      <c r="U304" s="168" t="inlineStr"/>
      <c r="V304" s="402" t="n"/>
      <c r="W304" s="402" t="n"/>
      <c r="X304" s="170" t="inlineStr"/>
    </row>
    <row r="305" s="308">
      <c r="A305" s="64">
        <f>ROW()-ROW(A$295)</f>
        <v/>
      </c>
      <c r="B305" s="22" t="inlineStr">
        <is>
          <t>中间继电器</t>
        </is>
      </c>
      <c r="C305" s="22" t="inlineStr">
        <is>
          <t>RXM4AB2P7+RXZE2S114M+RXZ400</t>
        </is>
      </c>
      <c r="D305" s="22" t="inlineStr">
        <is>
          <t>甲供/施耐德电气</t>
        </is>
      </c>
      <c r="E305" s="23" t="inlineStr">
        <is>
          <t>只</t>
        </is>
      </c>
      <c r="F305" s="23" t="n">
        <v>4</v>
      </c>
      <c r="G305" s="349">
        <f>IF(AND(B305="",C305=""),"",ROUND(M305*L305*N305,2))</f>
        <v/>
      </c>
      <c r="H305" s="349">
        <f>IF(AND(B305="",C305=""),"",ROUND(F305*G305,2))</f>
        <v/>
      </c>
      <c r="I305" s="45" t="inlineStr"/>
      <c r="J305" s="397">
        <f>IF(AND(B305="",C305=""),"",ROUND(M305*N305,2))</f>
        <v/>
      </c>
      <c r="K305" s="398">
        <f>IF(AND(B305="",C305=""),"",ROUND(J305*F305,2))</f>
        <v/>
      </c>
      <c r="L305" s="141" t="n">
        <v>1</v>
      </c>
      <c r="M305" s="399" t="n">
        <v>1e-07</v>
      </c>
      <c r="N305" s="154" t="n">
        <v>1</v>
      </c>
      <c r="O305" s="155">
        <f>IF(AND(B305="",C305=""),"",IF(G305&gt;=20000,0.05,IF(G305&gt;=10000,0.1,IF(G305&gt;=5000,0.2,IF(G305&gt;=1000,0.3,IF(G305&gt;=0,0.4,{0}))))))</f>
        <v/>
      </c>
      <c r="P305" s="400">
        <f>IF(AND(B305="",C305=""),"",ROUND(H305*O305,2))</f>
        <v/>
      </c>
      <c r="Q305" s="401" t="inlineStr">
        <is>
          <t>元件</t>
        </is>
      </c>
      <c r="R305" s="168" t="inlineStr"/>
      <c r="S305" s="168" t="inlineStr"/>
      <c r="T305" s="168" t="inlineStr">
        <is>
          <t>0</t>
        </is>
      </c>
      <c r="U305" s="168" t="inlineStr">
        <is>
          <t>RXM4AB2P7+RXZE2S114M+RXZ400</t>
        </is>
      </c>
      <c r="V305" s="402" t="n"/>
      <c r="W305" s="402" t="n"/>
      <c r="X305" s="170" t="inlineStr">
        <is>
          <t>REL-IR-BL/L-230AC/4X21，含底座→RXM4AB2P7+RXZE2S114M+RXZ400→REL-IR-BL/L-230AC/4X21，含底座</t>
        </is>
      </c>
    </row>
    <row r="306" customFormat="1" s="3">
      <c r="A306" s="64">
        <f>ROW()-ROW(A$295)</f>
        <v/>
      </c>
      <c r="B306" s="22" t="inlineStr">
        <is>
          <t>带熔丝端子</t>
        </is>
      </c>
      <c r="C306" s="22" t="inlineStr">
        <is>
          <t>UK 5-HESI</t>
        </is>
      </c>
      <c r="D306" s="22" t="inlineStr">
        <is>
          <t>菲尼克斯</t>
        </is>
      </c>
      <c r="E306" s="23" t="inlineStr">
        <is>
          <t>只</t>
        </is>
      </c>
      <c r="F306" s="23" t="n">
        <v>8</v>
      </c>
      <c r="G306" s="349">
        <f>IF(AND(B306="",C306=""),"",ROUND(M306*L306*N306,2))</f>
        <v/>
      </c>
      <c r="H306" s="349">
        <f>IF(AND(B306="",C306=""),"",ROUND(F306*G306,2))</f>
        <v/>
      </c>
      <c r="I306" s="45" t="inlineStr"/>
      <c r="J306" s="392">
        <f>IF(AND(B306="",C306=""),"",ROUND(M306*N306,2))</f>
        <v/>
      </c>
      <c r="K306" s="393">
        <f>IF(AND(B306="",C306=""),"",ROUND(J306*F306,2))</f>
        <v/>
      </c>
      <c r="L306" s="141" t="n">
        <v>1</v>
      </c>
      <c r="M306" s="394" t="n">
        <v>7</v>
      </c>
      <c r="N306" s="220" t="n">
        <v>1</v>
      </c>
      <c r="O306" s="221">
        <f>IF(AND(B306="",C306=""),"",IF(G306&gt;=20000,0.05,IF(G306&gt;=10000,0.1,IF(G306&gt;=5000,0.2,IF(G306&gt;=1000,0.3,IF(G306&gt;=0,0.4,{0}))))))</f>
        <v/>
      </c>
      <c r="P306" s="419">
        <f>IF(AND(B306="",C306=""),"",ROUND(H306*O306,2))</f>
        <v/>
      </c>
      <c r="Q306" s="420" t="inlineStr">
        <is>
          <t>元件</t>
        </is>
      </c>
      <c r="R306" s="231" t="inlineStr"/>
      <c r="S306" s="231" t="inlineStr"/>
      <c r="T306" s="231" t="inlineStr">
        <is>
          <t>0</t>
        </is>
      </c>
      <c r="U306" s="231" t="inlineStr">
        <is>
          <t>True</t>
        </is>
      </c>
      <c r="V306" s="421" t="n"/>
      <c r="W306" s="421" t="n"/>
      <c r="X306" s="166" t="inlineStr"/>
    </row>
    <row r="307" s="308">
      <c r="A307" s="64">
        <f>ROW()-ROW(A$295)</f>
        <v/>
      </c>
      <c r="B307" s="22" t="inlineStr">
        <is>
          <t>水平母排</t>
        </is>
      </c>
      <c r="C307" s="22" t="inlineStr">
        <is>
          <t>TMY 4*(4*150*5)+2*50*5</t>
        </is>
      </c>
      <c r="D307" s="22" t="inlineStr">
        <is>
          <t>国产优质</t>
        </is>
      </c>
      <c r="E307" s="23" t="inlineStr">
        <is>
          <t>米</t>
        </is>
      </c>
      <c r="F307" s="23" t="n">
        <v>0.9</v>
      </c>
      <c r="G307" s="349">
        <f>IF(AND(B307="",C307=""),"",ROUND(M307*L307*N307,2))</f>
        <v/>
      </c>
      <c r="H307" s="349">
        <f>IF(AND(B307="",C307=""),"",ROUND(F307*G307,2))</f>
        <v/>
      </c>
      <c r="I307" s="45" t="inlineStr"/>
      <c r="J307" s="397">
        <f>IF(AND(B307="",C307=""),"",ROUND(M307*N307,2))</f>
        <v/>
      </c>
      <c r="K307" s="398">
        <f>IF(AND(B307="",C307=""),"",ROUND(J307*F307,2))</f>
        <v/>
      </c>
      <c r="L307" s="200" t="n">
        <v>1</v>
      </c>
      <c r="M307" s="399" t="n">
        <v>12026.68125</v>
      </c>
      <c r="N307" s="154">
        <f>(6317.932*1*1+2684.8*1*1)/9002.732</f>
        <v/>
      </c>
      <c r="O307" s="155">
        <f>IF(AND(B307="",C307=""),"",IF(J307&gt;=20000,0.05,IF(J307&gt;=10000,0.1,IF(J307&gt;=5000,0.2,IF(J307&gt;=1000,0.3,IF(J307&gt;=0,0.4,{0}))))))</f>
        <v/>
      </c>
      <c r="P307" s="400">
        <f>IF(AND(B307="",C307=""),"",ROUND(H307*O307,2))</f>
        <v/>
      </c>
      <c r="Q307" s="401" t="inlineStr">
        <is>
          <t>母排</t>
        </is>
      </c>
      <c r="R307" s="168" t="inlineStr"/>
      <c r="S307" s="168" t="inlineStr"/>
      <c r="T307" s="168" t="inlineStr">
        <is>
          <t>0</t>
        </is>
      </c>
      <c r="U307" s="168" t="inlineStr"/>
      <c r="V307" s="402" t="n"/>
      <c r="W307" s="402" t="n"/>
      <c r="X307" s="170" t="inlineStr"/>
    </row>
    <row r="308" customFormat="1" s="5">
      <c r="A308" s="64">
        <f>ROW()-ROW(A$295)</f>
        <v/>
      </c>
      <c r="B308" s="22" t="inlineStr">
        <is>
          <t>桩头排</t>
        </is>
      </c>
      <c r="C308" s="22" t="inlineStr">
        <is>
          <t>TMY 3*2*80*5</t>
        </is>
      </c>
      <c r="D308" s="22" t="inlineStr">
        <is>
          <t>国产优质</t>
        </is>
      </c>
      <c r="E308" s="23" t="inlineStr">
        <is>
          <t>米</t>
        </is>
      </c>
      <c r="F308" s="23" t="n">
        <v>3</v>
      </c>
      <c r="G308" s="349">
        <f>IF(AND(B308="",C308=""),"",ROUND(M308*L308*N308,2))</f>
        <v/>
      </c>
      <c r="H308" s="349">
        <f>IF(AND(B308="",C308=""),"",ROUND(F308*G308,2))</f>
        <v/>
      </c>
      <c r="I308" s="45" t="inlineStr"/>
      <c r="J308" s="422">
        <f>IF(AND(B308="",C308=""),"",ROUND(M308*N308,2))</f>
        <v/>
      </c>
      <c r="K308" s="423">
        <f>IF(AND(B308="",C308=""),"",ROUND(J308*F308,2))</f>
        <v/>
      </c>
      <c r="L308" s="225" t="n">
        <v>1</v>
      </c>
      <c r="M308" s="424" t="n">
        <v>2309.1228</v>
      </c>
      <c r="N308" s="227" t="n">
        <v>1</v>
      </c>
      <c r="O308" s="228">
        <f>IF(AND(B308="",C308=""),"",IF(G308&gt;=20000,0.05,IF(G308&gt;=10000,0.1,IF(G308&gt;=5000,0.2,IF(G308&gt;=1000,0.3,IF(G308&gt;=0,0.4,{0}))))))</f>
        <v/>
      </c>
      <c r="P308" s="425">
        <f>IF(AND(B308="",C308=""),"",ROUND(H308*O308,2))</f>
        <v/>
      </c>
      <c r="Q308" s="426" t="inlineStr">
        <is>
          <t>母排</t>
        </is>
      </c>
      <c r="R308" s="234" t="inlineStr"/>
      <c r="S308" s="234" t="inlineStr"/>
      <c r="T308" s="235" t="inlineStr">
        <is>
          <t>0</t>
        </is>
      </c>
      <c r="U308" s="235" t="inlineStr"/>
      <c r="V308" s="427" t="n"/>
      <c r="W308" s="427" t="n"/>
      <c r="X308" s="237" t="inlineStr">
        <is>
          <t>TMY 2*30*5→TMY 30*8</t>
        </is>
      </c>
    </row>
    <row r="309" customFormat="1" s="5">
      <c r="A309" s="64">
        <f>ROW()-ROW(A$295)</f>
        <v/>
      </c>
      <c r="B309" s="22" t="inlineStr">
        <is>
          <t>垂直排</t>
        </is>
      </c>
      <c r="C309" s="22" t="inlineStr">
        <is>
          <t>TMY 3*2*80*5</t>
        </is>
      </c>
      <c r="D309" s="22" t="inlineStr">
        <is>
          <t>国产优质</t>
        </is>
      </c>
      <c r="E309" s="23" t="inlineStr">
        <is>
          <t>米</t>
        </is>
      </c>
      <c r="F309" s="23" t="n">
        <v>2</v>
      </c>
      <c r="G309" s="349">
        <f>IF(AND(B309="",C309=""),"",ROUND(M309*L309*N309,2))</f>
        <v/>
      </c>
      <c r="H309" s="349">
        <f>IF(AND(B309="",C309=""),"",ROUND(F309*G309,2))</f>
        <v/>
      </c>
      <c r="I309" s="45" t="inlineStr"/>
      <c r="J309" s="422">
        <f>IF(AND(B309="",C309=""),"",ROUND(M309*N309,2))</f>
        <v/>
      </c>
      <c r="K309" s="423">
        <f>IF(AND(B309="",C309=""),"",ROUND(J309*F309,2))</f>
        <v/>
      </c>
      <c r="L309" s="225" t="n">
        <v>1</v>
      </c>
      <c r="M309" s="424" t="n">
        <v>2309.1228</v>
      </c>
      <c r="N309" s="227" t="n">
        <v>1</v>
      </c>
      <c r="O309" s="228">
        <f>IF(AND(B309="",C309=""),"",IF(G309&gt;=20000,0.05,IF(G309&gt;=10000,0.1,IF(G309&gt;=5000,0.2,IF(G309&gt;=1000,0.3,IF(G309&gt;=0,0.4,{0}))))))</f>
        <v/>
      </c>
      <c r="P309" s="425">
        <f>IF(AND(B309="",C309=""),"",ROUND(H309*O309,2))</f>
        <v/>
      </c>
      <c r="Q309" s="426" t="inlineStr">
        <is>
          <t>母排</t>
        </is>
      </c>
      <c r="R309" s="234" t="inlineStr"/>
      <c r="S309" s="234" t="inlineStr"/>
      <c r="T309" s="235" t="inlineStr">
        <is>
          <t>0</t>
        </is>
      </c>
      <c r="U309" s="235" t="inlineStr"/>
      <c r="V309" s="427" t="n"/>
      <c r="W309" s="427" t="n"/>
      <c r="X309" s="237" t="inlineStr">
        <is>
          <t>TMY 2*30*5→TMY 30*8</t>
        </is>
      </c>
    </row>
    <row r="310" customFormat="1" s="5">
      <c r="A310" s="64">
        <f>ROW()-ROW(A$295)</f>
        <v/>
      </c>
      <c r="B310" s="22" t="inlineStr">
        <is>
          <t>N排</t>
        </is>
      </c>
      <c r="C310" s="22" t="inlineStr">
        <is>
          <t>TMY 2*80*10</t>
        </is>
      </c>
      <c r="D310" s="22" t="inlineStr">
        <is>
          <t>国产优质</t>
        </is>
      </c>
      <c r="E310" s="23" t="inlineStr">
        <is>
          <t>米</t>
        </is>
      </c>
      <c r="F310" s="23" t="n">
        <v>3</v>
      </c>
      <c r="G310" s="349">
        <f>IF(AND(B310="",C310=""),"",ROUND(M310*L310*N310,2))</f>
        <v/>
      </c>
      <c r="H310" s="349">
        <f>IF(AND(B310="",C310=""),"",ROUND(F310*G310,2))</f>
        <v/>
      </c>
      <c r="I310" s="45" t="inlineStr"/>
      <c r="J310" s="422">
        <f>IF(AND(B310="",C310=""),"",ROUND(M310*N310,2))</f>
        <v/>
      </c>
      <c r="K310" s="423">
        <f>IF(AND(B310="",C310=""),"",ROUND(J310*F310,2))</f>
        <v/>
      </c>
      <c r="L310" s="225" t="n">
        <v>1</v>
      </c>
      <c r="M310" s="424" t="n">
        <v>1539.4152</v>
      </c>
      <c r="N310" s="227" t="n">
        <v>1</v>
      </c>
      <c r="O310" s="228">
        <f>IF(AND(B310="",C310=""),"",IF(G310&gt;=20000,0.05,IF(G310&gt;=10000,0.1,IF(G310&gt;=5000,0.2,IF(G310&gt;=1000,0.3,IF(G310&gt;=0,0.4,{0}))))))</f>
        <v/>
      </c>
      <c r="P310" s="425">
        <f>IF(AND(B310="",C310=""),"",ROUND(H310*O310,2))</f>
        <v/>
      </c>
      <c r="Q310" s="426" t="inlineStr">
        <is>
          <t>母排</t>
        </is>
      </c>
      <c r="R310" s="234" t="inlineStr"/>
      <c r="S310" s="234" t="inlineStr"/>
      <c r="T310" s="235" t="inlineStr">
        <is>
          <t>0</t>
        </is>
      </c>
      <c r="U310" s="235" t="inlineStr"/>
      <c r="V310" s="427" t="n"/>
      <c r="W310" s="427" t="n"/>
      <c r="X310" s="237" t="inlineStr">
        <is>
          <t>TMY 2*30*5→TMY 30*8</t>
        </is>
      </c>
    </row>
    <row r="311" customFormat="1" s="5">
      <c r="A311" s="64">
        <f>ROW()-ROW(A$295)</f>
        <v/>
      </c>
      <c r="B311" s="22" t="inlineStr">
        <is>
          <t>PE排</t>
        </is>
      </c>
      <c r="C311" s="22" t="inlineStr">
        <is>
          <t>TMY 2*50*5</t>
        </is>
      </c>
      <c r="D311" s="22" t="inlineStr">
        <is>
          <t>国产优质</t>
        </is>
      </c>
      <c r="E311" s="23" t="inlineStr">
        <is>
          <t>米</t>
        </is>
      </c>
      <c r="F311" s="23" t="n">
        <v>2</v>
      </c>
      <c r="G311" s="349">
        <f>IF(AND(B311="",C311=""),"",ROUND(M311*L311*N311,2))</f>
        <v/>
      </c>
      <c r="H311" s="349">
        <f>IF(AND(B311="",C311=""),"",ROUND(F311*G311,2))</f>
        <v/>
      </c>
      <c r="I311" s="45" t="inlineStr"/>
      <c r="J311" s="422">
        <f>IF(AND(B311="",C311=""),"",ROUND(M311*N311,2))</f>
        <v/>
      </c>
      <c r="K311" s="423">
        <f>IF(AND(B311="",C311=""),"",ROUND(J311*F311,2))</f>
        <v/>
      </c>
      <c r="L311" s="225" t="n">
        <v>1</v>
      </c>
      <c r="M311" s="424" t="n">
        <v>481.06725</v>
      </c>
      <c r="N311" s="227" t="n">
        <v>1</v>
      </c>
      <c r="O311" s="228">
        <f>IF(AND(B311="",C311=""),"",IF(G311&gt;=20000,0.05,IF(G311&gt;=10000,0.1,IF(G311&gt;=5000,0.2,IF(G311&gt;=1000,0.3,IF(G311&gt;=0,0.4,{0}))))))</f>
        <v/>
      </c>
      <c r="P311" s="425">
        <f>IF(AND(B311="",C311=""),"",ROUND(H311*O311,2))</f>
        <v/>
      </c>
      <c r="Q311" s="426" t="inlineStr">
        <is>
          <t>母排</t>
        </is>
      </c>
      <c r="R311" s="234" t="inlineStr"/>
      <c r="S311" s="234" t="inlineStr"/>
      <c r="T311" s="235" t="inlineStr">
        <is>
          <t>0</t>
        </is>
      </c>
      <c r="U311" s="235" t="inlineStr"/>
      <c r="V311" s="427" t="n"/>
      <c r="W311" s="427" t="n"/>
      <c r="X311" s="237" t="inlineStr">
        <is>
          <t>TMY 2*30*5→TMY 30*8</t>
        </is>
      </c>
    </row>
    <row r="312" s="308">
      <c r="A312" s="64">
        <f>ROW()-ROW(A$295)</f>
        <v/>
      </c>
      <c r="B312" s="112" t="inlineStr">
        <is>
          <t>辅料</t>
        </is>
      </c>
      <c r="C312" s="112" t="inlineStr"/>
      <c r="D312" s="112" t="inlineStr"/>
      <c r="E312" s="114" t="inlineStr">
        <is>
          <t>套</t>
        </is>
      </c>
      <c r="F312" s="114" t="n">
        <v>1</v>
      </c>
      <c r="G312" s="396">
        <f>IF(AND(B312="",C312=""),"",ROUND(M312*L312*N312,2))</f>
        <v/>
      </c>
      <c r="H312" s="396">
        <f>IF(AND(B312="",C312=""),"",ROUND(F312*G312,2))</f>
        <v/>
      </c>
      <c r="I312" s="219" t="inlineStr"/>
      <c r="J312" s="397">
        <f>IF(AND(B312="",C312=""),"",ROUND(M312*N312,2))</f>
        <v/>
      </c>
      <c r="K312" s="398">
        <f>IF(AND(B312="",C312=""),"",ROUND(J312*F312,2))</f>
        <v/>
      </c>
      <c r="L312" s="200" t="n">
        <v>1</v>
      </c>
      <c r="M312" s="399" t="n">
        <v>800</v>
      </c>
      <c r="N312" s="154" t="n">
        <v>1</v>
      </c>
      <c r="O312" s="155">
        <f>IF(AND(B312="",C312=""),"",IF(G312&gt;=20000,0.05,IF(G312&gt;=10000,0.1,IF(G312&gt;=5000,0.2,IF(G312&gt;=1000,0.3,IF(G312&gt;=0,0.4,{0}))))))</f>
        <v/>
      </c>
      <c r="P312" s="400">
        <f>IF(AND(B312="",C312=""),"",ROUND(H312*O312,2))</f>
        <v/>
      </c>
      <c r="Q312" s="401" t="inlineStr">
        <is>
          <t>辅料</t>
        </is>
      </c>
      <c r="R312" s="168" t="inlineStr"/>
      <c r="S312" s="168" t="inlineStr"/>
      <c r="T312" s="168" t="inlineStr">
        <is>
          <t>0</t>
        </is>
      </c>
      <c r="U312" s="168" t="inlineStr"/>
      <c r="V312" s="402" t="n"/>
      <c r="W312" s="402" t="n"/>
      <c r="X312" s="170" t="inlineStr"/>
    </row>
    <row r="313" s="308">
      <c r="A313" s="64">
        <f>ROW()-ROW(A$295)</f>
        <v/>
      </c>
      <c r="B313" s="112" t="inlineStr">
        <is>
          <t>柜体Blokset</t>
        </is>
      </c>
      <c r="C313" s="22" t="inlineStr">
        <is>
          <t>800W*1200D*2200H</t>
        </is>
      </c>
      <c r="D313" s="112" t="inlineStr">
        <is>
          <t>清科</t>
        </is>
      </c>
      <c r="E313" s="114" t="inlineStr">
        <is>
          <t>台</t>
        </is>
      </c>
      <c r="F313" s="114" t="n">
        <v>1</v>
      </c>
      <c r="G313" s="396">
        <f>IF(AND(B313="",C313=""),"",ROUND(M313*L313*N313,2))</f>
        <v/>
      </c>
      <c r="H313" s="396">
        <f>IF(AND(B313="",C313=""),"",ROUND(F313*G313,2))</f>
        <v/>
      </c>
      <c r="I313" s="219" t="inlineStr"/>
      <c r="J313" s="397">
        <f>IF(AND(B313="",C313=""),"",ROUND(M313*N313,2))</f>
        <v/>
      </c>
      <c r="K313" s="398">
        <f>IF(AND(B313="",C313=""),"",ROUND(J313*F313,2))</f>
        <v/>
      </c>
      <c r="L313" s="200" t="n">
        <v>1</v>
      </c>
      <c r="M313" s="399" t="n">
        <v>4916</v>
      </c>
      <c r="N313" s="154" t="n">
        <v>1</v>
      </c>
      <c r="O313" s="155">
        <f>IF(AND(B313="",C313=""),"",IF(G313&gt;=20000,0.05,IF(G313&gt;=10000,0.1,IF(G313&gt;=5000,0.2,IF(G313&gt;=1000,0.3,IF(G313&gt;=0,0.4,{0}))))))</f>
        <v/>
      </c>
      <c r="P313" s="400">
        <f>IF(AND(B313="",C313=""),"",ROUND(H313*O313,2))</f>
        <v/>
      </c>
      <c r="Q313" s="401" t="inlineStr">
        <is>
          <t>箱体</t>
        </is>
      </c>
      <c r="R313" s="168" t="inlineStr"/>
      <c r="S313" s="168" t="inlineStr"/>
      <c r="T313" s="168" t="inlineStr">
        <is>
          <t>0</t>
        </is>
      </c>
      <c r="U313" s="168" t="inlineStr"/>
      <c r="V313" s="402" t="n"/>
      <c r="W313" s="402" t="n"/>
      <c r="X313" s="170" t="inlineStr">
        <is>
          <t>BlokSeT</t>
        </is>
      </c>
    </row>
    <row r="314" s="308">
      <c r="A314" s="64">
        <f>ROW()-ROW(A$295)</f>
        <v/>
      </c>
      <c r="B314" s="22" t="inlineStr"/>
      <c r="C314" s="22" t="inlineStr"/>
      <c r="D314" s="22" t="inlineStr"/>
      <c r="E314" s="23" t="n"/>
      <c r="F314" s="23">
        <f>IF(AND(B314="",C314=""),"",1)</f>
        <v/>
      </c>
      <c r="G314" s="349">
        <f>IF(AND(B314="",C314=""),"",ROUND(M314*L314*N314,2))</f>
        <v/>
      </c>
      <c r="H314" s="349">
        <f>IF(AND(B314="",C314=""),"",ROUND(F314*G314,2))</f>
        <v/>
      </c>
      <c r="I314" s="45" t="inlineStr"/>
      <c r="J314" s="397">
        <f>IF(AND(B314="",C314=""),"",ROUND(M314*N314,2))</f>
        <v/>
      </c>
      <c r="K314" s="398">
        <f>IF(AND(B314="",C314=""),"",ROUND(J314*F314,2))</f>
        <v/>
      </c>
      <c r="L314" s="200">
        <f>IF(AND(B314="",C314=""),"",1)</f>
        <v/>
      </c>
      <c r="M314" s="399" t="n"/>
      <c r="N314" s="154">
        <f>IF(AND(B314="",C314=""),"",1)</f>
        <v/>
      </c>
      <c r="O314" s="155">
        <f>IF(AND(B314="",C314=""),"",IF(J314&gt;=20000,0.05,IF(J314&gt;=10000,0.1,IF(J314&gt;=5000,0.2,IF(J314&gt;=1000,0.3,IF(J314&gt;=0,0.4,{0}))))))</f>
        <v/>
      </c>
      <c r="P314" s="400">
        <f>IF(AND(B314="",C314=""),"",ROUND(H314*O314,2))</f>
        <v/>
      </c>
      <c r="Q314" s="401">
        <f>IF(AND(B314="",C314=""),"","元件")</f>
        <v/>
      </c>
      <c r="R314" s="168" t="inlineStr"/>
      <c r="S314" s="168" t="inlineStr"/>
      <c r="T314" s="168" t="inlineStr"/>
      <c r="U314" s="168" t="inlineStr"/>
      <c r="V314" s="402" t="n"/>
      <c r="W314" s="402" t="n"/>
      <c r="X314" s="170" t="inlineStr"/>
    </row>
    <row r="315" s="308">
      <c r="A315" s="64">
        <f>ROW()-ROW(A$295)</f>
        <v/>
      </c>
      <c r="B315" s="171" t="inlineStr">
        <is>
          <t>小计</t>
        </is>
      </c>
      <c r="C315" s="172" t="n"/>
      <c r="D315" s="204" t="n"/>
      <c r="E315" s="114" t="n"/>
      <c r="F315" s="114" t="n"/>
      <c r="G315" s="396" t="n"/>
      <c r="H315" s="396">
        <f>ROUND(SUM(H295:INDEX(H:H,ROW()-1)),2)</f>
        <v/>
      </c>
      <c r="I315" s="45" t="inlineStr"/>
      <c r="J315" s="397" t="n"/>
      <c r="K315" s="398">
        <f>ROUND(SUM(K295:INDEX(K:K,ROW()-1)),2)</f>
        <v/>
      </c>
      <c r="L315" s="200" t="n"/>
      <c r="M315" s="399" t="n"/>
      <c r="N315" s="154" t="n"/>
      <c r="O315" s="155" t="n"/>
      <c r="P315" s="400" t="n"/>
      <c r="Q315" s="401" t="n"/>
      <c r="R315" s="168" t="inlineStr"/>
      <c r="S315" s="168" t="inlineStr"/>
      <c r="T315" s="168" t="inlineStr"/>
      <c r="U315" s="168" t="inlineStr"/>
      <c r="V315" s="402">
        <f>ROUND(SUMPRODUCT(F295:INDEX(F:F,ROW()-1),V295:INDEX(V:V,ROW()-1)),2)</f>
        <v/>
      </c>
      <c r="W315" s="402">
        <f>ROUND(SUMPRODUCT(F295:INDEX(F:F,ROW()-1),W295:INDEX(W:W,ROW()-1)),2)</f>
        <v/>
      </c>
      <c r="X315" s="170" t="inlineStr"/>
    </row>
    <row r="316" s="308">
      <c r="A316" s="64">
        <f>ROW()-ROW(A$295)</f>
        <v/>
      </c>
      <c r="B316" s="171" t="inlineStr">
        <is>
          <t>综合费(人工、管理、税金、利润等)</t>
        </is>
      </c>
      <c r="C316" s="172" t="n"/>
      <c r="D316" s="204" t="n"/>
      <c r="E316" s="114" t="n"/>
      <c r="F316" s="114" t="n"/>
      <c r="G316" s="396" t="n"/>
      <c r="H316" s="396">
        <f>2500</f>
        <v/>
      </c>
      <c r="I316" s="45" t="inlineStr"/>
      <c r="J316" s="397" t="n"/>
      <c r="K316" s="398" t="n"/>
      <c r="L316" s="200" t="n"/>
      <c r="M316" s="399" t="n"/>
      <c r="N316" s="154" t="n"/>
      <c r="O316" s="155" t="n"/>
      <c r="P316" s="400" t="n"/>
      <c r="Q316" s="401" t="inlineStr">
        <is>
          <t>费用</t>
        </is>
      </c>
      <c r="R316" s="168" t="inlineStr"/>
      <c r="S316" s="168" t="inlineStr"/>
      <c r="T316" s="168" t="inlineStr"/>
      <c r="U316" s="168" t="inlineStr"/>
      <c r="V316" s="402" t="n"/>
      <c r="W316" s="402" t="n"/>
      <c r="X316" s="170" t="inlineStr"/>
    </row>
    <row r="317" s="308">
      <c r="A317" s="64">
        <f>ROW()-ROW(A$295)</f>
        <v/>
      </c>
      <c r="B317" s="204" t="inlineStr">
        <is>
          <t>单台合计</t>
        </is>
      </c>
      <c r="C317" s="172" t="n"/>
      <c r="D317" s="204" t="n"/>
      <c r="E317" s="114" t="n"/>
      <c r="F317" s="114" t="n"/>
      <c r="G317" s="396" t="n"/>
      <c r="H317" s="396">
        <f>ROUND(SUM(H315:H316),2)</f>
        <v/>
      </c>
      <c r="I317" s="181" t="n"/>
      <c r="J317" s="397" t="n"/>
      <c r="K317" s="398">
        <f>ROUND(SUM(K315:K316),2)</f>
        <v/>
      </c>
      <c r="L317" s="209" t="n"/>
      <c r="M317" s="399" t="n"/>
      <c r="N317" s="210" t="n"/>
      <c r="O317" s="211" t="n"/>
      <c r="P317" s="400" t="n"/>
      <c r="Q317" s="401" t="n"/>
      <c r="R317" s="168" t="inlineStr"/>
      <c r="S317" s="168" t="inlineStr"/>
      <c r="T317" s="168" t="inlineStr"/>
      <c r="U317" s="168" t="inlineStr"/>
      <c r="V317" s="402" t="n"/>
      <c r="W317" s="402" t="n"/>
      <c r="X317" s="170" t="inlineStr"/>
    </row>
    <row r="318" s="308">
      <c r="A318" s="173" t="inlineStr">
        <is>
          <t>总计</t>
        </is>
      </c>
      <c r="B318" s="205" t="n"/>
      <c r="C318" s="175" t="n"/>
      <c r="D318" s="206" t="n"/>
      <c r="E318" s="206" t="inlineStr">
        <is>
          <t>台</t>
        </is>
      </c>
      <c r="F318" s="206" t="n">
        <v>2</v>
      </c>
      <c r="G318" s="414">
        <f>ROUND(H317,2)</f>
        <v/>
      </c>
      <c r="H318" s="414">
        <f>ROUND(F318*G318,2)</f>
        <v/>
      </c>
      <c r="I318" s="185" t="n"/>
      <c r="J318" s="415" t="n"/>
      <c r="K318" s="416">
        <f>ROUND(K317*F318,2)</f>
        <v/>
      </c>
      <c r="L318" s="214" t="n"/>
      <c r="M318" s="417" t="n"/>
      <c r="N318" s="216" t="n"/>
      <c r="O318" s="217" t="n"/>
      <c r="P318" s="418" t="n"/>
      <c r="Q318" s="401" t="n"/>
      <c r="R318" s="168" t="inlineStr"/>
      <c r="S318" s="168" t="inlineStr"/>
      <c r="T318" s="168" t="inlineStr"/>
      <c r="U318" s="168" t="inlineStr"/>
      <c r="V318" s="402" t="n"/>
      <c r="W318" s="402" t="n"/>
      <c r="X318" s="170" t="inlineStr"/>
    </row>
    <row r="319" customFormat="1" s="4">
      <c r="A319" s="6" t="n"/>
      <c r="B319" s="195" t="inlineStr"/>
      <c r="C319" s="195" t="inlineStr"/>
      <c r="D319" s="195" t="inlineStr"/>
      <c r="Q319" s="159" t="n"/>
      <c r="R319" s="159" t="n"/>
      <c r="S319" s="159" t="n"/>
      <c r="T319" s="159" t="n"/>
      <c r="U319" s="159" t="n"/>
      <c r="X319" s="195" t="inlineStr"/>
    </row>
    <row r="320" customFormat="1" s="4">
      <c r="A320" s="6" t="n"/>
      <c r="B320" s="195" t="inlineStr"/>
      <c r="C320" s="195" t="inlineStr"/>
      <c r="D320" s="195" t="inlineStr"/>
      <c r="Q320" s="159" t="n"/>
      <c r="R320" s="159" t="n"/>
      <c r="S320" s="159" t="n"/>
      <c r="T320" s="159" t="n"/>
      <c r="U320" s="159" t="n"/>
      <c r="X320" s="195" t="inlineStr"/>
    </row>
    <row r="321" s="308">
      <c r="A321" s="208">
        <f>CONCATENATE("报价人：",项目信息!$B$8)</f>
        <v/>
      </c>
      <c r="B321" s="208" t="n"/>
      <c r="C321" s="4" t="n"/>
      <c r="D321" s="4" t="n"/>
      <c r="E321" s="4" t="n"/>
      <c r="F321" s="4" t="n"/>
      <c r="G321" s="4" t="n"/>
      <c r="H321" s="178">
        <f>项目信息!$B$9</f>
        <v/>
      </c>
      <c r="Q321" s="159" t="n"/>
      <c r="R321" s="159" t="n"/>
      <c r="S321" s="159" t="n"/>
      <c r="T321" s="159" t="n"/>
      <c r="U321" s="159" t="n"/>
      <c r="X321" s="203" t="inlineStr"/>
    </row>
    <row r="322" s="308">
      <c r="A322" s="8">
        <f>T(项目信息!$B$22)</f>
        <v/>
      </c>
      <c r="Q322" s="159" t="n"/>
      <c r="R322" s="159" t="n"/>
      <c r="S322" s="159" t="n"/>
      <c r="T322" s="159" t="n"/>
      <c r="U322" s="159" t="n"/>
    </row>
    <row r="323" s="308">
      <c r="A323" s="9">
        <f>T(项目信息!$B$23)</f>
        <v/>
      </c>
      <c r="Q323" s="159" t="n"/>
      <c r="R323" s="159" t="n"/>
      <c r="S323" s="159" t="n"/>
      <c r="T323" s="159" t="n"/>
      <c r="U323" s="159" t="n"/>
    </row>
    <row r="324" s="308">
      <c r="A324" s="97" t="inlineStr">
        <is>
          <t>成套产品报价明细表</t>
        </is>
      </c>
      <c r="B324" s="378" t="n"/>
      <c r="C324" s="378" t="n"/>
      <c r="D324" s="378" t="n"/>
      <c r="E324" s="378" t="n"/>
      <c r="F324" s="378" t="n"/>
      <c r="G324" s="378" t="n"/>
      <c r="H324" s="378" t="n"/>
      <c r="I324" s="378" t="n"/>
      <c r="Q324" s="159" t="n"/>
      <c r="R324" s="159" t="n"/>
      <c r="S324" s="159" t="n"/>
      <c r="T324" s="159" t="n"/>
      <c r="U324" s="159" t="n"/>
    </row>
    <row r="325" customFormat="1" s="4">
      <c r="A325" s="98" t="inlineStr">
        <is>
          <t>柜号:</t>
        </is>
      </c>
      <c r="B325" s="99" t="inlineStr">
        <is>
          <t>AAN1-07</t>
        </is>
      </c>
      <c r="C325" s="100" t="inlineStr">
        <is>
          <t>型号:</t>
        </is>
      </c>
      <c r="D325" s="99" t="inlineStr">
        <is>
          <t>BlokSeT</t>
        </is>
      </c>
      <c r="E325" s="379" t="n"/>
      <c r="F325" s="101" t="inlineStr">
        <is>
          <t>名称:</t>
        </is>
      </c>
      <c r="G325" s="99" t="inlineStr">
        <is>
          <t>馈线柜</t>
        </is>
      </c>
      <c r="H325" s="379" t="n"/>
      <c r="I325" s="408" t="inlineStr"/>
      <c r="J325" s="194" t="inlineStr">
        <is>
          <t>箱柜尺寸:</t>
        </is>
      </c>
      <c r="K325" s="195" t="inlineStr">
        <is>
          <t>800W*1200D*2200H</t>
        </is>
      </c>
      <c r="L325" s="194" t="inlineStr">
        <is>
          <t>类别:</t>
        </is>
      </c>
      <c r="M325" s="195" t="inlineStr">
        <is>
          <t>低压固定柜</t>
        </is>
      </c>
      <c r="N325" s="409" t="inlineStr"/>
      <c r="Q325" s="159" t="n"/>
      <c r="R325" s="159" t="n"/>
      <c r="S325" s="159" t="n"/>
      <c r="T325" s="159" t="n"/>
      <c r="U325" s="159" t="n"/>
    </row>
    <row r="326" ht="20.1" customHeight="1" s="308">
      <c r="A326" s="102" t="inlineStr">
        <is>
          <t>序号</t>
        </is>
      </c>
      <c r="B326" s="103" t="inlineStr">
        <is>
          <t>元件名称</t>
        </is>
      </c>
      <c r="C326" s="103" t="inlineStr">
        <is>
          <t>型号规格</t>
        </is>
      </c>
      <c r="D326" s="104" t="inlineStr">
        <is>
          <t>生产厂家</t>
        </is>
      </c>
      <c r="E326" s="105" t="inlineStr">
        <is>
          <t>单位</t>
        </is>
      </c>
      <c r="F326" s="105" t="inlineStr">
        <is>
          <t>数量</t>
        </is>
      </c>
      <c r="G326" s="382" t="inlineStr">
        <is>
          <t>单   价</t>
        </is>
      </c>
      <c r="H326" s="383" t="inlineStr">
        <is>
          <t>总   价</t>
        </is>
      </c>
      <c r="I326" s="134" t="inlineStr">
        <is>
          <t>备注</t>
        </is>
      </c>
      <c r="J326" s="384" t="inlineStr">
        <is>
          <t>成本单价</t>
        </is>
      </c>
      <c r="K326" s="384" t="inlineStr">
        <is>
          <t>成本总价</t>
        </is>
      </c>
      <c r="L326" s="136" t="inlineStr">
        <is>
          <t>报出
系数</t>
        </is>
      </c>
      <c r="M326" s="384" t="inlineStr">
        <is>
          <t>表价</t>
        </is>
      </c>
      <c r="N326" s="136" t="inlineStr">
        <is>
          <t>折扣
系数</t>
        </is>
      </c>
      <c r="O326" s="137" t="inlineStr">
        <is>
          <t>取费
系数</t>
        </is>
      </c>
      <c r="P326" s="384" t="inlineStr">
        <is>
          <t>成套费</t>
        </is>
      </c>
      <c r="Q326" s="161" t="inlineStr">
        <is>
          <t>类别</t>
        </is>
      </c>
      <c r="R326" s="161" t="inlineStr">
        <is>
          <t>物料编码</t>
        </is>
      </c>
      <c r="S326" s="161" t="inlineStr">
        <is>
          <t>产地</t>
        </is>
      </c>
      <c r="T326" s="161" t="inlineStr">
        <is>
          <t>加工费</t>
        </is>
      </c>
      <c r="U326" s="161" t="inlineStr">
        <is>
          <t>订货号</t>
        </is>
      </c>
      <c r="V326" s="161" t="inlineStr">
        <is>
          <t>人工</t>
        </is>
      </c>
      <c r="W326" s="161" t="inlineStr">
        <is>
          <t>辅料</t>
        </is>
      </c>
      <c r="X326" s="203" t="inlineStr"/>
    </row>
    <row r="327" s="308">
      <c r="A327" s="64">
        <f>ROW()-ROW(A$326)</f>
        <v/>
      </c>
      <c r="B327" s="22" t="inlineStr">
        <is>
          <t>框架断路器</t>
        </is>
      </c>
      <c r="C327" s="22" t="inlineStr">
        <is>
          <t>MT10 N1a SG 3P MIC5.0 E</t>
        </is>
      </c>
      <c r="D327" s="22" t="inlineStr">
        <is>
          <t>甲供/施耐德电气</t>
        </is>
      </c>
      <c r="E327" s="23" t="inlineStr">
        <is>
          <t>只</t>
        </is>
      </c>
      <c r="F327" s="23" t="n">
        <v>2</v>
      </c>
      <c r="G327" s="349">
        <f>IF(AND(B327="",C327=""),"",ROUND(M327*L327*N327,2))</f>
        <v/>
      </c>
      <c r="H327" s="349">
        <f>IF(AND(B327="",C327=""),"",ROUND(F327*G327,2))</f>
        <v/>
      </c>
      <c r="I327" s="45" t="inlineStr"/>
      <c r="J327" s="397">
        <f>IF(AND(B327="",C327=""),"",ROUND(M327*N327,2))</f>
        <v/>
      </c>
      <c r="K327" s="398">
        <f>IF(AND(B327="",C327=""),"",ROUND(J327*F327,2))</f>
        <v/>
      </c>
      <c r="L327" s="200" t="n">
        <v>1</v>
      </c>
      <c r="M327" s="399" t="n">
        <v>1e-07</v>
      </c>
      <c r="N327" s="154" t="n">
        <v>1</v>
      </c>
      <c r="O327" s="155">
        <f>IF(AND(B327="",C327=""),"",IF(G327&gt;=20000,0.05,IF(G327&gt;=10000,0.1,IF(G327&gt;=5000,0.2,IF(G327&gt;=1000,0.3,IF(G327&gt;=0,0.4,{0}))))))</f>
        <v/>
      </c>
      <c r="P327" s="400">
        <f>IF(AND(B327="",C327=""),"",ROUND(H327*O327,2))</f>
        <v/>
      </c>
      <c r="Q327" s="401" t="inlineStr">
        <is>
          <t>元件</t>
        </is>
      </c>
      <c r="R327" s="168" t="inlineStr"/>
      <c r="S327" s="168" t="inlineStr"/>
      <c r="T327" s="168" t="inlineStr">
        <is>
          <t>0</t>
        </is>
      </c>
      <c r="U327" s="168" t="inlineStr">
        <is>
          <t>C16F32D160</t>
        </is>
      </c>
      <c r="V327" s="402" t="n"/>
      <c r="W327" s="402" t="n"/>
      <c r="X327" s="170" t="inlineStr">
        <is>
          <t>NSX630N Mic2.3 630A 3P3D F→NSX630F MIC2.3 630 3P F→NSX630F MIC 2.3 630 3P F</t>
        </is>
      </c>
    </row>
    <row r="328" s="308">
      <c r="A328" s="64">
        <f>ROW()-ROW(A$326)</f>
        <v/>
      </c>
      <c r="B328" s="22" t="inlineStr">
        <is>
          <t>框架断路器</t>
        </is>
      </c>
      <c r="C328" s="22" t="inlineStr">
        <is>
          <t>MT10 N1a SG 4P MIC5.0 E</t>
        </is>
      </c>
      <c r="D328" s="22" t="inlineStr">
        <is>
          <t>甲供/施耐德电气</t>
        </is>
      </c>
      <c r="E328" s="23" t="inlineStr">
        <is>
          <t>只</t>
        </is>
      </c>
      <c r="F328" s="23" t="n">
        <v>1</v>
      </c>
      <c r="G328" s="349">
        <f>IF(AND(B328="",C328=""),"",ROUND(M328*L328*N328,2))</f>
        <v/>
      </c>
      <c r="H328" s="349">
        <f>IF(AND(B328="",C328=""),"",ROUND(F328*G328,2))</f>
        <v/>
      </c>
      <c r="I328" s="45" t="inlineStr"/>
      <c r="J328" s="397">
        <f>IF(AND(B328="",C328=""),"",ROUND(M328*N328,2))</f>
        <v/>
      </c>
      <c r="K328" s="398">
        <f>IF(AND(B328="",C328=""),"",ROUND(J328*F328,2))</f>
        <v/>
      </c>
      <c r="L328" s="200" t="n">
        <v>1</v>
      </c>
      <c r="M328" s="399" t="n">
        <v>1e-07</v>
      </c>
      <c r="N328" s="154" t="n">
        <v>1</v>
      </c>
      <c r="O328" s="155">
        <f>IF(AND(B328="",C328=""),"",IF(G328&gt;=20000,0.05,IF(G328&gt;=10000,0.1,IF(G328&gt;=5000,0.2,IF(G328&gt;=1000,0.3,IF(G328&gt;=0,0.4,{0}))))))</f>
        <v/>
      </c>
      <c r="P328" s="400">
        <f>IF(AND(B328="",C328=""),"",ROUND(H328*O328,2))</f>
        <v/>
      </c>
      <c r="Q328" s="401" t="inlineStr">
        <is>
          <t>元件</t>
        </is>
      </c>
      <c r="R328" s="168" t="inlineStr"/>
      <c r="S328" s="168" t="inlineStr"/>
      <c r="T328" s="168" t="inlineStr">
        <is>
          <t>0</t>
        </is>
      </c>
      <c r="U328" s="168" t="inlineStr">
        <is>
          <t>C16F32D160</t>
        </is>
      </c>
      <c r="V328" s="402" t="n"/>
      <c r="W328" s="402" t="n"/>
      <c r="X328" s="170" t="inlineStr">
        <is>
          <t>NSX630N Mic2.3 630A 3P3D F→NSX630F MIC2.3 630 3P F→NSX630F MIC 2.3 630 3P F</t>
        </is>
      </c>
    </row>
    <row r="329" s="308">
      <c r="A329" s="64">
        <f>ROW()-ROW(A$326)</f>
        <v/>
      </c>
      <c r="B329" s="22" t="inlineStr">
        <is>
          <t>电流互感器</t>
        </is>
      </c>
      <c r="C329" s="22" t="inlineStr">
        <is>
          <t>SD-0.66-80II-V 1000/5A</t>
        </is>
      </c>
      <c r="D329" s="22" t="inlineStr">
        <is>
          <t>桑迪</t>
        </is>
      </c>
      <c r="E329" s="23" t="inlineStr">
        <is>
          <t>只</t>
        </is>
      </c>
      <c r="F329" s="23" t="n">
        <v>9</v>
      </c>
      <c r="G329" s="349">
        <f>IF(AND(B329="",C329=""),"",ROUND(M329*L329*N329,2))</f>
        <v/>
      </c>
      <c r="H329" s="396">
        <f>IF(AND(B329="",C329=""),"",ROUND(F329*G329,2))</f>
        <v/>
      </c>
      <c r="I329" s="219" t="inlineStr"/>
      <c r="J329" s="397">
        <f>IF(AND(B329="",C329=""),"",ROUND(M329*N329,2))</f>
        <v/>
      </c>
      <c r="K329" s="398">
        <f>IF(AND(B329="",C329=""),"",ROUND(J329*F329,2))</f>
        <v/>
      </c>
      <c r="L329" s="200" t="n">
        <v>1</v>
      </c>
      <c r="M329" s="399" t="n">
        <v>91.65000000000001</v>
      </c>
      <c r="N329" s="154" t="n">
        <v>1</v>
      </c>
      <c r="O329" s="155">
        <f>IF(AND(B329="",C329=""),"",IF(G329&gt;=20000,0.05,IF(G329&gt;=10000,0.1,IF(G329&gt;=5000,0.2,IF(G329&gt;=1000,0.3,IF(G329&gt;=0,0.4,{0}))))))</f>
        <v/>
      </c>
      <c r="P329" s="400">
        <f>IF(AND(B329="",C329=""),"",ROUND(H329*O329,2))</f>
        <v/>
      </c>
      <c r="Q329" s="401" t="inlineStr">
        <is>
          <t>元件</t>
        </is>
      </c>
      <c r="R329" s="168" t="inlineStr"/>
      <c r="S329" s="168" t="inlineStr"/>
      <c r="T329" s="168" t="inlineStr">
        <is>
          <t>0</t>
        </is>
      </c>
      <c r="U329" s="168" t="inlineStr">
        <is>
          <t>710141426552500</t>
        </is>
      </c>
      <c r="V329" s="402" t="n"/>
      <c r="W329" s="402" t="n"/>
      <c r="X329" s="170" t="inlineStr">
        <is>
          <t>SD→SD-0.66-40II-C 400/5A→SD-0.66-30I 250/5A→SD-0.66-30I 150/5A→SD-0.66-60II-C 750/5A→SD-0.66-60II-C 600/5A→SD-0.66-30I 150/5A→SD-0.66-40II-C 400/5A→SD-0.66-100II-C 1600/5A</t>
        </is>
      </c>
    </row>
    <row r="330" s="308">
      <c r="A330" s="64">
        <f>ROW()-ROW(A$326)</f>
        <v/>
      </c>
      <c r="B330" s="112" t="inlineStr">
        <is>
          <t>多功能表</t>
        </is>
      </c>
      <c r="C330" s="112" t="inlineStr">
        <is>
          <t>PM4101</t>
        </is>
      </c>
      <c r="D330" s="112" t="inlineStr">
        <is>
          <t>甲供/施耐德电气</t>
        </is>
      </c>
      <c r="E330" s="114" t="inlineStr">
        <is>
          <t>只</t>
        </is>
      </c>
      <c r="F330" s="114" t="n">
        <v>3</v>
      </c>
      <c r="G330" s="396">
        <f>IF(AND(B330="",C330=""),"",ROUND(M330*L330*N330,2))</f>
        <v/>
      </c>
      <c r="H330" s="349">
        <f>IF(AND(B330="",C330=""),"",ROUND(F330*G330,2))</f>
        <v/>
      </c>
      <c r="I330" s="45" t="inlineStr"/>
      <c r="J330" s="397">
        <f>IF(AND(B330="",C330=""),"",ROUND(M330*N330,2))</f>
        <v/>
      </c>
      <c r="K330" s="398">
        <f>IF(AND(B330="",C330=""),"",ROUND(J330*F330,2))</f>
        <v/>
      </c>
      <c r="L330" s="200" t="n">
        <v>1</v>
      </c>
      <c r="M330" s="399" t="n">
        <v>1e-07</v>
      </c>
      <c r="N330" s="154" t="n">
        <v>1</v>
      </c>
      <c r="O330" s="155">
        <f>IF(AND(B330="",C330=""),"",IF(J330&gt;=20000,0.05,IF(J330&gt;=10000,0.1,IF(J330&gt;=5000,0.2,IF(J330&gt;=1000,0.3,IF(J330&gt;=0,0.4,{0}))))))</f>
        <v/>
      </c>
      <c r="P330" s="400">
        <f>IF(AND(B330="",C330=""),"",ROUND(H330*O330,2))</f>
        <v/>
      </c>
      <c r="Q330" s="401" t="inlineStr">
        <is>
          <t>元件</t>
        </is>
      </c>
      <c r="R330" s="168" t="inlineStr"/>
      <c r="S330" s="168" t="inlineStr"/>
      <c r="T330" s="168" t="inlineStr">
        <is>
          <t>0</t>
        </is>
      </c>
      <c r="U330" s="168" t="inlineStr"/>
      <c r="V330" s="402" t="n"/>
      <c r="W330" s="402" t="n"/>
      <c r="X330" s="170" t="inlineStr"/>
    </row>
    <row r="331" customFormat="1" s="3">
      <c r="A331" s="64">
        <f>ROW()-ROW(A$326)</f>
        <v/>
      </c>
      <c r="B331" s="22" t="inlineStr">
        <is>
          <t>指示灯</t>
        </is>
      </c>
      <c r="C331" s="22" t="inlineStr">
        <is>
          <t>XB2BVM3LC</t>
        </is>
      </c>
      <c r="D331" s="22" t="inlineStr">
        <is>
          <t>甲供/施耐德电气</t>
        </is>
      </c>
      <c r="E331" s="23" t="inlineStr">
        <is>
          <t>只</t>
        </is>
      </c>
      <c r="F331" s="23" t="n">
        <v>3</v>
      </c>
      <c r="G331" s="349">
        <f>IF(AND(B331="",C331=""),"",ROUND(M331*L331*N331,2))</f>
        <v/>
      </c>
      <c r="H331" s="353">
        <f>IF(AND(B331="",C331=""),"",ROUND(F331*G331,2))</f>
        <v/>
      </c>
      <c r="I331" s="180" t="inlineStr"/>
      <c r="J331" s="392">
        <f>IF(AND(B331="",C331=""),"",ROUND(M331*N331,2))</f>
        <v/>
      </c>
      <c r="K331" s="393">
        <f>IF(AND(B331="",C331=""),"",ROUND(J331*F331,2))</f>
        <v/>
      </c>
      <c r="L331" s="141" t="n">
        <v>1</v>
      </c>
      <c r="M331" s="394" t="n">
        <v>1e-07</v>
      </c>
      <c r="N331" s="220" t="n">
        <v>1</v>
      </c>
      <c r="O331" s="221">
        <f>IF(AND(B331="",C331=""),"",IF(G331&gt;=20000,0.05,IF(G331&gt;=10000,0.1,IF(G331&gt;=5000,0.2,IF(G331&gt;=1000,0.3,IF(G331&gt;=0,0.4,{0}))))))</f>
        <v/>
      </c>
      <c r="P331" s="419">
        <f>IF(AND(B331="",C331=""),"",ROUND(H331*O331,2))</f>
        <v/>
      </c>
      <c r="Q331" s="420" t="inlineStr">
        <is>
          <t>元件</t>
        </is>
      </c>
      <c r="R331" s="231" t="inlineStr"/>
      <c r="S331" s="231" t="inlineStr"/>
      <c r="T331" s="231" t="inlineStr">
        <is>
          <t>0</t>
        </is>
      </c>
      <c r="U331" s="231" t="inlineStr">
        <is>
          <t>XB2BVM3LC</t>
        </is>
      </c>
      <c r="V331" s="421" t="n"/>
      <c r="W331" s="421" t="n"/>
      <c r="X331" s="166" t="inlineStr">
        <is>
          <t>XA2EVM3LC</t>
        </is>
      </c>
    </row>
    <row r="332" customFormat="1" s="3">
      <c r="A332" s="64">
        <f>ROW()-ROW(A$326)</f>
        <v/>
      </c>
      <c r="B332" s="22" t="inlineStr">
        <is>
          <t>指示灯</t>
        </is>
      </c>
      <c r="C332" s="22" t="inlineStr">
        <is>
          <t>XB2BVM4LC</t>
        </is>
      </c>
      <c r="D332" s="22" t="inlineStr">
        <is>
          <t>甲供/施耐德电气</t>
        </is>
      </c>
      <c r="E332" s="23" t="inlineStr">
        <is>
          <t>只</t>
        </is>
      </c>
      <c r="F332" s="23" t="n">
        <v>3</v>
      </c>
      <c r="G332" s="349">
        <f>IF(AND(B332="",C332=""),"",ROUND(M332*L332*N332,2))</f>
        <v/>
      </c>
      <c r="H332" s="353">
        <f>IF(AND(B332="",C332=""),"",ROUND(F332*G332,2))</f>
        <v/>
      </c>
      <c r="I332" s="180" t="inlineStr"/>
      <c r="J332" s="392">
        <f>IF(AND(B332="",C332=""),"",ROUND(M332*N332,2))</f>
        <v/>
      </c>
      <c r="K332" s="393">
        <f>IF(AND(B332="",C332=""),"",ROUND(J332*F332,2))</f>
        <v/>
      </c>
      <c r="L332" s="141" t="n">
        <v>1</v>
      </c>
      <c r="M332" s="394" t="n">
        <v>1e-07</v>
      </c>
      <c r="N332" s="220" t="n">
        <v>1</v>
      </c>
      <c r="O332" s="221">
        <f>IF(AND(B332="",C332=""),"",IF(G332&gt;=20000,0.05,IF(G332&gt;=10000,0.1,IF(G332&gt;=5000,0.2,IF(G332&gt;=1000,0.3,IF(G332&gt;=0,0.4,{0}))))))</f>
        <v/>
      </c>
      <c r="P332" s="419">
        <f>IF(AND(B332="",C332=""),"",ROUND(H332*O332,2))</f>
        <v/>
      </c>
      <c r="Q332" s="420" t="inlineStr">
        <is>
          <t>元件</t>
        </is>
      </c>
      <c r="R332" s="231" t="inlineStr"/>
      <c r="S332" s="231" t="inlineStr"/>
      <c r="T332" s="231" t="inlineStr">
        <is>
          <t>0</t>
        </is>
      </c>
      <c r="U332" s="231" t="inlineStr">
        <is>
          <t>XB2BVM4LC</t>
        </is>
      </c>
      <c r="V332" s="421" t="n"/>
      <c r="W332" s="421" t="n"/>
      <c r="X332" s="166" t="inlineStr">
        <is>
          <t>XA2EVM4LC</t>
        </is>
      </c>
    </row>
    <row r="333" s="308">
      <c r="A333" s="64">
        <f>ROW()-ROW(A$326)</f>
        <v/>
      </c>
      <c r="B333" s="112" t="inlineStr">
        <is>
          <t>指示灯</t>
        </is>
      </c>
      <c r="C333" s="112" t="inlineStr">
        <is>
          <t>XB2BVM5LC</t>
        </is>
      </c>
      <c r="D333" s="112" t="inlineStr">
        <is>
          <t>甲供/施耐德电气</t>
        </is>
      </c>
      <c r="E333" s="114" t="inlineStr">
        <is>
          <t>只</t>
        </is>
      </c>
      <c r="F333" s="114" t="n">
        <v>3</v>
      </c>
      <c r="G333" s="396">
        <f>IF(AND(B333="",C333=""),"",ROUND(M333*L333*N333,2))</f>
        <v/>
      </c>
      <c r="H333" s="396">
        <f>IF(AND(B333="",C333=""),"",ROUND(F333*G333,2))</f>
        <v/>
      </c>
      <c r="I333" s="150" t="inlineStr"/>
      <c r="J333" s="397">
        <f>IF(AND(B333="",C333=""),"",ROUND(M333*N333,2))</f>
        <v/>
      </c>
      <c r="K333" s="398">
        <f>IF(AND(B333="",C333=""),"",ROUND(J333*F333,2))</f>
        <v/>
      </c>
      <c r="L333" s="141" t="n">
        <v>1</v>
      </c>
      <c r="M333" s="399" t="n">
        <v>1e-07</v>
      </c>
      <c r="N333" s="154" t="n">
        <v>1</v>
      </c>
      <c r="O333" s="155">
        <f>IF(AND(B333="",C333=""),"",IF(G333&gt;=20000,0.05,IF(G333&gt;=10000,0.1,IF(G333&gt;=5000,0.2,IF(G333&gt;=1000,0.3,IF(G333&gt;=0,0.4,{0}))))))</f>
        <v/>
      </c>
      <c r="P333" s="400">
        <f>IF(AND(B333="",C333=""),"",ROUND(H333*O333,2))</f>
        <v/>
      </c>
      <c r="Q333" s="401" t="inlineStr">
        <is>
          <t>元件</t>
        </is>
      </c>
      <c r="R333" s="168" t="inlineStr"/>
      <c r="S333" s="168" t="inlineStr"/>
      <c r="T333" s="168" t="inlineStr">
        <is>
          <t>0</t>
        </is>
      </c>
      <c r="U333" s="168" t="inlineStr">
        <is>
          <t>XA2EVM5LC</t>
        </is>
      </c>
      <c r="V333" s="402" t="n"/>
      <c r="W333" s="402" t="n"/>
      <c r="X333" s="170" t="inlineStr"/>
    </row>
    <row r="334" s="308">
      <c r="A334" s="64">
        <f>ROW()-ROW(A$326)</f>
        <v/>
      </c>
      <c r="B334" s="112" t="inlineStr">
        <is>
          <t>按钮</t>
        </is>
      </c>
      <c r="C334" s="112" t="inlineStr">
        <is>
          <t>XB2BA31C</t>
        </is>
      </c>
      <c r="D334" s="112" t="inlineStr">
        <is>
          <t>甲供/施耐德电气</t>
        </is>
      </c>
      <c r="E334" s="114" t="inlineStr">
        <is>
          <t>只</t>
        </is>
      </c>
      <c r="F334" s="114" t="n">
        <v>3</v>
      </c>
      <c r="G334" s="396">
        <f>IF(AND(B334="",C334=""),"",ROUND(M334*L334*N334,2))</f>
        <v/>
      </c>
      <c r="H334" s="396">
        <f>IF(AND(B334="",C334=""),"",ROUND(F334*G334,2))</f>
        <v/>
      </c>
      <c r="I334" s="150" t="inlineStr"/>
      <c r="J334" s="397">
        <f>IF(AND(B334="",C334=""),"",ROUND(M334*N334,2))</f>
        <v/>
      </c>
      <c r="K334" s="398">
        <f>IF(AND(B334="",C334=""),"",ROUND(J334*F334,2))</f>
        <v/>
      </c>
      <c r="L334" s="141" t="n">
        <v>1</v>
      </c>
      <c r="M334" s="399" t="n">
        <v>1e-07</v>
      </c>
      <c r="N334" s="154" t="n">
        <v>1</v>
      </c>
      <c r="O334" s="155">
        <f>IF(AND(B334="",C334=""),"",IF(G334&gt;=20000,0.05,IF(G334&gt;=10000,0.1,IF(G334&gt;=5000,0.2,IF(G334&gt;=1000,0.3,IF(G334&gt;=0,0.4,{0}))))))</f>
        <v/>
      </c>
      <c r="P334" s="400">
        <f>IF(AND(B334="",C334=""),"",ROUND(H334*O334,2))</f>
        <v/>
      </c>
      <c r="Q334" s="401" t="inlineStr">
        <is>
          <t>元件</t>
        </is>
      </c>
      <c r="R334" s="168" t="inlineStr"/>
      <c r="S334" s="168" t="inlineStr"/>
      <c r="T334" s="168" t="inlineStr">
        <is>
          <t>0</t>
        </is>
      </c>
      <c r="U334" s="168" t="inlineStr">
        <is>
          <t>XB2BA31C</t>
        </is>
      </c>
      <c r="V334" s="402" t="n"/>
      <c r="W334" s="402" t="n"/>
      <c r="X334" s="170" t="inlineStr">
        <is>
          <t>XA2EA31</t>
        </is>
      </c>
    </row>
    <row r="335" s="308">
      <c r="A335" s="64">
        <f>ROW()-ROW(A$326)</f>
        <v/>
      </c>
      <c r="B335" s="22" t="inlineStr">
        <is>
          <t>按钮</t>
        </is>
      </c>
      <c r="C335" s="22" t="inlineStr">
        <is>
          <t>XB2BA42C</t>
        </is>
      </c>
      <c r="D335" s="22" t="inlineStr">
        <is>
          <t>甲供/施耐德电气</t>
        </is>
      </c>
      <c r="E335" s="23" t="inlineStr">
        <is>
          <t>只</t>
        </is>
      </c>
      <c r="F335" s="23" t="n">
        <v>3</v>
      </c>
      <c r="G335" s="349">
        <f>IF(AND(B335="",C335=""),"",ROUND(M335*L335*N335,2))</f>
        <v/>
      </c>
      <c r="H335" s="396">
        <f>IF(AND(B335="",C335=""),"",ROUND(F335*G335,2))</f>
        <v/>
      </c>
      <c r="I335" s="150" t="inlineStr"/>
      <c r="J335" s="397">
        <f>IF(AND(B335="",C335=""),"",ROUND(M335*N335,2))</f>
        <v/>
      </c>
      <c r="K335" s="398">
        <f>IF(AND(B335="",C335=""),"",ROUND(J335*F335,2))</f>
        <v/>
      </c>
      <c r="L335" s="141" t="n">
        <v>1</v>
      </c>
      <c r="M335" s="399" t="n">
        <v>1e-07</v>
      </c>
      <c r="N335" s="154" t="n">
        <v>1</v>
      </c>
      <c r="O335" s="155">
        <f>IF(AND(B335="",C335=""),"",IF(G335&gt;=20000,0.05,IF(G335&gt;=10000,0.1,IF(G335&gt;=5000,0.2,IF(G335&gt;=1000,0.3,IF(G335&gt;=0,0.4,{0}))))))</f>
        <v/>
      </c>
      <c r="P335" s="400">
        <f>IF(AND(B335="",C335=""),"",ROUND(H335*O335,2))</f>
        <v/>
      </c>
      <c r="Q335" s="401" t="inlineStr">
        <is>
          <t>元件</t>
        </is>
      </c>
      <c r="R335" s="168" t="inlineStr"/>
      <c r="S335" s="168" t="inlineStr"/>
      <c r="T335" s="168" t="inlineStr">
        <is>
          <t>0</t>
        </is>
      </c>
      <c r="U335" s="168" t="inlineStr">
        <is>
          <t>XB2BA42C</t>
        </is>
      </c>
      <c r="V335" s="402" t="n"/>
      <c r="W335" s="402" t="n"/>
      <c r="X335" s="170" t="inlineStr">
        <is>
          <t>XA2EA41</t>
        </is>
      </c>
    </row>
    <row r="336" s="308">
      <c r="A336" s="64">
        <f>ROW()-ROW(A$326)</f>
        <v/>
      </c>
      <c r="B336" s="112" t="inlineStr">
        <is>
          <t>温湿度控制器</t>
        </is>
      </c>
      <c r="C336" s="112" t="inlineStr">
        <is>
          <t>ATH48G-11</t>
        </is>
      </c>
      <c r="D336" s="22" t="inlineStr">
        <is>
          <t>杭州安廷</t>
        </is>
      </c>
      <c r="E336" s="23" t="inlineStr">
        <is>
          <t>套</t>
        </is>
      </c>
      <c r="F336" s="23" t="n">
        <v>1</v>
      </c>
      <c r="G336" s="349">
        <f>IF(AND(B336="",C336=""),"",ROUND(M336*L336*N336,2))</f>
        <v/>
      </c>
      <c r="H336" s="396">
        <f>IF(AND(B336="",C336=""),"",ROUND(F336*G336,2))</f>
        <v/>
      </c>
      <c r="I336" s="150" t="inlineStr"/>
      <c r="J336" s="397">
        <f>IF(AND(B336="",C336=""),"",ROUND(M336*N336,2))</f>
        <v/>
      </c>
      <c r="K336" s="398">
        <f>IF(AND(B336="",C336=""),"",ROUND(J336*F336,2))</f>
        <v/>
      </c>
      <c r="L336" s="141" t="n">
        <v>1</v>
      </c>
      <c r="M336" s="399" t="n">
        <v>450</v>
      </c>
      <c r="N336" s="154" t="n">
        <v>1</v>
      </c>
      <c r="O336" s="155">
        <f>IF(AND(B336="",C336=""),"",IF(G336&gt;=20000,0.05,IF(G336&gt;=10000,0.1,IF(G336&gt;=5000,0.2,IF(G336&gt;=1000,0.3,IF(G336&gt;=0,0.4,{0}))))))</f>
        <v/>
      </c>
      <c r="P336" s="400">
        <f>IF(AND(B336="",C336=""),"",ROUND(H336*O336,2))</f>
        <v/>
      </c>
      <c r="Q336" s="401" t="inlineStr">
        <is>
          <t>元件</t>
        </is>
      </c>
      <c r="R336" s="168" t="inlineStr"/>
      <c r="S336" s="168" t="inlineStr"/>
      <c r="T336" s="168" t="inlineStr">
        <is>
          <t>0</t>
        </is>
      </c>
      <c r="U336" s="168" t="inlineStr"/>
      <c r="V336" s="402" t="n"/>
      <c r="W336" s="402" t="n"/>
      <c r="X336" s="170" t="inlineStr"/>
    </row>
    <row r="337" s="308">
      <c r="A337" s="64">
        <f>ROW()-ROW(A$326)</f>
        <v/>
      </c>
      <c r="B337" s="22" t="inlineStr">
        <is>
          <t>中间继电器</t>
        </is>
      </c>
      <c r="C337" s="22" t="inlineStr">
        <is>
          <t>RXM4AB2P7+RXZE2S114M+RXZ400</t>
        </is>
      </c>
      <c r="D337" s="22" t="inlineStr">
        <is>
          <t>甲供/施耐德电气</t>
        </is>
      </c>
      <c r="E337" s="23" t="inlineStr">
        <is>
          <t>只</t>
        </is>
      </c>
      <c r="F337" s="23" t="n">
        <v>6</v>
      </c>
      <c r="G337" s="349">
        <f>IF(AND(B337="",C337=""),"",ROUND(M337*L337*N337,2))</f>
        <v/>
      </c>
      <c r="H337" s="349">
        <f>IF(AND(B337="",C337=""),"",ROUND(F337*G337,2))</f>
        <v/>
      </c>
      <c r="I337" s="45" t="inlineStr"/>
      <c r="J337" s="397">
        <f>IF(AND(B337="",C337=""),"",ROUND(M337*N337,2))</f>
        <v/>
      </c>
      <c r="K337" s="398">
        <f>IF(AND(B337="",C337=""),"",ROUND(J337*F337,2))</f>
        <v/>
      </c>
      <c r="L337" s="141" t="n">
        <v>1</v>
      </c>
      <c r="M337" s="399" t="n">
        <v>1e-07</v>
      </c>
      <c r="N337" s="154" t="n">
        <v>1</v>
      </c>
      <c r="O337" s="155">
        <f>IF(AND(B337="",C337=""),"",IF(G337&gt;=20000,0.05,IF(G337&gt;=10000,0.1,IF(G337&gt;=5000,0.2,IF(G337&gt;=1000,0.3,IF(G337&gt;=0,0.4,{0}))))))</f>
        <v/>
      </c>
      <c r="P337" s="400">
        <f>IF(AND(B337="",C337=""),"",ROUND(H337*O337,2))</f>
        <v/>
      </c>
      <c r="Q337" s="401" t="inlineStr">
        <is>
          <t>元件</t>
        </is>
      </c>
      <c r="R337" s="168" t="inlineStr"/>
      <c r="S337" s="168" t="inlineStr"/>
      <c r="T337" s="168" t="inlineStr">
        <is>
          <t>0</t>
        </is>
      </c>
      <c r="U337" s="168" t="inlineStr">
        <is>
          <t>RXM4AB2P7+RXZE2S114M+RXZ400</t>
        </is>
      </c>
      <c r="V337" s="402" t="n"/>
      <c r="W337" s="402" t="n"/>
      <c r="X337" s="170" t="inlineStr">
        <is>
          <t>REL-IR-BL/L-230AC/4X21，含底座→RXM4AB2P7+RXZE2S114M+RXZ400→REL-IR-BL/L-230AC/4X21，含底座</t>
        </is>
      </c>
    </row>
    <row r="338" customFormat="1" s="3">
      <c r="A338" s="64">
        <f>ROW()-ROW(A$326)</f>
        <v/>
      </c>
      <c r="B338" s="22" t="inlineStr">
        <is>
          <t>带熔丝端子</t>
        </is>
      </c>
      <c r="C338" s="22" t="inlineStr">
        <is>
          <t>UK 5-HESI</t>
        </is>
      </c>
      <c r="D338" s="22" t="inlineStr">
        <is>
          <t>菲尼克斯</t>
        </is>
      </c>
      <c r="E338" s="23" t="inlineStr">
        <is>
          <t>只</t>
        </is>
      </c>
      <c r="F338" s="23" t="n">
        <v>12</v>
      </c>
      <c r="G338" s="349">
        <f>IF(AND(B338="",C338=""),"",ROUND(M338*L338*N338,2))</f>
        <v/>
      </c>
      <c r="H338" s="349">
        <f>IF(AND(B338="",C338=""),"",ROUND(F338*G338,2))</f>
        <v/>
      </c>
      <c r="I338" s="45" t="inlineStr"/>
      <c r="J338" s="392">
        <f>IF(AND(B338="",C338=""),"",ROUND(M338*N338,2))</f>
        <v/>
      </c>
      <c r="K338" s="393">
        <f>IF(AND(B338="",C338=""),"",ROUND(J338*F338,2))</f>
        <v/>
      </c>
      <c r="L338" s="141" t="n">
        <v>1</v>
      </c>
      <c r="M338" s="394" t="n">
        <v>7</v>
      </c>
      <c r="N338" s="220" t="n">
        <v>1</v>
      </c>
      <c r="O338" s="221">
        <f>IF(AND(B338="",C338=""),"",IF(G338&gt;=20000,0.05,IF(G338&gt;=10000,0.1,IF(G338&gt;=5000,0.2,IF(G338&gt;=1000,0.3,IF(G338&gt;=0,0.4,{0}))))))</f>
        <v/>
      </c>
      <c r="P338" s="419">
        <f>IF(AND(B338="",C338=""),"",ROUND(H338*O338,2))</f>
        <v/>
      </c>
      <c r="Q338" s="420" t="inlineStr">
        <is>
          <t>元件</t>
        </is>
      </c>
      <c r="R338" s="231" t="inlineStr"/>
      <c r="S338" s="231" t="inlineStr"/>
      <c r="T338" s="231" t="inlineStr">
        <is>
          <t>0</t>
        </is>
      </c>
      <c r="U338" s="231" t="inlineStr">
        <is>
          <t>True</t>
        </is>
      </c>
      <c r="V338" s="421" t="n"/>
      <c r="W338" s="421" t="n"/>
      <c r="X338" s="166" t="inlineStr"/>
    </row>
    <row r="339" s="308">
      <c r="A339" s="64">
        <f>ROW()-ROW(A$326)</f>
        <v/>
      </c>
      <c r="B339" s="22" t="inlineStr">
        <is>
          <t>水平母排</t>
        </is>
      </c>
      <c r="C339" s="22" t="inlineStr">
        <is>
          <t>TMY 4*(4*150*5)+2*50*5</t>
        </is>
      </c>
      <c r="D339" s="22" t="inlineStr">
        <is>
          <t>国产优质</t>
        </is>
      </c>
      <c r="E339" s="23" t="inlineStr">
        <is>
          <t>米</t>
        </is>
      </c>
      <c r="F339" s="23" t="n">
        <v>0.9</v>
      </c>
      <c r="G339" s="349">
        <f>IF(AND(B339="",C339=""),"",ROUND(M339*L339*N339,2))</f>
        <v/>
      </c>
      <c r="H339" s="349">
        <f>IF(AND(B339="",C339=""),"",ROUND(F339*G339,2))</f>
        <v/>
      </c>
      <c r="I339" s="45" t="inlineStr"/>
      <c r="J339" s="397">
        <f>IF(AND(B339="",C339=""),"",ROUND(M339*N339,2))</f>
        <v/>
      </c>
      <c r="K339" s="398">
        <f>IF(AND(B339="",C339=""),"",ROUND(J339*F339,2))</f>
        <v/>
      </c>
      <c r="L339" s="200" t="n">
        <v>1</v>
      </c>
      <c r="M339" s="399" t="n">
        <v>12026.68125</v>
      </c>
      <c r="N339" s="154">
        <f>(6317.932*1*1+2684.8*1*1)/9002.732</f>
        <v/>
      </c>
      <c r="O339" s="155">
        <f>IF(AND(B339="",C339=""),"",IF(J339&gt;=20000,0.05,IF(J339&gt;=10000,0.1,IF(J339&gt;=5000,0.2,IF(J339&gt;=1000,0.3,IF(J339&gt;=0,0.4,{0}))))))</f>
        <v/>
      </c>
      <c r="P339" s="400">
        <f>IF(AND(B339="",C339=""),"",ROUND(H339*O339,2))</f>
        <v/>
      </c>
      <c r="Q339" s="401" t="inlineStr">
        <is>
          <t>母排</t>
        </is>
      </c>
      <c r="R339" s="168" t="inlineStr"/>
      <c r="S339" s="168" t="inlineStr"/>
      <c r="T339" s="168" t="inlineStr">
        <is>
          <t>0</t>
        </is>
      </c>
      <c r="U339" s="168" t="inlineStr"/>
      <c r="V339" s="402" t="n"/>
      <c r="W339" s="402" t="n"/>
      <c r="X339" s="170" t="inlineStr"/>
    </row>
    <row r="340" customFormat="1" s="5">
      <c r="A340" s="64">
        <f>ROW()-ROW(A$326)</f>
        <v/>
      </c>
      <c r="B340" s="22" t="inlineStr">
        <is>
          <t>桩头排</t>
        </is>
      </c>
      <c r="C340" s="22" t="inlineStr">
        <is>
          <t>TMY 3*80*5</t>
        </is>
      </c>
      <c r="D340" s="22" t="inlineStr">
        <is>
          <t>国产优质</t>
        </is>
      </c>
      <c r="E340" s="23" t="inlineStr">
        <is>
          <t>米</t>
        </is>
      </c>
      <c r="F340" s="23" t="n">
        <v>3</v>
      </c>
      <c r="G340" s="349">
        <f>IF(AND(B340="",C340=""),"",ROUND(M340*L340*N340,2))</f>
        <v/>
      </c>
      <c r="H340" s="349">
        <f>IF(AND(B340="",C340=""),"",ROUND(F340*G340,2))</f>
        <v/>
      </c>
      <c r="I340" s="45" t="inlineStr"/>
      <c r="J340" s="422">
        <f>IF(AND(B340="",C340=""),"",ROUND(M340*N340,2))</f>
        <v/>
      </c>
      <c r="K340" s="423">
        <f>IF(AND(B340="",C340=""),"",ROUND(J340*F340,2))</f>
        <v/>
      </c>
      <c r="L340" s="225" t="n">
        <v>1</v>
      </c>
      <c r="M340" s="424" t="n">
        <v>1154.5614</v>
      </c>
      <c r="N340" s="227" t="n">
        <v>1</v>
      </c>
      <c r="O340" s="228">
        <f>IF(AND(B340="",C340=""),"",IF(G340&gt;=20000,0.05,IF(G340&gt;=10000,0.1,IF(G340&gt;=5000,0.2,IF(G340&gt;=1000,0.3,IF(G340&gt;=0,0.4,{0}))))))</f>
        <v/>
      </c>
      <c r="P340" s="425">
        <f>IF(AND(B340="",C340=""),"",ROUND(H340*O340,2))</f>
        <v/>
      </c>
      <c r="Q340" s="426" t="inlineStr">
        <is>
          <t>母排</t>
        </is>
      </c>
      <c r="R340" s="234" t="inlineStr"/>
      <c r="S340" s="234" t="inlineStr"/>
      <c r="T340" s="235" t="inlineStr">
        <is>
          <t>0</t>
        </is>
      </c>
      <c r="U340" s="235" t="inlineStr"/>
      <c r="V340" s="427" t="n"/>
      <c r="W340" s="427" t="n"/>
      <c r="X340" s="237" t="inlineStr">
        <is>
          <t>TMY 2*30*5→TMY 30*8</t>
        </is>
      </c>
    </row>
    <row r="341" customFormat="1" s="5">
      <c r="A341" s="64">
        <f>ROW()-ROW(A$326)</f>
        <v/>
      </c>
      <c r="B341" s="22" t="inlineStr">
        <is>
          <t>桩头排</t>
        </is>
      </c>
      <c r="C341" s="22" t="inlineStr">
        <is>
          <t>TMY 4*80*5</t>
        </is>
      </c>
      <c r="D341" s="22" t="inlineStr">
        <is>
          <t>国产优质</t>
        </is>
      </c>
      <c r="E341" s="23" t="inlineStr">
        <is>
          <t>米</t>
        </is>
      </c>
      <c r="F341" s="23" t="n">
        <v>1.5</v>
      </c>
      <c r="G341" s="349">
        <f>IF(AND(B341="",C341=""),"",ROUND(M341*L341*N341,2))</f>
        <v/>
      </c>
      <c r="H341" s="349">
        <f>IF(AND(B341="",C341=""),"",ROUND(F341*G341,2))</f>
        <v/>
      </c>
      <c r="I341" s="45" t="inlineStr"/>
      <c r="J341" s="422">
        <f>IF(AND(B341="",C341=""),"",ROUND(M341*N341,2))</f>
        <v/>
      </c>
      <c r="K341" s="423">
        <f>IF(AND(B341="",C341=""),"",ROUND(J341*F341,2))</f>
        <v/>
      </c>
      <c r="L341" s="225" t="n">
        <v>1</v>
      </c>
      <c r="M341" s="424" t="n">
        <v>1539.4152</v>
      </c>
      <c r="N341" s="227" t="n">
        <v>1</v>
      </c>
      <c r="O341" s="228">
        <f>IF(AND(B341="",C341=""),"",IF(G341&gt;=20000,0.05,IF(G341&gt;=10000,0.1,IF(G341&gt;=5000,0.2,IF(G341&gt;=1000,0.3,IF(G341&gt;=0,0.4,{0}))))))</f>
        <v/>
      </c>
      <c r="P341" s="425">
        <f>IF(AND(B341="",C341=""),"",ROUND(H341*O341,2))</f>
        <v/>
      </c>
      <c r="Q341" s="426" t="inlineStr">
        <is>
          <t>母排</t>
        </is>
      </c>
      <c r="R341" s="234" t="inlineStr"/>
      <c r="S341" s="234" t="inlineStr"/>
      <c r="T341" s="235" t="inlineStr">
        <is>
          <t>0</t>
        </is>
      </c>
      <c r="U341" s="235" t="inlineStr"/>
      <c r="V341" s="427" t="n"/>
      <c r="W341" s="427" t="n"/>
      <c r="X341" s="237" t="inlineStr">
        <is>
          <t>TMY 2*30*5→TMY 30*8</t>
        </is>
      </c>
    </row>
    <row r="342" customFormat="1" s="5">
      <c r="A342" s="64">
        <f>ROW()-ROW(A$326)</f>
        <v/>
      </c>
      <c r="B342" s="22" t="inlineStr">
        <is>
          <t>垂直排</t>
        </is>
      </c>
      <c r="C342" s="22" t="inlineStr">
        <is>
          <t>TMY 4*2*80*5</t>
        </is>
      </c>
      <c r="D342" s="22" t="inlineStr">
        <is>
          <t>国产优质</t>
        </is>
      </c>
      <c r="E342" s="23" t="inlineStr">
        <is>
          <t>米</t>
        </is>
      </c>
      <c r="F342" s="23" t="n">
        <v>2</v>
      </c>
      <c r="G342" s="349">
        <f>IF(AND(B342="",C342=""),"",ROUND(M342*L342*N342,2))</f>
        <v/>
      </c>
      <c r="H342" s="349">
        <f>IF(AND(B342="",C342=""),"",ROUND(F342*G342,2))</f>
        <v/>
      </c>
      <c r="I342" s="45" t="inlineStr"/>
      <c r="J342" s="422">
        <f>IF(AND(B342="",C342=""),"",ROUND(M342*N342,2))</f>
        <v/>
      </c>
      <c r="K342" s="423">
        <f>IF(AND(B342="",C342=""),"",ROUND(J342*F342,2))</f>
        <v/>
      </c>
      <c r="L342" s="225" t="n">
        <v>1</v>
      </c>
      <c r="M342" s="424" t="n">
        <v>3078.8304</v>
      </c>
      <c r="N342" s="227" t="n">
        <v>1</v>
      </c>
      <c r="O342" s="228">
        <f>IF(AND(B342="",C342=""),"",IF(G342&gt;=20000,0.05,IF(G342&gt;=10000,0.1,IF(G342&gt;=5000,0.2,IF(G342&gt;=1000,0.3,IF(G342&gt;=0,0.4,{0}))))))</f>
        <v/>
      </c>
      <c r="P342" s="425">
        <f>IF(AND(B342="",C342=""),"",ROUND(H342*O342,2))</f>
        <v/>
      </c>
      <c r="Q342" s="426" t="inlineStr">
        <is>
          <t>母排</t>
        </is>
      </c>
      <c r="R342" s="234" t="inlineStr"/>
      <c r="S342" s="234" t="inlineStr"/>
      <c r="T342" s="235" t="inlineStr">
        <is>
          <t>0</t>
        </is>
      </c>
      <c r="U342" s="235" t="inlineStr"/>
      <c r="V342" s="427" t="n"/>
      <c r="W342" s="427" t="n"/>
      <c r="X342" s="237" t="inlineStr">
        <is>
          <t>TMY 2*30*5→TMY 30*8</t>
        </is>
      </c>
    </row>
    <row r="343" customFormat="1" s="5">
      <c r="A343" s="64">
        <f>ROW()-ROW(A$326)</f>
        <v/>
      </c>
      <c r="B343" s="22" t="inlineStr">
        <is>
          <t>N排</t>
        </is>
      </c>
      <c r="C343" s="22" t="inlineStr">
        <is>
          <t>TMY 2*80*10</t>
        </is>
      </c>
      <c r="D343" s="22" t="inlineStr">
        <is>
          <t>国产优质</t>
        </is>
      </c>
      <c r="E343" s="23" t="inlineStr">
        <is>
          <t>米</t>
        </is>
      </c>
      <c r="F343" s="23" t="n">
        <v>3</v>
      </c>
      <c r="G343" s="349">
        <f>IF(AND(B343="",C343=""),"",ROUND(M343*L343*N343,2))</f>
        <v/>
      </c>
      <c r="H343" s="349">
        <f>IF(AND(B343="",C343=""),"",ROUND(F343*G343,2))</f>
        <v/>
      </c>
      <c r="I343" s="45" t="inlineStr"/>
      <c r="J343" s="422">
        <f>IF(AND(B343="",C343=""),"",ROUND(M343*N343,2))</f>
        <v/>
      </c>
      <c r="K343" s="423">
        <f>IF(AND(B343="",C343=""),"",ROUND(J343*F343,2))</f>
        <v/>
      </c>
      <c r="L343" s="225" t="n">
        <v>1</v>
      </c>
      <c r="M343" s="424" t="n">
        <v>1539.4152</v>
      </c>
      <c r="N343" s="227" t="n">
        <v>1</v>
      </c>
      <c r="O343" s="228">
        <f>IF(AND(B343="",C343=""),"",IF(G343&gt;=20000,0.05,IF(G343&gt;=10000,0.1,IF(G343&gt;=5000,0.2,IF(G343&gt;=1000,0.3,IF(G343&gt;=0,0.4,{0}))))))</f>
        <v/>
      </c>
      <c r="P343" s="425">
        <f>IF(AND(B343="",C343=""),"",ROUND(H343*O343,2))</f>
        <v/>
      </c>
      <c r="Q343" s="426" t="inlineStr">
        <is>
          <t>母排</t>
        </is>
      </c>
      <c r="R343" s="234" t="inlineStr"/>
      <c r="S343" s="234" t="inlineStr"/>
      <c r="T343" s="235" t="inlineStr">
        <is>
          <t>0</t>
        </is>
      </c>
      <c r="U343" s="235" t="inlineStr"/>
      <c r="V343" s="427" t="n"/>
      <c r="W343" s="427" t="n"/>
      <c r="X343" s="237" t="inlineStr">
        <is>
          <t>TMY 2*30*5→TMY 30*8</t>
        </is>
      </c>
    </row>
    <row r="344" customFormat="1" s="5">
      <c r="A344" s="64">
        <f>ROW()-ROW(A$326)</f>
        <v/>
      </c>
      <c r="B344" s="22" t="inlineStr">
        <is>
          <t>PE排</t>
        </is>
      </c>
      <c r="C344" s="22" t="inlineStr">
        <is>
          <t>TMY 2*50*5</t>
        </is>
      </c>
      <c r="D344" s="22" t="inlineStr">
        <is>
          <t>国产优质</t>
        </is>
      </c>
      <c r="E344" s="23" t="inlineStr">
        <is>
          <t>米</t>
        </is>
      </c>
      <c r="F344" s="23" t="n">
        <v>2</v>
      </c>
      <c r="G344" s="349">
        <f>IF(AND(B344="",C344=""),"",ROUND(M344*L344*N344,2))</f>
        <v/>
      </c>
      <c r="H344" s="349">
        <f>IF(AND(B344="",C344=""),"",ROUND(F344*G344,2))</f>
        <v/>
      </c>
      <c r="I344" s="45" t="inlineStr"/>
      <c r="J344" s="422">
        <f>IF(AND(B344="",C344=""),"",ROUND(M344*N344,2))</f>
        <v/>
      </c>
      <c r="K344" s="423">
        <f>IF(AND(B344="",C344=""),"",ROUND(J344*F344,2))</f>
        <v/>
      </c>
      <c r="L344" s="225" t="n">
        <v>1</v>
      </c>
      <c r="M344" s="424" t="n">
        <v>481.06725</v>
      </c>
      <c r="N344" s="227" t="n">
        <v>1</v>
      </c>
      <c r="O344" s="228">
        <f>IF(AND(B344="",C344=""),"",IF(G344&gt;=20000,0.05,IF(G344&gt;=10000,0.1,IF(G344&gt;=5000,0.2,IF(G344&gt;=1000,0.3,IF(G344&gt;=0,0.4,{0}))))))</f>
        <v/>
      </c>
      <c r="P344" s="425">
        <f>IF(AND(B344="",C344=""),"",ROUND(H344*O344,2))</f>
        <v/>
      </c>
      <c r="Q344" s="426" t="inlineStr">
        <is>
          <t>母排</t>
        </is>
      </c>
      <c r="R344" s="234" t="inlineStr"/>
      <c r="S344" s="234" t="inlineStr"/>
      <c r="T344" s="235" t="inlineStr">
        <is>
          <t>0</t>
        </is>
      </c>
      <c r="U344" s="235" t="inlineStr"/>
      <c r="V344" s="427" t="n"/>
      <c r="W344" s="427" t="n"/>
      <c r="X344" s="237" t="inlineStr">
        <is>
          <t>TMY 2*30*5→TMY 30*8</t>
        </is>
      </c>
    </row>
    <row r="345" s="308">
      <c r="A345" s="64">
        <f>ROW()-ROW(A$326)</f>
        <v/>
      </c>
      <c r="B345" s="112" t="inlineStr">
        <is>
          <t>辅料</t>
        </is>
      </c>
      <c r="C345" s="112" t="inlineStr"/>
      <c r="D345" s="112" t="inlineStr"/>
      <c r="E345" s="114" t="inlineStr">
        <is>
          <t>套</t>
        </is>
      </c>
      <c r="F345" s="114" t="n">
        <v>1</v>
      </c>
      <c r="G345" s="396">
        <f>IF(AND(B345="",C345=""),"",ROUND(M345*L345*N345,2))</f>
        <v/>
      </c>
      <c r="H345" s="396">
        <f>IF(AND(B345="",C345=""),"",ROUND(F345*G345,2))</f>
        <v/>
      </c>
      <c r="I345" s="219" t="inlineStr"/>
      <c r="J345" s="397">
        <f>IF(AND(B345="",C345=""),"",ROUND(M345*N345,2))</f>
        <v/>
      </c>
      <c r="K345" s="398">
        <f>IF(AND(B345="",C345=""),"",ROUND(J345*F345,2))</f>
        <v/>
      </c>
      <c r="L345" s="200" t="n">
        <v>1</v>
      </c>
      <c r="M345" s="399" t="n">
        <v>1050</v>
      </c>
      <c r="N345" s="154" t="n">
        <v>1</v>
      </c>
      <c r="O345" s="155">
        <f>IF(AND(B345="",C345=""),"",IF(G345&gt;=20000,0.05,IF(G345&gt;=10000,0.1,IF(G345&gt;=5000,0.2,IF(G345&gt;=1000,0.3,IF(G345&gt;=0,0.4,{0}))))))</f>
        <v/>
      </c>
      <c r="P345" s="400">
        <f>IF(AND(B345="",C345=""),"",ROUND(H345*O345,2))</f>
        <v/>
      </c>
      <c r="Q345" s="401" t="inlineStr">
        <is>
          <t>辅料</t>
        </is>
      </c>
      <c r="R345" s="168" t="inlineStr"/>
      <c r="S345" s="168" t="inlineStr"/>
      <c r="T345" s="168" t="inlineStr">
        <is>
          <t>0</t>
        </is>
      </c>
      <c r="U345" s="168" t="inlineStr"/>
      <c r="V345" s="402" t="n"/>
      <c r="W345" s="402" t="n"/>
      <c r="X345" s="170" t="inlineStr"/>
    </row>
    <row r="346" s="308">
      <c r="A346" s="64">
        <f>ROW()-ROW(A$326)</f>
        <v/>
      </c>
      <c r="B346" s="112" t="inlineStr">
        <is>
          <t>柜体Blokset</t>
        </is>
      </c>
      <c r="C346" s="22" t="inlineStr">
        <is>
          <t>800W*1200D*2200H</t>
        </is>
      </c>
      <c r="D346" s="112" t="inlineStr">
        <is>
          <t>清科</t>
        </is>
      </c>
      <c r="E346" s="114" t="inlineStr">
        <is>
          <t>台</t>
        </is>
      </c>
      <c r="F346" s="114" t="n">
        <v>1</v>
      </c>
      <c r="G346" s="396">
        <f>IF(AND(B346="",C346=""),"",ROUND(M346*L346*N346,2))</f>
        <v/>
      </c>
      <c r="H346" s="396">
        <f>IF(AND(B346="",C346=""),"",ROUND(F346*G346,2))</f>
        <v/>
      </c>
      <c r="I346" s="219" t="inlineStr"/>
      <c r="J346" s="397">
        <f>IF(AND(B346="",C346=""),"",ROUND(M346*N346,2))</f>
        <v/>
      </c>
      <c r="K346" s="398">
        <f>IF(AND(B346="",C346=""),"",ROUND(J346*F346,2))</f>
        <v/>
      </c>
      <c r="L346" s="200" t="n">
        <v>1</v>
      </c>
      <c r="M346" s="399" t="n">
        <v>5056</v>
      </c>
      <c r="N346" s="154" t="n">
        <v>1</v>
      </c>
      <c r="O346" s="155">
        <f>IF(AND(B346="",C346=""),"",IF(G346&gt;=20000,0.05,IF(G346&gt;=10000,0.1,IF(G346&gt;=5000,0.2,IF(G346&gt;=1000,0.3,IF(G346&gt;=0,0.4,{0}))))))</f>
        <v/>
      </c>
      <c r="P346" s="400">
        <f>IF(AND(B346="",C346=""),"",ROUND(H346*O346,2))</f>
        <v/>
      </c>
      <c r="Q346" s="401" t="inlineStr">
        <is>
          <t>箱体</t>
        </is>
      </c>
      <c r="R346" s="168" t="inlineStr"/>
      <c r="S346" s="168" t="inlineStr"/>
      <c r="T346" s="168" t="inlineStr">
        <is>
          <t>0</t>
        </is>
      </c>
      <c r="U346" s="168" t="inlineStr"/>
      <c r="V346" s="402" t="n"/>
      <c r="W346" s="402" t="n"/>
      <c r="X346" s="170" t="inlineStr">
        <is>
          <t>BlokSeT</t>
        </is>
      </c>
    </row>
    <row r="347" s="308">
      <c r="A347" s="64">
        <f>ROW()-ROW(A$326)</f>
        <v/>
      </c>
      <c r="B347" s="22" t="inlineStr"/>
      <c r="C347" s="22" t="inlineStr"/>
      <c r="D347" s="22" t="inlineStr"/>
      <c r="E347" s="23" t="n"/>
      <c r="F347" s="23">
        <f>IF(AND(B347="",C347=""),"",1)</f>
        <v/>
      </c>
      <c r="G347" s="349">
        <f>IF(AND(B347="",C347=""),"",ROUND(M347*L347*N347,2))</f>
        <v/>
      </c>
      <c r="H347" s="349">
        <f>IF(AND(B347="",C347=""),"",ROUND(F347*G347,2))</f>
        <v/>
      </c>
      <c r="I347" s="45" t="inlineStr"/>
      <c r="J347" s="397">
        <f>IF(AND(B347="",C347=""),"",ROUND(M347*N347,2))</f>
        <v/>
      </c>
      <c r="K347" s="398">
        <f>IF(AND(B347="",C347=""),"",ROUND(J347*F347,2))</f>
        <v/>
      </c>
      <c r="L347" s="200">
        <f>IF(AND(B347="",C347=""),"",1)</f>
        <v/>
      </c>
      <c r="M347" s="399" t="n"/>
      <c r="N347" s="154">
        <f>IF(AND(B347="",C347=""),"",1)</f>
        <v/>
      </c>
      <c r="O347" s="155">
        <f>IF(AND(B347="",C347=""),"",IF(J347&gt;=20000,0.05,IF(J347&gt;=10000,0.1,IF(J347&gt;=5000,0.2,IF(J347&gt;=1000,0.3,IF(J347&gt;=0,0.4,{0}))))))</f>
        <v/>
      </c>
      <c r="P347" s="400">
        <f>IF(AND(B347="",C347=""),"",ROUND(H347*O347,2))</f>
        <v/>
      </c>
      <c r="Q347" s="401">
        <f>IF(AND(B347="",C347=""),"","元件")</f>
        <v/>
      </c>
      <c r="R347" s="168" t="inlineStr"/>
      <c r="S347" s="168" t="inlineStr"/>
      <c r="T347" s="168" t="inlineStr"/>
      <c r="U347" s="168" t="inlineStr"/>
      <c r="V347" s="402" t="n"/>
      <c r="W347" s="402" t="n"/>
      <c r="X347" s="170" t="inlineStr"/>
    </row>
    <row r="348" s="308">
      <c r="A348" s="64">
        <f>ROW()-ROW(A$326)</f>
        <v/>
      </c>
      <c r="B348" s="171" t="inlineStr">
        <is>
          <t>小计</t>
        </is>
      </c>
      <c r="C348" s="172" t="n"/>
      <c r="D348" s="204" t="n"/>
      <c r="E348" s="114" t="n"/>
      <c r="F348" s="114" t="n"/>
      <c r="G348" s="396" t="n"/>
      <c r="H348" s="396">
        <f>ROUND(SUM(H326:INDEX(H:H,ROW()-1)),2)</f>
        <v/>
      </c>
      <c r="I348" s="45" t="inlineStr"/>
      <c r="J348" s="397" t="n"/>
      <c r="K348" s="398">
        <f>ROUND(SUM(K326:INDEX(K:K,ROW()-1)),2)</f>
        <v/>
      </c>
      <c r="L348" s="200" t="n"/>
      <c r="M348" s="399" t="n"/>
      <c r="N348" s="154" t="n"/>
      <c r="O348" s="155" t="n"/>
      <c r="P348" s="400" t="n"/>
      <c r="Q348" s="401" t="n"/>
      <c r="R348" s="168" t="inlineStr"/>
      <c r="S348" s="168" t="inlineStr"/>
      <c r="T348" s="168" t="inlineStr"/>
      <c r="U348" s="168" t="inlineStr"/>
      <c r="V348" s="402">
        <f>ROUND(SUMPRODUCT(F326:INDEX(F:F,ROW()-1),V326:INDEX(V:V,ROW()-1)),2)</f>
        <v/>
      </c>
      <c r="W348" s="402">
        <f>ROUND(SUMPRODUCT(F326:INDEX(F:F,ROW()-1),W326:INDEX(W:W,ROW()-1)),2)</f>
        <v/>
      </c>
      <c r="X348" s="170" t="inlineStr"/>
    </row>
    <row r="349" s="308">
      <c r="A349" s="64">
        <f>ROW()-ROW(A$326)</f>
        <v/>
      </c>
      <c r="B349" s="171" t="inlineStr">
        <is>
          <t>综合费(人工、管理、税金、利润等)</t>
        </is>
      </c>
      <c r="C349" s="172" t="n"/>
      <c r="D349" s="204" t="n"/>
      <c r="E349" s="114" t="n"/>
      <c r="F349" s="114" t="n"/>
      <c r="G349" s="396" t="n"/>
      <c r="H349" s="396">
        <f>2500</f>
        <v/>
      </c>
      <c r="I349" s="45" t="inlineStr"/>
      <c r="J349" s="397" t="n"/>
      <c r="K349" s="398" t="n"/>
      <c r="L349" s="200" t="n"/>
      <c r="M349" s="399" t="n"/>
      <c r="N349" s="154" t="n"/>
      <c r="O349" s="155" t="n"/>
      <c r="P349" s="400" t="n"/>
      <c r="Q349" s="401" t="inlineStr">
        <is>
          <t>费用</t>
        </is>
      </c>
      <c r="R349" s="168" t="inlineStr"/>
      <c r="S349" s="168" t="inlineStr"/>
      <c r="T349" s="168" t="inlineStr"/>
      <c r="U349" s="168" t="inlineStr"/>
      <c r="V349" s="402" t="n"/>
      <c r="W349" s="402" t="n"/>
      <c r="X349" s="170" t="inlineStr"/>
    </row>
    <row r="350" s="308">
      <c r="A350" s="64">
        <f>ROW()-ROW(A$326)</f>
        <v/>
      </c>
      <c r="B350" s="204" t="inlineStr">
        <is>
          <t>单台合计</t>
        </is>
      </c>
      <c r="C350" s="172" t="n"/>
      <c r="D350" s="204" t="n"/>
      <c r="E350" s="114" t="n"/>
      <c r="F350" s="114" t="n"/>
      <c r="G350" s="396" t="n"/>
      <c r="H350" s="396">
        <f>ROUND(SUM(H348:H349),2)</f>
        <v/>
      </c>
      <c r="I350" s="181" t="n"/>
      <c r="J350" s="397" t="n"/>
      <c r="K350" s="398">
        <f>ROUND(SUM(K348:K349),2)</f>
        <v/>
      </c>
      <c r="L350" s="209" t="n"/>
      <c r="M350" s="399" t="n"/>
      <c r="N350" s="210" t="n"/>
      <c r="O350" s="211" t="n"/>
      <c r="P350" s="400" t="n"/>
      <c r="Q350" s="401" t="n"/>
      <c r="R350" s="168" t="inlineStr"/>
      <c r="S350" s="168" t="inlineStr"/>
      <c r="T350" s="168" t="inlineStr"/>
      <c r="U350" s="168" t="inlineStr"/>
      <c r="V350" s="402" t="n"/>
      <c r="W350" s="402" t="n"/>
      <c r="X350" s="170" t="inlineStr"/>
    </row>
    <row r="351" s="308">
      <c r="A351" s="173" t="inlineStr">
        <is>
          <t>总计</t>
        </is>
      </c>
      <c r="B351" s="205" t="n"/>
      <c r="C351" s="175" t="n"/>
      <c r="D351" s="206" t="n"/>
      <c r="E351" s="206" t="inlineStr">
        <is>
          <t>台</t>
        </is>
      </c>
      <c r="F351" s="206" t="n">
        <v>1</v>
      </c>
      <c r="G351" s="414">
        <f>ROUND(H350,2)</f>
        <v/>
      </c>
      <c r="H351" s="414">
        <f>ROUND(F351*G351,2)</f>
        <v/>
      </c>
      <c r="I351" s="185" t="n"/>
      <c r="J351" s="415" t="n"/>
      <c r="K351" s="416">
        <f>ROUND(K350*F351,2)</f>
        <v/>
      </c>
      <c r="L351" s="214" t="n"/>
      <c r="M351" s="417" t="n"/>
      <c r="N351" s="216" t="n"/>
      <c r="O351" s="217" t="n"/>
      <c r="P351" s="418" t="n"/>
      <c r="Q351" s="401" t="n"/>
      <c r="R351" s="168" t="inlineStr"/>
      <c r="S351" s="168" t="inlineStr"/>
      <c r="T351" s="168" t="inlineStr"/>
      <c r="U351" s="168" t="inlineStr"/>
      <c r="V351" s="402" t="n"/>
      <c r="W351" s="402" t="n"/>
      <c r="X351" s="170" t="inlineStr"/>
    </row>
    <row r="352" customFormat="1" s="4">
      <c r="A352" s="6" t="n"/>
      <c r="B352" s="195" t="inlineStr"/>
      <c r="C352" s="195" t="inlineStr"/>
      <c r="D352" s="195" t="inlineStr"/>
      <c r="Q352" s="159" t="n"/>
      <c r="R352" s="159" t="n"/>
      <c r="S352" s="159" t="n"/>
      <c r="T352" s="159" t="n"/>
      <c r="U352" s="159" t="n"/>
      <c r="X352" s="195" t="inlineStr"/>
    </row>
    <row r="353" customFormat="1" s="4">
      <c r="A353" s="6" t="n"/>
      <c r="B353" s="195" t="inlineStr"/>
      <c r="C353" s="195" t="inlineStr"/>
      <c r="D353" s="195" t="inlineStr"/>
      <c r="Q353" s="159" t="n"/>
      <c r="R353" s="159" t="n"/>
      <c r="S353" s="159" t="n"/>
      <c r="T353" s="159" t="n"/>
      <c r="U353" s="159" t="n"/>
      <c r="X353" s="195" t="inlineStr"/>
    </row>
    <row r="354" s="308">
      <c r="A354" s="208">
        <f>CONCATENATE("报价人：",项目信息!$B$8)</f>
        <v/>
      </c>
      <c r="B354" s="208" t="n"/>
      <c r="C354" s="4" t="n"/>
      <c r="D354" s="4" t="n"/>
      <c r="E354" s="4" t="n"/>
      <c r="F354" s="4" t="n"/>
      <c r="G354" s="4" t="n"/>
      <c r="H354" s="178">
        <f>项目信息!$B$9</f>
        <v/>
      </c>
      <c r="Q354" s="159" t="n"/>
      <c r="R354" s="159" t="n"/>
      <c r="S354" s="159" t="n"/>
      <c r="T354" s="159" t="n"/>
      <c r="U354" s="159" t="n"/>
      <c r="X354" s="203" t="inlineStr"/>
    </row>
    <row r="355" s="308">
      <c r="A355" s="8">
        <f>T(项目信息!$B$22)</f>
        <v/>
      </c>
      <c r="Q355" s="159" t="n"/>
      <c r="R355" s="159" t="n"/>
      <c r="S355" s="159" t="n"/>
      <c r="T355" s="159" t="n"/>
      <c r="U355" s="159" t="n"/>
    </row>
    <row r="356" s="308">
      <c r="A356" s="9">
        <f>T(项目信息!$B$23)</f>
        <v/>
      </c>
      <c r="Q356" s="159" t="n"/>
      <c r="R356" s="159" t="n"/>
      <c r="S356" s="159" t="n"/>
      <c r="T356" s="159" t="n"/>
      <c r="U356" s="159" t="n"/>
    </row>
    <row r="357" s="308">
      <c r="A357" s="97" t="inlineStr">
        <is>
          <t>成套产品报价明细表</t>
        </is>
      </c>
      <c r="B357" s="378" t="n"/>
      <c r="C357" s="378" t="n"/>
      <c r="D357" s="378" t="n"/>
      <c r="E357" s="378" t="n"/>
      <c r="F357" s="378" t="n"/>
      <c r="G357" s="378" t="n"/>
      <c r="H357" s="378" t="n"/>
      <c r="I357" s="378" t="n"/>
      <c r="Q357" s="159" t="n"/>
      <c r="R357" s="159" t="n"/>
      <c r="S357" s="159" t="n"/>
      <c r="T357" s="159" t="n"/>
      <c r="U357" s="159" t="n"/>
    </row>
    <row r="358" customFormat="1" s="4">
      <c r="A358" s="98" t="inlineStr">
        <is>
          <t>柜号:</t>
        </is>
      </c>
      <c r="B358" s="99" t="inlineStr">
        <is>
          <t>AAN1-08</t>
        </is>
      </c>
      <c r="C358" s="100" t="inlineStr">
        <is>
          <t>型号:</t>
        </is>
      </c>
      <c r="D358" s="99" t="inlineStr">
        <is>
          <t>BlokSeT</t>
        </is>
      </c>
      <c r="E358" s="379" t="n"/>
      <c r="F358" s="101" t="inlineStr">
        <is>
          <t>名称:</t>
        </is>
      </c>
      <c r="G358" s="99" t="inlineStr">
        <is>
          <t>馈线柜</t>
        </is>
      </c>
      <c r="H358" s="379" t="n"/>
      <c r="I358" s="408" t="inlineStr"/>
      <c r="J358" s="194" t="inlineStr">
        <is>
          <t>箱柜尺寸:</t>
        </is>
      </c>
      <c r="K358" s="195" t="inlineStr">
        <is>
          <t>600W*1200D*2200H</t>
        </is>
      </c>
      <c r="L358" s="194" t="inlineStr">
        <is>
          <t>类别:</t>
        </is>
      </c>
      <c r="M358" s="195" t="inlineStr">
        <is>
          <t>低压固定柜</t>
        </is>
      </c>
      <c r="N358" s="409" t="inlineStr"/>
      <c r="Q358" s="159" t="n"/>
      <c r="R358" s="159" t="n"/>
      <c r="S358" s="159" t="n"/>
      <c r="T358" s="159" t="n"/>
      <c r="U358" s="159" t="n"/>
    </row>
    <row r="359" ht="20.1" customHeight="1" s="308">
      <c r="A359" s="102" t="inlineStr">
        <is>
          <t>序号</t>
        </is>
      </c>
      <c r="B359" s="103" t="inlineStr">
        <is>
          <t>元件名称</t>
        </is>
      </c>
      <c r="C359" s="103" t="inlineStr">
        <is>
          <t>型号规格</t>
        </is>
      </c>
      <c r="D359" s="104" t="inlineStr">
        <is>
          <t>生产厂家</t>
        </is>
      </c>
      <c r="E359" s="105" t="inlineStr">
        <is>
          <t>单位</t>
        </is>
      </c>
      <c r="F359" s="105" t="inlineStr">
        <is>
          <t>数量</t>
        </is>
      </c>
      <c r="G359" s="382" t="inlineStr">
        <is>
          <t>单   价</t>
        </is>
      </c>
      <c r="H359" s="383" t="inlineStr">
        <is>
          <t>总   价</t>
        </is>
      </c>
      <c r="I359" s="134" t="inlineStr">
        <is>
          <t>备注</t>
        </is>
      </c>
      <c r="J359" s="384" t="inlineStr">
        <is>
          <t>成本单价</t>
        </is>
      </c>
      <c r="K359" s="384" t="inlineStr">
        <is>
          <t>成本总价</t>
        </is>
      </c>
      <c r="L359" s="136" t="inlineStr">
        <is>
          <t>报出
系数</t>
        </is>
      </c>
      <c r="M359" s="384" t="inlineStr">
        <is>
          <t>表价</t>
        </is>
      </c>
      <c r="N359" s="136" t="inlineStr">
        <is>
          <t>折扣
系数</t>
        </is>
      </c>
      <c r="O359" s="137" t="inlineStr">
        <is>
          <t>取费
系数</t>
        </is>
      </c>
      <c r="P359" s="384" t="inlineStr">
        <is>
          <t>成套费</t>
        </is>
      </c>
      <c r="Q359" s="161" t="inlineStr">
        <is>
          <t>类别</t>
        </is>
      </c>
      <c r="R359" s="161" t="inlineStr">
        <is>
          <t>物料编码</t>
        </is>
      </c>
      <c r="S359" s="161" t="inlineStr">
        <is>
          <t>产地</t>
        </is>
      </c>
      <c r="T359" s="161" t="inlineStr">
        <is>
          <t>加工费</t>
        </is>
      </c>
      <c r="U359" s="161" t="inlineStr">
        <is>
          <t>订货号</t>
        </is>
      </c>
      <c r="V359" s="161" t="inlineStr">
        <is>
          <t>人工</t>
        </is>
      </c>
      <c r="W359" s="161" t="inlineStr">
        <is>
          <t>辅料</t>
        </is>
      </c>
      <c r="X359" s="203" t="inlineStr"/>
    </row>
    <row r="360" s="308">
      <c r="A360" s="64">
        <f>ROW()-ROW(A$359)</f>
        <v/>
      </c>
      <c r="B360" s="22" t="inlineStr">
        <is>
          <t>塑壳断路器</t>
        </is>
      </c>
      <c r="C360" s="22" t="inlineStr">
        <is>
          <t>NSX160H TM160D 3P3D P</t>
        </is>
      </c>
      <c r="D360" s="22" t="inlineStr">
        <is>
          <t>甲供/施耐德电气</t>
        </is>
      </c>
      <c r="E360" s="23" t="inlineStr">
        <is>
          <t>只</t>
        </is>
      </c>
      <c r="F360" s="23" t="n">
        <v>1</v>
      </c>
      <c r="G360" s="349">
        <f>IF(AND(B360="",C360=""),"",ROUND(M360*L360*N360,2))</f>
        <v/>
      </c>
      <c r="H360" s="349">
        <f>IF(AND(B360="",C360=""),"",ROUND(F360*G360,2))</f>
        <v/>
      </c>
      <c r="I360" s="45" t="inlineStr"/>
      <c r="J360" s="397">
        <f>IF(AND(B360="",C360=""),"",ROUND(M360*N360,2))</f>
        <v/>
      </c>
      <c r="K360" s="398">
        <f>IF(AND(B360="",C360=""),"",ROUND(J360*F360,2))</f>
        <v/>
      </c>
      <c r="L360" s="200" t="n">
        <v>1</v>
      </c>
      <c r="M360" s="399" t="n">
        <v>1e-07</v>
      </c>
      <c r="N360" s="154" t="n">
        <v>1</v>
      </c>
      <c r="O360" s="155">
        <f>IF(AND(B360="",C360=""),"",IF(G360&gt;=20000,0.05,IF(G360&gt;=10000,0.1,IF(G360&gt;=5000,0.2,IF(G360&gt;=1000,0.3,IF(G360&gt;=0,0.4,{0}))))))</f>
        <v/>
      </c>
      <c r="P360" s="400">
        <f>IF(AND(B360="",C360=""),"",ROUND(H360*O360,2))</f>
        <v/>
      </c>
      <c r="Q360" s="401" t="inlineStr">
        <is>
          <t>元件</t>
        </is>
      </c>
      <c r="R360" s="168" t="inlineStr"/>
      <c r="S360" s="168" t="inlineStr"/>
      <c r="T360" s="168" t="inlineStr">
        <is>
          <t>0</t>
        </is>
      </c>
      <c r="U360" s="168" t="inlineStr">
        <is>
          <t>C16F32D160</t>
        </is>
      </c>
      <c r="V360" s="402" t="n"/>
      <c r="W360" s="402" t="n"/>
      <c r="X360" s="170" t="inlineStr">
        <is>
          <t>NSX630N Mic2.3 630A 3P3D F→NSX630F MIC2.3 630 3P F→NSX630F MIC 2.3 630 3P F</t>
        </is>
      </c>
    </row>
    <row r="361" s="308">
      <c r="A361" s="64">
        <f>ROW()-ROW(A$359)</f>
        <v/>
      </c>
      <c r="B361" s="22" t="inlineStr">
        <is>
          <t>塑壳断路器</t>
        </is>
      </c>
      <c r="C361" s="22" t="inlineStr">
        <is>
          <t>NSX250H TM250D 3P3D P</t>
        </is>
      </c>
      <c r="D361" s="22" t="inlineStr">
        <is>
          <t>甲供/施耐德电气</t>
        </is>
      </c>
      <c r="E361" s="23" t="inlineStr">
        <is>
          <t>只</t>
        </is>
      </c>
      <c r="F361" s="23" t="n">
        <v>1</v>
      </c>
      <c r="G361" s="349">
        <f>IF(AND(B361="",C361=""),"",ROUND(M361*L361*N361,2))</f>
        <v/>
      </c>
      <c r="H361" s="349">
        <f>IF(AND(B361="",C361=""),"",ROUND(F361*G361,2))</f>
        <v/>
      </c>
      <c r="I361" s="45" t="inlineStr"/>
      <c r="J361" s="397">
        <f>IF(AND(B361="",C361=""),"",ROUND(M361*N361,2))</f>
        <v/>
      </c>
      <c r="K361" s="398">
        <f>IF(AND(B361="",C361=""),"",ROUND(J361*F361,2))</f>
        <v/>
      </c>
      <c r="L361" s="200" t="n">
        <v>1</v>
      </c>
      <c r="M361" s="399" t="n">
        <v>1e-07</v>
      </c>
      <c r="N361" s="154" t="n">
        <v>1</v>
      </c>
      <c r="O361" s="155">
        <f>IF(AND(B361="",C361=""),"",IF(G361&gt;=20000,0.05,IF(G361&gt;=10000,0.1,IF(G361&gt;=5000,0.2,IF(G361&gt;=1000,0.3,IF(G361&gt;=0,0.4,{0}))))))</f>
        <v/>
      </c>
      <c r="P361" s="400">
        <f>IF(AND(B361="",C361=""),"",ROUND(H361*O361,2))</f>
        <v/>
      </c>
      <c r="Q361" s="401" t="inlineStr">
        <is>
          <t>元件</t>
        </is>
      </c>
      <c r="R361" s="168" t="inlineStr"/>
      <c r="S361" s="168" t="inlineStr"/>
      <c r="T361" s="168" t="inlineStr">
        <is>
          <t>0</t>
        </is>
      </c>
      <c r="U361" s="168" t="inlineStr">
        <is>
          <t>C16F32D160</t>
        </is>
      </c>
      <c r="V361" s="402" t="n"/>
      <c r="W361" s="402" t="n"/>
      <c r="X361" s="170" t="inlineStr">
        <is>
          <t>NSX630N Mic2.3 630A 3P3D F→NSX630F MIC2.3 630 3P F→NSX630F MIC 2.3 630 3P F</t>
        </is>
      </c>
    </row>
    <row r="362" s="308">
      <c r="A362" s="64">
        <f>ROW()-ROW(A$359)</f>
        <v/>
      </c>
      <c r="B362" s="22" t="inlineStr">
        <is>
          <t>塑壳断路器</t>
        </is>
      </c>
      <c r="C362" s="22" t="inlineStr">
        <is>
          <t>NSX400H Mic2.3 400A 3P3D P</t>
        </is>
      </c>
      <c r="D362" s="22" t="inlineStr">
        <is>
          <t>甲供/施耐德电气</t>
        </is>
      </c>
      <c r="E362" s="23" t="inlineStr">
        <is>
          <t>只</t>
        </is>
      </c>
      <c r="F362" s="23" t="n">
        <v>5</v>
      </c>
      <c r="G362" s="349">
        <f>IF(AND(B362="",C362=""),"",ROUND(M362*L362*N362,2))</f>
        <v/>
      </c>
      <c r="H362" s="349">
        <f>IF(AND(B362="",C362=""),"",ROUND(F362*G362,2))</f>
        <v/>
      </c>
      <c r="I362" s="45" t="inlineStr"/>
      <c r="J362" s="397">
        <f>IF(AND(B362="",C362=""),"",ROUND(M362*N362,2))</f>
        <v/>
      </c>
      <c r="K362" s="398">
        <f>IF(AND(B362="",C362=""),"",ROUND(J362*F362,2))</f>
        <v/>
      </c>
      <c r="L362" s="200" t="n">
        <v>1</v>
      </c>
      <c r="M362" s="399" t="n">
        <v>1e-07</v>
      </c>
      <c r="N362" s="154" t="n">
        <v>1</v>
      </c>
      <c r="O362" s="155">
        <f>IF(AND(B362="",C362=""),"",IF(G362&gt;=20000,0.05,IF(G362&gt;=10000,0.1,IF(G362&gt;=5000,0.2,IF(G362&gt;=1000,0.3,IF(G362&gt;=0,0.4,{0}))))))</f>
        <v/>
      </c>
      <c r="P362" s="400">
        <f>IF(AND(B362="",C362=""),"",ROUND(H362*O362,2))</f>
        <v/>
      </c>
      <c r="Q362" s="401" t="inlineStr">
        <is>
          <t>元件</t>
        </is>
      </c>
      <c r="R362" s="168" t="inlineStr"/>
      <c r="S362" s="168" t="inlineStr"/>
      <c r="T362" s="168" t="inlineStr">
        <is>
          <t>0</t>
        </is>
      </c>
      <c r="U362" s="168" t="inlineStr"/>
      <c r="V362" s="402" t="n"/>
      <c r="W362" s="402" t="n"/>
      <c r="X362" s="170" t="inlineStr"/>
    </row>
    <row r="363" s="308">
      <c r="A363" s="64">
        <f>ROW()-ROW(A$359)</f>
        <v/>
      </c>
      <c r="B363" s="22" t="inlineStr">
        <is>
          <t>电流互感器</t>
        </is>
      </c>
      <c r="C363" s="22" t="inlineStr">
        <is>
          <t>SD-0.66-30I 150/5A</t>
        </is>
      </c>
      <c r="D363" s="22" t="inlineStr">
        <is>
          <t>桑迪</t>
        </is>
      </c>
      <c r="E363" s="23" t="inlineStr">
        <is>
          <t>只</t>
        </is>
      </c>
      <c r="F363" s="23" t="n">
        <v>3</v>
      </c>
      <c r="G363" s="349">
        <f>IF(AND(B363="",C363=""),"",ROUND(M363*L363*N363,2))</f>
        <v/>
      </c>
      <c r="H363" s="396">
        <f>IF(AND(B363="",C363=""),"",ROUND(F363*G363,2))</f>
        <v/>
      </c>
      <c r="I363" s="219" t="inlineStr"/>
      <c r="J363" s="397">
        <f>IF(AND(B363="",C363=""),"",ROUND(M363*N363,2))</f>
        <v/>
      </c>
      <c r="K363" s="398">
        <f>IF(AND(B363="",C363=""),"",ROUND(J363*F363,2))</f>
        <v/>
      </c>
      <c r="L363" s="200" t="n">
        <v>1</v>
      </c>
      <c r="M363" s="399" t="n">
        <v>29.95</v>
      </c>
      <c r="N363" s="154" t="n">
        <v>1</v>
      </c>
      <c r="O363" s="155">
        <f>IF(AND(B363="",C363=""),"",IF(G363&gt;=20000,0.05,IF(G363&gt;=10000,0.1,IF(G363&gt;=5000,0.2,IF(G363&gt;=1000,0.3,IF(G363&gt;=0,0.4,{0}))))))</f>
        <v/>
      </c>
      <c r="P363" s="400">
        <f>IF(AND(B363="",C363=""),"",ROUND(H363*O363,2))</f>
        <v/>
      </c>
      <c r="Q363" s="401" t="inlineStr">
        <is>
          <t>元件</t>
        </is>
      </c>
      <c r="R363" s="168" t="inlineStr"/>
      <c r="S363" s="168" t="inlineStr"/>
      <c r="T363" s="168" t="inlineStr">
        <is>
          <t>0</t>
        </is>
      </c>
      <c r="U363" s="168" t="inlineStr">
        <is>
          <t>710140200000049</t>
        </is>
      </c>
      <c r="V363" s="402" t="n"/>
      <c r="W363" s="402" t="n"/>
      <c r="X363" s="170" t="inlineStr">
        <is>
          <t>SD→SD-0.66-40II-C 400/5A→SD-0.66-30I 250/5A→SD-0.66-30I 150/5A→SD-0.66-60II-C 750/5A→SD-0.66-60II-C 600/5A→SD-0.66-30I 150/5A→SD-0.66-40II-C 400/5A→SD-0.66-100II-C 1600/5A→SD-0.66-80II-V 1000/5A</t>
        </is>
      </c>
    </row>
    <row r="364" s="308">
      <c r="A364" s="64">
        <f>ROW()-ROW(A$359)</f>
        <v/>
      </c>
      <c r="B364" s="22" t="inlineStr">
        <is>
          <t>电流互感器</t>
        </is>
      </c>
      <c r="C364" s="22" t="inlineStr">
        <is>
          <t>SD-0.66-30I 250/5A</t>
        </is>
      </c>
      <c r="D364" s="22" t="inlineStr">
        <is>
          <t>桑迪</t>
        </is>
      </c>
      <c r="E364" s="23" t="inlineStr">
        <is>
          <t>只</t>
        </is>
      </c>
      <c r="F364" s="23" t="n">
        <v>3</v>
      </c>
      <c r="G364" s="349">
        <f>IF(AND(B364="",C364=""),"",ROUND(M364*L364*N364,2))</f>
        <v/>
      </c>
      <c r="H364" s="396">
        <f>IF(AND(B364="",C364=""),"",ROUND(F364*G364,2))</f>
        <v/>
      </c>
      <c r="I364" s="219" t="inlineStr"/>
      <c r="J364" s="397">
        <f>IF(AND(B364="",C364=""),"",ROUND(M364*N364,2))</f>
        <v/>
      </c>
      <c r="K364" s="398">
        <f>IF(AND(B364="",C364=""),"",ROUND(J364*F364,2))</f>
        <v/>
      </c>
      <c r="L364" s="200" t="n">
        <v>1</v>
      </c>
      <c r="M364" s="399" t="n">
        <v>26.65</v>
      </c>
      <c r="N364" s="154" t="n">
        <v>1</v>
      </c>
      <c r="O364" s="155">
        <f>IF(AND(B364="",C364=""),"",IF(G364&gt;=20000,0.05,IF(G364&gt;=10000,0.1,IF(G364&gt;=5000,0.2,IF(G364&gt;=1000,0.3,IF(G364&gt;=0,0.4,{0}))))))</f>
        <v/>
      </c>
      <c r="P364" s="400">
        <f>IF(AND(B364="",C364=""),"",ROUND(H364*O364,2))</f>
        <v/>
      </c>
      <c r="Q364" s="401" t="inlineStr">
        <is>
          <t>元件</t>
        </is>
      </c>
      <c r="R364" s="168" t="inlineStr"/>
      <c r="S364" s="168" t="inlineStr"/>
      <c r="T364" s="168" t="inlineStr">
        <is>
          <t>0</t>
        </is>
      </c>
      <c r="U364" s="168" t="inlineStr">
        <is>
          <t>710140200000049</t>
        </is>
      </c>
      <c r="V364" s="402" t="n"/>
      <c r="W364" s="402" t="n"/>
      <c r="X364" s="170" t="inlineStr">
        <is>
          <t>SD→SD-0.66-40II-C 400/5A→SD-0.66-30I 250/5A→SD-0.66-30I 150/5A→SD-0.66-60II-C 750/5A→SD-0.66-60II-C 600/5A→SD-0.66-30I 150/5A→SD-0.66-40II-C 400/5A→SD-0.66-100II-C 1600/5A→SD-0.66-80II-V 1000/5A</t>
        </is>
      </c>
    </row>
    <row r="365" s="308">
      <c r="A365" s="64">
        <f>ROW()-ROW(A$359)</f>
        <v/>
      </c>
      <c r="B365" s="22" t="inlineStr">
        <is>
          <t>电流互感器</t>
        </is>
      </c>
      <c r="C365" s="22" t="inlineStr">
        <is>
          <t>SD-0.66-40II-C 400/5A</t>
        </is>
      </c>
      <c r="D365" s="22" t="inlineStr">
        <is>
          <t>桑迪</t>
        </is>
      </c>
      <c r="E365" s="23" t="inlineStr">
        <is>
          <t>只</t>
        </is>
      </c>
      <c r="F365" s="23" t="n">
        <v>15</v>
      </c>
      <c r="G365" s="349">
        <f>IF(AND(B365="",C365=""),"",ROUND(M365*L365*N365,2))</f>
        <v/>
      </c>
      <c r="H365" s="396">
        <f>IF(AND(B365="",C365=""),"",ROUND(F365*G365,2))</f>
        <v/>
      </c>
      <c r="I365" s="219" t="inlineStr"/>
      <c r="J365" s="397">
        <f>IF(AND(B365="",C365=""),"",ROUND(M365*N365,2))</f>
        <v/>
      </c>
      <c r="K365" s="398">
        <f>IF(AND(B365="",C365=""),"",ROUND(J365*F365,2))</f>
        <v/>
      </c>
      <c r="L365" s="200" t="n">
        <v>1</v>
      </c>
      <c r="M365" s="399" t="n">
        <v>52</v>
      </c>
      <c r="N365" s="154" t="n">
        <v>1</v>
      </c>
      <c r="O365" s="155">
        <f>IF(AND(B365="",C365=""),"",IF(G365&gt;=20000,0.05,IF(G365&gt;=10000,0.1,IF(G365&gt;=5000,0.2,IF(G365&gt;=1000,0.3,IF(G365&gt;=0,0.4,{0}))))))</f>
        <v/>
      </c>
      <c r="P365" s="400">
        <f>IF(AND(B365="",C365=""),"",ROUND(H365*O365,2))</f>
        <v/>
      </c>
      <c r="Q365" s="401" t="inlineStr">
        <is>
          <t>元件</t>
        </is>
      </c>
      <c r="R365" s="168" t="inlineStr"/>
      <c r="S365" s="168" t="inlineStr"/>
      <c r="T365" s="168" t="inlineStr">
        <is>
          <t>0</t>
        </is>
      </c>
      <c r="U365" s="168" t="inlineStr">
        <is>
          <t>710140200000049</t>
        </is>
      </c>
      <c r="V365" s="402" t="n"/>
      <c r="W365" s="402" t="n"/>
      <c r="X365" s="170" t="inlineStr">
        <is>
          <t>SD→SD-0.66-40II-C 400/5A→SD-0.66-30I 250/5A→SD-0.66-30I 150/5A→SD-0.66-60II-C 750/5A→SD-0.66-60II-C 600/5A→SD-0.66-30I 150/5A→SD-0.66-40II-C 400/5A→SD-0.66-100II-C 1600/5A→SD-0.66-80II-V 1000/5A</t>
        </is>
      </c>
    </row>
    <row r="366" s="308">
      <c r="A366" s="64">
        <f>ROW()-ROW(A$359)</f>
        <v/>
      </c>
      <c r="B366" s="112" t="inlineStr">
        <is>
          <t>多功能表</t>
        </is>
      </c>
      <c r="C366" s="112" t="inlineStr">
        <is>
          <t>PM4101</t>
        </is>
      </c>
      <c r="D366" s="112" t="inlineStr">
        <is>
          <t>甲供/施耐德电气</t>
        </is>
      </c>
      <c r="E366" s="114" t="inlineStr">
        <is>
          <t>只</t>
        </is>
      </c>
      <c r="F366" s="114" t="n">
        <v>7</v>
      </c>
      <c r="G366" s="396">
        <f>IF(AND(B366="",C366=""),"",ROUND(M366*L366*N366,2))</f>
        <v/>
      </c>
      <c r="H366" s="349">
        <f>IF(AND(B366="",C366=""),"",ROUND(F366*G366,2))</f>
        <v/>
      </c>
      <c r="I366" s="45" t="inlineStr"/>
      <c r="J366" s="397">
        <f>IF(AND(B366="",C366=""),"",ROUND(M366*N366,2))</f>
        <v/>
      </c>
      <c r="K366" s="398">
        <f>IF(AND(B366="",C366=""),"",ROUND(J366*F366,2))</f>
        <v/>
      </c>
      <c r="L366" s="200" t="n">
        <v>1</v>
      </c>
      <c r="M366" s="399" t="n">
        <v>1e-07</v>
      </c>
      <c r="N366" s="154" t="n">
        <v>1</v>
      </c>
      <c r="O366" s="155">
        <f>IF(AND(B366="",C366=""),"",IF(J366&gt;=20000,0.05,IF(J366&gt;=10000,0.1,IF(J366&gt;=5000,0.2,IF(J366&gt;=1000,0.3,IF(J366&gt;=0,0.4,{0}))))))</f>
        <v/>
      </c>
      <c r="P366" s="400">
        <f>IF(AND(B366="",C366=""),"",ROUND(H366*O366,2))</f>
        <v/>
      </c>
      <c r="Q366" s="401" t="inlineStr">
        <is>
          <t>元件</t>
        </is>
      </c>
      <c r="R366" s="168" t="inlineStr"/>
      <c r="S366" s="168" t="inlineStr"/>
      <c r="T366" s="168" t="inlineStr">
        <is>
          <t>0</t>
        </is>
      </c>
      <c r="U366" s="168" t="inlineStr"/>
      <c r="V366" s="402" t="n"/>
      <c r="W366" s="402" t="n"/>
      <c r="X366" s="170" t="inlineStr"/>
    </row>
    <row r="367" customFormat="1" s="3">
      <c r="A367" s="64">
        <f>ROW()-ROW(A$359)</f>
        <v/>
      </c>
      <c r="B367" s="22" t="inlineStr">
        <is>
          <t>指示灯</t>
        </is>
      </c>
      <c r="C367" s="22" t="inlineStr">
        <is>
          <t>XB2BVM3LC</t>
        </is>
      </c>
      <c r="D367" s="22" t="inlineStr">
        <is>
          <t>甲供/施耐德电气</t>
        </is>
      </c>
      <c r="E367" s="23" t="inlineStr">
        <is>
          <t>只</t>
        </is>
      </c>
      <c r="F367" s="23" t="n">
        <v>7</v>
      </c>
      <c r="G367" s="349">
        <f>IF(AND(B367="",C367=""),"",ROUND(M367*L367*N367,2))</f>
        <v/>
      </c>
      <c r="H367" s="353">
        <f>IF(AND(B367="",C367=""),"",ROUND(F367*G367,2))</f>
        <v/>
      </c>
      <c r="I367" s="180" t="inlineStr"/>
      <c r="J367" s="392">
        <f>IF(AND(B367="",C367=""),"",ROUND(M367*N367,2))</f>
        <v/>
      </c>
      <c r="K367" s="393">
        <f>IF(AND(B367="",C367=""),"",ROUND(J367*F367,2))</f>
        <v/>
      </c>
      <c r="L367" s="141" t="n">
        <v>1</v>
      </c>
      <c r="M367" s="394" t="n">
        <v>1e-07</v>
      </c>
      <c r="N367" s="220" t="n">
        <v>1</v>
      </c>
      <c r="O367" s="221">
        <f>IF(AND(B367="",C367=""),"",IF(G367&gt;=20000,0.05,IF(G367&gt;=10000,0.1,IF(G367&gt;=5000,0.2,IF(G367&gt;=1000,0.3,IF(G367&gt;=0,0.4,{0}))))))</f>
        <v/>
      </c>
      <c r="P367" s="419">
        <f>IF(AND(B367="",C367=""),"",ROUND(H367*O367,2))</f>
        <v/>
      </c>
      <c r="Q367" s="420" t="inlineStr">
        <is>
          <t>元件</t>
        </is>
      </c>
      <c r="R367" s="231" t="inlineStr"/>
      <c r="S367" s="231" t="inlineStr"/>
      <c r="T367" s="231" t="inlineStr">
        <is>
          <t>0</t>
        </is>
      </c>
      <c r="U367" s="231" t="inlineStr">
        <is>
          <t>XB2BVM3LC</t>
        </is>
      </c>
      <c r="V367" s="421" t="n"/>
      <c r="W367" s="421" t="n"/>
      <c r="X367" s="166" t="inlineStr">
        <is>
          <t>XA2EVM3LC</t>
        </is>
      </c>
    </row>
    <row r="368" customFormat="1" s="3">
      <c r="A368" s="64">
        <f>ROW()-ROW(A$359)</f>
        <v/>
      </c>
      <c r="B368" s="22" t="inlineStr">
        <is>
          <t>指示灯</t>
        </is>
      </c>
      <c r="C368" s="22" t="inlineStr">
        <is>
          <t>XB2BVM4LC</t>
        </is>
      </c>
      <c r="D368" s="22" t="inlineStr">
        <is>
          <t>甲供/施耐德电气</t>
        </is>
      </c>
      <c r="E368" s="23" t="inlineStr">
        <is>
          <t>只</t>
        </is>
      </c>
      <c r="F368" s="23" t="n">
        <v>7</v>
      </c>
      <c r="G368" s="349">
        <f>IF(AND(B368="",C368=""),"",ROUND(M368*L368*N368,2))</f>
        <v/>
      </c>
      <c r="H368" s="353">
        <f>IF(AND(B368="",C368=""),"",ROUND(F368*G368,2))</f>
        <v/>
      </c>
      <c r="I368" s="180" t="inlineStr"/>
      <c r="J368" s="392">
        <f>IF(AND(B368="",C368=""),"",ROUND(M368*N368,2))</f>
        <v/>
      </c>
      <c r="K368" s="393">
        <f>IF(AND(B368="",C368=""),"",ROUND(J368*F368,2))</f>
        <v/>
      </c>
      <c r="L368" s="141" t="n">
        <v>1</v>
      </c>
      <c r="M368" s="394" t="n">
        <v>1e-07</v>
      </c>
      <c r="N368" s="220" t="n">
        <v>1</v>
      </c>
      <c r="O368" s="221">
        <f>IF(AND(B368="",C368=""),"",IF(G368&gt;=20000,0.05,IF(G368&gt;=10000,0.1,IF(G368&gt;=5000,0.2,IF(G368&gt;=1000,0.3,IF(G368&gt;=0,0.4,{0}))))))</f>
        <v/>
      </c>
      <c r="P368" s="419">
        <f>IF(AND(B368="",C368=""),"",ROUND(H368*O368,2))</f>
        <v/>
      </c>
      <c r="Q368" s="420" t="inlineStr">
        <is>
          <t>元件</t>
        </is>
      </c>
      <c r="R368" s="231" t="inlineStr"/>
      <c r="S368" s="231" t="inlineStr"/>
      <c r="T368" s="231" t="inlineStr">
        <is>
          <t>0</t>
        </is>
      </c>
      <c r="U368" s="231" t="inlineStr">
        <is>
          <t>XB2BVM4LC</t>
        </is>
      </c>
      <c r="V368" s="421" t="n"/>
      <c r="W368" s="421" t="n"/>
      <c r="X368" s="166" t="inlineStr">
        <is>
          <t>XA2EVM4LC</t>
        </is>
      </c>
    </row>
    <row r="369" s="308">
      <c r="A369" s="64">
        <f>ROW()-ROW(A$359)</f>
        <v/>
      </c>
      <c r="B369" s="112" t="inlineStr">
        <is>
          <t>温湿度控制器</t>
        </is>
      </c>
      <c r="C369" s="112" t="inlineStr">
        <is>
          <t>ATH48G-11</t>
        </is>
      </c>
      <c r="D369" s="22" t="inlineStr">
        <is>
          <t>杭州安廷</t>
        </is>
      </c>
      <c r="E369" s="23" t="inlineStr">
        <is>
          <t>套</t>
        </is>
      </c>
      <c r="F369" s="23" t="n">
        <v>1</v>
      </c>
      <c r="G369" s="349">
        <f>IF(AND(B369="",C369=""),"",ROUND(M369*L369*N369,2))</f>
        <v/>
      </c>
      <c r="H369" s="396">
        <f>IF(AND(B369="",C369=""),"",ROUND(F369*G369,2))</f>
        <v/>
      </c>
      <c r="I369" s="150" t="inlineStr"/>
      <c r="J369" s="397">
        <f>IF(AND(B369="",C369=""),"",ROUND(M369*N369,2))</f>
        <v/>
      </c>
      <c r="K369" s="398">
        <f>IF(AND(B369="",C369=""),"",ROUND(J369*F369,2))</f>
        <v/>
      </c>
      <c r="L369" s="141" t="n">
        <v>1</v>
      </c>
      <c r="M369" s="399" t="n">
        <v>450</v>
      </c>
      <c r="N369" s="154" t="n">
        <v>1</v>
      </c>
      <c r="O369" s="155">
        <f>IF(AND(B369="",C369=""),"",IF(G369&gt;=20000,0.05,IF(G369&gt;=10000,0.1,IF(G369&gt;=5000,0.2,IF(G369&gt;=1000,0.3,IF(G369&gt;=0,0.4,{0}))))))</f>
        <v/>
      </c>
      <c r="P369" s="400">
        <f>IF(AND(B369="",C369=""),"",ROUND(H369*O369,2))</f>
        <v/>
      </c>
      <c r="Q369" s="401" t="inlineStr">
        <is>
          <t>元件</t>
        </is>
      </c>
      <c r="R369" s="168" t="inlineStr"/>
      <c r="S369" s="168" t="inlineStr"/>
      <c r="T369" s="168" t="inlineStr">
        <is>
          <t>0</t>
        </is>
      </c>
      <c r="U369" s="168" t="inlineStr"/>
      <c r="V369" s="402" t="n"/>
      <c r="W369" s="402" t="n"/>
      <c r="X369" s="170" t="inlineStr"/>
    </row>
    <row r="370" s="308">
      <c r="A370" s="64">
        <f>ROW()-ROW(A$359)</f>
        <v/>
      </c>
      <c r="B370" s="22" t="inlineStr">
        <is>
          <t>中间继电器</t>
        </is>
      </c>
      <c r="C370" s="22" t="inlineStr">
        <is>
          <t>RXM4AB2P7+RXZE2S114M+RXZ400</t>
        </is>
      </c>
      <c r="D370" s="22" t="inlineStr">
        <is>
          <t>甲供/施耐德电气</t>
        </is>
      </c>
      <c r="E370" s="23" t="inlineStr">
        <is>
          <t>只</t>
        </is>
      </c>
      <c r="F370" s="23" t="n">
        <v>14</v>
      </c>
      <c r="G370" s="349">
        <f>IF(AND(B370="",C370=""),"",ROUND(M370*L370*N370,2))</f>
        <v/>
      </c>
      <c r="H370" s="349">
        <f>IF(AND(B370="",C370=""),"",ROUND(F370*G370,2))</f>
        <v/>
      </c>
      <c r="I370" s="45" t="inlineStr"/>
      <c r="J370" s="397">
        <f>IF(AND(B370="",C370=""),"",ROUND(M370*N370,2))</f>
        <v/>
      </c>
      <c r="K370" s="398">
        <f>IF(AND(B370="",C370=""),"",ROUND(J370*F370,2))</f>
        <v/>
      </c>
      <c r="L370" s="141" t="n">
        <v>1</v>
      </c>
      <c r="M370" s="399" t="n">
        <v>1e-07</v>
      </c>
      <c r="N370" s="154" t="n">
        <v>1</v>
      </c>
      <c r="O370" s="155">
        <f>IF(AND(B370="",C370=""),"",IF(G370&gt;=20000,0.05,IF(G370&gt;=10000,0.1,IF(G370&gt;=5000,0.2,IF(G370&gt;=1000,0.3,IF(G370&gt;=0,0.4,{0}))))))</f>
        <v/>
      </c>
      <c r="P370" s="400">
        <f>IF(AND(B370="",C370=""),"",ROUND(H370*O370,2))</f>
        <v/>
      </c>
      <c r="Q370" s="401" t="inlineStr">
        <is>
          <t>元件</t>
        </is>
      </c>
      <c r="R370" s="168" t="inlineStr"/>
      <c r="S370" s="168" t="inlineStr"/>
      <c r="T370" s="168" t="inlineStr">
        <is>
          <t>0</t>
        </is>
      </c>
      <c r="U370" s="168" t="inlineStr">
        <is>
          <t>RXM4AB2P7+RXZE2S114M+RXZ400</t>
        </is>
      </c>
      <c r="V370" s="402" t="n"/>
      <c r="W370" s="402" t="n"/>
      <c r="X370" s="170" t="inlineStr">
        <is>
          <t>REL-IR-BL/L-230AC/4X21，含底座→RXM4AB2P7+RXZE2S114M+RXZ400→REL-IR-BL/L-230AC/4X21，含底座</t>
        </is>
      </c>
    </row>
    <row r="371" customFormat="1" s="3">
      <c r="A371" s="64">
        <f>ROW()-ROW(A$359)</f>
        <v/>
      </c>
      <c r="B371" s="22" t="inlineStr">
        <is>
          <t>带熔丝端子</t>
        </is>
      </c>
      <c r="C371" s="22" t="inlineStr">
        <is>
          <t>UK 5-HESI</t>
        </is>
      </c>
      <c r="D371" s="22" t="inlineStr">
        <is>
          <t>菲尼克斯</t>
        </is>
      </c>
      <c r="E371" s="23" t="inlineStr">
        <is>
          <t>只</t>
        </is>
      </c>
      <c r="F371" s="23" t="n">
        <v>28</v>
      </c>
      <c r="G371" s="349">
        <f>IF(AND(B371="",C371=""),"",ROUND(M371*L371*N371,2))</f>
        <v/>
      </c>
      <c r="H371" s="349">
        <f>IF(AND(B371="",C371=""),"",ROUND(F371*G371,2))</f>
        <v/>
      </c>
      <c r="I371" s="45" t="inlineStr"/>
      <c r="J371" s="392">
        <f>IF(AND(B371="",C371=""),"",ROUND(M371*N371,2))</f>
        <v/>
      </c>
      <c r="K371" s="393">
        <f>IF(AND(B371="",C371=""),"",ROUND(J371*F371,2))</f>
        <v/>
      </c>
      <c r="L371" s="141" t="n">
        <v>1</v>
      </c>
      <c r="M371" s="394" t="n">
        <v>7</v>
      </c>
      <c r="N371" s="220" t="n">
        <v>1</v>
      </c>
      <c r="O371" s="221">
        <f>IF(AND(B371="",C371=""),"",IF(G371&gt;=20000,0.05,IF(G371&gt;=10000,0.1,IF(G371&gt;=5000,0.2,IF(G371&gt;=1000,0.3,IF(G371&gt;=0,0.4,{0}))))))</f>
        <v/>
      </c>
      <c r="P371" s="419">
        <f>IF(AND(B371="",C371=""),"",ROUND(H371*O371,2))</f>
        <v/>
      </c>
      <c r="Q371" s="420" t="inlineStr">
        <is>
          <t>元件</t>
        </is>
      </c>
      <c r="R371" s="231" t="inlineStr"/>
      <c r="S371" s="231" t="inlineStr"/>
      <c r="T371" s="231" t="inlineStr">
        <is>
          <t>0</t>
        </is>
      </c>
      <c r="U371" s="231" t="inlineStr">
        <is>
          <t>True</t>
        </is>
      </c>
      <c r="V371" s="421" t="n"/>
      <c r="W371" s="421" t="n"/>
      <c r="X371" s="166" t="inlineStr"/>
    </row>
    <row r="372" s="308">
      <c r="A372" s="64">
        <f>ROW()-ROW(A$359)</f>
        <v/>
      </c>
      <c r="B372" s="22" t="inlineStr">
        <is>
          <t>水平母排</t>
        </is>
      </c>
      <c r="C372" s="22" t="inlineStr">
        <is>
          <t>TMY 4*(4*150*5)+2*50*5</t>
        </is>
      </c>
      <c r="D372" s="22" t="inlineStr">
        <is>
          <t>国产优质</t>
        </is>
      </c>
      <c r="E372" s="23" t="inlineStr">
        <is>
          <t>米</t>
        </is>
      </c>
      <c r="F372" s="23" t="n">
        <v>0.7</v>
      </c>
      <c r="G372" s="349">
        <f>IF(AND(B372="",C372=""),"",ROUND(M372*L372*N372,2))</f>
        <v/>
      </c>
      <c r="H372" s="349">
        <f>IF(AND(B372="",C372=""),"",ROUND(F372*G372,2))</f>
        <v/>
      </c>
      <c r="I372" s="45" t="inlineStr"/>
      <c r="J372" s="397">
        <f>IF(AND(B372="",C372=""),"",ROUND(M372*N372,2))</f>
        <v/>
      </c>
      <c r="K372" s="398">
        <f>IF(AND(B372="",C372=""),"",ROUND(J372*F372,2))</f>
        <v/>
      </c>
      <c r="L372" s="200" t="n">
        <v>1</v>
      </c>
      <c r="M372" s="399" t="n">
        <v>12026.68125</v>
      </c>
      <c r="N372" s="154">
        <f>(6317.932*1*1+2684.8*1*1)/9002.732</f>
        <v/>
      </c>
      <c r="O372" s="155">
        <f>IF(AND(B372="",C372=""),"",IF(J372&gt;=20000,0.05,IF(J372&gt;=10000,0.1,IF(J372&gt;=5000,0.2,IF(J372&gt;=1000,0.3,IF(J372&gt;=0,0.4,{0}))))))</f>
        <v/>
      </c>
      <c r="P372" s="400">
        <f>IF(AND(B372="",C372=""),"",ROUND(H372*O372,2))</f>
        <v/>
      </c>
      <c r="Q372" s="401" t="inlineStr">
        <is>
          <t>母排</t>
        </is>
      </c>
      <c r="R372" s="168" t="inlineStr"/>
      <c r="S372" s="168" t="inlineStr"/>
      <c r="T372" s="168" t="inlineStr">
        <is>
          <t>0</t>
        </is>
      </c>
      <c r="U372" s="168" t="inlineStr"/>
      <c r="V372" s="402" t="n"/>
      <c r="W372" s="402" t="n"/>
      <c r="X372" s="170" t="inlineStr"/>
    </row>
    <row r="373" customFormat="1" s="5">
      <c r="A373" s="64">
        <f>ROW()-ROW(A$359)</f>
        <v/>
      </c>
      <c r="B373" s="22" t="inlineStr">
        <is>
          <t>垂直排</t>
        </is>
      </c>
      <c r="C373" s="22" t="inlineStr">
        <is>
          <t>TMY 3*2*80*5</t>
        </is>
      </c>
      <c r="D373" s="22" t="inlineStr">
        <is>
          <t>国产优质</t>
        </is>
      </c>
      <c r="E373" s="23" t="inlineStr">
        <is>
          <t>米</t>
        </is>
      </c>
      <c r="F373" s="23" t="n">
        <v>2</v>
      </c>
      <c r="G373" s="349">
        <f>IF(AND(B373="",C373=""),"",ROUND(M373*L373*N373,2))</f>
        <v/>
      </c>
      <c r="H373" s="349">
        <f>IF(AND(B373="",C373=""),"",ROUND(F373*G373,2))</f>
        <v/>
      </c>
      <c r="I373" s="45" t="inlineStr"/>
      <c r="J373" s="422">
        <f>IF(AND(B373="",C373=""),"",ROUND(M373*N373,2))</f>
        <v/>
      </c>
      <c r="K373" s="423">
        <f>IF(AND(B373="",C373=""),"",ROUND(J373*F373,2))</f>
        <v/>
      </c>
      <c r="L373" s="225" t="n">
        <v>1</v>
      </c>
      <c r="M373" s="424" t="n">
        <v>2309.1228</v>
      </c>
      <c r="N373" s="227" t="n">
        <v>1</v>
      </c>
      <c r="O373" s="228">
        <f>IF(AND(B373="",C373=""),"",IF(G373&gt;=20000,0.05,IF(G373&gt;=10000,0.1,IF(G373&gt;=5000,0.2,IF(G373&gt;=1000,0.3,IF(G373&gt;=0,0.4,{0}))))))</f>
        <v/>
      </c>
      <c r="P373" s="425">
        <f>IF(AND(B373="",C373=""),"",ROUND(H373*O373,2))</f>
        <v/>
      </c>
      <c r="Q373" s="426" t="inlineStr">
        <is>
          <t>母排</t>
        </is>
      </c>
      <c r="R373" s="234" t="inlineStr"/>
      <c r="S373" s="234" t="inlineStr"/>
      <c r="T373" s="235" t="inlineStr">
        <is>
          <t>0</t>
        </is>
      </c>
      <c r="U373" s="235" t="inlineStr"/>
      <c r="V373" s="427" t="n"/>
      <c r="W373" s="427" t="n"/>
      <c r="X373" s="237" t="inlineStr">
        <is>
          <t>TMY 2*30*5→TMY 30*8</t>
        </is>
      </c>
    </row>
    <row r="374" customFormat="1" s="5">
      <c r="A374" s="64">
        <f>ROW()-ROW(A$359)</f>
        <v/>
      </c>
      <c r="B374" s="22" t="inlineStr">
        <is>
          <t>N排</t>
        </is>
      </c>
      <c r="C374" s="22" t="inlineStr">
        <is>
          <t>TMY 80*10</t>
        </is>
      </c>
      <c r="D374" s="22" t="inlineStr">
        <is>
          <t>国产优质</t>
        </is>
      </c>
      <c r="E374" s="23" t="inlineStr">
        <is>
          <t>米</t>
        </is>
      </c>
      <c r="F374" s="23" t="n">
        <v>3</v>
      </c>
      <c r="G374" s="349">
        <f>IF(AND(B374="",C374=""),"",ROUND(M374*L374*N374,2))</f>
        <v/>
      </c>
      <c r="H374" s="349">
        <f>IF(AND(B374="",C374=""),"",ROUND(F374*G374,2))</f>
        <v/>
      </c>
      <c r="I374" s="45" t="inlineStr"/>
      <c r="J374" s="422">
        <f>IF(AND(B374="",C374=""),"",ROUND(M374*N374,2))</f>
        <v/>
      </c>
      <c r="K374" s="423">
        <f>IF(AND(B374="",C374=""),"",ROUND(J374*F374,2))</f>
        <v/>
      </c>
      <c r="L374" s="225" t="n">
        <v>1</v>
      </c>
      <c r="M374" s="424" t="n">
        <v>769.7076</v>
      </c>
      <c r="N374" s="227" t="n">
        <v>1</v>
      </c>
      <c r="O374" s="228">
        <f>IF(AND(B374="",C374=""),"",IF(G374&gt;=20000,0.05,IF(G374&gt;=10000,0.1,IF(G374&gt;=5000,0.2,IF(G374&gt;=1000,0.3,IF(G374&gt;=0,0.4,{0}))))))</f>
        <v/>
      </c>
      <c r="P374" s="425">
        <f>IF(AND(B374="",C374=""),"",ROUND(H374*O374,2))</f>
        <v/>
      </c>
      <c r="Q374" s="426" t="inlineStr">
        <is>
          <t>母排</t>
        </is>
      </c>
      <c r="R374" s="234" t="inlineStr"/>
      <c r="S374" s="234" t="inlineStr"/>
      <c r="T374" s="235" t="inlineStr">
        <is>
          <t>0</t>
        </is>
      </c>
      <c r="U374" s="235" t="inlineStr"/>
      <c r="V374" s="427" t="n"/>
      <c r="W374" s="427" t="n"/>
      <c r="X374" s="237" t="inlineStr">
        <is>
          <t>TMY 2*30*5→TMY 30*8</t>
        </is>
      </c>
    </row>
    <row r="375" customFormat="1" s="5">
      <c r="A375" s="64">
        <f>ROW()-ROW(A$359)</f>
        <v/>
      </c>
      <c r="B375" s="22" t="inlineStr">
        <is>
          <t>PE排</t>
        </is>
      </c>
      <c r="C375" s="22" t="inlineStr">
        <is>
          <t>TMY 2*50*5</t>
        </is>
      </c>
      <c r="D375" s="22" t="inlineStr">
        <is>
          <t>国产优质</t>
        </is>
      </c>
      <c r="E375" s="23" t="inlineStr">
        <is>
          <t>米</t>
        </is>
      </c>
      <c r="F375" s="23" t="n">
        <v>2</v>
      </c>
      <c r="G375" s="349">
        <f>IF(AND(B375="",C375=""),"",ROUND(M375*L375*N375,2))</f>
        <v/>
      </c>
      <c r="H375" s="349">
        <f>IF(AND(B375="",C375=""),"",ROUND(F375*G375,2))</f>
        <v/>
      </c>
      <c r="I375" s="45" t="inlineStr"/>
      <c r="J375" s="422">
        <f>IF(AND(B375="",C375=""),"",ROUND(M375*N375,2))</f>
        <v/>
      </c>
      <c r="K375" s="423">
        <f>IF(AND(B375="",C375=""),"",ROUND(J375*F375,2))</f>
        <v/>
      </c>
      <c r="L375" s="225" t="n">
        <v>1</v>
      </c>
      <c r="M375" s="424" t="n">
        <v>481.06725</v>
      </c>
      <c r="N375" s="227" t="n">
        <v>1</v>
      </c>
      <c r="O375" s="228">
        <f>IF(AND(B375="",C375=""),"",IF(G375&gt;=20000,0.05,IF(G375&gt;=10000,0.1,IF(G375&gt;=5000,0.2,IF(G375&gt;=1000,0.3,IF(G375&gt;=0,0.4,{0}))))))</f>
        <v/>
      </c>
      <c r="P375" s="425">
        <f>IF(AND(B375="",C375=""),"",ROUND(H375*O375,2))</f>
        <v/>
      </c>
      <c r="Q375" s="426" t="inlineStr">
        <is>
          <t>母排</t>
        </is>
      </c>
      <c r="R375" s="234" t="inlineStr"/>
      <c r="S375" s="234" t="inlineStr"/>
      <c r="T375" s="235" t="inlineStr">
        <is>
          <t>0</t>
        </is>
      </c>
      <c r="U375" s="235" t="inlineStr"/>
      <c r="V375" s="427" t="n"/>
      <c r="W375" s="427" t="n"/>
      <c r="X375" s="237" t="inlineStr">
        <is>
          <t>TMY 2*30*5→TMY 30*8</t>
        </is>
      </c>
    </row>
    <row r="376" customFormat="1" s="5">
      <c r="A376" s="64">
        <f>ROW()-ROW(A$359)</f>
        <v/>
      </c>
      <c r="B376" s="22" t="inlineStr">
        <is>
          <t>400A铜排</t>
        </is>
      </c>
      <c r="C376" s="22" t="inlineStr">
        <is>
          <t>TMY 30*5</t>
        </is>
      </c>
      <c r="D376" s="22" t="inlineStr">
        <is>
          <t>国产优质</t>
        </is>
      </c>
      <c r="E376" s="23" t="inlineStr">
        <is>
          <t>米</t>
        </is>
      </c>
      <c r="F376" s="23" t="n">
        <v>16</v>
      </c>
      <c r="G376" s="349">
        <f>IF(AND(B376="",C376=""),"",ROUND(M376*L376*N376,2))</f>
        <v/>
      </c>
      <c r="H376" s="349">
        <f>IF(AND(B376="",C376=""),"",ROUND(F376*G376,2))</f>
        <v/>
      </c>
      <c r="I376" s="45" t="inlineStr"/>
      <c r="J376" s="422">
        <f>IF(AND(B376="",C376=""),"",ROUND(M376*N376,2))</f>
        <v/>
      </c>
      <c r="K376" s="423">
        <f>IF(AND(B376="",C376=""),"",ROUND(J376*F376,2))</f>
        <v/>
      </c>
      <c r="L376" s="225" t="n">
        <v>1</v>
      </c>
      <c r="M376" s="424" t="n">
        <v>144.320175</v>
      </c>
      <c r="N376" s="227" t="n">
        <v>1</v>
      </c>
      <c r="O376" s="228">
        <f>IF(AND(B376="",C376=""),"",IF(G376&gt;=20000,0.05,IF(G376&gt;=10000,0.1,IF(G376&gt;=5000,0.2,IF(G376&gt;=1000,0.3,IF(G376&gt;=0,0.4,{0}))))))</f>
        <v/>
      </c>
      <c r="P376" s="425">
        <f>IF(AND(B376="",C376=""),"",ROUND(H376*O376,2))</f>
        <v/>
      </c>
      <c r="Q376" s="426" t="inlineStr">
        <is>
          <t>母排</t>
        </is>
      </c>
      <c r="R376" s="234" t="inlineStr"/>
      <c r="S376" s="234" t="inlineStr"/>
      <c r="T376" s="235" t="inlineStr">
        <is>
          <t>0</t>
        </is>
      </c>
      <c r="U376" s="235" t="inlineStr"/>
      <c r="V376" s="427" t="n"/>
      <c r="W376" s="427" t="n"/>
      <c r="X376" s="237" t="inlineStr">
        <is>
          <t>TMY 2*30*5→TMY 30*8</t>
        </is>
      </c>
    </row>
    <row r="377" s="308">
      <c r="A377" s="64">
        <f>ROW()-ROW(A$359)</f>
        <v/>
      </c>
      <c r="B377" s="112" t="inlineStr">
        <is>
          <t>辅料</t>
        </is>
      </c>
      <c r="C377" s="112" t="inlineStr"/>
      <c r="D377" s="112" t="inlineStr"/>
      <c r="E377" s="114" t="inlineStr">
        <is>
          <t>套</t>
        </is>
      </c>
      <c r="F377" s="114" t="n">
        <v>1</v>
      </c>
      <c r="G377" s="396">
        <f>IF(AND(B377="",C377=""),"",ROUND(M377*L377*N377,2))</f>
        <v/>
      </c>
      <c r="H377" s="396">
        <f>IF(AND(B377="",C377=""),"",ROUND(F377*G377,2))</f>
        <v/>
      </c>
      <c r="I377" s="219" t="inlineStr"/>
      <c r="J377" s="397">
        <f>IF(AND(B377="",C377=""),"",ROUND(M377*N377,2))</f>
        <v/>
      </c>
      <c r="K377" s="398">
        <f>IF(AND(B377="",C377=""),"",ROUND(J377*F377,2))</f>
        <v/>
      </c>
      <c r="L377" s="200" t="n">
        <v>1</v>
      </c>
      <c r="M377" s="399" t="n">
        <v>1163.15</v>
      </c>
      <c r="N377" s="154" t="n">
        <v>1</v>
      </c>
      <c r="O377" s="155">
        <f>IF(AND(B377="",C377=""),"",IF(G377&gt;=20000,0.05,IF(G377&gt;=10000,0.1,IF(G377&gt;=5000,0.2,IF(G377&gt;=1000,0.3,IF(G377&gt;=0,0.4,{0}))))))</f>
        <v/>
      </c>
      <c r="P377" s="400">
        <f>IF(AND(B377="",C377=""),"",ROUND(H377*O377,2))</f>
        <v/>
      </c>
      <c r="Q377" s="401" t="inlineStr">
        <is>
          <t>辅料</t>
        </is>
      </c>
      <c r="R377" s="168" t="inlineStr"/>
      <c r="S377" s="168" t="inlineStr"/>
      <c r="T377" s="168" t="inlineStr">
        <is>
          <t>0</t>
        </is>
      </c>
      <c r="U377" s="168" t="inlineStr"/>
      <c r="V377" s="402" t="n"/>
      <c r="W377" s="402" t="n"/>
      <c r="X377" s="170" t="inlineStr"/>
    </row>
    <row r="378" s="308">
      <c r="A378" s="64">
        <f>ROW()-ROW(A$359)</f>
        <v/>
      </c>
      <c r="B378" s="112" t="inlineStr">
        <is>
          <t>柜体Blokset</t>
        </is>
      </c>
      <c r="C378" s="22" t="inlineStr">
        <is>
          <t>600W*1200D*2200H</t>
        </is>
      </c>
      <c r="D378" s="112" t="inlineStr">
        <is>
          <t>清科</t>
        </is>
      </c>
      <c r="E378" s="114" t="inlineStr">
        <is>
          <t>台</t>
        </is>
      </c>
      <c r="F378" s="114" t="n">
        <v>1</v>
      </c>
      <c r="G378" s="396">
        <f>IF(AND(B378="",C378=""),"",ROUND(M378*L378*N378,2))</f>
        <v/>
      </c>
      <c r="H378" s="396">
        <f>IF(AND(B378="",C378=""),"",ROUND(F378*G378,2))</f>
        <v/>
      </c>
      <c r="I378" s="219" t="inlineStr"/>
      <c r="J378" s="397">
        <f>IF(AND(B378="",C378=""),"",ROUND(M378*N378,2))</f>
        <v/>
      </c>
      <c r="K378" s="398">
        <f>IF(AND(B378="",C378=""),"",ROUND(J378*F378,2))</f>
        <v/>
      </c>
      <c r="L378" s="200" t="n">
        <v>1</v>
      </c>
      <c r="M378" s="399" t="n">
        <v>5678</v>
      </c>
      <c r="N378" s="154" t="n">
        <v>1</v>
      </c>
      <c r="O378" s="155">
        <f>IF(AND(B378="",C378=""),"",IF(G378&gt;=20000,0.05,IF(G378&gt;=10000,0.1,IF(G378&gt;=5000,0.2,IF(G378&gt;=1000,0.3,IF(G378&gt;=0,0.4,{0}))))))</f>
        <v/>
      </c>
      <c r="P378" s="400">
        <f>IF(AND(B378="",C378=""),"",ROUND(H378*O378,2))</f>
        <v/>
      </c>
      <c r="Q378" s="401" t="inlineStr">
        <is>
          <t>箱体</t>
        </is>
      </c>
      <c r="R378" s="168" t="inlineStr"/>
      <c r="S378" s="168" t="inlineStr"/>
      <c r="T378" s="168" t="inlineStr">
        <is>
          <t>0</t>
        </is>
      </c>
      <c r="U378" s="168" t="inlineStr"/>
      <c r="V378" s="402" t="n"/>
      <c r="W378" s="402" t="n"/>
      <c r="X378" s="170" t="inlineStr">
        <is>
          <t>BlokSeT</t>
        </is>
      </c>
    </row>
    <row r="379" s="308">
      <c r="A379" s="64">
        <f>ROW()-ROW(A$359)</f>
        <v/>
      </c>
      <c r="B379" s="22" t="inlineStr"/>
      <c r="C379" s="22" t="inlineStr"/>
      <c r="D379" s="22" t="inlineStr"/>
      <c r="E379" s="23" t="n"/>
      <c r="F379" s="23">
        <f>IF(AND(B379="",C379=""),"",1)</f>
        <v/>
      </c>
      <c r="G379" s="349">
        <f>IF(AND(B379="",C379=""),"",ROUND(M379*L379*N379,2))</f>
        <v/>
      </c>
      <c r="H379" s="349">
        <f>IF(AND(B379="",C379=""),"",ROUND(F379*G379,2))</f>
        <v/>
      </c>
      <c r="I379" s="45" t="inlineStr"/>
      <c r="J379" s="397">
        <f>IF(AND(B379="",C379=""),"",ROUND(M379*N379,2))</f>
        <v/>
      </c>
      <c r="K379" s="398">
        <f>IF(AND(B379="",C379=""),"",ROUND(J379*F379,2))</f>
        <v/>
      </c>
      <c r="L379" s="200">
        <f>IF(AND(B379="",C379=""),"",1)</f>
        <v/>
      </c>
      <c r="M379" s="399" t="n"/>
      <c r="N379" s="154">
        <f>IF(AND(B379="",C379=""),"",1)</f>
        <v/>
      </c>
      <c r="O379" s="155">
        <f>IF(AND(B379="",C379=""),"",IF(J379&gt;=20000,0.05,IF(J379&gt;=10000,0.1,IF(J379&gt;=5000,0.2,IF(J379&gt;=1000,0.3,IF(J379&gt;=0,0.4,{0}))))))</f>
        <v/>
      </c>
      <c r="P379" s="400">
        <f>IF(AND(B379="",C379=""),"",ROUND(H379*O379,2))</f>
        <v/>
      </c>
      <c r="Q379" s="401">
        <f>IF(AND(B379="",C379=""),"","元件")</f>
        <v/>
      </c>
      <c r="R379" s="168" t="inlineStr"/>
      <c r="S379" s="168" t="inlineStr"/>
      <c r="T379" s="168" t="inlineStr"/>
      <c r="U379" s="168" t="inlineStr"/>
      <c r="V379" s="402" t="n"/>
      <c r="W379" s="402" t="n"/>
      <c r="X379" s="170" t="inlineStr"/>
    </row>
    <row r="380" s="308">
      <c r="A380" s="64">
        <f>ROW()-ROW(A$359)</f>
        <v/>
      </c>
      <c r="B380" s="171" t="inlineStr">
        <is>
          <t>小计</t>
        </is>
      </c>
      <c r="C380" s="172" t="n"/>
      <c r="D380" s="204" t="n"/>
      <c r="E380" s="114" t="n"/>
      <c r="F380" s="114" t="n"/>
      <c r="G380" s="396" t="n"/>
      <c r="H380" s="396">
        <f>ROUND(SUM(H359:INDEX(H:H,ROW()-1)),2)</f>
        <v/>
      </c>
      <c r="I380" s="45" t="inlineStr"/>
      <c r="J380" s="397" t="n"/>
      <c r="K380" s="398">
        <f>ROUND(SUM(K359:INDEX(K:K,ROW()-1)),2)</f>
        <v/>
      </c>
      <c r="L380" s="200" t="n"/>
      <c r="M380" s="399" t="n"/>
      <c r="N380" s="154" t="n"/>
      <c r="O380" s="155" t="n"/>
      <c r="P380" s="400" t="n"/>
      <c r="Q380" s="401" t="n"/>
      <c r="R380" s="168" t="inlineStr"/>
      <c r="S380" s="168" t="inlineStr"/>
      <c r="T380" s="168" t="inlineStr"/>
      <c r="U380" s="168" t="inlineStr"/>
      <c r="V380" s="402">
        <f>ROUND(SUMPRODUCT(F359:INDEX(F:F,ROW()-1),V359:INDEX(V:V,ROW()-1)),2)</f>
        <v/>
      </c>
      <c r="W380" s="402">
        <f>ROUND(SUMPRODUCT(F359:INDEX(F:F,ROW()-1),W359:INDEX(W:W,ROW()-1)),2)</f>
        <v/>
      </c>
      <c r="X380" s="170" t="inlineStr"/>
    </row>
    <row r="381" s="308">
      <c r="A381" s="64">
        <f>ROW()-ROW(A$359)</f>
        <v/>
      </c>
      <c r="B381" s="171" t="inlineStr">
        <is>
          <t>综合费(人工、管理、税金、利润等)</t>
        </is>
      </c>
      <c r="C381" s="172" t="n"/>
      <c r="D381" s="204" t="n"/>
      <c r="E381" s="114" t="n"/>
      <c r="F381" s="114" t="n"/>
      <c r="G381" s="396" t="n"/>
      <c r="H381" s="396">
        <f>2500</f>
        <v/>
      </c>
      <c r="I381" s="45" t="inlineStr"/>
      <c r="J381" s="397" t="n"/>
      <c r="K381" s="398" t="n"/>
      <c r="L381" s="200" t="n"/>
      <c r="M381" s="399" t="n"/>
      <c r="N381" s="154" t="n"/>
      <c r="O381" s="155" t="n"/>
      <c r="P381" s="400" t="n"/>
      <c r="Q381" s="401" t="inlineStr">
        <is>
          <t>费用</t>
        </is>
      </c>
      <c r="R381" s="168" t="inlineStr"/>
      <c r="S381" s="168" t="inlineStr"/>
      <c r="T381" s="168" t="inlineStr"/>
      <c r="U381" s="168" t="inlineStr"/>
      <c r="V381" s="402" t="n"/>
      <c r="W381" s="402" t="n"/>
      <c r="X381" s="170" t="inlineStr"/>
    </row>
    <row r="382" s="308">
      <c r="A382" s="64">
        <f>ROW()-ROW(A$359)</f>
        <v/>
      </c>
      <c r="B382" s="204" t="inlineStr">
        <is>
          <t>单台合计</t>
        </is>
      </c>
      <c r="C382" s="172" t="n"/>
      <c r="D382" s="204" t="n"/>
      <c r="E382" s="114" t="n"/>
      <c r="F382" s="114" t="n"/>
      <c r="G382" s="396" t="n"/>
      <c r="H382" s="396">
        <f>ROUND(SUM(H380:H381),2)</f>
        <v/>
      </c>
      <c r="I382" s="181" t="n"/>
      <c r="J382" s="397" t="n"/>
      <c r="K382" s="398">
        <f>ROUND(SUM(K380:K381),2)</f>
        <v/>
      </c>
      <c r="L382" s="209" t="n"/>
      <c r="M382" s="399" t="n"/>
      <c r="N382" s="210" t="n"/>
      <c r="O382" s="211" t="n"/>
      <c r="P382" s="400" t="n"/>
      <c r="Q382" s="401" t="n"/>
      <c r="R382" s="168" t="inlineStr"/>
      <c r="S382" s="168" t="inlineStr"/>
      <c r="T382" s="168" t="inlineStr"/>
      <c r="U382" s="168" t="inlineStr"/>
      <c r="V382" s="402" t="n"/>
      <c r="W382" s="402" t="n"/>
      <c r="X382" s="170" t="inlineStr"/>
    </row>
    <row r="383" s="308">
      <c r="A383" s="173" t="inlineStr">
        <is>
          <t>总计</t>
        </is>
      </c>
      <c r="B383" s="205" t="n"/>
      <c r="C383" s="175" t="n"/>
      <c r="D383" s="206" t="n"/>
      <c r="E383" s="206" t="inlineStr">
        <is>
          <t>台</t>
        </is>
      </c>
      <c r="F383" s="206" t="n">
        <v>1</v>
      </c>
      <c r="G383" s="414">
        <f>ROUND(H382,2)</f>
        <v/>
      </c>
      <c r="H383" s="414">
        <f>ROUND(F383*G383,2)</f>
        <v/>
      </c>
      <c r="I383" s="185" t="n"/>
      <c r="J383" s="415" t="n"/>
      <c r="K383" s="416">
        <f>ROUND(K382*F383,2)</f>
        <v/>
      </c>
      <c r="L383" s="214" t="n"/>
      <c r="M383" s="417" t="n"/>
      <c r="N383" s="216" t="n"/>
      <c r="O383" s="217" t="n"/>
      <c r="P383" s="418" t="n"/>
      <c r="Q383" s="401" t="n"/>
      <c r="R383" s="168" t="inlineStr"/>
      <c r="S383" s="168" t="inlineStr"/>
      <c r="T383" s="168" t="inlineStr"/>
      <c r="U383" s="168" t="inlineStr"/>
      <c r="V383" s="402" t="n"/>
      <c r="W383" s="402" t="n"/>
      <c r="X383" s="170" t="inlineStr"/>
    </row>
    <row r="384" customFormat="1" s="4">
      <c r="A384" s="6" t="n"/>
      <c r="B384" s="195" t="inlineStr"/>
      <c r="C384" s="195" t="inlineStr"/>
      <c r="D384" s="195" t="inlineStr"/>
      <c r="Q384" s="159" t="n"/>
      <c r="R384" s="159" t="n"/>
      <c r="S384" s="159" t="n"/>
      <c r="T384" s="159" t="n"/>
      <c r="U384" s="159" t="n"/>
      <c r="X384" s="195" t="inlineStr"/>
    </row>
    <row r="385" customFormat="1" s="4">
      <c r="A385" s="6" t="n"/>
      <c r="B385" s="195" t="inlineStr"/>
      <c r="C385" s="195" t="inlineStr"/>
      <c r="D385" s="195" t="inlineStr"/>
      <c r="Q385" s="159" t="n"/>
      <c r="R385" s="159" t="n"/>
      <c r="S385" s="159" t="n"/>
      <c r="T385" s="159" t="n"/>
      <c r="U385" s="159" t="n"/>
      <c r="X385" s="195" t="inlineStr"/>
    </row>
    <row r="386" s="308">
      <c r="A386" s="208">
        <f>CONCATENATE("报价人：",项目信息!$B$8)</f>
        <v/>
      </c>
      <c r="B386" s="208" t="n"/>
      <c r="C386" s="4" t="n"/>
      <c r="D386" s="4" t="n"/>
      <c r="E386" s="4" t="n"/>
      <c r="F386" s="4" t="n"/>
      <c r="G386" s="4" t="n"/>
      <c r="H386" s="178">
        <f>项目信息!$B$9</f>
        <v/>
      </c>
      <c r="Q386" s="159" t="n"/>
      <c r="R386" s="159" t="n"/>
      <c r="S386" s="159" t="n"/>
      <c r="T386" s="159" t="n"/>
      <c r="U386" s="159" t="n"/>
      <c r="X386" s="203" t="inlineStr"/>
    </row>
    <row r="387" s="308">
      <c r="A387" s="8">
        <f>T(项目信息!$B$22)</f>
        <v/>
      </c>
      <c r="Q387" s="159" t="n"/>
      <c r="R387" s="159" t="n"/>
      <c r="S387" s="159" t="n"/>
      <c r="T387" s="159" t="n"/>
      <c r="U387" s="159" t="n"/>
    </row>
    <row r="388" s="308">
      <c r="A388" s="9">
        <f>T(项目信息!$B$23)</f>
        <v/>
      </c>
      <c r="Q388" s="159" t="n"/>
      <c r="R388" s="159" t="n"/>
      <c r="S388" s="159" t="n"/>
      <c r="T388" s="159" t="n"/>
      <c r="U388" s="159" t="n"/>
    </row>
    <row r="389" s="308">
      <c r="A389" s="97" t="inlineStr">
        <is>
          <t>成套产品报价明细表</t>
        </is>
      </c>
      <c r="B389" s="378" t="n"/>
      <c r="C389" s="378" t="n"/>
      <c r="D389" s="378" t="n"/>
      <c r="E389" s="378" t="n"/>
      <c r="F389" s="378" t="n"/>
      <c r="G389" s="378" t="n"/>
      <c r="H389" s="378" t="n"/>
      <c r="I389" s="378" t="n"/>
      <c r="Q389" s="159" t="n"/>
      <c r="R389" s="159" t="n"/>
      <c r="S389" s="159" t="n"/>
      <c r="T389" s="159" t="n"/>
      <c r="U389" s="159" t="n"/>
    </row>
    <row r="390" customFormat="1" s="4">
      <c r="A390" s="98" t="inlineStr">
        <is>
          <t>柜号:</t>
        </is>
      </c>
      <c r="B390" s="99" t="inlineStr">
        <is>
          <t>AAN1-09</t>
        </is>
      </c>
      <c r="C390" s="100" t="inlineStr">
        <is>
          <t>型号:</t>
        </is>
      </c>
      <c r="D390" s="99" t="inlineStr">
        <is>
          <t>BlokSeT</t>
        </is>
      </c>
      <c r="E390" s="379" t="n"/>
      <c r="F390" s="101" t="inlineStr">
        <is>
          <t>名称:</t>
        </is>
      </c>
      <c r="G390" s="99" t="inlineStr">
        <is>
          <t>馈线柜</t>
        </is>
      </c>
      <c r="H390" s="379" t="n"/>
      <c r="I390" s="408" t="inlineStr"/>
      <c r="J390" s="194" t="inlineStr">
        <is>
          <t>箱柜尺寸:</t>
        </is>
      </c>
      <c r="K390" s="195" t="inlineStr">
        <is>
          <t>600W*1200D*2200H</t>
        </is>
      </c>
      <c r="L390" s="194" t="inlineStr">
        <is>
          <t>类别:</t>
        </is>
      </c>
      <c r="M390" s="195" t="inlineStr">
        <is>
          <t>低压固定柜</t>
        </is>
      </c>
      <c r="N390" s="409" t="inlineStr"/>
      <c r="Q390" s="159" t="n"/>
      <c r="R390" s="159" t="n"/>
      <c r="S390" s="159" t="n"/>
      <c r="T390" s="159" t="n"/>
      <c r="U390" s="159" t="n"/>
    </row>
    <row r="391" ht="20.1" customHeight="1" s="308">
      <c r="A391" s="102" t="inlineStr">
        <is>
          <t>序号</t>
        </is>
      </c>
      <c r="B391" s="103" t="inlineStr">
        <is>
          <t>元件名称</t>
        </is>
      </c>
      <c r="C391" s="103" t="inlineStr">
        <is>
          <t>型号规格</t>
        </is>
      </c>
      <c r="D391" s="104" t="inlineStr">
        <is>
          <t>生产厂家</t>
        </is>
      </c>
      <c r="E391" s="105" t="inlineStr">
        <is>
          <t>单位</t>
        </is>
      </c>
      <c r="F391" s="105" t="inlineStr">
        <is>
          <t>数量</t>
        </is>
      </c>
      <c r="G391" s="382" t="inlineStr">
        <is>
          <t>单   价</t>
        </is>
      </c>
      <c r="H391" s="383" t="inlineStr">
        <is>
          <t>总   价</t>
        </is>
      </c>
      <c r="I391" s="134" t="inlineStr">
        <is>
          <t>备注</t>
        </is>
      </c>
      <c r="J391" s="384" t="inlineStr">
        <is>
          <t>成本单价</t>
        </is>
      </c>
      <c r="K391" s="384" t="inlineStr">
        <is>
          <t>成本总价</t>
        </is>
      </c>
      <c r="L391" s="136" t="inlineStr">
        <is>
          <t>报出
系数</t>
        </is>
      </c>
      <c r="M391" s="384" t="inlineStr">
        <is>
          <t>表价</t>
        </is>
      </c>
      <c r="N391" s="136" t="inlineStr">
        <is>
          <t>折扣
系数</t>
        </is>
      </c>
      <c r="O391" s="137" t="inlineStr">
        <is>
          <t>取费
系数</t>
        </is>
      </c>
      <c r="P391" s="384" t="inlineStr">
        <is>
          <t>成套费</t>
        </is>
      </c>
      <c r="Q391" s="161" t="inlineStr">
        <is>
          <t>类别</t>
        </is>
      </c>
      <c r="R391" s="161" t="inlineStr">
        <is>
          <t>物料编码</t>
        </is>
      </c>
      <c r="S391" s="161" t="inlineStr">
        <is>
          <t>产地</t>
        </is>
      </c>
      <c r="T391" s="161" t="inlineStr">
        <is>
          <t>加工费</t>
        </is>
      </c>
      <c r="U391" s="161" t="inlineStr">
        <is>
          <t>订货号</t>
        </is>
      </c>
      <c r="V391" s="161" t="inlineStr">
        <is>
          <t>人工</t>
        </is>
      </c>
      <c r="W391" s="161" t="inlineStr">
        <is>
          <t>辅料</t>
        </is>
      </c>
      <c r="X391" s="203" t="inlineStr"/>
    </row>
    <row r="392" s="308">
      <c r="A392" s="64">
        <f>ROW()-ROW(A$391)</f>
        <v/>
      </c>
      <c r="B392" s="22" t="inlineStr">
        <is>
          <t>塑壳断路器</t>
        </is>
      </c>
      <c r="C392" s="22" t="inlineStr">
        <is>
          <t>NSX100H TM100D 3P3D P</t>
        </is>
      </c>
      <c r="D392" s="22" t="inlineStr">
        <is>
          <t>甲供/施耐德电气</t>
        </is>
      </c>
      <c r="E392" s="23" t="inlineStr">
        <is>
          <t>只</t>
        </is>
      </c>
      <c r="F392" s="23" t="n">
        <v>1</v>
      </c>
      <c r="G392" s="349">
        <f>IF(AND(B392="",C392=""),"",ROUND(M392*L392*N392,2))</f>
        <v/>
      </c>
      <c r="H392" s="349">
        <f>IF(AND(B392="",C392=""),"",ROUND(F392*G392,2))</f>
        <v/>
      </c>
      <c r="I392" s="45" t="inlineStr"/>
      <c r="J392" s="397">
        <f>IF(AND(B392="",C392=""),"",ROUND(M392*N392,2))</f>
        <v/>
      </c>
      <c r="K392" s="398">
        <f>IF(AND(B392="",C392=""),"",ROUND(J392*F392,2))</f>
        <v/>
      </c>
      <c r="L392" s="200" t="n">
        <v>1</v>
      </c>
      <c r="M392" s="399" t="n">
        <v>1e-07</v>
      </c>
      <c r="N392" s="154" t="n">
        <v>1</v>
      </c>
      <c r="O392" s="155">
        <f>IF(AND(B392="",C392=""),"",IF(G392&gt;=20000,0.05,IF(G392&gt;=10000,0.1,IF(G392&gt;=5000,0.2,IF(G392&gt;=1000,0.3,IF(G392&gt;=0,0.4,{0}))))))</f>
        <v/>
      </c>
      <c r="P392" s="400">
        <f>IF(AND(B392="",C392=""),"",ROUND(H392*O392,2))</f>
        <v/>
      </c>
      <c r="Q392" s="401" t="inlineStr">
        <is>
          <t>元件</t>
        </is>
      </c>
      <c r="R392" s="168" t="inlineStr"/>
      <c r="S392" s="168" t="inlineStr"/>
      <c r="T392" s="168" t="inlineStr">
        <is>
          <t>0</t>
        </is>
      </c>
      <c r="U392" s="168" t="inlineStr">
        <is>
          <t>C16F32D160</t>
        </is>
      </c>
      <c r="V392" s="402" t="n"/>
      <c r="W392" s="402" t="n"/>
      <c r="X392" s="170" t="inlineStr">
        <is>
          <t>NSX630N Mic2.3 630A 3P3D F→NSX630F MIC2.3 630 3P F→NSX630F MIC 2.3 630 3P F</t>
        </is>
      </c>
    </row>
    <row r="393" s="308">
      <c r="A393" s="64">
        <f>ROW()-ROW(A$391)</f>
        <v/>
      </c>
      <c r="B393" s="22" t="inlineStr">
        <is>
          <t>塑壳断路器</t>
        </is>
      </c>
      <c r="C393" s="22" t="inlineStr">
        <is>
          <t>NSX160H TM160D 3P3D P</t>
        </is>
      </c>
      <c r="D393" s="22" t="inlineStr">
        <is>
          <t>甲供/施耐德电气</t>
        </is>
      </c>
      <c r="E393" s="23" t="inlineStr">
        <is>
          <t>只</t>
        </is>
      </c>
      <c r="F393" s="23" t="n">
        <v>7</v>
      </c>
      <c r="G393" s="349">
        <f>IF(AND(B393="",C393=""),"",ROUND(M393*L393*N393,2))</f>
        <v/>
      </c>
      <c r="H393" s="349">
        <f>IF(AND(B393="",C393=""),"",ROUND(F393*G393,2))</f>
        <v/>
      </c>
      <c r="I393" s="45" t="inlineStr"/>
      <c r="J393" s="397">
        <f>IF(AND(B393="",C393=""),"",ROUND(M393*N393,2))</f>
        <v/>
      </c>
      <c r="K393" s="398">
        <f>IF(AND(B393="",C393=""),"",ROUND(J393*F393,2))</f>
        <v/>
      </c>
      <c r="L393" s="200" t="n">
        <v>1</v>
      </c>
      <c r="M393" s="399" t="n">
        <v>1e-07</v>
      </c>
      <c r="N393" s="154" t="n">
        <v>1</v>
      </c>
      <c r="O393" s="155">
        <f>IF(AND(B393="",C393=""),"",IF(G393&gt;=20000,0.05,IF(G393&gt;=10000,0.1,IF(G393&gt;=5000,0.2,IF(G393&gt;=1000,0.3,IF(G393&gt;=0,0.4,{0}))))))</f>
        <v/>
      </c>
      <c r="P393" s="400">
        <f>IF(AND(B393="",C393=""),"",ROUND(H393*O393,2))</f>
        <v/>
      </c>
      <c r="Q393" s="401" t="inlineStr">
        <is>
          <t>元件</t>
        </is>
      </c>
      <c r="R393" s="168" t="inlineStr"/>
      <c r="S393" s="168" t="inlineStr"/>
      <c r="T393" s="168" t="inlineStr">
        <is>
          <t>0</t>
        </is>
      </c>
      <c r="U393" s="168" t="inlineStr">
        <is>
          <t>C16F32D160</t>
        </is>
      </c>
      <c r="V393" s="402" t="n"/>
      <c r="W393" s="402" t="n"/>
      <c r="X393" s="170" t="inlineStr">
        <is>
          <t>NSX630N Mic2.3 630A 3P3D F→NSX630F MIC2.3 630 3P F→NSX630F MIC 2.3 630 3P F</t>
        </is>
      </c>
    </row>
    <row r="394" s="308">
      <c r="A394" s="64">
        <f>ROW()-ROW(A$391)</f>
        <v/>
      </c>
      <c r="B394" s="22" t="inlineStr">
        <is>
          <t>塑壳断路器</t>
        </is>
      </c>
      <c r="C394" s="22" t="inlineStr">
        <is>
          <t>NSX250H TM250D 3P3D P</t>
        </is>
      </c>
      <c r="D394" s="22" t="inlineStr">
        <is>
          <t>甲供/施耐德电气</t>
        </is>
      </c>
      <c r="E394" s="23" t="inlineStr">
        <is>
          <t>只</t>
        </is>
      </c>
      <c r="F394" s="23" t="n">
        <v>2</v>
      </c>
      <c r="G394" s="349">
        <f>IF(AND(B394="",C394=""),"",ROUND(M394*L394*N394,2))</f>
        <v/>
      </c>
      <c r="H394" s="349">
        <f>IF(AND(B394="",C394=""),"",ROUND(F394*G394,2))</f>
        <v/>
      </c>
      <c r="I394" s="45" t="inlineStr"/>
      <c r="J394" s="397">
        <f>IF(AND(B394="",C394=""),"",ROUND(M394*N394,2))</f>
        <v/>
      </c>
      <c r="K394" s="398">
        <f>IF(AND(B394="",C394=""),"",ROUND(J394*F394,2))</f>
        <v/>
      </c>
      <c r="L394" s="200" t="n">
        <v>1</v>
      </c>
      <c r="M394" s="399" t="n">
        <v>1e-07</v>
      </c>
      <c r="N394" s="154" t="n">
        <v>1</v>
      </c>
      <c r="O394" s="155">
        <f>IF(AND(B394="",C394=""),"",IF(G394&gt;=20000,0.05,IF(G394&gt;=10000,0.1,IF(G394&gt;=5000,0.2,IF(G394&gt;=1000,0.3,IF(G394&gt;=0,0.4,{0}))))))</f>
        <v/>
      </c>
      <c r="P394" s="400">
        <f>IF(AND(B394="",C394=""),"",ROUND(H394*O394,2))</f>
        <v/>
      </c>
      <c r="Q394" s="401" t="inlineStr">
        <is>
          <t>元件</t>
        </is>
      </c>
      <c r="R394" s="168" t="inlineStr"/>
      <c r="S394" s="168" t="inlineStr"/>
      <c r="T394" s="168" t="inlineStr">
        <is>
          <t>0</t>
        </is>
      </c>
      <c r="U394" s="168" t="inlineStr"/>
      <c r="V394" s="402" t="n"/>
      <c r="W394" s="402" t="n"/>
      <c r="X394" s="170" t="inlineStr"/>
    </row>
    <row r="395" s="308">
      <c r="A395" s="64">
        <f>ROW()-ROW(A$391)</f>
        <v/>
      </c>
      <c r="B395" s="22" t="inlineStr">
        <is>
          <t>电流互感器</t>
        </is>
      </c>
      <c r="C395" s="22" t="inlineStr">
        <is>
          <t>SD-0.66-M8 100/5A</t>
        </is>
      </c>
      <c r="D395" s="22" t="inlineStr">
        <is>
          <t>桑迪</t>
        </is>
      </c>
      <c r="E395" s="23" t="inlineStr">
        <is>
          <t>只</t>
        </is>
      </c>
      <c r="F395" s="23" t="n">
        <v>3</v>
      </c>
      <c r="G395" s="349">
        <f>IF(AND(B395="",C395=""),"",ROUND(M395*L395*N395,2))</f>
        <v/>
      </c>
      <c r="H395" s="396">
        <f>IF(AND(B395="",C395=""),"",ROUND(F395*G395,2))</f>
        <v/>
      </c>
      <c r="I395" s="219" t="inlineStr"/>
      <c r="J395" s="397">
        <f>IF(AND(B395="",C395=""),"",ROUND(M395*N395,2))</f>
        <v/>
      </c>
      <c r="K395" s="398">
        <f>IF(AND(B395="",C395=""),"",ROUND(J395*F395,2))</f>
        <v/>
      </c>
      <c r="L395" s="200" t="n">
        <v>1</v>
      </c>
      <c r="M395" s="399" t="n">
        <v>61.75</v>
      </c>
      <c r="N395" s="154" t="n">
        <v>1</v>
      </c>
      <c r="O395" s="155">
        <f>IF(AND(B395="",C395=""),"",IF(G395&gt;=20000,0.05,IF(G395&gt;=10000,0.1,IF(G395&gt;=5000,0.2,IF(G395&gt;=1000,0.3,IF(G395&gt;=0,0.4,{0}))))))</f>
        <v/>
      </c>
      <c r="P395" s="400">
        <f>IF(AND(B395="",C395=""),"",ROUND(H395*O395,2))</f>
        <v/>
      </c>
      <c r="Q395" s="401" t="inlineStr">
        <is>
          <t>元件</t>
        </is>
      </c>
      <c r="R395" s="168" t="inlineStr"/>
      <c r="S395" s="168" t="inlineStr"/>
      <c r="T395" s="168" t="inlineStr">
        <is>
          <t>0</t>
        </is>
      </c>
      <c r="U395" s="168" t="inlineStr">
        <is>
          <t>710140200000049</t>
        </is>
      </c>
      <c r="V395" s="402" t="n"/>
      <c r="W395" s="402" t="n"/>
      <c r="X395" s="170" t="inlineStr">
        <is>
          <t>SD→SD-0.66-40II-C 400/5A→SD-0.66-30I 250/5A→SD-0.66-30I 150/5A→SD-0.66-60II-C 750/5A→SD-0.66-60II-C 600/5A→SD-0.66-30I 150/5A→SD-0.66-40II-C 400/5A→SD-0.66-100II-C 1600/5A→SD-0.66-80II-V 1000/5A→SD-0.66-30I 150/5A</t>
        </is>
      </c>
    </row>
    <row r="396" s="308">
      <c r="A396" s="64">
        <f>ROW()-ROW(A$391)</f>
        <v/>
      </c>
      <c r="B396" s="22" t="inlineStr">
        <is>
          <t>电流互感器</t>
        </is>
      </c>
      <c r="C396" s="22" t="inlineStr">
        <is>
          <t>SD-0.66-30I 150/5A</t>
        </is>
      </c>
      <c r="D396" s="22" t="inlineStr">
        <is>
          <t>桑迪</t>
        </is>
      </c>
      <c r="E396" s="23" t="inlineStr">
        <is>
          <t>只</t>
        </is>
      </c>
      <c r="F396" s="23" t="n">
        <v>21</v>
      </c>
      <c r="G396" s="349">
        <f>IF(AND(B396="",C396=""),"",ROUND(M396*L396*N396,2))</f>
        <v/>
      </c>
      <c r="H396" s="396">
        <f>IF(AND(B396="",C396=""),"",ROUND(F396*G396,2))</f>
        <v/>
      </c>
      <c r="I396" s="219" t="inlineStr"/>
      <c r="J396" s="397">
        <f>IF(AND(B396="",C396=""),"",ROUND(M396*N396,2))</f>
        <v/>
      </c>
      <c r="K396" s="398">
        <f>IF(AND(B396="",C396=""),"",ROUND(J396*F396,2))</f>
        <v/>
      </c>
      <c r="L396" s="200" t="n">
        <v>1</v>
      </c>
      <c r="M396" s="399" t="n">
        <v>29.95</v>
      </c>
      <c r="N396" s="154" t="n">
        <v>1</v>
      </c>
      <c r="O396" s="155">
        <f>IF(AND(B396="",C396=""),"",IF(G396&gt;=20000,0.05,IF(G396&gt;=10000,0.1,IF(G396&gt;=5000,0.2,IF(G396&gt;=1000,0.3,IF(G396&gt;=0,0.4,{0}))))))</f>
        <v/>
      </c>
      <c r="P396" s="400">
        <f>IF(AND(B396="",C396=""),"",ROUND(H396*O396,2))</f>
        <v/>
      </c>
      <c r="Q396" s="401" t="inlineStr">
        <is>
          <t>元件</t>
        </is>
      </c>
      <c r="R396" s="168" t="inlineStr"/>
      <c r="S396" s="168" t="inlineStr"/>
      <c r="T396" s="168" t="inlineStr">
        <is>
          <t>0</t>
        </is>
      </c>
      <c r="U396" s="168" t="inlineStr">
        <is>
          <t>710140200000049</t>
        </is>
      </c>
      <c r="V396" s="402" t="n"/>
      <c r="W396" s="402" t="n"/>
      <c r="X396" s="170" t="inlineStr">
        <is>
          <t>SD→SD-0.66-40II-C 400/5A→SD-0.66-30I 250/5A→SD-0.66-30I 150/5A→SD-0.66-60II-C 750/5A→SD-0.66-60II-C 600/5A→SD-0.66-30I 150/5A→SD-0.66-40II-C 400/5A→SD-0.66-100II-C 1600/5A→SD-0.66-80II-V 1000/5A→SD-0.66-30I 250/5A</t>
        </is>
      </c>
    </row>
    <row r="397" s="308">
      <c r="A397" s="64">
        <f>ROW()-ROW(A$391)</f>
        <v/>
      </c>
      <c r="B397" s="22" t="inlineStr">
        <is>
          <t>电流互感器</t>
        </is>
      </c>
      <c r="C397" s="22" t="inlineStr">
        <is>
          <t>SD-0.66-30I 250/5A</t>
        </is>
      </c>
      <c r="D397" s="22" t="inlineStr">
        <is>
          <t>桑迪</t>
        </is>
      </c>
      <c r="E397" s="23" t="inlineStr">
        <is>
          <t>只</t>
        </is>
      </c>
      <c r="F397" s="23" t="n">
        <v>6</v>
      </c>
      <c r="G397" s="349">
        <f>IF(AND(B397="",C397=""),"",ROUND(M397*L397*N397,2))</f>
        <v/>
      </c>
      <c r="H397" s="396">
        <f>IF(AND(B397="",C397=""),"",ROUND(F397*G397,2))</f>
        <v/>
      </c>
      <c r="I397" s="219" t="inlineStr"/>
      <c r="J397" s="397">
        <f>IF(AND(B397="",C397=""),"",ROUND(M397*N397,2))</f>
        <v/>
      </c>
      <c r="K397" s="398">
        <f>IF(AND(B397="",C397=""),"",ROUND(J397*F397,2))</f>
        <v/>
      </c>
      <c r="L397" s="200" t="n">
        <v>1</v>
      </c>
      <c r="M397" s="399" t="n">
        <v>26.65</v>
      </c>
      <c r="N397" s="154" t="n">
        <v>1</v>
      </c>
      <c r="O397" s="155">
        <f>IF(AND(B397="",C397=""),"",IF(G397&gt;=20000,0.05,IF(G397&gt;=10000,0.1,IF(G397&gt;=5000,0.2,IF(G397&gt;=1000,0.3,IF(G397&gt;=0,0.4,{0}))))))</f>
        <v/>
      </c>
      <c r="P397" s="400">
        <f>IF(AND(B397="",C397=""),"",ROUND(H397*O397,2))</f>
        <v/>
      </c>
      <c r="Q397" s="401" t="inlineStr">
        <is>
          <t>元件</t>
        </is>
      </c>
      <c r="R397" s="168" t="inlineStr"/>
      <c r="S397" s="168" t="inlineStr"/>
      <c r="T397" s="168" t="inlineStr">
        <is>
          <t>0</t>
        </is>
      </c>
      <c r="U397" s="168" t="inlineStr">
        <is>
          <t>710140200000049</t>
        </is>
      </c>
      <c r="V397" s="402" t="n"/>
      <c r="W397" s="402" t="n"/>
      <c r="X397" s="170" t="inlineStr">
        <is>
          <t>SD→SD-0.66-40II-C 400/5A→SD-0.66-30I 250/5A→SD-0.66-30I 150/5A→SD-0.66-60II-C 750/5A→SD-0.66-60II-C 600/5A→SD-0.66-30I 150/5A→SD-0.66-40II-C 400/5A→SD-0.66-100II-C 1600/5A→SD-0.66-80II-V 1000/5A→SD-0.66-40II-C 400/5A</t>
        </is>
      </c>
    </row>
    <row r="398" s="308">
      <c r="A398" s="64">
        <f>ROW()-ROW(A$391)</f>
        <v/>
      </c>
      <c r="B398" s="112" t="inlineStr">
        <is>
          <t>多功能表</t>
        </is>
      </c>
      <c r="C398" s="112" t="inlineStr">
        <is>
          <t>PM4101</t>
        </is>
      </c>
      <c r="D398" s="112" t="inlineStr">
        <is>
          <t>甲供/施耐德电气</t>
        </is>
      </c>
      <c r="E398" s="114" t="inlineStr">
        <is>
          <t>只</t>
        </is>
      </c>
      <c r="F398" s="114" t="n">
        <v>10</v>
      </c>
      <c r="G398" s="396">
        <f>IF(AND(B398="",C398=""),"",ROUND(M398*L398*N398,2))</f>
        <v/>
      </c>
      <c r="H398" s="349">
        <f>IF(AND(B398="",C398=""),"",ROUND(F398*G398,2))</f>
        <v/>
      </c>
      <c r="I398" s="45" t="inlineStr"/>
      <c r="J398" s="397">
        <f>IF(AND(B398="",C398=""),"",ROUND(M398*N398,2))</f>
        <v/>
      </c>
      <c r="K398" s="398">
        <f>IF(AND(B398="",C398=""),"",ROUND(J398*F398,2))</f>
        <v/>
      </c>
      <c r="L398" s="200" t="n">
        <v>1</v>
      </c>
      <c r="M398" s="399" t="n">
        <v>1e-07</v>
      </c>
      <c r="N398" s="154" t="n">
        <v>1</v>
      </c>
      <c r="O398" s="155">
        <f>IF(AND(B398="",C398=""),"",IF(J398&gt;=20000,0.05,IF(J398&gt;=10000,0.1,IF(J398&gt;=5000,0.2,IF(J398&gt;=1000,0.3,IF(J398&gt;=0,0.4,{0}))))))</f>
        <v/>
      </c>
      <c r="P398" s="400">
        <f>IF(AND(B398="",C398=""),"",ROUND(H398*O398,2))</f>
        <v/>
      </c>
      <c r="Q398" s="401" t="inlineStr">
        <is>
          <t>元件</t>
        </is>
      </c>
      <c r="R398" s="168" t="inlineStr"/>
      <c r="S398" s="168" t="inlineStr"/>
      <c r="T398" s="168" t="inlineStr">
        <is>
          <t>0</t>
        </is>
      </c>
      <c r="U398" s="168" t="inlineStr"/>
      <c r="V398" s="402" t="n"/>
      <c r="W398" s="402" t="n"/>
      <c r="X398" s="170" t="inlineStr"/>
    </row>
    <row r="399" customFormat="1" s="3">
      <c r="A399" s="64">
        <f>ROW()-ROW(A$391)</f>
        <v/>
      </c>
      <c r="B399" s="22" t="inlineStr">
        <is>
          <t>指示灯</t>
        </is>
      </c>
      <c r="C399" s="22" t="inlineStr">
        <is>
          <t>XB2BVM3LC</t>
        </is>
      </c>
      <c r="D399" s="22" t="inlineStr">
        <is>
          <t>甲供/施耐德电气</t>
        </is>
      </c>
      <c r="E399" s="23" t="inlineStr">
        <is>
          <t>只</t>
        </is>
      </c>
      <c r="F399" s="23" t="n">
        <v>10</v>
      </c>
      <c r="G399" s="349">
        <f>IF(AND(B399="",C399=""),"",ROUND(M399*L399*N399,2))</f>
        <v/>
      </c>
      <c r="H399" s="353">
        <f>IF(AND(B399="",C399=""),"",ROUND(F399*G399,2))</f>
        <v/>
      </c>
      <c r="I399" s="180" t="inlineStr"/>
      <c r="J399" s="392">
        <f>IF(AND(B399="",C399=""),"",ROUND(M399*N399,2))</f>
        <v/>
      </c>
      <c r="K399" s="393">
        <f>IF(AND(B399="",C399=""),"",ROUND(J399*F399,2))</f>
        <v/>
      </c>
      <c r="L399" s="141" t="n">
        <v>1</v>
      </c>
      <c r="M399" s="394" t="n">
        <v>1e-07</v>
      </c>
      <c r="N399" s="220" t="n">
        <v>1</v>
      </c>
      <c r="O399" s="221">
        <f>IF(AND(B399="",C399=""),"",IF(G399&gt;=20000,0.05,IF(G399&gt;=10000,0.1,IF(G399&gt;=5000,0.2,IF(G399&gt;=1000,0.3,IF(G399&gt;=0,0.4,{0}))))))</f>
        <v/>
      </c>
      <c r="P399" s="419">
        <f>IF(AND(B399="",C399=""),"",ROUND(H399*O399,2))</f>
        <v/>
      </c>
      <c r="Q399" s="420" t="inlineStr">
        <is>
          <t>元件</t>
        </is>
      </c>
      <c r="R399" s="231" t="inlineStr"/>
      <c r="S399" s="231" t="inlineStr"/>
      <c r="T399" s="231" t="inlineStr">
        <is>
          <t>0</t>
        </is>
      </c>
      <c r="U399" s="231" t="inlineStr">
        <is>
          <t>XB2BVM3LC</t>
        </is>
      </c>
      <c r="V399" s="421" t="n"/>
      <c r="W399" s="421" t="n"/>
      <c r="X399" s="166" t="inlineStr">
        <is>
          <t>XA2EVM3LC</t>
        </is>
      </c>
    </row>
    <row r="400" customFormat="1" s="3">
      <c r="A400" s="64">
        <f>ROW()-ROW(A$391)</f>
        <v/>
      </c>
      <c r="B400" s="22" t="inlineStr">
        <is>
          <t>指示灯</t>
        </is>
      </c>
      <c r="C400" s="22" t="inlineStr">
        <is>
          <t>XB2BVM4LC</t>
        </is>
      </c>
      <c r="D400" s="22" t="inlineStr">
        <is>
          <t>甲供/施耐德电气</t>
        </is>
      </c>
      <c r="E400" s="23" t="inlineStr">
        <is>
          <t>只</t>
        </is>
      </c>
      <c r="F400" s="23" t="n">
        <v>10</v>
      </c>
      <c r="G400" s="349">
        <f>IF(AND(B400="",C400=""),"",ROUND(M400*L400*N400,2))</f>
        <v/>
      </c>
      <c r="H400" s="353">
        <f>IF(AND(B400="",C400=""),"",ROUND(F400*G400,2))</f>
        <v/>
      </c>
      <c r="I400" s="180" t="inlineStr"/>
      <c r="J400" s="392">
        <f>IF(AND(B400="",C400=""),"",ROUND(M400*N400,2))</f>
        <v/>
      </c>
      <c r="K400" s="393">
        <f>IF(AND(B400="",C400=""),"",ROUND(J400*F400,2))</f>
        <v/>
      </c>
      <c r="L400" s="141" t="n">
        <v>1</v>
      </c>
      <c r="M400" s="394" t="n">
        <v>1e-07</v>
      </c>
      <c r="N400" s="220" t="n">
        <v>1</v>
      </c>
      <c r="O400" s="221">
        <f>IF(AND(B400="",C400=""),"",IF(G400&gt;=20000,0.05,IF(G400&gt;=10000,0.1,IF(G400&gt;=5000,0.2,IF(G400&gt;=1000,0.3,IF(G400&gt;=0,0.4,{0}))))))</f>
        <v/>
      </c>
      <c r="P400" s="419">
        <f>IF(AND(B400="",C400=""),"",ROUND(H400*O400,2))</f>
        <v/>
      </c>
      <c r="Q400" s="420" t="inlineStr">
        <is>
          <t>元件</t>
        </is>
      </c>
      <c r="R400" s="231" t="inlineStr"/>
      <c r="S400" s="231" t="inlineStr"/>
      <c r="T400" s="231" t="inlineStr">
        <is>
          <t>0</t>
        </is>
      </c>
      <c r="U400" s="231" t="inlineStr">
        <is>
          <t>XB2BVM4LC</t>
        </is>
      </c>
      <c r="V400" s="421" t="n"/>
      <c r="W400" s="421" t="n"/>
      <c r="X400" s="166" t="inlineStr">
        <is>
          <t>XA2EVM4LC</t>
        </is>
      </c>
    </row>
    <row r="401" s="308">
      <c r="A401" s="64">
        <f>ROW()-ROW(A$391)</f>
        <v/>
      </c>
      <c r="B401" s="112" t="inlineStr">
        <is>
          <t>温湿度控制器</t>
        </is>
      </c>
      <c r="C401" s="112" t="inlineStr">
        <is>
          <t>ATH48G-11</t>
        </is>
      </c>
      <c r="D401" s="22" t="inlineStr">
        <is>
          <t>杭州安廷</t>
        </is>
      </c>
      <c r="E401" s="23" t="inlineStr">
        <is>
          <t>套</t>
        </is>
      </c>
      <c r="F401" s="23" t="n">
        <v>1</v>
      </c>
      <c r="G401" s="349">
        <f>IF(AND(B401="",C401=""),"",ROUND(M401*L401*N401,2))</f>
        <v/>
      </c>
      <c r="H401" s="396">
        <f>IF(AND(B401="",C401=""),"",ROUND(F401*G401,2))</f>
        <v/>
      </c>
      <c r="I401" s="150" t="inlineStr"/>
      <c r="J401" s="397">
        <f>IF(AND(B401="",C401=""),"",ROUND(M401*N401,2))</f>
        <v/>
      </c>
      <c r="K401" s="398">
        <f>IF(AND(B401="",C401=""),"",ROUND(J401*F401,2))</f>
        <v/>
      </c>
      <c r="L401" s="141" t="n">
        <v>1</v>
      </c>
      <c r="M401" s="399" t="n">
        <v>450</v>
      </c>
      <c r="N401" s="154" t="n">
        <v>1</v>
      </c>
      <c r="O401" s="155">
        <f>IF(AND(B401="",C401=""),"",IF(G401&gt;=20000,0.05,IF(G401&gt;=10000,0.1,IF(G401&gt;=5000,0.2,IF(G401&gt;=1000,0.3,IF(G401&gt;=0,0.4,{0}))))))</f>
        <v/>
      </c>
      <c r="P401" s="400">
        <f>IF(AND(B401="",C401=""),"",ROUND(H401*O401,2))</f>
        <v/>
      </c>
      <c r="Q401" s="401" t="inlineStr">
        <is>
          <t>元件</t>
        </is>
      </c>
      <c r="R401" s="168" t="inlineStr"/>
      <c r="S401" s="168" t="inlineStr"/>
      <c r="T401" s="168" t="inlineStr">
        <is>
          <t>0</t>
        </is>
      </c>
      <c r="U401" s="168" t="inlineStr"/>
      <c r="V401" s="402" t="n"/>
      <c r="W401" s="402" t="n"/>
      <c r="X401" s="170" t="inlineStr"/>
    </row>
    <row r="402" s="308">
      <c r="A402" s="64">
        <f>ROW()-ROW(A$391)</f>
        <v/>
      </c>
      <c r="B402" s="22" t="inlineStr">
        <is>
          <t>中间继电器</t>
        </is>
      </c>
      <c r="C402" s="22" t="inlineStr">
        <is>
          <t>RXM4AB2P7+RXZE2S114M+RXZ400</t>
        </is>
      </c>
      <c r="D402" s="22" t="inlineStr">
        <is>
          <t>甲供/施耐德电气</t>
        </is>
      </c>
      <c r="E402" s="23" t="inlineStr">
        <is>
          <t>只</t>
        </is>
      </c>
      <c r="F402" s="23" t="n">
        <v>20</v>
      </c>
      <c r="G402" s="349">
        <f>IF(AND(B402="",C402=""),"",ROUND(M402*L402*N402,2))</f>
        <v/>
      </c>
      <c r="H402" s="349">
        <f>IF(AND(B402="",C402=""),"",ROUND(F402*G402,2))</f>
        <v/>
      </c>
      <c r="I402" s="45" t="inlineStr"/>
      <c r="J402" s="397">
        <f>IF(AND(B402="",C402=""),"",ROUND(M402*N402,2))</f>
        <v/>
      </c>
      <c r="K402" s="398">
        <f>IF(AND(B402="",C402=""),"",ROUND(J402*F402,2))</f>
        <v/>
      </c>
      <c r="L402" s="141" t="n">
        <v>1</v>
      </c>
      <c r="M402" s="399" t="n">
        <v>1e-07</v>
      </c>
      <c r="N402" s="154" t="n">
        <v>1</v>
      </c>
      <c r="O402" s="155">
        <f>IF(AND(B402="",C402=""),"",IF(G402&gt;=20000,0.05,IF(G402&gt;=10000,0.1,IF(G402&gt;=5000,0.2,IF(G402&gt;=1000,0.3,IF(G402&gt;=0,0.4,{0}))))))</f>
        <v/>
      </c>
      <c r="P402" s="400">
        <f>IF(AND(B402="",C402=""),"",ROUND(H402*O402,2))</f>
        <v/>
      </c>
      <c r="Q402" s="401" t="inlineStr">
        <is>
          <t>元件</t>
        </is>
      </c>
      <c r="R402" s="168" t="inlineStr"/>
      <c r="S402" s="168" t="inlineStr"/>
      <c r="T402" s="168" t="inlineStr">
        <is>
          <t>0</t>
        </is>
      </c>
      <c r="U402" s="168" t="inlineStr">
        <is>
          <t>RXM4AB2P7+RXZE2S114M+RXZ400</t>
        </is>
      </c>
      <c r="V402" s="402" t="n"/>
      <c r="W402" s="402" t="n"/>
      <c r="X402" s="170" t="inlineStr">
        <is>
          <t>REL-IR-BL/L-230AC/4X21，含底座→RXM4AB2P7+RXZE2S114M+RXZ400→REL-IR-BL/L-230AC/4X21，含底座</t>
        </is>
      </c>
    </row>
    <row r="403" customFormat="1" s="3">
      <c r="A403" s="64">
        <f>ROW()-ROW(A$391)</f>
        <v/>
      </c>
      <c r="B403" s="22" t="inlineStr">
        <is>
          <t>带熔丝端子</t>
        </is>
      </c>
      <c r="C403" s="22" t="inlineStr">
        <is>
          <t>UK 5-HESI</t>
        </is>
      </c>
      <c r="D403" s="22" t="inlineStr">
        <is>
          <t>菲尼克斯</t>
        </is>
      </c>
      <c r="E403" s="23" t="inlineStr">
        <is>
          <t>只</t>
        </is>
      </c>
      <c r="F403" s="23" t="n">
        <v>40</v>
      </c>
      <c r="G403" s="349">
        <f>IF(AND(B403="",C403=""),"",ROUND(M403*L403*N403,2))</f>
        <v/>
      </c>
      <c r="H403" s="349">
        <f>IF(AND(B403="",C403=""),"",ROUND(F403*G403,2))</f>
        <v/>
      </c>
      <c r="I403" s="45" t="inlineStr"/>
      <c r="J403" s="392">
        <f>IF(AND(B403="",C403=""),"",ROUND(M403*N403,2))</f>
        <v/>
      </c>
      <c r="K403" s="393">
        <f>IF(AND(B403="",C403=""),"",ROUND(J403*F403,2))</f>
        <v/>
      </c>
      <c r="L403" s="141" t="n">
        <v>1</v>
      </c>
      <c r="M403" s="394" t="n">
        <v>7</v>
      </c>
      <c r="N403" s="220" t="n">
        <v>1</v>
      </c>
      <c r="O403" s="221">
        <f>IF(AND(B403="",C403=""),"",IF(G403&gt;=20000,0.05,IF(G403&gt;=10000,0.1,IF(G403&gt;=5000,0.2,IF(G403&gt;=1000,0.3,IF(G403&gt;=0,0.4,{0}))))))</f>
        <v/>
      </c>
      <c r="P403" s="419">
        <f>IF(AND(B403="",C403=""),"",ROUND(H403*O403,2))</f>
        <v/>
      </c>
      <c r="Q403" s="420" t="inlineStr">
        <is>
          <t>元件</t>
        </is>
      </c>
      <c r="R403" s="231" t="inlineStr"/>
      <c r="S403" s="231" t="inlineStr"/>
      <c r="T403" s="231" t="inlineStr">
        <is>
          <t>0</t>
        </is>
      </c>
      <c r="U403" s="231" t="inlineStr">
        <is>
          <t>True</t>
        </is>
      </c>
      <c r="V403" s="421" t="n"/>
      <c r="W403" s="421" t="n"/>
      <c r="X403" s="166" t="inlineStr"/>
    </row>
    <row r="404" s="308">
      <c r="A404" s="64">
        <f>ROW()-ROW(A$391)</f>
        <v/>
      </c>
      <c r="B404" s="22" t="inlineStr">
        <is>
          <t>水平母排</t>
        </is>
      </c>
      <c r="C404" s="22" t="inlineStr">
        <is>
          <t>TMY 4*(4*150*5)+2*50*5</t>
        </is>
      </c>
      <c r="D404" s="22" t="inlineStr">
        <is>
          <t>国产优质</t>
        </is>
      </c>
      <c r="E404" s="23" t="inlineStr">
        <is>
          <t>米</t>
        </is>
      </c>
      <c r="F404" s="23" t="n">
        <v>0.7</v>
      </c>
      <c r="G404" s="349">
        <f>IF(AND(B404="",C404=""),"",ROUND(M404*L404*N404,2))</f>
        <v/>
      </c>
      <c r="H404" s="349">
        <f>IF(AND(B404="",C404=""),"",ROUND(F404*G404,2))</f>
        <v/>
      </c>
      <c r="I404" s="45" t="inlineStr"/>
      <c r="J404" s="397">
        <f>IF(AND(B404="",C404=""),"",ROUND(M404*N404,2))</f>
        <v/>
      </c>
      <c r="K404" s="398">
        <f>IF(AND(B404="",C404=""),"",ROUND(J404*F404,2))</f>
        <v/>
      </c>
      <c r="L404" s="200" t="n">
        <v>1</v>
      </c>
      <c r="M404" s="399" t="n">
        <v>12026.68125</v>
      </c>
      <c r="N404" s="154">
        <f>(6317.932*1*1+2684.8*1*1)/9002.732</f>
        <v/>
      </c>
      <c r="O404" s="155">
        <f>IF(AND(B404="",C404=""),"",IF(J404&gt;=20000,0.05,IF(J404&gt;=10000,0.1,IF(J404&gt;=5000,0.2,IF(J404&gt;=1000,0.3,IF(J404&gt;=0,0.4,{0}))))))</f>
        <v/>
      </c>
      <c r="P404" s="400">
        <f>IF(AND(B404="",C404=""),"",ROUND(H404*O404,2))</f>
        <v/>
      </c>
      <c r="Q404" s="401" t="inlineStr">
        <is>
          <t>母排</t>
        </is>
      </c>
      <c r="R404" s="168" t="inlineStr"/>
      <c r="S404" s="168" t="inlineStr"/>
      <c r="T404" s="168" t="inlineStr">
        <is>
          <t>0</t>
        </is>
      </c>
      <c r="U404" s="168" t="inlineStr"/>
      <c r="V404" s="402" t="n"/>
      <c r="W404" s="402" t="n"/>
      <c r="X404" s="170" t="inlineStr"/>
    </row>
    <row r="405" customFormat="1" s="5">
      <c r="A405" s="64">
        <f>ROW()-ROW(A$391)</f>
        <v/>
      </c>
      <c r="B405" s="22" t="inlineStr">
        <is>
          <t>垂直排</t>
        </is>
      </c>
      <c r="C405" s="22" t="inlineStr">
        <is>
          <t>TMY 3*2*60*5</t>
        </is>
      </c>
      <c r="D405" s="22" t="inlineStr">
        <is>
          <t>国产优质</t>
        </is>
      </c>
      <c r="E405" s="23" t="inlineStr">
        <is>
          <t>米</t>
        </is>
      </c>
      <c r="F405" s="23" t="n">
        <v>2</v>
      </c>
      <c r="G405" s="349">
        <f>IF(AND(B405="",C405=""),"",ROUND(M405*L405*N405,2))</f>
        <v/>
      </c>
      <c r="H405" s="349">
        <f>IF(AND(B405="",C405=""),"",ROUND(F405*G405,2))</f>
        <v/>
      </c>
      <c r="I405" s="45" t="inlineStr"/>
      <c r="J405" s="422">
        <f>IF(AND(B405="",C405=""),"",ROUND(M405*N405,2))</f>
        <v/>
      </c>
      <c r="K405" s="423">
        <f>IF(AND(B405="",C405=""),"",ROUND(J405*F405,2))</f>
        <v/>
      </c>
      <c r="L405" s="225" t="n">
        <v>1</v>
      </c>
      <c r="M405" s="424" t="n">
        <v>1731.8421</v>
      </c>
      <c r="N405" s="227" t="n">
        <v>1</v>
      </c>
      <c r="O405" s="228">
        <f>IF(AND(B405="",C405=""),"",IF(G405&gt;=20000,0.05,IF(G405&gt;=10000,0.1,IF(G405&gt;=5000,0.2,IF(G405&gt;=1000,0.3,IF(G405&gt;=0,0.4,{0}))))))</f>
        <v/>
      </c>
      <c r="P405" s="425">
        <f>IF(AND(B405="",C405=""),"",ROUND(H405*O405,2))</f>
        <v/>
      </c>
      <c r="Q405" s="426" t="inlineStr">
        <is>
          <t>母排</t>
        </is>
      </c>
      <c r="R405" s="234" t="inlineStr"/>
      <c r="S405" s="234" t="inlineStr"/>
      <c r="T405" s="235" t="inlineStr">
        <is>
          <t>0</t>
        </is>
      </c>
      <c r="U405" s="235" t="inlineStr"/>
      <c r="V405" s="427" t="n"/>
      <c r="W405" s="427" t="n"/>
      <c r="X405" s="237" t="inlineStr">
        <is>
          <t>TMY 2*30*5→TMY 30*8</t>
        </is>
      </c>
    </row>
    <row r="406" customFormat="1" s="5">
      <c r="A406" s="64">
        <f>ROW()-ROW(A$391)</f>
        <v/>
      </c>
      <c r="B406" s="22" t="inlineStr">
        <is>
          <t>N排</t>
        </is>
      </c>
      <c r="C406" s="22" t="inlineStr">
        <is>
          <t>TMY 60*10</t>
        </is>
      </c>
      <c r="D406" s="22" t="inlineStr">
        <is>
          <t>国产优质</t>
        </is>
      </c>
      <c r="E406" s="23" t="inlineStr">
        <is>
          <t>米</t>
        </is>
      </c>
      <c r="F406" s="23" t="n">
        <v>3</v>
      </c>
      <c r="G406" s="349">
        <f>IF(AND(B406="",C406=""),"",ROUND(M406*L406*N406,2))</f>
        <v/>
      </c>
      <c r="H406" s="349">
        <f>IF(AND(B406="",C406=""),"",ROUND(F406*G406,2))</f>
        <v/>
      </c>
      <c r="I406" s="45" t="inlineStr"/>
      <c r="J406" s="422">
        <f>IF(AND(B406="",C406=""),"",ROUND(M406*N406,2))</f>
        <v/>
      </c>
      <c r="K406" s="423">
        <f>IF(AND(B406="",C406=""),"",ROUND(J406*F406,2))</f>
        <v/>
      </c>
      <c r="L406" s="225" t="n">
        <v>1</v>
      </c>
      <c r="M406" s="424" t="n">
        <v>577.2807</v>
      </c>
      <c r="N406" s="227" t="n">
        <v>1</v>
      </c>
      <c r="O406" s="228">
        <f>IF(AND(B406="",C406=""),"",IF(G406&gt;=20000,0.05,IF(G406&gt;=10000,0.1,IF(G406&gt;=5000,0.2,IF(G406&gt;=1000,0.3,IF(G406&gt;=0,0.4,{0}))))))</f>
        <v/>
      </c>
      <c r="P406" s="425">
        <f>IF(AND(B406="",C406=""),"",ROUND(H406*O406,2))</f>
        <v/>
      </c>
      <c r="Q406" s="426" t="inlineStr">
        <is>
          <t>母排</t>
        </is>
      </c>
      <c r="R406" s="234" t="inlineStr"/>
      <c r="S406" s="234" t="inlineStr"/>
      <c r="T406" s="235" t="inlineStr">
        <is>
          <t>0</t>
        </is>
      </c>
      <c r="U406" s="235" t="inlineStr"/>
      <c r="V406" s="427" t="n"/>
      <c r="W406" s="427" t="n"/>
      <c r="X406" s="237" t="inlineStr">
        <is>
          <t>TMY 2*30*5→TMY 30*8</t>
        </is>
      </c>
    </row>
    <row r="407" customFormat="1" s="5">
      <c r="A407" s="64">
        <f>ROW()-ROW(A$391)</f>
        <v/>
      </c>
      <c r="B407" s="22" t="inlineStr">
        <is>
          <t>PE排</t>
        </is>
      </c>
      <c r="C407" s="22" t="inlineStr">
        <is>
          <t>TMY 2*50*5</t>
        </is>
      </c>
      <c r="D407" s="22" t="inlineStr">
        <is>
          <t>国产优质</t>
        </is>
      </c>
      <c r="E407" s="23" t="inlineStr">
        <is>
          <t>米</t>
        </is>
      </c>
      <c r="F407" s="23" t="n">
        <v>2</v>
      </c>
      <c r="G407" s="349">
        <f>IF(AND(B407="",C407=""),"",ROUND(M407*L407*N407,2))</f>
        <v/>
      </c>
      <c r="H407" s="349">
        <f>IF(AND(B407="",C407=""),"",ROUND(F407*G407,2))</f>
        <v/>
      </c>
      <c r="I407" s="45" t="inlineStr"/>
      <c r="J407" s="422">
        <f>IF(AND(B407="",C407=""),"",ROUND(M407*N407,2))</f>
        <v/>
      </c>
      <c r="K407" s="423">
        <f>IF(AND(B407="",C407=""),"",ROUND(J407*F407,2))</f>
        <v/>
      </c>
      <c r="L407" s="225" t="n">
        <v>1</v>
      </c>
      <c r="M407" s="424" t="n">
        <v>481.06725</v>
      </c>
      <c r="N407" s="227" t="n">
        <v>1</v>
      </c>
      <c r="O407" s="228">
        <f>IF(AND(B407="",C407=""),"",IF(G407&gt;=20000,0.05,IF(G407&gt;=10000,0.1,IF(G407&gt;=5000,0.2,IF(G407&gt;=1000,0.3,IF(G407&gt;=0,0.4,{0}))))))</f>
        <v/>
      </c>
      <c r="P407" s="425">
        <f>IF(AND(B407="",C407=""),"",ROUND(H407*O407,2))</f>
        <v/>
      </c>
      <c r="Q407" s="426" t="inlineStr">
        <is>
          <t>母排</t>
        </is>
      </c>
      <c r="R407" s="234" t="inlineStr"/>
      <c r="S407" s="234" t="inlineStr"/>
      <c r="T407" s="235" t="inlineStr">
        <is>
          <t>0</t>
        </is>
      </c>
      <c r="U407" s="235" t="inlineStr"/>
      <c r="V407" s="427" t="n"/>
      <c r="W407" s="427" t="n"/>
      <c r="X407" s="237" t="inlineStr">
        <is>
          <t>TMY 2*30*5→TMY 30*8</t>
        </is>
      </c>
    </row>
    <row r="408" s="308">
      <c r="A408" s="64">
        <f>ROW()-ROW(A$391)</f>
        <v/>
      </c>
      <c r="B408" s="112" t="inlineStr">
        <is>
          <t>辅料</t>
        </is>
      </c>
      <c r="C408" s="112" t="inlineStr"/>
      <c r="D408" s="112" t="inlineStr"/>
      <c r="E408" s="114" t="inlineStr">
        <is>
          <t>套</t>
        </is>
      </c>
      <c r="F408" s="114" t="n">
        <v>1</v>
      </c>
      <c r="G408" s="396">
        <f>IF(AND(B408="",C408=""),"",ROUND(M408*L408*N408,2))</f>
        <v/>
      </c>
      <c r="H408" s="396">
        <f>IF(AND(B408="",C408=""),"",ROUND(F408*G408,2))</f>
        <v/>
      </c>
      <c r="I408" s="219" t="inlineStr"/>
      <c r="J408" s="397">
        <f>IF(AND(B408="",C408=""),"",ROUND(M408*N408,2))</f>
        <v/>
      </c>
      <c r="K408" s="398">
        <f>IF(AND(B408="",C408=""),"",ROUND(J408*F408,2))</f>
        <v/>
      </c>
      <c r="L408" s="200" t="n">
        <v>1</v>
      </c>
      <c r="M408" s="399" t="n">
        <v>2815.66</v>
      </c>
      <c r="N408" s="154" t="n">
        <v>1</v>
      </c>
      <c r="O408" s="155">
        <f>IF(AND(B408="",C408=""),"",IF(G408&gt;=20000,0.05,IF(G408&gt;=10000,0.1,IF(G408&gt;=5000,0.2,IF(G408&gt;=1000,0.3,IF(G408&gt;=0,0.4,{0}))))))</f>
        <v/>
      </c>
      <c r="P408" s="400">
        <f>IF(AND(B408="",C408=""),"",ROUND(H408*O408,2))</f>
        <v/>
      </c>
      <c r="Q408" s="401" t="inlineStr">
        <is>
          <t>辅料</t>
        </is>
      </c>
      <c r="R408" s="168" t="inlineStr"/>
      <c r="S408" s="168" t="inlineStr"/>
      <c r="T408" s="168" t="inlineStr">
        <is>
          <t>0</t>
        </is>
      </c>
      <c r="U408" s="168" t="inlineStr"/>
      <c r="V408" s="402" t="n"/>
      <c r="W408" s="402" t="n"/>
      <c r="X408" s="170" t="inlineStr"/>
    </row>
    <row r="409" s="308">
      <c r="A409" s="64">
        <f>ROW()-ROW(A$391)</f>
        <v/>
      </c>
      <c r="B409" s="112" t="inlineStr">
        <is>
          <t>柜体Blokset</t>
        </is>
      </c>
      <c r="C409" s="22" t="inlineStr">
        <is>
          <t>600W*1200D*2200H</t>
        </is>
      </c>
      <c r="D409" s="112" t="inlineStr">
        <is>
          <t>清科</t>
        </is>
      </c>
      <c r="E409" s="114" t="inlineStr">
        <is>
          <t>台</t>
        </is>
      </c>
      <c r="F409" s="114" t="n">
        <v>1</v>
      </c>
      <c r="G409" s="396">
        <f>IF(AND(B409="",C409=""),"",ROUND(M409*L409*N409,2))</f>
        <v/>
      </c>
      <c r="H409" s="396">
        <f>IF(AND(B409="",C409=""),"",ROUND(F409*G409,2))</f>
        <v/>
      </c>
      <c r="I409" s="219" t="inlineStr"/>
      <c r="J409" s="397">
        <f>IF(AND(B409="",C409=""),"",ROUND(M409*N409,2))</f>
        <v/>
      </c>
      <c r="K409" s="398">
        <f>IF(AND(B409="",C409=""),"",ROUND(J409*F409,2))</f>
        <v/>
      </c>
      <c r="L409" s="200" t="n">
        <v>1</v>
      </c>
      <c r="M409" s="399" t="n">
        <v>6101</v>
      </c>
      <c r="N409" s="154" t="n">
        <v>1</v>
      </c>
      <c r="O409" s="155">
        <f>IF(AND(B409="",C409=""),"",IF(G409&gt;=20000,0.05,IF(G409&gt;=10000,0.1,IF(G409&gt;=5000,0.2,IF(G409&gt;=1000,0.3,IF(G409&gt;=0,0.4,{0}))))))</f>
        <v/>
      </c>
      <c r="P409" s="400">
        <f>IF(AND(B409="",C409=""),"",ROUND(H409*O409,2))</f>
        <v/>
      </c>
      <c r="Q409" s="401" t="inlineStr">
        <is>
          <t>箱体</t>
        </is>
      </c>
      <c r="R409" s="168" t="inlineStr"/>
      <c r="S409" s="168" t="inlineStr"/>
      <c r="T409" s="168" t="inlineStr">
        <is>
          <t>0</t>
        </is>
      </c>
      <c r="U409" s="168" t="inlineStr"/>
      <c r="V409" s="402" t="n"/>
      <c r="W409" s="402" t="n"/>
      <c r="X409" s="170" t="inlineStr">
        <is>
          <t>BlokSeT</t>
        </is>
      </c>
    </row>
    <row r="410" s="308">
      <c r="A410" s="64">
        <f>ROW()-ROW(A$391)</f>
        <v/>
      </c>
      <c r="B410" s="22" t="inlineStr"/>
      <c r="C410" s="22" t="inlineStr"/>
      <c r="D410" s="22" t="inlineStr"/>
      <c r="E410" s="23" t="n"/>
      <c r="F410" s="23">
        <f>IF(AND(B410="",C410=""),"",1)</f>
        <v/>
      </c>
      <c r="G410" s="349">
        <f>IF(AND(B410="",C410=""),"",ROUND(M410*L410*N410,2))</f>
        <v/>
      </c>
      <c r="H410" s="349">
        <f>IF(AND(B410="",C410=""),"",ROUND(F410*G410,2))</f>
        <v/>
      </c>
      <c r="I410" s="45" t="inlineStr"/>
      <c r="J410" s="397">
        <f>IF(AND(B410="",C410=""),"",ROUND(M410*N410,2))</f>
        <v/>
      </c>
      <c r="K410" s="398">
        <f>IF(AND(B410="",C410=""),"",ROUND(J410*F410,2))</f>
        <v/>
      </c>
      <c r="L410" s="200">
        <f>IF(AND(B410="",C410=""),"",1)</f>
        <v/>
      </c>
      <c r="M410" s="399" t="n"/>
      <c r="N410" s="154">
        <f>IF(AND(B410="",C410=""),"",1)</f>
        <v/>
      </c>
      <c r="O410" s="155">
        <f>IF(AND(B410="",C410=""),"",IF(J410&gt;=20000,0.05,IF(J410&gt;=10000,0.1,IF(J410&gt;=5000,0.2,IF(J410&gt;=1000,0.3,IF(J410&gt;=0,0.4,{0}))))))</f>
        <v/>
      </c>
      <c r="P410" s="400">
        <f>IF(AND(B410="",C410=""),"",ROUND(H410*O410,2))</f>
        <v/>
      </c>
      <c r="Q410" s="401">
        <f>IF(AND(B410="",C410=""),"","元件")</f>
        <v/>
      </c>
      <c r="R410" s="168" t="inlineStr"/>
      <c r="S410" s="168" t="inlineStr"/>
      <c r="T410" s="168" t="inlineStr"/>
      <c r="U410" s="168" t="inlineStr"/>
      <c r="V410" s="402" t="n"/>
      <c r="W410" s="402" t="n"/>
      <c r="X410" s="170" t="inlineStr"/>
    </row>
    <row r="411" s="308">
      <c r="A411" s="64">
        <f>ROW()-ROW(A$391)</f>
        <v/>
      </c>
      <c r="B411" s="171" t="inlineStr">
        <is>
          <t>小计</t>
        </is>
      </c>
      <c r="C411" s="172" t="n"/>
      <c r="D411" s="204" t="n"/>
      <c r="E411" s="114" t="n"/>
      <c r="F411" s="114" t="n"/>
      <c r="G411" s="396" t="n"/>
      <c r="H411" s="396">
        <f>ROUND(SUM(H391:INDEX(H:H,ROW()-1)),2)</f>
        <v/>
      </c>
      <c r="I411" s="45" t="inlineStr"/>
      <c r="J411" s="397" t="n"/>
      <c r="K411" s="398">
        <f>ROUND(SUM(K391:INDEX(K:K,ROW()-1)),2)</f>
        <v/>
      </c>
      <c r="L411" s="200" t="n"/>
      <c r="M411" s="399" t="n"/>
      <c r="N411" s="154" t="n"/>
      <c r="O411" s="155" t="n"/>
      <c r="P411" s="400" t="n"/>
      <c r="Q411" s="401" t="n"/>
      <c r="R411" s="168" t="inlineStr"/>
      <c r="S411" s="168" t="inlineStr"/>
      <c r="T411" s="168" t="inlineStr"/>
      <c r="U411" s="168" t="inlineStr"/>
      <c r="V411" s="402">
        <f>ROUND(SUMPRODUCT(F391:INDEX(F:F,ROW()-1),V391:INDEX(V:V,ROW()-1)),2)</f>
        <v/>
      </c>
      <c r="W411" s="402">
        <f>ROUND(SUMPRODUCT(F391:INDEX(F:F,ROW()-1),W391:INDEX(W:W,ROW()-1)),2)</f>
        <v/>
      </c>
      <c r="X411" s="170" t="inlineStr"/>
    </row>
    <row r="412" s="308">
      <c r="A412" s="64">
        <f>ROW()-ROW(A$391)</f>
        <v/>
      </c>
      <c r="B412" s="171" t="inlineStr">
        <is>
          <t>综合费(人工、管理、税金、利润等)</t>
        </is>
      </c>
      <c r="C412" s="172" t="n"/>
      <c r="D412" s="204" t="n"/>
      <c r="E412" s="114" t="n"/>
      <c r="F412" s="114" t="n"/>
      <c r="G412" s="396" t="n"/>
      <c r="H412" s="396">
        <f>2500</f>
        <v/>
      </c>
      <c r="I412" s="45" t="inlineStr"/>
      <c r="J412" s="397" t="n"/>
      <c r="K412" s="398" t="n"/>
      <c r="L412" s="200" t="n"/>
      <c r="M412" s="399" t="n"/>
      <c r="N412" s="154" t="n"/>
      <c r="O412" s="155" t="n"/>
      <c r="P412" s="400" t="n"/>
      <c r="Q412" s="401" t="inlineStr">
        <is>
          <t>费用</t>
        </is>
      </c>
      <c r="R412" s="168" t="inlineStr"/>
      <c r="S412" s="168" t="inlineStr"/>
      <c r="T412" s="168" t="inlineStr"/>
      <c r="U412" s="168" t="inlineStr"/>
      <c r="V412" s="402" t="n"/>
      <c r="W412" s="402" t="n"/>
      <c r="X412" s="170" t="inlineStr"/>
    </row>
    <row r="413" s="308">
      <c r="A413" s="64">
        <f>ROW()-ROW(A$391)</f>
        <v/>
      </c>
      <c r="B413" s="204" t="inlineStr">
        <is>
          <t>单台合计</t>
        </is>
      </c>
      <c r="C413" s="172" t="n"/>
      <c r="D413" s="204" t="n"/>
      <c r="E413" s="114" t="n"/>
      <c r="F413" s="114" t="n"/>
      <c r="G413" s="396" t="n"/>
      <c r="H413" s="396">
        <f>ROUND(SUM(H411:H412),2)</f>
        <v/>
      </c>
      <c r="I413" s="181" t="n"/>
      <c r="J413" s="397" t="n"/>
      <c r="K413" s="398">
        <f>ROUND(SUM(K411:K412),2)</f>
        <v/>
      </c>
      <c r="L413" s="209" t="n"/>
      <c r="M413" s="399" t="n"/>
      <c r="N413" s="210" t="n"/>
      <c r="O413" s="211" t="n"/>
      <c r="P413" s="400" t="n"/>
      <c r="Q413" s="401" t="n"/>
      <c r="R413" s="168" t="inlineStr"/>
      <c r="S413" s="168" t="inlineStr"/>
      <c r="T413" s="168" t="inlineStr"/>
      <c r="U413" s="168" t="inlineStr"/>
      <c r="V413" s="402" t="n"/>
      <c r="W413" s="402" t="n"/>
      <c r="X413" s="170" t="inlineStr"/>
    </row>
    <row r="414" s="308">
      <c r="A414" s="173" t="inlineStr">
        <is>
          <t>总计</t>
        </is>
      </c>
      <c r="B414" s="205" t="n"/>
      <c r="C414" s="175" t="n"/>
      <c r="D414" s="206" t="n"/>
      <c r="E414" s="206" t="inlineStr">
        <is>
          <t>台</t>
        </is>
      </c>
      <c r="F414" s="206" t="n">
        <v>1</v>
      </c>
      <c r="G414" s="414">
        <f>ROUND(H413,2)</f>
        <v/>
      </c>
      <c r="H414" s="414">
        <f>ROUND(F414*G414,2)</f>
        <v/>
      </c>
      <c r="I414" s="185" t="n"/>
      <c r="J414" s="415" t="n"/>
      <c r="K414" s="416">
        <f>ROUND(K413*F414,2)</f>
        <v/>
      </c>
      <c r="L414" s="214" t="n"/>
      <c r="M414" s="417" t="n"/>
      <c r="N414" s="216" t="n"/>
      <c r="O414" s="217" t="n"/>
      <c r="P414" s="418" t="n"/>
      <c r="Q414" s="401" t="n"/>
      <c r="R414" s="168" t="inlineStr"/>
      <c r="S414" s="168" t="inlineStr"/>
      <c r="T414" s="168" t="inlineStr"/>
      <c r="U414" s="168" t="inlineStr"/>
      <c r="V414" s="402" t="n"/>
      <c r="W414" s="402" t="n"/>
      <c r="X414" s="170" t="inlineStr"/>
    </row>
    <row r="415" customFormat="1" s="4">
      <c r="A415" s="6" t="n"/>
      <c r="B415" s="195" t="inlineStr"/>
      <c r="C415" s="195" t="inlineStr"/>
      <c r="D415" s="195" t="inlineStr"/>
      <c r="Q415" s="159" t="n"/>
      <c r="R415" s="159" t="n"/>
      <c r="S415" s="159" t="n"/>
      <c r="T415" s="159" t="n"/>
      <c r="U415" s="159" t="n"/>
      <c r="X415" s="195" t="inlineStr"/>
    </row>
    <row r="416" customFormat="1" s="4">
      <c r="A416" s="6" t="n"/>
      <c r="B416" s="195" t="inlineStr"/>
      <c r="C416" s="195" t="inlineStr"/>
      <c r="D416" s="195" t="inlineStr"/>
      <c r="Q416" s="159" t="n"/>
      <c r="R416" s="159" t="n"/>
      <c r="S416" s="159" t="n"/>
      <c r="T416" s="159" t="n"/>
      <c r="U416" s="159" t="n"/>
      <c r="X416" s="195" t="inlineStr"/>
    </row>
    <row r="417" s="308">
      <c r="A417" s="208">
        <f>CONCATENATE("报价人：",项目信息!$B$8)</f>
        <v/>
      </c>
      <c r="B417" s="208" t="n"/>
      <c r="C417" s="4" t="n"/>
      <c r="D417" s="4" t="n"/>
      <c r="E417" s="4" t="n"/>
      <c r="F417" s="4" t="n"/>
      <c r="G417" s="4" t="n"/>
      <c r="H417" s="178">
        <f>项目信息!$B$9</f>
        <v/>
      </c>
      <c r="Q417" s="159" t="n"/>
      <c r="R417" s="159" t="n"/>
      <c r="S417" s="159" t="n"/>
      <c r="T417" s="159" t="n"/>
      <c r="U417" s="159" t="n"/>
      <c r="X417" s="203" t="inlineStr"/>
    </row>
    <row r="418" s="308">
      <c r="A418" s="8">
        <f>T(项目信息!$B$22)</f>
        <v/>
      </c>
      <c r="Q418" s="159" t="n"/>
      <c r="R418" s="159" t="n"/>
      <c r="S418" s="159" t="n"/>
      <c r="T418" s="159" t="n"/>
      <c r="U418" s="159" t="n"/>
    </row>
    <row r="419" s="308">
      <c r="A419" s="9">
        <f>T(项目信息!$B$23)</f>
        <v/>
      </c>
      <c r="Q419" s="159" t="n"/>
      <c r="R419" s="159" t="n"/>
      <c r="S419" s="159" t="n"/>
      <c r="T419" s="159" t="n"/>
      <c r="U419" s="159" t="n"/>
    </row>
    <row r="420" s="308">
      <c r="A420" s="97" t="inlineStr">
        <is>
          <t>成套产品报价明细表</t>
        </is>
      </c>
      <c r="B420" s="378" t="n"/>
      <c r="C420" s="378" t="n"/>
      <c r="D420" s="378" t="n"/>
      <c r="E420" s="378" t="n"/>
      <c r="F420" s="378" t="n"/>
      <c r="G420" s="378" t="n"/>
      <c r="H420" s="378" t="n"/>
      <c r="I420" s="378" t="n"/>
      <c r="Q420" s="159" t="n"/>
      <c r="R420" s="159" t="n"/>
      <c r="S420" s="159" t="n"/>
      <c r="T420" s="159" t="n"/>
      <c r="U420" s="159" t="n"/>
    </row>
    <row r="421" customFormat="1" s="4">
      <c r="A421" s="98" t="inlineStr">
        <is>
          <t>柜号:</t>
        </is>
      </c>
      <c r="B421" s="99" t="inlineStr">
        <is>
          <t>BAN1-07</t>
        </is>
      </c>
      <c r="C421" s="100" t="inlineStr">
        <is>
          <t>型号:</t>
        </is>
      </c>
      <c r="D421" s="99" t="inlineStr">
        <is>
          <t>BlokSeT</t>
        </is>
      </c>
      <c r="E421" s="379" t="n"/>
      <c r="F421" s="101" t="inlineStr">
        <is>
          <t>名称:</t>
        </is>
      </c>
      <c r="G421" s="99" t="inlineStr">
        <is>
          <t>馈线柜</t>
        </is>
      </c>
      <c r="H421" s="379" t="n"/>
      <c r="I421" s="408" t="inlineStr"/>
      <c r="J421" s="194" t="inlineStr">
        <is>
          <t>箱柜尺寸:</t>
        </is>
      </c>
      <c r="K421" s="195" t="inlineStr">
        <is>
          <t>800W*1200D*2200H</t>
        </is>
      </c>
      <c r="L421" s="194" t="inlineStr">
        <is>
          <t>类别:</t>
        </is>
      </c>
      <c r="M421" s="195" t="inlineStr">
        <is>
          <t>低压固定柜</t>
        </is>
      </c>
      <c r="N421" s="409" t="inlineStr"/>
      <c r="Q421" s="159" t="n"/>
      <c r="R421" s="159" t="n"/>
      <c r="S421" s="159" t="n"/>
      <c r="T421" s="159" t="n"/>
      <c r="U421" s="159" t="n"/>
    </row>
    <row r="422" ht="20.1" customHeight="1" s="308">
      <c r="A422" s="102" t="inlineStr">
        <is>
          <t>序号</t>
        </is>
      </c>
      <c r="B422" s="103" t="inlineStr">
        <is>
          <t>元件名称</t>
        </is>
      </c>
      <c r="C422" s="103" t="inlineStr">
        <is>
          <t>型号规格</t>
        </is>
      </c>
      <c r="D422" s="104" t="inlineStr">
        <is>
          <t>生产厂家</t>
        </is>
      </c>
      <c r="E422" s="105" t="inlineStr">
        <is>
          <t>单位</t>
        </is>
      </c>
      <c r="F422" s="105" t="inlineStr">
        <is>
          <t>数量</t>
        </is>
      </c>
      <c r="G422" s="382" t="inlineStr">
        <is>
          <t>单   价</t>
        </is>
      </c>
      <c r="H422" s="383" t="inlineStr">
        <is>
          <t>总   价</t>
        </is>
      </c>
      <c r="I422" s="134" t="inlineStr">
        <is>
          <t>备注</t>
        </is>
      </c>
      <c r="J422" s="384" t="inlineStr">
        <is>
          <t>成本单价</t>
        </is>
      </c>
      <c r="K422" s="384" t="inlineStr">
        <is>
          <t>成本总价</t>
        </is>
      </c>
      <c r="L422" s="136" t="inlineStr">
        <is>
          <t>报出
系数</t>
        </is>
      </c>
      <c r="M422" s="384" t="inlineStr">
        <is>
          <t>表价</t>
        </is>
      </c>
      <c r="N422" s="136" t="inlineStr">
        <is>
          <t>折扣
系数</t>
        </is>
      </c>
      <c r="O422" s="137" t="inlineStr">
        <is>
          <t>取费
系数</t>
        </is>
      </c>
      <c r="P422" s="384" t="inlineStr">
        <is>
          <t>成套费</t>
        </is>
      </c>
      <c r="Q422" s="161" t="inlineStr">
        <is>
          <t>类别</t>
        </is>
      </c>
      <c r="R422" s="161" t="inlineStr">
        <is>
          <t>物料编码</t>
        </is>
      </c>
      <c r="S422" s="161" t="inlineStr">
        <is>
          <t>产地</t>
        </is>
      </c>
      <c r="T422" s="161" t="inlineStr">
        <is>
          <t>加工费</t>
        </is>
      </c>
      <c r="U422" s="161" t="inlineStr">
        <is>
          <t>订货号</t>
        </is>
      </c>
      <c r="V422" s="161" t="inlineStr">
        <is>
          <t>人工</t>
        </is>
      </c>
      <c r="W422" s="161" t="inlineStr">
        <is>
          <t>辅料</t>
        </is>
      </c>
      <c r="X422" s="203" t="inlineStr"/>
    </row>
    <row r="423" s="308">
      <c r="A423" s="64">
        <f>ROW()-ROW(A$422)</f>
        <v/>
      </c>
      <c r="B423" s="22" t="inlineStr">
        <is>
          <t>框架断路器</t>
        </is>
      </c>
      <c r="C423" s="22" t="inlineStr">
        <is>
          <t>MT08 N1a SG 3P MIC5.0 E</t>
        </is>
      </c>
      <c r="D423" s="22" t="inlineStr">
        <is>
          <t>甲供/施耐德电气</t>
        </is>
      </c>
      <c r="E423" s="23" t="inlineStr">
        <is>
          <t>只</t>
        </is>
      </c>
      <c r="F423" s="23" t="n">
        <v>2</v>
      </c>
      <c r="G423" s="349">
        <f>IF(AND(B423="",C423=""),"",ROUND(M423*L423*N423,2))</f>
        <v/>
      </c>
      <c r="H423" s="349">
        <f>IF(AND(B423="",C423=""),"",ROUND(F423*G423,2))</f>
        <v/>
      </c>
      <c r="I423" s="45" t="inlineStr"/>
      <c r="J423" s="397">
        <f>IF(AND(B423="",C423=""),"",ROUND(M423*N423,2))</f>
        <v/>
      </c>
      <c r="K423" s="398">
        <f>IF(AND(B423="",C423=""),"",ROUND(J423*F423,2))</f>
        <v/>
      </c>
      <c r="L423" s="200" t="n">
        <v>1</v>
      </c>
      <c r="M423" s="399" t="n">
        <v>1e-07</v>
      </c>
      <c r="N423" s="154" t="n">
        <v>1</v>
      </c>
      <c r="O423" s="155">
        <f>IF(AND(B423="",C423=""),"",IF(G423&gt;=20000,0.05,IF(G423&gt;=10000,0.1,IF(G423&gt;=5000,0.2,IF(G423&gt;=1000,0.3,IF(G423&gt;=0,0.4,{0}))))))</f>
        <v/>
      </c>
      <c r="P423" s="400">
        <f>IF(AND(B423="",C423=""),"",ROUND(H423*O423,2))</f>
        <v/>
      </c>
      <c r="Q423" s="401" t="inlineStr">
        <is>
          <t>元件</t>
        </is>
      </c>
      <c r="R423" s="168" t="inlineStr"/>
      <c r="S423" s="168" t="inlineStr"/>
      <c r="T423" s="168" t="inlineStr">
        <is>
          <t>0</t>
        </is>
      </c>
      <c r="U423" s="168" t="inlineStr">
        <is>
          <t>C16F32D160</t>
        </is>
      </c>
      <c r="V423" s="402" t="n"/>
      <c r="W423" s="402" t="n"/>
      <c r="X423" s="170" t="inlineStr">
        <is>
          <t>NSX630N Mic2.3 630A 3P3D F→NSX630F MIC2.3 630 3P F→NSX630F MIC 2.3 630 3P F</t>
        </is>
      </c>
    </row>
    <row r="424" s="308">
      <c r="A424" s="64">
        <f>ROW()-ROW(A$422)</f>
        <v/>
      </c>
      <c r="B424" s="22" t="inlineStr">
        <is>
          <t>框架断路器</t>
        </is>
      </c>
      <c r="C424" s="22" t="inlineStr">
        <is>
          <t>MT08 N1a SG 4P MIC5.0 E</t>
        </is>
      </c>
      <c r="D424" s="22" t="inlineStr">
        <is>
          <t>甲供/施耐德电气</t>
        </is>
      </c>
      <c r="E424" s="23" t="inlineStr">
        <is>
          <t>只</t>
        </is>
      </c>
      <c r="F424" s="23" t="n">
        <v>1</v>
      </c>
      <c r="G424" s="349">
        <f>IF(AND(B424="",C424=""),"",ROUND(M424*L424*N424,2))</f>
        <v/>
      </c>
      <c r="H424" s="349">
        <f>IF(AND(B424="",C424=""),"",ROUND(F424*G424,2))</f>
        <v/>
      </c>
      <c r="I424" s="45" t="inlineStr"/>
      <c r="J424" s="397">
        <f>IF(AND(B424="",C424=""),"",ROUND(M424*N424,2))</f>
        <v/>
      </c>
      <c r="K424" s="398">
        <f>IF(AND(B424="",C424=""),"",ROUND(J424*F424,2))</f>
        <v/>
      </c>
      <c r="L424" s="200" t="n">
        <v>1</v>
      </c>
      <c r="M424" s="399" t="n">
        <v>1e-07</v>
      </c>
      <c r="N424" s="154" t="n">
        <v>1</v>
      </c>
      <c r="O424" s="155">
        <f>IF(AND(B424="",C424=""),"",IF(G424&gt;=20000,0.05,IF(G424&gt;=10000,0.1,IF(G424&gt;=5000,0.2,IF(G424&gt;=1000,0.3,IF(G424&gt;=0,0.4,{0}))))))</f>
        <v/>
      </c>
      <c r="P424" s="400">
        <f>IF(AND(B424="",C424=""),"",ROUND(H424*O424,2))</f>
        <v/>
      </c>
      <c r="Q424" s="401" t="inlineStr">
        <is>
          <t>元件</t>
        </is>
      </c>
      <c r="R424" s="168" t="inlineStr"/>
      <c r="S424" s="168" t="inlineStr"/>
      <c r="T424" s="168" t="inlineStr">
        <is>
          <t>0</t>
        </is>
      </c>
      <c r="U424" s="168" t="inlineStr">
        <is>
          <t>C16F32D160</t>
        </is>
      </c>
      <c r="V424" s="402" t="n"/>
      <c r="W424" s="402" t="n"/>
      <c r="X424" s="170" t="inlineStr">
        <is>
          <t>NSX630N Mic2.3 630A 3P3D F→NSX630F MIC2.3 630 3P F→NSX630F MIC 2.3 630 3P F</t>
        </is>
      </c>
    </row>
    <row r="425" s="308">
      <c r="A425" s="64">
        <f>ROW()-ROW(A$422)</f>
        <v/>
      </c>
      <c r="B425" s="22" t="inlineStr">
        <is>
          <t>电流互感器</t>
        </is>
      </c>
      <c r="C425" s="22" t="inlineStr">
        <is>
          <t>SD-0.66-80II-V 1000/5A</t>
        </is>
      </c>
      <c r="D425" s="22" t="inlineStr">
        <is>
          <t>桑迪</t>
        </is>
      </c>
      <c r="E425" s="23" t="inlineStr">
        <is>
          <t>只</t>
        </is>
      </c>
      <c r="F425" s="23" t="n">
        <v>9</v>
      </c>
      <c r="G425" s="349">
        <f>IF(AND(B425="",C425=""),"",ROUND(M425*L425*N425,2))</f>
        <v/>
      </c>
      <c r="H425" s="396">
        <f>IF(AND(B425="",C425=""),"",ROUND(F425*G425,2))</f>
        <v/>
      </c>
      <c r="I425" s="219" t="inlineStr"/>
      <c r="J425" s="397">
        <f>IF(AND(B425="",C425=""),"",ROUND(M425*N425,2))</f>
        <v/>
      </c>
      <c r="K425" s="398">
        <f>IF(AND(B425="",C425=""),"",ROUND(J425*F425,2))</f>
        <v/>
      </c>
      <c r="L425" s="200" t="n">
        <v>1</v>
      </c>
      <c r="M425" s="399" t="n">
        <v>91.65000000000001</v>
      </c>
      <c r="N425" s="154" t="n">
        <v>1</v>
      </c>
      <c r="O425" s="155">
        <f>IF(AND(B425="",C425=""),"",IF(G425&gt;=20000,0.05,IF(G425&gt;=10000,0.1,IF(G425&gt;=5000,0.2,IF(G425&gt;=1000,0.3,IF(G425&gt;=0,0.4,{0}))))))</f>
        <v/>
      </c>
      <c r="P425" s="400">
        <f>IF(AND(B425="",C425=""),"",ROUND(H425*O425,2))</f>
        <v/>
      </c>
      <c r="Q425" s="401" t="inlineStr">
        <is>
          <t>元件</t>
        </is>
      </c>
      <c r="R425" s="168" t="inlineStr"/>
      <c r="S425" s="168" t="inlineStr"/>
      <c r="T425" s="168" t="inlineStr">
        <is>
          <t>0</t>
        </is>
      </c>
      <c r="U425" s="168" t="inlineStr">
        <is>
          <t>710141426552500</t>
        </is>
      </c>
      <c r="V425" s="402" t="n"/>
      <c r="W425" s="402" t="n"/>
      <c r="X425" s="170" t="inlineStr">
        <is>
          <t>SD→SD-0.66-40II-C 400/5A→SD-0.66-30I 250/5A→SD-0.66-30I 150/5A→SD-0.66-60II-C 750/5A→SD-0.66-60II-C 600/5A→SD-0.66-30I 150/5A→SD-0.66-40II-C 400/5A→SD-0.66-100II-C 1600/5A</t>
        </is>
      </c>
    </row>
    <row r="426" s="308">
      <c r="A426" s="64">
        <f>ROW()-ROW(A$422)</f>
        <v/>
      </c>
      <c r="B426" s="112" t="inlineStr">
        <is>
          <t>多功能表</t>
        </is>
      </c>
      <c r="C426" s="112" t="inlineStr">
        <is>
          <t>PM4101</t>
        </is>
      </c>
      <c r="D426" s="112" t="inlineStr">
        <is>
          <t>甲供/施耐德电气</t>
        </is>
      </c>
      <c r="E426" s="114" t="inlineStr">
        <is>
          <t>只</t>
        </is>
      </c>
      <c r="F426" s="114" t="n">
        <v>3</v>
      </c>
      <c r="G426" s="396">
        <f>IF(AND(B426="",C426=""),"",ROUND(M426*L426*N426,2))</f>
        <v/>
      </c>
      <c r="H426" s="349">
        <f>IF(AND(B426="",C426=""),"",ROUND(F426*G426,2))</f>
        <v/>
      </c>
      <c r="I426" s="45" t="inlineStr"/>
      <c r="J426" s="397">
        <f>IF(AND(B426="",C426=""),"",ROUND(M426*N426,2))</f>
        <v/>
      </c>
      <c r="K426" s="398">
        <f>IF(AND(B426="",C426=""),"",ROUND(J426*F426,2))</f>
        <v/>
      </c>
      <c r="L426" s="200" t="n">
        <v>1</v>
      </c>
      <c r="M426" s="399" t="n">
        <v>1e-07</v>
      </c>
      <c r="N426" s="154" t="n">
        <v>1</v>
      </c>
      <c r="O426" s="155">
        <f>IF(AND(B426="",C426=""),"",IF(J426&gt;=20000,0.05,IF(J426&gt;=10000,0.1,IF(J426&gt;=5000,0.2,IF(J426&gt;=1000,0.3,IF(J426&gt;=0,0.4,{0}))))))</f>
        <v/>
      </c>
      <c r="P426" s="400">
        <f>IF(AND(B426="",C426=""),"",ROUND(H426*O426,2))</f>
        <v/>
      </c>
      <c r="Q426" s="401" t="inlineStr">
        <is>
          <t>元件</t>
        </is>
      </c>
      <c r="R426" s="168" t="inlineStr"/>
      <c r="S426" s="168" t="inlineStr"/>
      <c r="T426" s="168" t="inlineStr">
        <is>
          <t>0</t>
        </is>
      </c>
      <c r="U426" s="168" t="inlineStr"/>
      <c r="V426" s="402" t="n"/>
      <c r="W426" s="402" t="n"/>
      <c r="X426" s="170" t="inlineStr"/>
    </row>
    <row r="427" customFormat="1" s="3">
      <c r="A427" s="64">
        <f>ROW()-ROW(A$422)</f>
        <v/>
      </c>
      <c r="B427" s="22" t="inlineStr">
        <is>
          <t>指示灯</t>
        </is>
      </c>
      <c r="C427" s="22" t="inlineStr">
        <is>
          <t>XB2BVM3LC</t>
        </is>
      </c>
      <c r="D427" s="22" t="inlineStr">
        <is>
          <t>甲供/施耐德电气</t>
        </is>
      </c>
      <c r="E427" s="23" t="inlineStr">
        <is>
          <t>只</t>
        </is>
      </c>
      <c r="F427" s="23" t="n">
        <v>3</v>
      </c>
      <c r="G427" s="349">
        <f>IF(AND(B427="",C427=""),"",ROUND(M427*L427*N427,2))</f>
        <v/>
      </c>
      <c r="H427" s="353">
        <f>IF(AND(B427="",C427=""),"",ROUND(F427*G427,2))</f>
        <v/>
      </c>
      <c r="I427" s="180" t="inlineStr"/>
      <c r="J427" s="392">
        <f>IF(AND(B427="",C427=""),"",ROUND(M427*N427,2))</f>
        <v/>
      </c>
      <c r="K427" s="393">
        <f>IF(AND(B427="",C427=""),"",ROUND(J427*F427,2))</f>
        <v/>
      </c>
      <c r="L427" s="141" t="n">
        <v>1</v>
      </c>
      <c r="M427" s="394" t="n">
        <v>1e-07</v>
      </c>
      <c r="N427" s="220" t="n">
        <v>1</v>
      </c>
      <c r="O427" s="221">
        <f>IF(AND(B427="",C427=""),"",IF(G427&gt;=20000,0.05,IF(G427&gt;=10000,0.1,IF(G427&gt;=5000,0.2,IF(G427&gt;=1000,0.3,IF(G427&gt;=0,0.4,{0}))))))</f>
        <v/>
      </c>
      <c r="P427" s="419">
        <f>IF(AND(B427="",C427=""),"",ROUND(H427*O427,2))</f>
        <v/>
      </c>
      <c r="Q427" s="420" t="inlineStr">
        <is>
          <t>元件</t>
        </is>
      </c>
      <c r="R427" s="231" t="inlineStr"/>
      <c r="S427" s="231" t="inlineStr"/>
      <c r="T427" s="231" t="inlineStr">
        <is>
          <t>0</t>
        </is>
      </c>
      <c r="U427" s="231" t="inlineStr">
        <is>
          <t>XB2BVM3LC</t>
        </is>
      </c>
      <c r="V427" s="421" t="n"/>
      <c r="W427" s="421" t="n"/>
      <c r="X427" s="166" t="inlineStr">
        <is>
          <t>XA2EVM3LC</t>
        </is>
      </c>
    </row>
    <row r="428" customFormat="1" s="3">
      <c r="A428" s="64">
        <f>ROW()-ROW(A$422)</f>
        <v/>
      </c>
      <c r="B428" s="22" t="inlineStr">
        <is>
          <t>指示灯</t>
        </is>
      </c>
      <c r="C428" s="22" t="inlineStr">
        <is>
          <t>XB2BVM4LC</t>
        </is>
      </c>
      <c r="D428" s="22" t="inlineStr">
        <is>
          <t>甲供/施耐德电气</t>
        </is>
      </c>
      <c r="E428" s="23" t="inlineStr">
        <is>
          <t>只</t>
        </is>
      </c>
      <c r="F428" s="23" t="n">
        <v>3</v>
      </c>
      <c r="G428" s="349">
        <f>IF(AND(B428="",C428=""),"",ROUND(M428*L428*N428,2))</f>
        <v/>
      </c>
      <c r="H428" s="353">
        <f>IF(AND(B428="",C428=""),"",ROUND(F428*G428,2))</f>
        <v/>
      </c>
      <c r="I428" s="180" t="inlineStr"/>
      <c r="J428" s="392">
        <f>IF(AND(B428="",C428=""),"",ROUND(M428*N428,2))</f>
        <v/>
      </c>
      <c r="K428" s="393">
        <f>IF(AND(B428="",C428=""),"",ROUND(J428*F428,2))</f>
        <v/>
      </c>
      <c r="L428" s="141" t="n">
        <v>1</v>
      </c>
      <c r="M428" s="394" t="n">
        <v>1e-07</v>
      </c>
      <c r="N428" s="220" t="n">
        <v>1</v>
      </c>
      <c r="O428" s="221">
        <f>IF(AND(B428="",C428=""),"",IF(G428&gt;=20000,0.05,IF(G428&gt;=10000,0.1,IF(G428&gt;=5000,0.2,IF(G428&gt;=1000,0.3,IF(G428&gt;=0,0.4,{0}))))))</f>
        <v/>
      </c>
      <c r="P428" s="419">
        <f>IF(AND(B428="",C428=""),"",ROUND(H428*O428,2))</f>
        <v/>
      </c>
      <c r="Q428" s="420" t="inlineStr">
        <is>
          <t>元件</t>
        </is>
      </c>
      <c r="R428" s="231" t="inlineStr"/>
      <c r="S428" s="231" t="inlineStr"/>
      <c r="T428" s="231" t="inlineStr">
        <is>
          <t>0</t>
        </is>
      </c>
      <c r="U428" s="231" t="inlineStr">
        <is>
          <t>XB2BVM4LC</t>
        </is>
      </c>
      <c r="V428" s="421" t="n"/>
      <c r="W428" s="421" t="n"/>
      <c r="X428" s="166" t="inlineStr">
        <is>
          <t>XA2EVM4LC</t>
        </is>
      </c>
    </row>
    <row r="429" s="308">
      <c r="A429" s="64">
        <f>ROW()-ROW(A$422)</f>
        <v/>
      </c>
      <c r="B429" s="112" t="inlineStr">
        <is>
          <t>指示灯</t>
        </is>
      </c>
      <c r="C429" s="112" t="inlineStr">
        <is>
          <t>XB2BVM5LC</t>
        </is>
      </c>
      <c r="D429" s="112" t="inlineStr">
        <is>
          <t>甲供/施耐德电气</t>
        </is>
      </c>
      <c r="E429" s="114" t="inlineStr">
        <is>
          <t>只</t>
        </is>
      </c>
      <c r="F429" s="114" t="n">
        <v>3</v>
      </c>
      <c r="G429" s="396">
        <f>IF(AND(B429="",C429=""),"",ROUND(M429*L429*N429,2))</f>
        <v/>
      </c>
      <c r="H429" s="396">
        <f>IF(AND(B429="",C429=""),"",ROUND(F429*G429,2))</f>
        <v/>
      </c>
      <c r="I429" s="150" t="inlineStr"/>
      <c r="J429" s="397">
        <f>IF(AND(B429="",C429=""),"",ROUND(M429*N429,2))</f>
        <v/>
      </c>
      <c r="K429" s="398">
        <f>IF(AND(B429="",C429=""),"",ROUND(J429*F429,2))</f>
        <v/>
      </c>
      <c r="L429" s="141" t="n">
        <v>1</v>
      </c>
      <c r="M429" s="399" t="n">
        <v>1e-07</v>
      </c>
      <c r="N429" s="154" t="n">
        <v>1</v>
      </c>
      <c r="O429" s="155">
        <f>IF(AND(B429="",C429=""),"",IF(G429&gt;=20000,0.05,IF(G429&gt;=10000,0.1,IF(G429&gt;=5000,0.2,IF(G429&gt;=1000,0.3,IF(G429&gt;=0,0.4,{0}))))))</f>
        <v/>
      </c>
      <c r="P429" s="400">
        <f>IF(AND(B429="",C429=""),"",ROUND(H429*O429,2))</f>
        <v/>
      </c>
      <c r="Q429" s="401" t="inlineStr">
        <is>
          <t>元件</t>
        </is>
      </c>
      <c r="R429" s="168" t="inlineStr"/>
      <c r="S429" s="168" t="inlineStr"/>
      <c r="T429" s="168" t="inlineStr">
        <is>
          <t>0</t>
        </is>
      </c>
      <c r="U429" s="168" t="inlineStr">
        <is>
          <t>XA2EVM5LC</t>
        </is>
      </c>
      <c r="V429" s="402" t="n"/>
      <c r="W429" s="402" t="n"/>
      <c r="X429" s="170" t="inlineStr"/>
    </row>
    <row r="430" s="308">
      <c r="A430" s="64">
        <f>ROW()-ROW(A$422)</f>
        <v/>
      </c>
      <c r="B430" s="112" t="inlineStr">
        <is>
          <t>按钮</t>
        </is>
      </c>
      <c r="C430" s="112" t="inlineStr">
        <is>
          <t>XB2BA31C</t>
        </is>
      </c>
      <c r="D430" s="112" t="inlineStr">
        <is>
          <t>甲供/施耐德电气</t>
        </is>
      </c>
      <c r="E430" s="114" t="inlineStr">
        <is>
          <t>只</t>
        </is>
      </c>
      <c r="F430" s="114" t="n">
        <v>3</v>
      </c>
      <c r="G430" s="396">
        <f>IF(AND(B430="",C430=""),"",ROUND(M430*L430*N430,2))</f>
        <v/>
      </c>
      <c r="H430" s="396">
        <f>IF(AND(B430="",C430=""),"",ROUND(F430*G430,2))</f>
        <v/>
      </c>
      <c r="I430" s="150" t="inlineStr"/>
      <c r="J430" s="397">
        <f>IF(AND(B430="",C430=""),"",ROUND(M430*N430,2))</f>
        <v/>
      </c>
      <c r="K430" s="398">
        <f>IF(AND(B430="",C430=""),"",ROUND(J430*F430,2))</f>
        <v/>
      </c>
      <c r="L430" s="141" t="n">
        <v>1</v>
      </c>
      <c r="M430" s="399" t="n">
        <v>1e-07</v>
      </c>
      <c r="N430" s="154" t="n">
        <v>1</v>
      </c>
      <c r="O430" s="155">
        <f>IF(AND(B430="",C430=""),"",IF(G430&gt;=20000,0.05,IF(G430&gt;=10000,0.1,IF(G430&gt;=5000,0.2,IF(G430&gt;=1000,0.3,IF(G430&gt;=0,0.4,{0}))))))</f>
        <v/>
      </c>
      <c r="P430" s="400">
        <f>IF(AND(B430="",C430=""),"",ROUND(H430*O430,2))</f>
        <v/>
      </c>
      <c r="Q430" s="401" t="inlineStr">
        <is>
          <t>元件</t>
        </is>
      </c>
      <c r="R430" s="168" t="inlineStr"/>
      <c r="S430" s="168" t="inlineStr"/>
      <c r="T430" s="168" t="inlineStr">
        <is>
          <t>0</t>
        </is>
      </c>
      <c r="U430" s="168" t="inlineStr">
        <is>
          <t>XB2BA31C</t>
        </is>
      </c>
      <c r="V430" s="402" t="n"/>
      <c r="W430" s="402" t="n"/>
      <c r="X430" s="170" t="inlineStr">
        <is>
          <t>XA2EA31</t>
        </is>
      </c>
    </row>
    <row r="431" s="308">
      <c r="A431" s="64">
        <f>ROW()-ROW(A$422)</f>
        <v/>
      </c>
      <c r="B431" s="22" t="inlineStr">
        <is>
          <t>按钮</t>
        </is>
      </c>
      <c r="C431" s="22" t="inlineStr">
        <is>
          <t>XB2BA42C</t>
        </is>
      </c>
      <c r="D431" s="22" t="inlineStr">
        <is>
          <t>甲供/施耐德电气</t>
        </is>
      </c>
      <c r="E431" s="23" t="inlineStr">
        <is>
          <t>只</t>
        </is>
      </c>
      <c r="F431" s="23" t="n">
        <v>3</v>
      </c>
      <c r="G431" s="349">
        <f>IF(AND(B431="",C431=""),"",ROUND(M431*L431*N431,2))</f>
        <v/>
      </c>
      <c r="H431" s="396">
        <f>IF(AND(B431="",C431=""),"",ROUND(F431*G431,2))</f>
        <v/>
      </c>
      <c r="I431" s="150" t="inlineStr"/>
      <c r="J431" s="397">
        <f>IF(AND(B431="",C431=""),"",ROUND(M431*N431,2))</f>
        <v/>
      </c>
      <c r="K431" s="398">
        <f>IF(AND(B431="",C431=""),"",ROUND(J431*F431,2))</f>
        <v/>
      </c>
      <c r="L431" s="141" t="n">
        <v>1</v>
      </c>
      <c r="M431" s="399" t="n">
        <v>1e-07</v>
      </c>
      <c r="N431" s="154" t="n">
        <v>1</v>
      </c>
      <c r="O431" s="155">
        <f>IF(AND(B431="",C431=""),"",IF(G431&gt;=20000,0.05,IF(G431&gt;=10000,0.1,IF(G431&gt;=5000,0.2,IF(G431&gt;=1000,0.3,IF(G431&gt;=0,0.4,{0}))))))</f>
        <v/>
      </c>
      <c r="P431" s="400">
        <f>IF(AND(B431="",C431=""),"",ROUND(H431*O431,2))</f>
        <v/>
      </c>
      <c r="Q431" s="401" t="inlineStr">
        <is>
          <t>元件</t>
        </is>
      </c>
      <c r="R431" s="168" t="inlineStr"/>
      <c r="S431" s="168" t="inlineStr"/>
      <c r="T431" s="168" t="inlineStr">
        <is>
          <t>0</t>
        </is>
      </c>
      <c r="U431" s="168" t="inlineStr">
        <is>
          <t>XB2BA42C</t>
        </is>
      </c>
      <c r="V431" s="402" t="n"/>
      <c r="W431" s="402" t="n"/>
      <c r="X431" s="170" t="inlineStr">
        <is>
          <t>XA2EA41</t>
        </is>
      </c>
    </row>
    <row r="432" s="308">
      <c r="A432" s="64">
        <f>ROW()-ROW(A$422)</f>
        <v/>
      </c>
      <c r="B432" s="112" t="inlineStr">
        <is>
          <t>温湿度控制器</t>
        </is>
      </c>
      <c r="C432" s="112" t="inlineStr">
        <is>
          <t>ATH48G-11</t>
        </is>
      </c>
      <c r="D432" s="22" t="inlineStr">
        <is>
          <t>杭州安廷</t>
        </is>
      </c>
      <c r="E432" s="23" t="inlineStr">
        <is>
          <t>套</t>
        </is>
      </c>
      <c r="F432" s="23" t="n">
        <v>1</v>
      </c>
      <c r="G432" s="349">
        <f>IF(AND(B432="",C432=""),"",ROUND(M432*L432*N432,2))</f>
        <v/>
      </c>
      <c r="H432" s="396">
        <f>IF(AND(B432="",C432=""),"",ROUND(F432*G432,2))</f>
        <v/>
      </c>
      <c r="I432" s="150" t="inlineStr"/>
      <c r="J432" s="397">
        <f>IF(AND(B432="",C432=""),"",ROUND(M432*N432,2))</f>
        <v/>
      </c>
      <c r="K432" s="398">
        <f>IF(AND(B432="",C432=""),"",ROUND(J432*F432,2))</f>
        <v/>
      </c>
      <c r="L432" s="141" t="n">
        <v>1</v>
      </c>
      <c r="M432" s="399" t="n">
        <v>450</v>
      </c>
      <c r="N432" s="154" t="n">
        <v>1</v>
      </c>
      <c r="O432" s="155">
        <f>IF(AND(B432="",C432=""),"",IF(G432&gt;=20000,0.05,IF(G432&gt;=10000,0.1,IF(G432&gt;=5000,0.2,IF(G432&gt;=1000,0.3,IF(G432&gt;=0,0.4,{0}))))))</f>
        <v/>
      </c>
      <c r="P432" s="400">
        <f>IF(AND(B432="",C432=""),"",ROUND(H432*O432,2))</f>
        <v/>
      </c>
      <c r="Q432" s="401" t="inlineStr">
        <is>
          <t>元件</t>
        </is>
      </c>
      <c r="R432" s="168" t="inlineStr"/>
      <c r="S432" s="168" t="inlineStr"/>
      <c r="T432" s="168" t="inlineStr">
        <is>
          <t>0</t>
        </is>
      </c>
      <c r="U432" s="168" t="inlineStr"/>
      <c r="V432" s="402" t="n"/>
      <c r="W432" s="402" t="n"/>
      <c r="X432" s="170" t="inlineStr"/>
    </row>
    <row r="433" s="308">
      <c r="A433" s="64">
        <f>ROW()-ROW(A$422)</f>
        <v/>
      </c>
      <c r="B433" s="22" t="inlineStr">
        <is>
          <t>中间继电器</t>
        </is>
      </c>
      <c r="C433" s="22" t="inlineStr">
        <is>
          <t>RXM4AB2P7+RXZE2S114M+RXZ400</t>
        </is>
      </c>
      <c r="D433" s="22" t="inlineStr">
        <is>
          <t>甲供/施耐德电气</t>
        </is>
      </c>
      <c r="E433" s="23" t="inlineStr">
        <is>
          <t>只</t>
        </is>
      </c>
      <c r="F433" s="23" t="n">
        <v>6</v>
      </c>
      <c r="G433" s="349">
        <f>IF(AND(B433="",C433=""),"",ROUND(M433*L433*N433,2))</f>
        <v/>
      </c>
      <c r="H433" s="349">
        <f>IF(AND(B433="",C433=""),"",ROUND(F433*G433,2))</f>
        <v/>
      </c>
      <c r="I433" s="45" t="inlineStr"/>
      <c r="J433" s="397">
        <f>IF(AND(B433="",C433=""),"",ROUND(M433*N433,2))</f>
        <v/>
      </c>
      <c r="K433" s="398">
        <f>IF(AND(B433="",C433=""),"",ROUND(J433*F433,2))</f>
        <v/>
      </c>
      <c r="L433" s="141" t="n">
        <v>1</v>
      </c>
      <c r="M433" s="399" t="n">
        <v>1e-07</v>
      </c>
      <c r="N433" s="154" t="n">
        <v>1</v>
      </c>
      <c r="O433" s="155">
        <f>IF(AND(B433="",C433=""),"",IF(G433&gt;=20000,0.05,IF(G433&gt;=10000,0.1,IF(G433&gt;=5000,0.2,IF(G433&gt;=1000,0.3,IF(G433&gt;=0,0.4,{0}))))))</f>
        <v/>
      </c>
      <c r="P433" s="400">
        <f>IF(AND(B433="",C433=""),"",ROUND(H433*O433,2))</f>
        <v/>
      </c>
      <c r="Q433" s="401" t="inlineStr">
        <is>
          <t>元件</t>
        </is>
      </c>
      <c r="R433" s="168" t="inlineStr"/>
      <c r="S433" s="168" t="inlineStr"/>
      <c r="T433" s="168" t="inlineStr">
        <is>
          <t>0</t>
        </is>
      </c>
      <c r="U433" s="168" t="inlineStr">
        <is>
          <t>RXM4AB2P7+RXZE2S114M+RXZ400</t>
        </is>
      </c>
      <c r="V433" s="402" t="n"/>
      <c r="W433" s="402" t="n"/>
      <c r="X433" s="170" t="inlineStr">
        <is>
          <t>REL-IR-BL/L-230AC/4X21，含底座→RXM4AB2P7+RXZE2S114M+RXZ400→REL-IR-BL/L-230AC/4X21，含底座</t>
        </is>
      </c>
    </row>
    <row r="434" customFormat="1" s="3">
      <c r="A434" s="64">
        <f>ROW()-ROW(A$422)</f>
        <v/>
      </c>
      <c r="B434" s="22" t="inlineStr">
        <is>
          <t>带熔丝端子</t>
        </is>
      </c>
      <c r="C434" s="22" t="inlineStr">
        <is>
          <t>UK 5-HESI</t>
        </is>
      </c>
      <c r="D434" s="22" t="inlineStr">
        <is>
          <t>菲尼克斯</t>
        </is>
      </c>
      <c r="E434" s="23" t="inlineStr">
        <is>
          <t>只</t>
        </is>
      </c>
      <c r="F434" s="23" t="n">
        <v>12</v>
      </c>
      <c r="G434" s="349">
        <f>IF(AND(B434="",C434=""),"",ROUND(M434*L434*N434,2))</f>
        <v/>
      </c>
      <c r="H434" s="349">
        <f>IF(AND(B434="",C434=""),"",ROUND(F434*G434,2))</f>
        <v/>
      </c>
      <c r="I434" s="45" t="inlineStr"/>
      <c r="J434" s="392">
        <f>IF(AND(B434="",C434=""),"",ROUND(M434*N434,2))</f>
        <v/>
      </c>
      <c r="K434" s="393">
        <f>IF(AND(B434="",C434=""),"",ROUND(J434*F434,2))</f>
        <v/>
      </c>
      <c r="L434" s="141" t="n">
        <v>1</v>
      </c>
      <c r="M434" s="394" t="n">
        <v>7</v>
      </c>
      <c r="N434" s="220" t="n">
        <v>1</v>
      </c>
      <c r="O434" s="221">
        <f>IF(AND(B434="",C434=""),"",IF(G434&gt;=20000,0.05,IF(G434&gt;=10000,0.1,IF(G434&gt;=5000,0.2,IF(G434&gt;=1000,0.3,IF(G434&gt;=0,0.4,{0}))))))</f>
        <v/>
      </c>
      <c r="P434" s="419">
        <f>IF(AND(B434="",C434=""),"",ROUND(H434*O434,2))</f>
        <v/>
      </c>
      <c r="Q434" s="420" t="inlineStr">
        <is>
          <t>元件</t>
        </is>
      </c>
      <c r="R434" s="231" t="inlineStr"/>
      <c r="S434" s="231" t="inlineStr"/>
      <c r="T434" s="231" t="inlineStr">
        <is>
          <t>0</t>
        </is>
      </c>
      <c r="U434" s="231" t="inlineStr">
        <is>
          <t>True</t>
        </is>
      </c>
      <c r="V434" s="421" t="n"/>
      <c r="W434" s="421" t="n"/>
      <c r="X434" s="166" t="inlineStr"/>
    </row>
    <row r="435" s="308">
      <c r="A435" s="64">
        <f>ROW()-ROW(A$422)</f>
        <v/>
      </c>
      <c r="B435" s="22" t="inlineStr">
        <is>
          <t>水平母排</t>
        </is>
      </c>
      <c r="C435" s="22" t="inlineStr">
        <is>
          <t>TMY 4*(4*150*5)+2*50*5</t>
        </is>
      </c>
      <c r="D435" s="22" t="inlineStr">
        <is>
          <t>国产优质</t>
        </is>
      </c>
      <c r="E435" s="23" t="inlineStr">
        <is>
          <t>米</t>
        </is>
      </c>
      <c r="F435" s="23" t="n">
        <v>0.9</v>
      </c>
      <c r="G435" s="349">
        <f>IF(AND(B435="",C435=""),"",ROUND(M435*L435*N435,2))</f>
        <v/>
      </c>
      <c r="H435" s="349">
        <f>IF(AND(B435="",C435=""),"",ROUND(F435*G435,2))</f>
        <v/>
      </c>
      <c r="I435" s="45" t="inlineStr"/>
      <c r="J435" s="397">
        <f>IF(AND(B435="",C435=""),"",ROUND(M435*N435,2))</f>
        <v/>
      </c>
      <c r="K435" s="398">
        <f>IF(AND(B435="",C435=""),"",ROUND(J435*F435,2))</f>
        <v/>
      </c>
      <c r="L435" s="200" t="n">
        <v>1</v>
      </c>
      <c r="M435" s="399" t="n">
        <v>12026.68125</v>
      </c>
      <c r="N435" s="154">
        <f>(6317.932*1*1+2684.8*1*1)/9002.732</f>
        <v/>
      </c>
      <c r="O435" s="155">
        <f>IF(AND(B435="",C435=""),"",IF(J435&gt;=20000,0.05,IF(J435&gt;=10000,0.1,IF(J435&gt;=5000,0.2,IF(J435&gt;=1000,0.3,IF(J435&gt;=0,0.4,{0}))))))</f>
        <v/>
      </c>
      <c r="P435" s="400">
        <f>IF(AND(B435="",C435=""),"",ROUND(H435*O435,2))</f>
        <v/>
      </c>
      <c r="Q435" s="401" t="inlineStr">
        <is>
          <t>母排</t>
        </is>
      </c>
      <c r="R435" s="168" t="inlineStr"/>
      <c r="S435" s="168" t="inlineStr"/>
      <c r="T435" s="168" t="inlineStr">
        <is>
          <t>0</t>
        </is>
      </c>
      <c r="U435" s="168" t="inlineStr"/>
      <c r="V435" s="402" t="n"/>
      <c r="W435" s="402" t="n"/>
      <c r="X435" s="170" t="inlineStr"/>
    </row>
    <row r="436" customFormat="1" s="5">
      <c r="A436" s="64">
        <f>ROW()-ROW(A$422)</f>
        <v/>
      </c>
      <c r="B436" s="22" t="inlineStr">
        <is>
          <t>桩头排</t>
        </is>
      </c>
      <c r="C436" s="22" t="inlineStr">
        <is>
          <t>TMY 3*80*5</t>
        </is>
      </c>
      <c r="D436" s="22" t="inlineStr">
        <is>
          <t>国产优质</t>
        </is>
      </c>
      <c r="E436" s="23" t="inlineStr">
        <is>
          <t>米</t>
        </is>
      </c>
      <c r="F436" s="23" t="n">
        <v>3</v>
      </c>
      <c r="G436" s="349">
        <f>IF(AND(B436="",C436=""),"",ROUND(M436*L436*N436,2))</f>
        <v/>
      </c>
      <c r="H436" s="349">
        <f>IF(AND(B436="",C436=""),"",ROUND(F436*G436,2))</f>
        <v/>
      </c>
      <c r="I436" s="45" t="inlineStr"/>
      <c r="J436" s="422">
        <f>IF(AND(B436="",C436=""),"",ROUND(M436*N436,2))</f>
        <v/>
      </c>
      <c r="K436" s="423">
        <f>IF(AND(B436="",C436=""),"",ROUND(J436*F436,2))</f>
        <v/>
      </c>
      <c r="L436" s="225" t="n">
        <v>1</v>
      </c>
      <c r="M436" s="424" t="n">
        <v>1154.5614</v>
      </c>
      <c r="N436" s="227" t="n">
        <v>1</v>
      </c>
      <c r="O436" s="228">
        <f>IF(AND(B436="",C436=""),"",IF(G436&gt;=20000,0.05,IF(G436&gt;=10000,0.1,IF(G436&gt;=5000,0.2,IF(G436&gt;=1000,0.3,IF(G436&gt;=0,0.4,{0}))))))</f>
        <v/>
      </c>
      <c r="P436" s="425">
        <f>IF(AND(B436="",C436=""),"",ROUND(H436*O436,2))</f>
        <v/>
      </c>
      <c r="Q436" s="426" t="inlineStr">
        <is>
          <t>母排</t>
        </is>
      </c>
      <c r="R436" s="234" t="inlineStr"/>
      <c r="S436" s="234" t="inlineStr"/>
      <c r="T436" s="235" t="inlineStr">
        <is>
          <t>0</t>
        </is>
      </c>
      <c r="U436" s="235" t="inlineStr"/>
      <c r="V436" s="427" t="n"/>
      <c r="W436" s="427" t="n"/>
      <c r="X436" s="237" t="inlineStr">
        <is>
          <t>TMY 2*30*5→TMY 30*8</t>
        </is>
      </c>
    </row>
    <row r="437" customFormat="1" s="5">
      <c r="A437" s="64">
        <f>ROW()-ROW(A$422)</f>
        <v/>
      </c>
      <c r="B437" s="22" t="inlineStr">
        <is>
          <t>桩头排</t>
        </is>
      </c>
      <c r="C437" s="22" t="inlineStr">
        <is>
          <t>TMY 4*80*5</t>
        </is>
      </c>
      <c r="D437" s="22" t="inlineStr">
        <is>
          <t>国产优质</t>
        </is>
      </c>
      <c r="E437" s="23" t="inlineStr">
        <is>
          <t>米</t>
        </is>
      </c>
      <c r="F437" s="23" t="n">
        <v>1.5</v>
      </c>
      <c r="G437" s="349">
        <f>IF(AND(B437="",C437=""),"",ROUND(M437*L437*N437,2))</f>
        <v/>
      </c>
      <c r="H437" s="349">
        <f>IF(AND(B437="",C437=""),"",ROUND(F437*G437,2))</f>
        <v/>
      </c>
      <c r="I437" s="45" t="inlineStr"/>
      <c r="J437" s="422">
        <f>IF(AND(B437="",C437=""),"",ROUND(M437*N437,2))</f>
        <v/>
      </c>
      <c r="K437" s="423">
        <f>IF(AND(B437="",C437=""),"",ROUND(J437*F437,2))</f>
        <v/>
      </c>
      <c r="L437" s="225" t="n">
        <v>1</v>
      </c>
      <c r="M437" s="424" t="n">
        <v>1539.4152</v>
      </c>
      <c r="N437" s="227" t="n">
        <v>1</v>
      </c>
      <c r="O437" s="228">
        <f>IF(AND(B437="",C437=""),"",IF(G437&gt;=20000,0.05,IF(G437&gt;=10000,0.1,IF(G437&gt;=5000,0.2,IF(G437&gt;=1000,0.3,IF(G437&gt;=0,0.4,{0}))))))</f>
        <v/>
      </c>
      <c r="P437" s="425">
        <f>IF(AND(B437="",C437=""),"",ROUND(H437*O437,2))</f>
        <v/>
      </c>
      <c r="Q437" s="426" t="inlineStr">
        <is>
          <t>母排</t>
        </is>
      </c>
      <c r="R437" s="234" t="inlineStr"/>
      <c r="S437" s="234" t="inlineStr"/>
      <c r="T437" s="235" t="inlineStr">
        <is>
          <t>0</t>
        </is>
      </c>
      <c r="U437" s="235" t="inlineStr"/>
      <c r="V437" s="427" t="n"/>
      <c r="W437" s="427" t="n"/>
      <c r="X437" s="237" t="inlineStr">
        <is>
          <t>TMY 2*30*5→TMY 30*8</t>
        </is>
      </c>
    </row>
    <row r="438" customFormat="1" s="5">
      <c r="A438" s="64">
        <f>ROW()-ROW(A$422)</f>
        <v/>
      </c>
      <c r="B438" s="22" t="inlineStr">
        <is>
          <t>垂直排</t>
        </is>
      </c>
      <c r="C438" s="22" t="inlineStr">
        <is>
          <t>TMY 4*2*80*5</t>
        </is>
      </c>
      <c r="D438" s="22" t="inlineStr">
        <is>
          <t>国产优质</t>
        </is>
      </c>
      <c r="E438" s="23" t="inlineStr">
        <is>
          <t>米</t>
        </is>
      </c>
      <c r="F438" s="23" t="n">
        <v>2</v>
      </c>
      <c r="G438" s="349">
        <f>IF(AND(B438="",C438=""),"",ROUND(M438*L438*N438,2))</f>
        <v/>
      </c>
      <c r="H438" s="349">
        <f>IF(AND(B438="",C438=""),"",ROUND(F438*G438,2))</f>
        <v/>
      </c>
      <c r="I438" s="45" t="inlineStr"/>
      <c r="J438" s="422">
        <f>IF(AND(B438="",C438=""),"",ROUND(M438*N438,2))</f>
        <v/>
      </c>
      <c r="K438" s="423">
        <f>IF(AND(B438="",C438=""),"",ROUND(J438*F438,2))</f>
        <v/>
      </c>
      <c r="L438" s="225" t="n">
        <v>1</v>
      </c>
      <c r="M438" s="424" t="n">
        <v>3078.8304</v>
      </c>
      <c r="N438" s="227" t="n">
        <v>1</v>
      </c>
      <c r="O438" s="228">
        <f>IF(AND(B438="",C438=""),"",IF(G438&gt;=20000,0.05,IF(G438&gt;=10000,0.1,IF(G438&gt;=5000,0.2,IF(G438&gt;=1000,0.3,IF(G438&gt;=0,0.4,{0}))))))</f>
        <v/>
      </c>
      <c r="P438" s="425">
        <f>IF(AND(B438="",C438=""),"",ROUND(H438*O438,2))</f>
        <v/>
      </c>
      <c r="Q438" s="426" t="inlineStr">
        <is>
          <t>母排</t>
        </is>
      </c>
      <c r="R438" s="234" t="inlineStr"/>
      <c r="S438" s="234" t="inlineStr"/>
      <c r="T438" s="235" t="inlineStr">
        <is>
          <t>0</t>
        </is>
      </c>
      <c r="U438" s="235" t="inlineStr"/>
      <c r="V438" s="427" t="n"/>
      <c r="W438" s="427" t="n"/>
      <c r="X438" s="237" t="inlineStr">
        <is>
          <t>TMY 2*30*5→TMY 30*8</t>
        </is>
      </c>
    </row>
    <row r="439" customFormat="1" s="5">
      <c r="A439" s="64">
        <f>ROW()-ROW(A$422)</f>
        <v/>
      </c>
      <c r="B439" s="22" t="inlineStr">
        <is>
          <t>N排</t>
        </is>
      </c>
      <c r="C439" s="22" t="inlineStr">
        <is>
          <t>TMY 2*80*10</t>
        </is>
      </c>
      <c r="D439" s="22" t="inlineStr">
        <is>
          <t>国产优质</t>
        </is>
      </c>
      <c r="E439" s="23" t="inlineStr">
        <is>
          <t>米</t>
        </is>
      </c>
      <c r="F439" s="23" t="n">
        <v>3</v>
      </c>
      <c r="G439" s="349">
        <f>IF(AND(B439="",C439=""),"",ROUND(M439*L439*N439,2))</f>
        <v/>
      </c>
      <c r="H439" s="349">
        <f>IF(AND(B439="",C439=""),"",ROUND(F439*G439,2))</f>
        <v/>
      </c>
      <c r="I439" s="45" t="inlineStr"/>
      <c r="J439" s="422">
        <f>IF(AND(B439="",C439=""),"",ROUND(M439*N439,2))</f>
        <v/>
      </c>
      <c r="K439" s="423">
        <f>IF(AND(B439="",C439=""),"",ROUND(J439*F439,2))</f>
        <v/>
      </c>
      <c r="L439" s="225" t="n">
        <v>1</v>
      </c>
      <c r="M439" s="424" t="n">
        <v>1539.4152</v>
      </c>
      <c r="N439" s="227" t="n">
        <v>1</v>
      </c>
      <c r="O439" s="228">
        <f>IF(AND(B439="",C439=""),"",IF(G439&gt;=20000,0.05,IF(G439&gt;=10000,0.1,IF(G439&gt;=5000,0.2,IF(G439&gt;=1000,0.3,IF(G439&gt;=0,0.4,{0}))))))</f>
        <v/>
      </c>
      <c r="P439" s="425">
        <f>IF(AND(B439="",C439=""),"",ROUND(H439*O439,2))</f>
        <v/>
      </c>
      <c r="Q439" s="426" t="inlineStr">
        <is>
          <t>母排</t>
        </is>
      </c>
      <c r="R439" s="234" t="inlineStr"/>
      <c r="S439" s="234" t="inlineStr"/>
      <c r="T439" s="235" t="inlineStr">
        <is>
          <t>0</t>
        </is>
      </c>
      <c r="U439" s="235" t="inlineStr"/>
      <c r="V439" s="427" t="n"/>
      <c r="W439" s="427" t="n"/>
      <c r="X439" s="237" t="inlineStr">
        <is>
          <t>TMY 2*30*5→TMY 30*8</t>
        </is>
      </c>
    </row>
    <row r="440" customFormat="1" s="5">
      <c r="A440" s="64">
        <f>ROW()-ROW(A$422)</f>
        <v/>
      </c>
      <c r="B440" s="22" t="inlineStr">
        <is>
          <t>PE排</t>
        </is>
      </c>
      <c r="C440" s="22" t="inlineStr">
        <is>
          <t>TMY 2*50*5</t>
        </is>
      </c>
      <c r="D440" s="22" t="inlineStr">
        <is>
          <t>国产优质</t>
        </is>
      </c>
      <c r="E440" s="23" t="inlineStr">
        <is>
          <t>米</t>
        </is>
      </c>
      <c r="F440" s="23" t="n">
        <v>2</v>
      </c>
      <c r="G440" s="349">
        <f>IF(AND(B440="",C440=""),"",ROUND(M440*L440*N440,2))</f>
        <v/>
      </c>
      <c r="H440" s="349">
        <f>IF(AND(B440="",C440=""),"",ROUND(F440*G440,2))</f>
        <v/>
      </c>
      <c r="I440" s="45" t="inlineStr"/>
      <c r="J440" s="422">
        <f>IF(AND(B440="",C440=""),"",ROUND(M440*N440,2))</f>
        <v/>
      </c>
      <c r="K440" s="423">
        <f>IF(AND(B440="",C440=""),"",ROUND(J440*F440,2))</f>
        <v/>
      </c>
      <c r="L440" s="225" t="n">
        <v>1</v>
      </c>
      <c r="M440" s="424" t="n">
        <v>481.06725</v>
      </c>
      <c r="N440" s="227" t="n">
        <v>1</v>
      </c>
      <c r="O440" s="228">
        <f>IF(AND(B440="",C440=""),"",IF(G440&gt;=20000,0.05,IF(G440&gt;=10000,0.1,IF(G440&gt;=5000,0.2,IF(G440&gt;=1000,0.3,IF(G440&gt;=0,0.4,{0}))))))</f>
        <v/>
      </c>
      <c r="P440" s="425">
        <f>IF(AND(B440="",C440=""),"",ROUND(H440*O440,2))</f>
        <v/>
      </c>
      <c r="Q440" s="426" t="inlineStr">
        <is>
          <t>母排</t>
        </is>
      </c>
      <c r="R440" s="234" t="inlineStr"/>
      <c r="S440" s="234" t="inlineStr"/>
      <c r="T440" s="235" t="inlineStr">
        <is>
          <t>0</t>
        </is>
      </c>
      <c r="U440" s="235" t="inlineStr"/>
      <c r="V440" s="427" t="n"/>
      <c r="W440" s="427" t="n"/>
      <c r="X440" s="237" t="inlineStr">
        <is>
          <t>TMY 2*30*5→TMY 30*8</t>
        </is>
      </c>
    </row>
    <row r="441" s="308">
      <c r="A441" s="64">
        <f>ROW()-ROW(A$422)</f>
        <v/>
      </c>
      <c r="B441" s="112" t="inlineStr">
        <is>
          <t>辅料</t>
        </is>
      </c>
      <c r="C441" s="112" t="inlineStr"/>
      <c r="D441" s="112" t="inlineStr"/>
      <c r="E441" s="114" t="inlineStr">
        <is>
          <t>套</t>
        </is>
      </c>
      <c r="F441" s="114" t="n">
        <v>1</v>
      </c>
      <c r="G441" s="396">
        <f>IF(AND(B441="",C441=""),"",ROUND(M441*L441*N441,2))</f>
        <v/>
      </c>
      <c r="H441" s="396">
        <f>IF(AND(B441="",C441=""),"",ROUND(F441*G441,2))</f>
        <v/>
      </c>
      <c r="I441" s="219" t="inlineStr"/>
      <c r="J441" s="397">
        <f>IF(AND(B441="",C441=""),"",ROUND(M441*N441,2))</f>
        <v/>
      </c>
      <c r="K441" s="398">
        <f>IF(AND(B441="",C441=""),"",ROUND(J441*F441,2))</f>
        <v/>
      </c>
      <c r="L441" s="200" t="n">
        <v>1</v>
      </c>
      <c r="M441" s="399" t="n">
        <v>1050</v>
      </c>
      <c r="N441" s="154" t="n">
        <v>1</v>
      </c>
      <c r="O441" s="155">
        <f>IF(AND(B441="",C441=""),"",IF(G441&gt;=20000,0.05,IF(G441&gt;=10000,0.1,IF(G441&gt;=5000,0.2,IF(G441&gt;=1000,0.3,IF(G441&gt;=0,0.4,{0}))))))</f>
        <v/>
      </c>
      <c r="P441" s="400">
        <f>IF(AND(B441="",C441=""),"",ROUND(H441*O441,2))</f>
        <v/>
      </c>
      <c r="Q441" s="401" t="inlineStr">
        <is>
          <t>辅料</t>
        </is>
      </c>
      <c r="R441" s="168" t="inlineStr"/>
      <c r="S441" s="168" t="inlineStr"/>
      <c r="T441" s="168" t="inlineStr">
        <is>
          <t>0</t>
        </is>
      </c>
      <c r="U441" s="168" t="inlineStr"/>
      <c r="V441" s="402" t="n"/>
      <c r="W441" s="402" t="n"/>
      <c r="X441" s="170" t="inlineStr"/>
    </row>
    <row r="442" s="308">
      <c r="A442" s="64">
        <f>ROW()-ROW(A$422)</f>
        <v/>
      </c>
      <c r="B442" s="112" t="inlineStr">
        <is>
          <t>柜体Blokset</t>
        </is>
      </c>
      <c r="C442" s="22" t="inlineStr">
        <is>
          <t>800W*1200D*2200H</t>
        </is>
      </c>
      <c r="D442" s="112" t="inlineStr">
        <is>
          <t>清科</t>
        </is>
      </c>
      <c r="E442" s="114" t="inlineStr">
        <is>
          <t>台</t>
        </is>
      </c>
      <c r="F442" s="114" t="n">
        <v>1</v>
      </c>
      <c r="G442" s="396">
        <f>IF(AND(B442="",C442=""),"",ROUND(M442*L442*N442,2))</f>
        <v/>
      </c>
      <c r="H442" s="396">
        <f>IF(AND(B442="",C442=""),"",ROUND(F442*G442,2))</f>
        <v/>
      </c>
      <c r="I442" s="219" t="inlineStr"/>
      <c r="J442" s="397">
        <f>IF(AND(B442="",C442=""),"",ROUND(M442*N442,2))</f>
        <v/>
      </c>
      <c r="K442" s="398">
        <f>IF(AND(B442="",C442=""),"",ROUND(J442*F442,2))</f>
        <v/>
      </c>
      <c r="L442" s="200" t="n">
        <v>1</v>
      </c>
      <c r="M442" s="399" t="n">
        <v>5056</v>
      </c>
      <c r="N442" s="154" t="n">
        <v>1</v>
      </c>
      <c r="O442" s="155">
        <f>IF(AND(B442="",C442=""),"",IF(G442&gt;=20000,0.05,IF(G442&gt;=10000,0.1,IF(G442&gt;=5000,0.2,IF(G442&gt;=1000,0.3,IF(G442&gt;=0,0.4,{0}))))))</f>
        <v/>
      </c>
      <c r="P442" s="400">
        <f>IF(AND(B442="",C442=""),"",ROUND(H442*O442,2))</f>
        <v/>
      </c>
      <c r="Q442" s="401" t="inlineStr">
        <is>
          <t>箱体</t>
        </is>
      </c>
      <c r="R442" s="168" t="inlineStr"/>
      <c r="S442" s="168" t="inlineStr"/>
      <c r="T442" s="168" t="inlineStr">
        <is>
          <t>0</t>
        </is>
      </c>
      <c r="U442" s="168" t="inlineStr"/>
      <c r="V442" s="402" t="n"/>
      <c r="W442" s="402" t="n"/>
      <c r="X442" s="170" t="inlineStr">
        <is>
          <t>BlokSeT</t>
        </is>
      </c>
    </row>
    <row r="443" s="308">
      <c r="A443" s="64">
        <f>ROW()-ROW(A$422)</f>
        <v/>
      </c>
      <c r="B443" s="22" t="inlineStr"/>
      <c r="C443" s="22" t="inlineStr"/>
      <c r="D443" s="22" t="inlineStr"/>
      <c r="E443" s="23" t="n"/>
      <c r="F443" s="23">
        <f>IF(AND(B443="",C443=""),"",1)</f>
        <v/>
      </c>
      <c r="G443" s="349">
        <f>IF(AND(B443="",C443=""),"",ROUND(M443*L443*N443,2))</f>
        <v/>
      </c>
      <c r="H443" s="349">
        <f>IF(AND(B443="",C443=""),"",ROUND(F443*G443,2))</f>
        <v/>
      </c>
      <c r="I443" s="45" t="inlineStr"/>
      <c r="J443" s="397">
        <f>IF(AND(B443="",C443=""),"",ROUND(M443*N443,2))</f>
        <v/>
      </c>
      <c r="K443" s="398">
        <f>IF(AND(B443="",C443=""),"",ROUND(J443*F443,2))</f>
        <v/>
      </c>
      <c r="L443" s="200">
        <f>IF(AND(B443="",C443=""),"",1)</f>
        <v/>
      </c>
      <c r="M443" s="399" t="n"/>
      <c r="N443" s="154">
        <f>IF(AND(B443="",C443=""),"",1)</f>
        <v/>
      </c>
      <c r="O443" s="155">
        <f>IF(AND(B443="",C443=""),"",IF(J443&gt;=20000,0.05,IF(J443&gt;=10000,0.1,IF(J443&gt;=5000,0.2,IF(J443&gt;=1000,0.3,IF(J443&gt;=0,0.4,{0}))))))</f>
        <v/>
      </c>
      <c r="P443" s="400">
        <f>IF(AND(B443="",C443=""),"",ROUND(H443*O443,2))</f>
        <v/>
      </c>
      <c r="Q443" s="401">
        <f>IF(AND(B443="",C443=""),"","元件")</f>
        <v/>
      </c>
      <c r="R443" s="168" t="inlineStr"/>
      <c r="S443" s="168" t="inlineStr"/>
      <c r="T443" s="168" t="inlineStr"/>
      <c r="U443" s="168" t="inlineStr"/>
      <c r="V443" s="402" t="n"/>
      <c r="W443" s="402" t="n"/>
      <c r="X443" s="170" t="inlineStr"/>
    </row>
    <row r="444" s="308">
      <c r="A444" s="64">
        <f>ROW()-ROW(A$422)</f>
        <v/>
      </c>
      <c r="B444" s="171" t="inlineStr">
        <is>
          <t>小计</t>
        </is>
      </c>
      <c r="C444" s="172" t="n"/>
      <c r="D444" s="204" t="n"/>
      <c r="E444" s="114" t="n"/>
      <c r="F444" s="114" t="n"/>
      <c r="G444" s="396" t="n"/>
      <c r="H444" s="396">
        <f>ROUND(SUM(H422:INDEX(H:H,ROW()-1)),2)</f>
        <v/>
      </c>
      <c r="I444" s="45" t="inlineStr"/>
      <c r="J444" s="397" t="n"/>
      <c r="K444" s="398">
        <f>ROUND(SUM(K422:INDEX(K:K,ROW()-1)),2)</f>
        <v/>
      </c>
      <c r="L444" s="200" t="n"/>
      <c r="M444" s="399" t="n"/>
      <c r="N444" s="154" t="n"/>
      <c r="O444" s="155" t="n"/>
      <c r="P444" s="400" t="n"/>
      <c r="Q444" s="401" t="n"/>
      <c r="R444" s="168" t="inlineStr"/>
      <c r="S444" s="168" t="inlineStr"/>
      <c r="T444" s="168" t="inlineStr"/>
      <c r="U444" s="168" t="inlineStr"/>
      <c r="V444" s="402">
        <f>ROUND(SUMPRODUCT(F422:INDEX(F:F,ROW()-1),V422:INDEX(V:V,ROW()-1)),2)</f>
        <v/>
      </c>
      <c r="W444" s="402">
        <f>ROUND(SUMPRODUCT(F422:INDEX(F:F,ROW()-1),W422:INDEX(W:W,ROW()-1)),2)</f>
        <v/>
      </c>
      <c r="X444" s="170" t="inlineStr"/>
    </row>
    <row r="445" s="308">
      <c r="A445" s="64">
        <f>ROW()-ROW(A$422)</f>
        <v/>
      </c>
      <c r="B445" s="171" t="inlineStr">
        <is>
          <t>综合费(人工、管理、税金、利润等)</t>
        </is>
      </c>
      <c r="C445" s="172" t="n"/>
      <c r="D445" s="204" t="n"/>
      <c r="E445" s="114" t="n"/>
      <c r="F445" s="114" t="n"/>
      <c r="G445" s="396" t="n"/>
      <c r="H445" s="396">
        <f>2500</f>
        <v/>
      </c>
      <c r="I445" s="45" t="inlineStr"/>
      <c r="J445" s="397" t="n"/>
      <c r="K445" s="398" t="n"/>
      <c r="L445" s="200" t="n"/>
      <c r="M445" s="399" t="n"/>
      <c r="N445" s="154" t="n"/>
      <c r="O445" s="155" t="n"/>
      <c r="P445" s="400" t="n"/>
      <c r="Q445" s="401" t="inlineStr">
        <is>
          <t>费用</t>
        </is>
      </c>
      <c r="R445" s="168" t="inlineStr"/>
      <c r="S445" s="168" t="inlineStr"/>
      <c r="T445" s="168" t="inlineStr"/>
      <c r="U445" s="168" t="inlineStr"/>
      <c r="V445" s="402" t="n"/>
      <c r="W445" s="402" t="n"/>
      <c r="X445" s="170" t="inlineStr"/>
    </row>
    <row r="446" s="308">
      <c r="A446" s="64">
        <f>ROW()-ROW(A$422)</f>
        <v/>
      </c>
      <c r="B446" s="204" t="inlineStr">
        <is>
          <t>单台合计</t>
        </is>
      </c>
      <c r="C446" s="172" t="n"/>
      <c r="D446" s="204" t="n"/>
      <c r="E446" s="114" t="n"/>
      <c r="F446" s="114" t="n"/>
      <c r="G446" s="396" t="n"/>
      <c r="H446" s="396">
        <f>ROUND(SUM(H444:H445),2)</f>
        <v/>
      </c>
      <c r="I446" s="181" t="n"/>
      <c r="J446" s="397" t="n"/>
      <c r="K446" s="398">
        <f>ROUND(SUM(K444:K445),2)</f>
        <v/>
      </c>
      <c r="L446" s="209" t="n"/>
      <c r="M446" s="399" t="n"/>
      <c r="N446" s="210" t="n"/>
      <c r="O446" s="211" t="n"/>
      <c r="P446" s="400" t="n"/>
      <c r="Q446" s="401" t="n"/>
      <c r="R446" s="168" t="inlineStr"/>
      <c r="S446" s="168" t="inlineStr"/>
      <c r="T446" s="168" t="inlineStr"/>
      <c r="U446" s="168" t="inlineStr"/>
      <c r="V446" s="402" t="n"/>
      <c r="W446" s="402" t="n"/>
      <c r="X446" s="170" t="inlineStr"/>
    </row>
    <row r="447" s="308">
      <c r="A447" s="173" t="inlineStr">
        <is>
          <t>总计</t>
        </is>
      </c>
      <c r="B447" s="205" t="n"/>
      <c r="C447" s="175" t="n"/>
      <c r="D447" s="206" t="n"/>
      <c r="E447" s="206" t="inlineStr">
        <is>
          <t>台</t>
        </is>
      </c>
      <c r="F447" s="206" t="n">
        <v>1</v>
      </c>
      <c r="G447" s="414">
        <f>ROUND(H446,2)</f>
        <v/>
      </c>
      <c r="H447" s="414">
        <f>ROUND(F447*G447,2)</f>
        <v/>
      </c>
      <c r="I447" s="185" t="n"/>
      <c r="J447" s="415" t="n"/>
      <c r="K447" s="416">
        <f>ROUND(K446*F447,2)</f>
        <v/>
      </c>
      <c r="L447" s="214" t="n"/>
      <c r="M447" s="417" t="n"/>
      <c r="N447" s="216" t="n"/>
      <c r="O447" s="217" t="n"/>
      <c r="P447" s="418" t="n"/>
      <c r="Q447" s="401" t="n"/>
      <c r="R447" s="168" t="inlineStr"/>
      <c r="S447" s="168" t="inlineStr"/>
      <c r="T447" s="168" t="inlineStr"/>
      <c r="U447" s="168" t="inlineStr"/>
      <c r="V447" s="402" t="n"/>
      <c r="W447" s="402" t="n"/>
      <c r="X447" s="170" t="inlineStr"/>
    </row>
    <row r="448" customFormat="1" s="4">
      <c r="A448" s="6" t="n"/>
      <c r="B448" s="195" t="inlineStr"/>
      <c r="C448" s="195" t="inlineStr"/>
      <c r="D448" s="195" t="inlineStr"/>
      <c r="Q448" s="159" t="n"/>
      <c r="R448" s="159" t="n"/>
      <c r="S448" s="159" t="n"/>
      <c r="T448" s="159" t="n"/>
      <c r="U448" s="159" t="n"/>
      <c r="X448" s="195" t="inlineStr"/>
    </row>
    <row r="449" customFormat="1" s="4">
      <c r="A449" s="6" t="n"/>
      <c r="B449" s="195" t="inlineStr"/>
      <c r="C449" s="195" t="inlineStr"/>
      <c r="D449" s="195" t="inlineStr"/>
      <c r="Q449" s="159" t="n"/>
      <c r="R449" s="159" t="n"/>
      <c r="S449" s="159" t="n"/>
      <c r="T449" s="159" t="n"/>
      <c r="U449" s="159" t="n"/>
      <c r="X449" s="195" t="inlineStr"/>
    </row>
    <row r="450" s="308">
      <c r="A450" s="208">
        <f>CONCATENATE("报价人：",项目信息!$B$8)</f>
        <v/>
      </c>
      <c r="B450" s="208" t="n"/>
      <c r="C450" s="4" t="n"/>
      <c r="D450" s="4" t="n"/>
      <c r="E450" s="4" t="n"/>
      <c r="F450" s="4" t="n"/>
      <c r="G450" s="4" t="n"/>
      <c r="H450" s="178">
        <f>项目信息!$B$9</f>
        <v/>
      </c>
      <c r="Q450" s="159" t="n"/>
      <c r="R450" s="159" t="n"/>
      <c r="S450" s="159" t="n"/>
      <c r="T450" s="159" t="n"/>
      <c r="U450" s="159" t="n"/>
      <c r="X450" s="203" t="inlineStr"/>
    </row>
    <row r="451" s="308">
      <c r="A451" s="8">
        <f>T(项目信息!$B$22)</f>
        <v/>
      </c>
      <c r="Q451" s="159" t="n"/>
      <c r="R451" s="159" t="n"/>
      <c r="S451" s="159" t="n"/>
      <c r="T451" s="159" t="n"/>
      <c r="U451" s="159" t="n"/>
    </row>
    <row r="452" s="308">
      <c r="A452" s="9">
        <f>T(项目信息!$B$23)</f>
        <v/>
      </c>
      <c r="Q452" s="159" t="n"/>
      <c r="R452" s="159" t="n"/>
      <c r="S452" s="159" t="n"/>
      <c r="T452" s="159" t="n"/>
      <c r="U452" s="159" t="n"/>
    </row>
    <row r="453" s="308">
      <c r="A453" s="97" t="inlineStr">
        <is>
          <t>成套产品报价明细表</t>
        </is>
      </c>
      <c r="B453" s="378" t="n"/>
      <c r="C453" s="378" t="n"/>
      <c r="D453" s="378" t="n"/>
      <c r="E453" s="378" t="n"/>
      <c r="F453" s="378" t="n"/>
      <c r="G453" s="378" t="n"/>
      <c r="H453" s="378" t="n"/>
      <c r="I453" s="378" t="n"/>
      <c r="Q453" s="159" t="n"/>
      <c r="R453" s="159" t="n"/>
      <c r="S453" s="159" t="n"/>
      <c r="T453" s="159" t="n"/>
      <c r="U453" s="159" t="n"/>
    </row>
    <row r="454" customFormat="1" s="4">
      <c r="A454" s="98" t="inlineStr">
        <is>
          <t>柜号:</t>
        </is>
      </c>
      <c r="B454" s="99" t="inlineStr">
        <is>
          <t>BAN1-08</t>
        </is>
      </c>
      <c r="C454" s="100" t="inlineStr">
        <is>
          <t>型号:</t>
        </is>
      </c>
      <c r="D454" s="99" t="inlineStr">
        <is>
          <t>BlokSeT</t>
        </is>
      </c>
      <c r="E454" s="379" t="n"/>
      <c r="F454" s="101" t="inlineStr">
        <is>
          <t>名称:</t>
        </is>
      </c>
      <c r="G454" s="99" t="inlineStr">
        <is>
          <t>馈线柜</t>
        </is>
      </c>
      <c r="H454" s="379" t="n"/>
      <c r="I454" s="408" t="inlineStr"/>
      <c r="J454" s="194" t="inlineStr">
        <is>
          <t>箱柜尺寸:</t>
        </is>
      </c>
      <c r="K454" s="195" t="inlineStr">
        <is>
          <t>600W*1200D*2200H</t>
        </is>
      </c>
      <c r="L454" s="194" t="inlineStr">
        <is>
          <t>类别:</t>
        </is>
      </c>
      <c r="M454" s="195" t="inlineStr">
        <is>
          <t>低压固定柜</t>
        </is>
      </c>
      <c r="N454" s="409" t="inlineStr"/>
      <c r="Q454" s="159" t="n"/>
      <c r="R454" s="159" t="n"/>
      <c r="S454" s="159" t="n"/>
      <c r="T454" s="159" t="n"/>
      <c r="U454" s="159" t="n"/>
    </row>
    <row r="455" ht="20.1" customHeight="1" s="308">
      <c r="A455" s="102" t="inlineStr">
        <is>
          <t>序号</t>
        </is>
      </c>
      <c r="B455" s="103" t="inlineStr">
        <is>
          <t>元件名称</t>
        </is>
      </c>
      <c r="C455" s="103" t="inlineStr">
        <is>
          <t>型号规格</t>
        </is>
      </c>
      <c r="D455" s="104" t="inlineStr">
        <is>
          <t>生产厂家</t>
        </is>
      </c>
      <c r="E455" s="105" t="inlineStr">
        <is>
          <t>单位</t>
        </is>
      </c>
      <c r="F455" s="105" t="inlineStr">
        <is>
          <t>数量</t>
        </is>
      </c>
      <c r="G455" s="382" t="inlineStr">
        <is>
          <t>单   价</t>
        </is>
      </c>
      <c r="H455" s="383" t="inlineStr">
        <is>
          <t>总   价</t>
        </is>
      </c>
      <c r="I455" s="134" t="inlineStr">
        <is>
          <t>备注</t>
        </is>
      </c>
      <c r="J455" s="384" t="inlineStr">
        <is>
          <t>成本单价</t>
        </is>
      </c>
      <c r="K455" s="384" t="inlineStr">
        <is>
          <t>成本总价</t>
        </is>
      </c>
      <c r="L455" s="136" t="inlineStr">
        <is>
          <t>报出
系数</t>
        </is>
      </c>
      <c r="M455" s="384" t="inlineStr">
        <is>
          <t>表价</t>
        </is>
      </c>
      <c r="N455" s="136" t="inlineStr">
        <is>
          <t>折扣
系数</t>
        </is>
      </c>
      <c r="O455" s="137" t="inlineStr">
        <is>
          <t>取费
系数</t>
        </is>
      </c>
      <c r="P455" s="384" t="inlineStr">
        <is>
          <t>成套费</t>
        </is>
      </c>
      <c r="Q455" s="161" t="inlineStr">
        <is>
          <t>类别</t>
        </is>
      </c>
      <c r="R455" s="161" t="inlineStr">
        <is>
          <t>物料编码</t>
        </is>
      </c>
      <c r="S455" s="161" t="inlineStr">
        <is>
          <t>产地</t>
        </is>
      </c>
      <c r="T455" s="161" t="inlineStr">
        <is>
          <t>加工费</t>
        </is>
      </c>
      <c r="U455" s="161" t="inlineStr">
        <is>
          <t>订货号</t>
        </is>
      </c>
      <c r="V455" s="161" t="inlineStr">
        <is>
          <t>人工</t>
        </is>
      </c>
      <c r="W455" s="161" t="inlineStr">
        <is>
          <t>辅料</t>
        </is>
      </c>
      <c r="X455" s="203" t="inlineStr"/>
    </row>
    <row r="456" s="308">
      <c r="A456" s="64">
        <f>ROW()-ROW(A$455)</f>
        <v/>
      </c>
      <c r="B456" s="22" t="inlineStr">
        <is>
          <t>塑壳断路器</t>
        </is>
      </c>
      <c r="C456" s="22" t="inlineStr">
        <is>
          <t>NSX250H TM250D 3P3D P</t>
        </is>
      </c>
      <c r="D456" s="22" t="inlineStr">
        <is>
          <t>甲供/施耐德电气</t>
        </is>
      </c>
      <c r="E456" s="23" t="inlineStr">
        <is>
          <t>只</t>
        </is>
      </c>
      <c r="F456" s="23" t="n">
        <v>2</v>
      </c>
      <c r="G456" s="349">
        <f>IF(AND(B456="",C456=""),"",ROUND(M456*L456*N456,2))</f>
        <v/>
      </c>
      <c r="H456" s="349">
        <f>IF(AND(B456="",C456=""),"",ROUND(F456*G456,2))</f>
        <v/>
      </c>
      <c r="I456" s="45" t="inlineStr"/>
      <c r="J456" s="397">
        <f>IF(AND(B456="",C456=""),"",ROUND(M456*N456,2))</f>
        <v/>
      </c>
      <c r="K456" s="398">
        <f>IF(AND(B456="",C456=""),"",ROUND(J456*F456,2))</f>
        <v/>
      </c>
      <c r="L456" s="200" t="n">
        <v>1</v>
      </c>
      <c r="M456" s="399" t="n">
        <v>1e-07</v>
      </c>
      <c r="N456" s="154" t="n">
        <v>1</v>
      </c>
      <c r="O456" s="155">
        <f>IF(AND(B456="",C456=""),"",IF(G456&gt;=20000,0.05,IF(G456&gt;=10000,0.1,IF(G456&gt;=5000,0.2,IF(G456&gt;=1000,0.3,IF(G456&gt;=0,0.4,{0}))))))</f>
        <v/>
      </c>
      <c r="P456" s="400">
        <f>IF(AND(B456="",C456=""),"",ROUND(H456*O456,2))</f>
        <v/>
      </c>
      <c r="Q456" s="401" t="inlineStr">
        <is>
          <t>元件</t>
        </is>
      </c>
      <c r="R456" s="168" t="inlineStr"/>
      <c r="S456" s="168" t="inlineStr"/>
      <c r="T456" s="168" t="inlineStr">
        <is>
          <t>0</t>
        </is>
      </c>
      <c r="U456" s="168" t="inlineStr">
        <is>
          <t>C16F32D160</t>
        </is>
      </c>
      <c r="V456" s="402" t="n"/>
      <c r="W456" s="402" t="n"/>
      <c r="X456" s="170" t="inlineStr">
        <is>
          <t>NSX630N Mic2.3 630A 3P3D F→NSX630F MIC2.3 630 3P F→NSX630F MIC 2.3 630 3P F</t>
        </is>
      </c>
    </row>
    <row r="457" s="308">
      <c r="A457" s="64">
        <f>ROW()-ROW(A$455)</f>
        <v/>
      </c>
      <c r="B457" s="22" t="inlineStr">
        <is>
          <t>塑壳断路器</t>
        </is>
      </c>
      <c r="C457" s="22" t="inlineStr">
        <is>
          <t>NSX400H Mic2.3 400A 3P3D P</t>
        </is>
      </c>
      <c r="D457" s="22" t="inlineStr">
        <is>
          <t>甲供/施耐德电气</t>
        </is>
      </c>
      <c r="E457" s="23" t="inlineStr">
        <is>
          <t>只</t>
        </is>
      </c>
      <c r="F457" s="23" t="n">
        <v>5</v>
      </c>
      <c r="G457" s="349">
        <f>IF(AND(B457="",C457=""),"",ROUND(M457*L457*N457,2))</f>
        <v/>
      </c>
      <c r="H457" s="349">
        <f>IF(AND(B457="",C457=""),"",ROUND(F457*G457,2))</f>
        <v/>
      </c>
      <c r="I457" s="45" t="inlineStr"/>
      <c r="J457" s="397">
        <f>IF(AND(B457="",C457=""),"",ROUND(M457*N457,2))</f>
        <v/>
      </c>
      <c r="K457" s="398">
        <f>IF(AND(B457="",C457=""),"",ROUND(J457*F457,2))</f>
        <v/>
      </c>
      <c r="L457" s="200" t="n">
        <v>1</v>
      </c>
      <c r="M457" s="399" t="n">
        <v>1e-07</v>
      </c>
      <c r="N457" s="154" t="n">
        <v>1</v>
      </c>
      <c r="O457" s="155">
        <f>IF(AND(B457="",C457=""),"",IF(G457&gt;=20000,0.05,IF(G457&gt;=10000,0.1,IF(G457&gt;=5000,0.2,IF(G457&gt;=1000,0.3,IF(G457&gt;=0,0.4,{0}))))))</f>
        <v/>
      </c>
      <c r="P457" s="400">
        <f>IF(AND(B457="",C457=""),"",ROUND(H457*O457,2))</f>
        <v/>
      </c>
      <c r="Q457" s="401" t="inlineStr">
        <is>
          <t>元件</t>
        </is>
      </c>
      <c r="R457" s="168" t="inlineStr"/>
      <c r="S457" s="168" t="inlineStr"/>
      <c r="T457" s="168" t="inlineStr">
        <is>
          <t>0</t>
        </is>
      </c>
      <c r="U457" s="168" t="inlineStr"/>
      <c r="V457" s="402" t="n"/>
      <c r="W457" s="402" t="n"/>
      <c r="X457" s="170" t="inlineStr"/>
    </row>
    <row r="458" s="308">
      <c r="A458" s="64">
        <f>ROW()-ROW(A$455)</f>
        <v/>
      </c>
      <c r="B458" s="22" t="inlineStr">
        <is>
          <t>电流互感器</t>
        </is>
      </c>
      <c r="C458" s="22" t="inlineStr">
        <is>
          <t>SD-0.66-30I 250/5A</t>
        </is>
      </c>
      <c r="D458" s="22" t="inlineStr">
        <is>
          <t>桑迪</t>
        </is>
      </c>
      <c r="E458" s="23" t="inlineStr">
        <is>
          <t>只</t>
        </is>
      </c>
      <c r="F458" s="23" t="n">
        <v>6</v>
      </c>
      <c r="G458" s="349">
        <f>IF(AND(B458="",C458=""),"",ROUND(M458*L458*N458,2))</f>
        <v/>
      </c>
      <c r="H458" s="396">
        <f>IF(AND(B458="",C458=""),"",ROUND(F458*G458,2))</f>
        <v/>
      </c>
      <c r="I458" s="219" t="inlineStr"/>
      <c r="J458" s="397">
        <f>IF(AND(B458="",C458=""),"",ROUND(M458*N458,2))</f>
        <v/>
      </c>
      <c r="K458" s="398">
        <f>IF(AND(B458="",C458=""),"",ROUND(J458*F458,2))</f>
        <v/>
      </c>
      <c r="L458" s="200" t="n">
        <v>1</v>
      </c>
      <c r="M458" s="399" t="n">
        <v>26.65</v>
      </c>
      <c r="N458" s="154" t="n">
        <v>1</v>
      </c>
      <c r="O458" s="155">
        <f>IF(AND(B458="",C458=""),"",IF(G458&gt;=20000,0.05,IF(G458&gt;=10000,0.1,IF(G458&gt;=5000,0.2,IF(G458&gt;=1000,0.3,IF(G458&gt;=0,0.4,{0}))))))</f>
        <v/>
      </c>
      <c r="P458" s="400">
        <f>IF(AND(B458="",C458=""),"",ROUND(H458*O458,2))</f>
        <v/>
      </c>
      <c r="Q458" s="401" t="inlineStr">
        <is>
          <t>元件</t>
        </is>
      </c>
      <c r="R458" s="168" t="inlineStr"/>
      <c r="S458" s="168" t="inlineStr"/>
      <c r="T458" s="168" t="inlineStr">
        <is>
          <t>0</t>
        </is>
      </c>
      <c r="U458" s="168" t="inlineStr">
        <is>
          <t>710140200000049</t>
        </is>
      </c>
      <c r="V458" s="402" t="n"/>
      <c r="W458" s="402" t="n"/>
      <c r="X458" s="170" t="inlineStr">
        <is>
          <t>SD→SD-0.66-40II-C 400/5A→SD-0.66-30I 250/5A→SD-0.66-30I 150/5A→SD-0.66-60II-C 750/5A→SD-0.66-60II-C 600/5A→SD-0.66-30I 150/5A→SD-0.66-40II-C 400/5A→SD-0.66-100II-C 1600/5A→SD-0.66-80II-V 1000/5A</t>
        </is>
      </c>
    </row>
    <row r="459" s="308">
      <c r="A459" s="64">
        <f>ROW()-ROW(A$455)</f>
        <v/>
      </c>
      <c r="B459" s="22" t="inlineStr">
        <is>
          <t>电流互感器</t>
        </is>
      </c>
      <c r="C459" s="22" t="inlineStr">
        <is>
          <t>SD-0.66-40II-C 400/5A</t>
        </is>
      </c>
      <c r="D459" s="22" t="inlineStr">
        <is>
          <t>桑迪</t>
        </is>
      </c>
      <c r="E459" s="23" t="inlineStr">
        <is>
          <t>只</t>
        </is>
      </c>
      <c r="F459" s="23" t="n">
        <v>15</v>
      </c>
      <c r="G459" s="349">
        <f>IF(AND(B459="",C459=""),"",ROUND(M459*L459*N459,2))</f>
        <v/>
      </c>
      <c r="H459" s="396">
        <f>IF(AND(B459="",C459=""),"",ROUND(F459*G459,2))</f>
        <v/>
      </c>
      <c r="I459" s="219" t="inlineStr"/>
      <c r="J459" s="397">
        <f>IF(AND(B459="",C459=""),"",ROUND(M459*N459,2))</f>
        <v/>
      </c>
      <c r="K459" s="398">
        <f>IF(AND(B459="",C459=""),"",ROUND(J459*F459,2))</f>
        <v/>
      </c>
      <c r="L459" s="200" t="n">
        <v>1</v>
      </c>
      <c r="M459" s="399" t="n">
        <v>52</v>
      </c>
      <c r="N459" s="154" t="n">
        <v>1</v>
      </c>
      <c r="O459" s="155">
        <f>IF(AND(B459="",C459=""),"",IF(G459&gt;=20000,0.05,IF(G459&gt;=10000,0.1,IF(G459&gt;=5000,0.2,IF(G459&gt;=1000,0.3,IF(G459&gt;=0,0.4,{0}))))))</f>
        <v/>
      </c>
      <c r="P459" s="400">
        <f>IF(AND(B459="",C459=""),"",ROUND(H459*O459,2))</f>
        <v/>
      </c>
      <c r="Q459" s="401" t="inlineStr">
        <is>
          <t>元件</t>
        </is>
      </c>
      <c r="R459" s="168" t="inlineStr"/>
      <c r="S459" s="168" t="inlineStr"/>
      <c r="T459" s="168" t="inlineStr">
        <is>
          <t>0</t>
        </is>
      </c>
      <c r="U459" s="168" t="inlineStr">
        <is>
          <t>710140200000049</t>
        </is>
      </c>
      <c r="V459" s="402" t="n"/>
      <c r="W459" s="402" t="n"/>
      <c r="X459" s="170" t="inlineStr">
        <is>
          <t>SD→SD-0.66-40II-C 400/5A→SD-0.66-30I 250/5A→SD-0.66-30I 150/5A→SD-0.66-60II-C 750/5A→SD-0.66-60II-C 600/5A→SD-0.66-30I 150/5A→SD-0.66-40II-C 400/5A→SD-0.66-100II-C 1600/5A→SD-0.66-80II-V 1000/5A</t>
        </is>
      </c>
    </row>
    <row r="460" s="308">
      <c r="A460" s="64">
        <f>ROW()-ROW(A$455)</f>
        <v/>
      </c>
      <c r="B460" s="112" t="inlineStr">
        <is>
          <t>多功能表</t>
        </is>
      </c>
      <c r="C460" s="112" t="inlineStr">
        <is>
          <t>PM4101</t>
        </is>
      </c>
      <c r="D460" s="112" t="inlineStr">
        <is>
          <t>甲供/施耐德电气</t>
        </is>
      </c>
      <c r="E460" s="114" t="inlineStr">
        <is>
          <t>只</t>
        </is>
      </c>
      <c r="F460" s="114" t="n">
        <v>7</v>
      </c>
      <c r="G460" s="396">
        <f>IF(AND(B460="",C460=""),"",ROUND(M460*L460*N460,2))</f>
        <v/>
      </c>
      <c r="H460" s="349">
        <f>IF(AND(B460="",C460=""),"",ROUND(F460*G460,2))</f>
        <v/>
      </c>
      <c r="I460" s="45" t="inlineStr"/>
      <c r="J460" s="397">
        <f>IF(AND(B460="",C460=""),"",ROUND(M460*N460,2))</f>
        <v/>
      </c>
      <c r="K460" s="398">
        <f>IF(AND(B460="",C460=""),"",ROUND(J460*F460,2))</f>
        <v/>
      </c>
      <c r="L460" s="200" t="n">
        <v>1</v>
      </c>
      <c r="M460" s="399" t="n">
        <v>1e-07</v>
      </c>
      <c r="N460" s="154" t="n">
        <v>1</v>
      </c>
      <c r="O460" s="155">
        <f>IF(AND(B460="",C460=""),"",IF(J460&gt;=20000,0.05,IF(J460&gt;=10000,0.1,IF(J460&gt;=5000,0.2,IF(J460&gt;=1000,0.3,IF(J460&gt;=0,0.4,{0}))))))</f>
        <v/>
      </c>
      <c r="P460" s="400">
        <f>IF(AND(B460="",C460=""),"",ROUND(H460*O460,2))</f>
        <v/>
      </c>
      <c r="Q460" s="401" t="inlineStr">
        <is>
          <t>元件</t>
        </is>
      </c>
      <c r="R460" s="168" t="inlineStr"/>
      <c r="S460" s="168" t="inlineStr"/>
      <c r="T460" s="168" t="inlineStr">
        <is>
          <t>0</t>
        </is>
      </c>
      <c r="U460" s="168" t="inlineStr"/>
      <c r="V460" s="402" t="n"/>
      <c r="W460" s="402" t="n"/>
      <c r="X460" s="170" t="inlineStr"/>
    </row>
    <row r="461" customFormat="1" s="3">
      <c r="A461" s="64">
        <f>ROW()-ROW(A$455)</f>
        <v/>
      </c>
      <c r="B461" s="22" t="inlineStr">
        <is>
          <t>指示灯</t>
        </is>
      </c>
      <c r="C461" s="22" t="inlineStr">
        <is>
          <t>XB2BVM3LC</t>
        </is>
      </c>
      <c r="D461" s="22" t="inlineStr">
        <is>
          <t>甲供/施耐德电气</t>
        </is>
      </c>
      <c r="E461" s="23" t="inlineStr">
        <is>
          <t>只</t>
        </is>
      </c>
      <c r="F461" s="23" t="n">
        <v>7</v>
      </c>
      <c r="G461" s="349">
        <f>IF(AND(B461="",C461=""),"",ROUND(M461*L461*N461,2))</f>
        <v/>
      </c>
      <c r="H461" s="353">
        <f>IF(AND(B461="",C461=""),"",ROUND(F461*G461,2))</f>
        <v/>
      </c>
      <c r="I461" s="180" t="inlineStr"/>
      <c r="J461" s="392">
        <f>IF(AND(B461="",C461=""),"",ROUND(M461*N461,2))</f>
        <v/>
      </c>
      <c r="K461" s="393">
        <f>IF(AND(B461="",C461=""),"",ROUND(J461*F461,2))</f>
        <v/>
      </c>
      <c r="L461" s="141" t="n">
        <v>1</v>
      </c>
      <c r="M461" s="394" t="n">
        <v>1e-07</v>
      </c>
      <c r="N461" s="220" t="n">
        <v>1</v>
      </c>
      <c r="O461" s="221">
        <f>IF(AND(B461="",C461=""),"",IF(G461&gt;=20000,0.05,IF(G461&gt;=10000,0.1,IF(G461&gt;=5000,0.2,IF(G461&gt;=1000,0.3,IF(G461&gt;=0,0.4,{0}))))))</f>
        <v/>
      </c>
      <c r="P461" s="419">
        <f>IF(AND(B461="",C461=""),"",ROUND(H461*O461,2))</f>
        <v/>
      </c>
      <c r="Q461" s="420" t="inlineStr">
        <is>
          <t>元件</t>
        </is>
      </c>
      <c r="R461" s="231" t="inlineStr"/>
      <c r="S461" s="231" t="inlineStr"/>
      <c r="T461" s="231" t="inlineStr">
        <is>
          <t>0</t>
        </is>
      </c>
      <c r="U461" s="231" t="inlineStr">
        <is>
          <t>XB2BVM3LC</t>
        </is>
      </c>
      <c r="V461" s="421" t="n"/>
      <c r="W461" s="421" t="n"/>
      <c r="X461" s="166" t="inlineStr">
        <is>
          <t>XA2EVM3LC</t>
        </is>
      </c>
    </row>
    <row r="462" customFormat="1" s="3">
      <c r="A462" s="64">
        <f>ROW()-ROW(A$455)</f>
        <v/>
      </c>
      <c r="B462" s="22" t="inlineStr">
        <is>
          <t>指示灯</t>
        </is>
      </c>
      <c r="C462" s="22" t="inlineStr">
        <is>
          <t>XB2BVM4LC</t>
        </is>
      </c>
      <c r="D462" s="22" t="inlineStr">
        <is>
          <t>甲供/施耐德电气</t>
        </is>
      </c>
      <c r="E462" s="23" t="inlineStr">
        <is>
          <t>只</t>
        </is>
      </c>
      <c r="F462" s="23" t="n">
        <v>7</v>
      </c>
      <c r="G462" s="349">
        <f>IF(AND(B462="",C462=""),"",ROUND(M462*L462*N462,2))</f>
        <v/>
      </c>
      <c r="H462" s="353">
        <f>IF(AND(B462="",C462=""),"",ROUND(F462*G462,2))</f>
        <v/>
      </c>
      <c r="I462" s="180" t="inlineStr"/>
      <c r="J462" s="392">
        <f>IF(AND(B462="",C462=""),"",ROUND(M462*N462,2))</f>
        <v/>
      </c>
      <c r="K462" s="393">
        <f>IF(AND(B462="",C462=""),"",ROUND(J462*F462,2))</f>
        <v/>
      </c>
      <c r="L462" s="141" t="n">
        <v>1</v>
      </c>
      <c r="M462" s="394" t="n">
        <v>1e-07</v>
      </c>
      <c r="N462" s="220" t="n">
        <v>1</v>
      </c>
      <c r="O462" s="221">
        <f>IF(AND(B462="",C462=""),"",IF(G462&gt;=20000,0.05,IF(G462&gt;=10000,0.1,IF(G462&gt;=5000,0.2,IF(G462&gt;=1000,0.3,IF(G462&gt;=0,0.4,{0}))))))</f>
        <v/>
      </c>
      <c r="P462" s="419">
        <f>IF(AND(B462="",C462=""),"",ROUND(H462*O462,2))</f>
        <v/>
      </c>
      <c r="Q462" s="420" t="inlineStr">
        <is>
          <t>元件</t>
        </is>
      </c>
      <c r="R462" s="231" t="inlineStr"/>
      <c r="S462" s="231" t="inlineStr"/>
      <c r="T462" s="231" t="inlineStr">
        <is>
          <t>0</t>
        </is>
      </c>
      <c r="U462" s="231" t="inlineStr">
        <is>
          <t>XB2BVM4LC</t>
        </is>
      </c>
      <c r="V462" s="421" t="n"/>
      <c r="W462" s="421" t="n"/>
      <c r="X462" s="166" t="inlineStr">
        <is>
          <t>XA2EVM4LC</t>
        </is>
      </c>
    </row>
    <row r="463" s="308">
      <c r="A463" s="64">
        <f>ROW()-ROW(A$455)</f>
        <v/>
      </c>
      <c r="B463" s="112" t="inlineStr">
        <is>
          <t>温湿度控制器</t>
        </is>
      </c>
      <c r="C463" s="112" t="inlineStr">
        <is>
          <t>ATH48G-11</t>
        </is>
      </c>
      <c r="D463" s="22" t="inlineStr">
        <is>
          <t>杭州安廷</t>
        </is>
      </c>
      <c r="E463" s="23" t="inlineStr">
        <is>
          <t>套</t>
        </is>
      </c>
      <c r="F463" s="23" t="n">
        <v>1</v>
      </c>
      <c r="G463" s="349">
        <f>IF(AND(B463="",C463=""),"",ROUND(M463*L463*N463,2))</f>
        <v/>
      </c>
      <c r="H463" s="396">
        <f>IF(AND(B463="",C463=""),"",ROUND(F463*G463,2))</f>
        <v/>
      </c>
      <c r="I463" s="150" t="inlineStr"/>
      <c r="J463" s="397">
        <f>IF(AND(B463="",C463=""),"",ROUND(M463*N463,2))</f>
        <v/>
      </c>
      <c r="K463" s="398">
        <f>IF(AND(B463="",C463=""),"",ROUND(J463*F463,2))</f>
        <v/>
      </c>
      <c r="L463" s="141" t="n">
        <v>1</v>
      </c>
      <c r="M463" s="399" t="n">
        <v>450</v>
      </c>
      <c r="N463" s="154" t="n">
        <v>1</v>
      </c>
      <c r="O463" s="155">
        <f>IF(AND(B463="",C463=""),"",IF(G463&gt;=20000,0.05,IF(G463&gt;=10000,0.1,IF(G463&gt;=5000,0.2,IF(G463&gt;=1000,0.3,IF(G463&gt;=0,0.4,{0}))))))</f>
        <v/>
      </c>
      <c r="P463" s="400">
        <f>IF(AND(B463="",C463=""),"",ROUND(H463*O463,2))</f>
        <v/>
      </c>
      <c r="Q463" s="401" t="inlineStr">
        <is>
          <t>元件</t>
        </is>
      </c>
      <c r="R463" s="168" t="inlineStr"/>
      <c r="S463" s="168" t="inlineStr"/>
      <c r="T463" s="168" t="inlineStr">
        <is>
          <t>0</t>
        </is>
      </c>
      <c r="U463" s="168" t="inlineStr"/>
      <c r="V463" s="402" t="n"/>
      <c r="W463" s="402" t="n"/>
      <c r="X463" s="170" t="inlineStr"/>
    </row>
    <row r="464" s="308">
      <c r="A464" s="64">
        <f>ROW()-ROW(A$455)</f>
        <v/>
      </c>
      <c r="B464" s="22" t="inlineStr">
        <is>
          <t>中间继电器</t>
        </is>
      </c>
      <c r="C464" s="22" t="inlineStr">
        <is>
          <t>RXM4AB2P7+RXZE2S114M+RXZ400</t>
        </is>
      </c>
      <c r="D464" s="22" t="inlineStr">
        <is>
          <t>甲供/施耐德电气</t>
        </is>
      </c>
      <c r="E464" s="23" t="inlineStr">
        <is>
          <t>只</t>
        </is>
      </c>
      <c r="F464" s="23" t="n">
        <v>14</v>
      </c>
      <c r="G464" s="349">
        <f>IF(AND(B464="",C464=""),"",ROUND(M464*L464*N464,2))</f>
        <v/>
      </c>
      <c r="H464" s="349">
        <f>IF(AND(B464="",C464=""),"",ROUND(F464*G464,2))</f>
        <v/>
      </c>
      <c r="I464" s="45" t="inlineStr"/>
      <c r="J464" s="397">
        <f>IF(AND(B464="",C464=""),"",ROUND(M464*N464,2))</f>
        <v/>
      </c>
      <c r="K464" s="398">
        <f>IF(AND(B464="",C464=""),"",ROUND(J464*F464,2))</f>
        <v/>
      </c>
      <c r="L464" s="141" t="n">
        <v>1</v>
      </c>
      <c r="M464" s="399" t="n">
        <v>1e-07</v>
      </c>
      <c r="N464" s="154" t="n">
        <v>1</v>
      </c>
      <c r="O464" s="155">
        <f>IF(AND(B464="",C464=""),"",IF(G464&gt;=20000,0.05,IF(G464&gt;=10000,0.1,IF(G464&gt;=5000,0.2,IF(G464&gt;=1000,0.3,IF(G464&gt;=0,0.4,{0}))))))</f>
        <v/>
      </c>
      <c r="P464" s="400">
        <f>IF(AND(B464="",C464=""),"",ROUND(H464*O464,2))</f>
        <v/>
      </c>
      <c r="Q464" s="401" t="inlineStr">
        <is>
          <t>元件</t>
        </is>
      </c>
      <c r="R464" s="168" t="inlineStr"/>
      <c r="S464" s="168" t="inlineStr"/>
      <c r="T464" s="168" t="inlineStr">
        <is>
          <t>0</t>
        </is>
      </c>
      <c r="U464" s="168" t="inlineStr">
        <is>
          <t>RXM4AB2P7+RXZE2S114M+RXZ400</t>
        </is>
      </c>
      <c r="V464" s="402" t="n"/>
      <c r="W464" s="402" t="n"/>
      <c r="X464" s="170" t="inlineStr">
        <is>
          <t>REL-IR-BL/L-230AC/4X21，含底座→RXM4AB2P7+RXZE2S114M+RXZ400→REL-IR-BL/L-230AC/4X21，含底座</t>
        </is>
      </c>
    </row>
    <row r="465" customFormat="1" s="3">
      <c r="A465" s="64">
        <f>ROW()-ROW(A$455)</f>
        <v/>
      </c>
      <c r="B465" s="22" t="inlineStr">
        <is>
          <t>带熔丝端子</t>
        </is>
      </c>
      <c r="C465" s="22" t="inlineStr">
        <is>
          <t>UK 5-HESI</t>
        </is>
      </c>
      <c r="D465" s="22" t="inlineStr">
        <is>
          <t>菲尼克斯</t>
        </is>
      </c>
      <c r="E465" s="23" t="inlineStr">
        <is>
          <t>只</t>
        </is>
      </c>
      <c r="F465" s="23" t="n">
        <v>28</v>
      </c>
      <c r="G465" s="349">
        <f>IF(AND(B465="",C465=""),"",ROUND(M465*L465*N465,2))</f>
        <v/>
      </c>
      <c r="H465" s="349">
        <f>IF(AND(B465="",C465=""),"",ROUND(F465*G465,2))</f>
        <v/>
      </c>
      <c r="I465" s="45" t="inlineStr"/>
      <c r="J465" s="392">
        <f>IF(AND(B465="",C465=""),"",ROUND(M465*N465,2))</f>
        <v/>
      </c>
      <c r="K465" s="393">
        <f>IF(AND(B465="",C465=""),"",ROUND(J465*F465,2))</f>
        <v/>
      </c>
      <c r="L465" s="141" t="n">
        <v>1</v>
      </c>
      <c r="M465" s="394" t="n">
        <v>7</v>
      </c>
      <c r="N465" s="220" t="n">
        <v>1</v>
      </c>
      <c r="O465" s="221">
        <f>IF(AND(B465="",C465=""),"",IF(G465&gt;=20000,0.05,IF(G465&gt;=10000,0.1,IF(G465&gt;=5000,0.2,IF(G465&gt;=1000,0.3,IF(G465&gt;=0,0.4,{0}))))))</f>
        <v/>
      </c>
      <c r="P465" s="419">
        <f>IF(AND(B465="",C465=""),"",ROUND(H465*O465,2))</f>
        <v/>
      </c>
      <c r="Q465" s="420" t="inlineStr">
        <is>
          <t>元件</t>
        </is>
      </c>
      <c r="R465" s="231" t="inlineStr"/>
      <c r="S465" s="231" t="inlineStr"/>
      <c r="T465" s="231" t="inlineStr">
        <is>
          <t>0</t>
        </is>
      </c>
      <c r="U465" s="231" t="inlineStr">
        <is>
          <t>True</t>
        </is>
      </c>
      <c r="V465" s="421" t="n"/>
      <c r="W465" s="421" t="n"/>
      <c r="X465" s="166" t="inlineStr"/>
    </row>
    <row r="466" s="308">
      <c r="A466" s="64">
        <f>ROW()-ROW(A$455)</f>
        <v/>
      </c>
      <c r="B466" s="22" t="inlineStr">
        <is>
          <t>水平母排</t>
        </is>
      </c>
      <c r="C466" s="22" t="inlineStr">
        <is>
          <t>TMY 4*(4*150*5)+2*50*5</t>
        </is>
      </c>
      <c r="D466" s="22" t="inlineStr">
        <is>
          <t>国产优质</t>
        </is>
      </c>
      <c r="E466" s="23" t="inlineStr">
        <is>
          <t>米</t>
        </is>
      </c>
      <c r="F466" s="23" t="n">
        <v>0.7</v>
      </c>
      <c r="G466" s="349">
        <f>IF(AND(B466="",C466=""),"",ROUND(M466*L466*N466,2))</f>
        <v/>
      </c>
      <c r="H466" s="349">
        <f>IF(AND(B466="",C466=""),"",ROUND(F466*G466,2))</f>
        <v/>
      </c>
      <c r="I466" s="45" t="inlineStr"/>
      <c r="J466" s="397">
        <f>IF(AND(B466="",C466=""),"",ROUND(M466*N466,2))</f>
        <v/>
      </c>
      <c r="K466" s="398">
        <f>IF(AND(B466="",C466=""),"",ROUND(J466*F466,2))</f>
        <v/>
      </c>
      <c r="L466" s="200" t="n">
        <v>1</v>
      </c>
      <c r="M466" s="399" t="n">
        <v>12026.68125</v>
      </c>
      <c r="N466" s="154">
        <f>(6317.932*1*1+2684.8*1*1)/9002.732</f>
        <v/>
      </c>
      <c r="O466" s="155">
        <f>IF(AND(B466="",C466=""),"",IF(J466&gt;=20000,0.05,IF(J466&gt;=10000,0.1,IF(J466&gt;=5000,0.2,IF(J466&gt;=1000,0.3,IF(J466&gt;=0,0.4,{0}))))))</f>
        <v/>
      </c>
      <c r="P466" s="400">
        <f>IF(AND(B466="",C466=""),"",ROUND(H466*O466,2))</f>
        <v/>
      </c>
      <c r="Q466" s="401" t="inlineStr">
        <is>
          <t>母排</t>
        </is>
      </c>
      <c r="R466" s="168" t="inlineStr"/>
      <c r="S466" s="168" t="inlineStr"/>
      <c r="T466" s="168" t="inlineStr">
        <is>
          <t>0</t>
        </is>
      </c>
      <c r="U466" s="168" t="inlineStr"/>
      <c r="V466" s="402" t="n"/>
      <c r="W466" s="402" t="n"/>
      <c r="X466" s="170" t="inlineStr"/>
    </row>
    <row r="467" customFormat="1" s="5">
      <c r="A467" s="64">
        <f>ROW()-ROW(A$455)</f>
        <v/>
      </c>
      <c r="B467" s="22" t="inlineStr">
        <is>
          <t>垂直排</t>
        </is>
      </c>
      <c r="C467" s="22" t="inlineStr">
        <is>
          <t>TMY 3*3*80*5</t>
        </is>
      </c>
      <c r="D467" s="22" t="inlineStr">
        <is>
          <t>国产优质</t>
        </is>
      </c>
      <c r="E467" s="23" t="inlineStr">
        <is>
          <t>米</t>
        </is>
      </c>
      <c r="F467" s="23" t="n">
        <v>2</v>
      </c>
      <c r="G467" s="349">
        <f>IF(AND(B467="",C467=""),"",ROUND(M467*L467*N467,2))</f>
        <v/>
      </c>
      <c r="H467" s="349">
        <f>IF(AND(B467="",C467=""),"",ROUND(F467*G467,2))</f>
        <v/>
      </c>
      <c r="I467" s="45" t="inlineStr"/>
      <c r="J467" s="422">
        <f>IF(AND(B467="",C467=""),"",ROUND(M467*N467,2))</f>
        <v/>
      </c>
      <c r="K467" s="423">
        <f>IF(AND(B467="",C467=""),"",ROUND(J467*F467,2))</f>
        <v/>
      </c>
      <c r="L467" s="225" t="n">
        <v>1</v>
      </c>
      <c r="M467" s="424" t="n">
        <v>3463.6842</v>
      </c>
      <c r="N467" s="227" t="n">
        <v>1</v>
      </c>
      <c r="O467" s="228">
        <f>IF(AND(B467="",C467=""),"",IF(G467&gt;=20000,0.05,IF(G467&gt;=10000,0.1,IF(G467&gt;=5000,0.2,IF(G467&gt;=1000,0.3,IF(G467&gt;=0,0.4,{0}))))))</f>
        <v/>
      </c>
      <c r="P467" s="425">
        <f>IF(AND(B467="",C467=""),"",ROUND(H467*O467,2))</f>
        <v/>
      </c>
      <c r="Q467" s="426" t="inlineStr">
        <is>
          <t>母排</t>
        </is>
      </c>
      <c r="R467" s="234" t="inlineStr"/>
      <c r="S467" s="234" t="inlineStr"/>
      <c r="T467" s="235" t="inlineStr">
        <is>
          <t>0</t>
        </is>
      </c>
      <c r="U467" s="235" t="inlineStr"/>
      <c r="V467" s="427" t="n"/>
      <c r="W467" s="427" t="n"/>
      <c r="X467" s="237" t="inlineStr">
        <is>
          <t>TMY 2*30*5→TMY 30*8</t>
        </is>
      </c>
    </row>
    <row r="468" customFormat="1" s="5">
      <c r="A468" s="64">
        <f>ROW()-ROW(A$455)</f>
        <v/>
      </c>
      <c r="B468" s="22" t="inlineStr">
        <is>
          <t>N排</t>
        </is>
      </c>
      <c r="C468" s="22" t="inlineStr">
        <is>
          <t>TMY 3*80*5</t>
        </is>
      </c>
      <c r="D468" s="22" t="inlineStr">
        <is>
          <t>国产优质</t>
        </is>
      </c>
      <c r="E468" s="23" t="inlineStr">
        <is>
          <t>米</t>
        </is>
      </c>
      <c r="F468" s="23" t="n">
        <v>3</v>
      </c>
      <c r="G468" s="349">
        <f>IF(AND(B468="",C468=""),"",ROUND(M468*L468*N468,2))</f>
        <v/>
      </c>
      <c r="H468" s="349">
        <f>IF(AND(B468="",C468=""),"",ROUND(F468*G468,2))</f>
        <v/>
      </c>
      <c r="I468" s="45" t="inlineStr"/>
      <c r="J468" s="422">
        <f>IF(AND(B468="",C468=""),"",ROUND(M468*N468,2))</f>
        <v/>
      </c>
      <c r="K468" s="423">
        <f>IF(AND(B468="",C468=""),"",ROUND(J468*F468,2))</f>
        <v/>
      </c>
      <c r="L468" s="225" t="n">
        <v>1</v>
      </c>
      <c r="M468" s="424" t="n">
        <v>1154.5614</v>
      </c>
      <c r="N468" s="227" t="n">
        <v>1</v>
      </c>
      <c r="O468" s="228">
        <f>IF(AND(B468="",C468=""),"",IF(G468&gt;=20000,0.05,IF(G468&gt;=10000,0.1,IF(G468&gt;=5000,0.2,IF(G468&gt;=1000,0.3,IF(G468&gt;=0,0.4,{0}))))))</f>
        <v/>
      </c>
      <c r="P468" s="425">
        <f>IF(AND(B468="",C468=""),"",ROUND(H468*O468,2))</f>
        <v/>
      </c>
      <c r="Q468" s="426" t="inlineStr">
        <is>
          <t>母排</t>
        </is>
      </c>
      <c r="R468" s="234" t="inlineStr"/>
      <c r="S468" s="234" t="inlineStr"/>
      <c r="T468" s="235" t="inlineStr">
        <is>
          <t>0</t>
        </is>
      </c>
      <c r="U468" s="235" t="inlineStr"/>
      <c r="V468" s="427" t="n"/>
      <c r="W468" s="427" t="n"/>
      <c r="X468" s="237" t="inlineStr">
        <is>
          <t>TMY 2*30*5→TMY 30*8</t>
        </is>
      </c>
    </row>
    <row r="469" customFormat="1" s="5">
      <c r="A469" s="64">
        <f>ROW()-ROW(A$455)</f>
        <v/>
      </c>
      <c r="B469" s="22" t="inlineStr">
        <is>
          <t>PE排</t>
        </is>
      </c>
      <c r="C469" s="22" t="inlineStr">
        <is>
          <t>TMY 2*50*5</t>
        </is>
      </c>
      <c r="D469" s="22" t="inlineStr">
        <is>
          <t>国产优质</t>
        </is>
      </c>
      <c r="E469" s="23" t="inlineStr">
        <is>
          <t>米</t>
        </is>
      </c>
      <c r="F469" s="23" t="n">
        <v>2</v>
      </c>
      <c r="G469" s="349">
        <f>IF(AND(B469="",C469=""),"",ROUND(M469*L469*N469,2))</f>
        <v/>
      </c>
      <c r="H469" s="349">
        <f>IF(AND(B469="",C469=""),"",ROUND(F469*G469,2))</f>
        <v/>
      </c>
      <c r="I469" s="45" t="inlineStr"/>
      <c r="J469" s="422">
        <f>IF(AND(B469="",C469=""),"",ROUND(M469*N469,2))</f>
        <v/>
      </c>
      <c r="K469" s="423">
        <f>IF(AND(B469="",C469=""),"",ROUND(J469*F469,2))</f>
        <v/>
      </c>
      <c r="L469" s="225" t="n">
        <v>1</v>
      </c>
      <c r="M469" s="424" t="n">
        <v>481.06725</v>
      </c>
      <c r="N469" s="227" t="n">
        <v>1</v>
      </c>
      <c r="O469" s="228">
        <f>IF(AND(B469="",C469=""),"",IF(G469&gt;=20000,0.05,IF(G469&gt;=10000,0.1,IF(G469&gt;=5000,0.2,IF(G469&gt;=1000,0.3,IF(G469&gt;=0,0.4,{0}))))))</f>
        <v/>
      </c>
      <c r="P469" s="425">
        <f>IF(AND(B469="",C469=""),"",ROUND(H469*O469,2))</f>
        <v/>
      </c>
      <c r="Q469" s="426" t="inlineStr">
        <is>
          <t>母排</t>
        </is>
      </c>
      <c r="R469" s="234" t="inlineStr"/>
      <c r="S469" s="234" t="inlineStr"/>
      <c r="T469" s="235" t="inlineStr">
        <is>
          <t>0</t>
        </is>
      </c>
      <c r="U469" s="235" t="inlineStr"/>
      <c r="V469" s="427" t="n"/>
      <c r="W469" s="427" t="n"/>
      <c r="X469" s="237" t="inlineStr">
        <is>
          <t>TMY 2*30*5→TMY 30*8</t>
        </is>
      </c>
    </row>
    <row r="470" customFormat="1" s="5">
      <c r="A470" s="64">
        <f>ROW()-ROW(A$455)</f>
        <v/>
      </c>
      <c r="B470" s="22" t="inlineStr">
        <is>
          <t>400A铜排</t>
        </is>
      </c>
      <c r="C470" s="22" t="inlineStr">
        <is>
          <t>TMY 30*5</t>
        </is>
      </c>
      <c r="D470" s="22" t="inlineStr">
        <is>
          <t>国产优质</t>
        </is>
      </c>
      <c r="E470" s="23" t="inlineStr">
        <is>
          <t>米</t>
        </is>
      </c>
      <c r="F470" s="23" t="n">
        <v>16</v>
      </c>
      <c r="G470" s="349">
        <f>IF(AND(B470="",C470=""),"",ROUND(M470*L470*N470,2))</f>
        <v/>
      </c>
      <c r="H470" s="349">
        <f>IF(AND(B470="",C470=""),"",ROUND(F470*G470,2))</f>
        <v/>
      </c>
      <c r="I470" s="45" t="inlineStr"/>
      <c r="J470" s="422">
        <f>IF(AND(B470="",C470=""),"",ROUND(M470*N470,2))</f>
        <v/>
      </c>
      <c r="K470" s="423">
        <f>IF(AND(B470="",C470=""),"",ROUND(J470*F470,2))</f>
        <v/>
      </c>
      <c r="L470" s="225" t="n">
        <v>1</v>
      </c>
      <c r="M470" s="424" t="n">
        <v>144.320175</v>
      </c>
      <c r="N470" s="227" t="n">
        <v>1</v>
      </c>
      <c r="O470" s="228">
        <f>IF(AND(B470="",C470=""),"",IF(G470&gt;=20000,0.05,IF(G470&gt;=10000,0.1,IF(G470&gt;=5000,0.2,IF(G470&gt;=1000,0.3,IF(G470&gt;=0,0.4,{0}))))))</f>
        <v/>
      </c>
      <c r="P470" s="425">
        <f>IF(AND(B470="",C470=""),"",ROUND(H470*O470,2))</f>
        <v/>
      </c>
      <c r="Q470" s="426" t="inlineStr">
        <is>
          <t>母排</t>
        </is>
      </c>
      <c r="R470" s="234" t="inlineStr"/>
      <c r="S470" s="234" t="inlineStr"/>
      <c r="T470" s="235" t="inlineStr">
        <is>
          <t>0</t>
        </is>
      </c>
      <c r="U470" s="235" t="inlineStr"/>
      <c r="V470" s="427" t="n"/>
      <c r="W470" s="427" t="n"/>
      <c r="X470" s="237" t="inlineStr">
        <is>
          <t>TMY 2*30*5→TMY 30*8</t>
        </is>
      </c>
    </row>
    <row r="471" s="308">
      <c r="A471" s="64">
        <f>ROW()-ROW(A$455)</f>
        <v/>
      </c>
      <c r="B471" s="112" t="inlineStr">
        <is>
          <t>辅料</t>
        </is>
      </c>
      <c r="C471" s="112" t="inlineStr"/>
      <c r="D471" s="112" t="inlineStr"/>
      <c r="E471" s="114" t="inlineStr">
        <is>
          <t>套</t>
        </is>
      </c>
      <c r="F471" s="114" t="n">
        <v>1</v>
      </c>
      <c r="G471" s="396">
        <f>IF(AND(B471="",C471=""),"",ROUND(M471*L471*N471,2))</f>
        <v/>
      </c>
      <c r="H471" s="396">
        <f>IF(AND(B471="",C471=""),"",ROUND(F471*G471,2))</f>
        <v/>
      </c>
      <c r="I471" s="219" t="inlineStr"/>
      <c r="J471" s="397">
        <f>IF(AND(B471="",C471=""),"",ROUND(M471*N471,2))</f>
        <v/>
      </c>
      <c r="K471" s="398">
        <f>IF(AND(B471="",C471=""),"",ROUND(J471*F471,2))</f>
        <v/>
      </c>
      <c r="L471" s="200" t="n">
        <v>1</v>
      </c>
      <c r="M471" s="399" t="n">
        <v>1212.92</v>
      </c>
      <c r="N471" s="154" t="n">
        <v>1</v>
      </c>
      <c r="O471" s="155">
        <f>IF(AND(B471="",C471=""),"",IF(G471&gt;=20000,0.05,IF(G471&gt;=10000,0.1,IF(G471&gt;=5000,0.2,IF(G471&gt;=1000,0.3,IF(G471&gt;=0,0.4,{0}))))))</f>
        <v/>
      </c>
      <c r="P471" s="400">
        <f>IF(AND(B471="",C471=""),"",ROUND(H471*O471,2))</f>
        <v/>
      </c>
      <c r="Q471" s="401" t="inlineStr">
        <is>
          <t>辅料</t>
        </is>
      </c>
      <c r="R471" s="168" t="inlineStr"/>
      <c r="S471" s="168" t="inlineStr"/>
      <c r="T471" s="168" t="inlineStr">
        <is>
          <t>0</t>
        </is>
      </c>
      <c r="U471" s="168" t="inlineStr"/>
      <c r="V471" s="402" t="n"/>
      <c r="W471" s="402" t="n"/>
      <c r="X471" s="170" t="inlineStr"/>
    </row>
    <row r="472" s="308">
      <c r="A472" s="64">
        <f>ROW()-ROW(A$455)</f>
        <v/>
      </c>
      <c r="B472" s="112" t="inlineStr">
        <is>
          <t>柜体Blokset</t>
        </is>
      </c>
      <c r="C472" s="22" t="inlineStr">
        <is>
          <t>600W*1200D*2200H</t>
        </is>
      </c>
      <c r="D472" s="112" t="inlineStr">
        <is>
          <t>清科</t>
        </is>
      </c>
      <c r="E472" s="114" t="inlineStr">
        <is>
          <t>台</t>
        </is>
      </c>
      <c r="F472" s="114" t="n">
        <v>1</v>
      </c>
      <c r="G472" s="396">
        <f>IF(AND(B472="",C472=""),"",ROUND(M472*L472*N472,2))</f>
        <v/>
      </c>
      <c r="H472" s="396">
        <f>IF(AND(B472="",C472=""),"",ROUND(F472*G472,2))</f>
        <v/>
      </c>
      <c r="I472" s="219" t="inlineStr"/>
      <c r="J472" s="397">
        <f>IF(AND(B472="",C472=""),"",ROUND(M472*N472,2))</f>
        <v/>
      </c>
      <c r="K472" s="398">
        <f>IF(AND(B472="",C472=""),"",ROUND(J472*F472,2))</f>
        <v/>
      </c>
      <c r="L472" s="200" t="n">
        <v>1</v>
      </c>
      <c r="M472" s="399" t="n">
        <v>5678</v>
      </c>
      <c r="N472" s="154" t="n">
        <v>1</v>
      </c>
      <c r="O472" s="155">
        <f>IF(AND(B472="",C472=""),"",IF(G472&gt;=20000,0.05,IF(G472&gt;=10000,0.1,IF(G472&gt;=5000,0.2,IF(G472&gt;=1000,0.3,IF(G472&gt;=0,0.4,{0}))))))</f>
        <v/>
      </c>
      <c r="P472" s="400">
        <f>IF(AND(B472="",C472=""),"",ROUND(H472*O472,2))</f>
        <v/>
      </c>
      <c r="Q472" s="401" t="inlineStr">
        <is>
          <t>箱体</t>
        </is>
      </c>
      <c r="R472" s="168" t="inlineStr"/>
      <c r="S472" s="168" t="inlineStr"/>
      <c r="T472" s="168" t="inlineStr">
        <is>
          <t>0</t>
        </is>
      </c>
      <c r="U472" s="168" t="inlineStr"/>
      <c r="V472" s="402" t="n"/>
      <c r="W472" s="402" t="n"/>
      <c r="X472" s="170" t="inlineStr">
        <is>
          <t>BlokSeT</t>
        </is>
      </c>
    </row>
    <row r="473" s="308">
      <c r="A473" s="64">
        <f>ROW()-ROW(A$455)</f>
        <v/>
      </c>
      <c r="B473" s="22" t="inlineStr"/>
      <c r="C473" s="22" t="inlineStr"/>
      <c r="D473" s="22" t="inlineStr"/>
      <c r="E473" s="23" t="n"/>
      <c r="F473" s="23">
        <f>IF(AND(B473="",C473=""),"",1)</f>
        <v/>
      </c>
      <c r="G473" s="349">
        <f>IF(AND(B473="",C473=""),"",ROUND(M473*L473*N473,2))</f>
        <v/>
      </c>
      <c r="H473" s="349">
        <f>IF(AND(B473="",C473=""),"",ROUND(F473*G473,2))</f>
        <v/>
      </c>
      <c r="I473" s="45" t="inlineStr"/>
      <c r="J473" s="397">
        <f>IF(AND(B473="",C473=""),"",ROUND(M473*N473,2))</f>
        <v/>
      </c>
      <c r="K473" s="398">
        <f>IF(AND(B473="",C473=""),"",ROUND(J473*F473,2))</f>
        <v/>
      </c>
      <c r="L473" s="200">
        <f>IF(AND(B473="",C473=""),"",1)</f>
        <v/>
      </c>
      <c r="M473" s="399" t="n"/>
      <c r="N473" s="154">
        <f>IF(AND(B473="",C473=""),"",1)</f>
        <v/>
      </c>
      <c r="O473" s="155">
        <f>IF(AND(B473="",C473=""),"",IF(J473&gt;=20000,0.05,IF(J473&gt;=10000,0.1,IF(J473&gt;=5000,0.2,IF(J473&gt;=1000,0.3,IF(J473&gt;=0,0.4,{0}))))))</f>
        <v/>
      </c>
      <c r="P473" s="400">
        <f>IF(AND(B473="",C473=""),"",ROUND(H473*O473,2))</f>
        <v/>
      </c>
      <c r="Q473" s="401">
        <f>IF(AND(B473="",C473=""),"","元件")</f>
        <v/>
      </c>
      <c r="R473" s="168" t="inlineStr"/>
      <c r="S473" s="168" t="inlineStr"/>
      <c r="T473" s="168" t="inlineStr"/>
      <c r="U473" s="168" t="inlineStr"/>
      <c r="V473" s="402" t="n"/>
      <c r="W473" s="402" t="n"/>
      <c r="X473" s="170" t="inlineStr"/>
    </row>
    <row r="474" s="308">
      <c r="A474" s="64">
        <f>ROW()-ROW(A$455)</f>
        <v/>
      </c>
      <c r="B474" s="171" t="inlineStr">
        <is>
          <t>小计</t>
        </is>
      </c>
      <c r="C474" s="172" t="n"/>
      <c r="D474" s="204" t="n"/>
      <c r="E474" s="114" t="n"/>
      <c r="F474" s="114" t="n"/>
      <c r="G474" s="396" t="n"/>
      <c r="H474" s="396">
        <f>ROUND(SUM(H455:INDEX(H:H,ROW()-1)),2)</f>
        <v/>
      </c>
      <c r="I474" s="45" t="inlineStr"/>
      <c r="J474" s="397" t="n"/>
      <c r="K474" s="398">
        <f>ROUND(SUM(K455:INDEX(K:K,ROW()-1)),2)</f>
        <v/>
      </c>
      <c r="L474" s="200" t="n"/>
      <c r="M474" s="399" t="n"/>
      <c r="N474" s="154" t="n"/>
      <c r="O474" s="155" t="n"/>
      <c r="P474" s="400" t="n"/>
      <c r="Q474" s="401" t="n"/>
      <c r="R474" s="168" t="inlineStr"/>
      <c r="S474" s="168" t="inlineStr"/>
      <c r="T474" s="168" t="inlineStr"/>
      <c r="U474" s="168" t="inlineStr"/>
      <c r="V474" s="402">
        <f>ROUND(SUMPRODUCT(F455:INDEX(F:F,ROW()-1),V455:INDEX(V:V,ROW()-1)),2)</f>
        <v/>
      </c>
      <c r="W474" s="402">
        <f>ROUND(SUMPRODUCT(F455:INDEX(F:F,ROW()-1),W455:INDEX(W:W,ROW()-1)),2)</f>
        <v/>
      </c>
      <c r="X474" s="170" t="inlineStr"/>
    </row>
    <row r="475" s="308">
      <c r="A475" s="64">
        <f>ROW()-ROW(A$455)</f>
        <v/>
      </c>
      <c r="B475" s="171" t="inlineStr">
        <is>
          <t>综合费(人工、管理、税金、利润等)</t>
        </is>
      </c>
      <c r="C475" s="172" t="n"/>
      <c r="D475" s="204" t="n"/>
      <c r="E475" s="114" t="n"/>
      <c r="F475" s="114" t="n"/>
      <c r="G475" s="396" t="n"/>
      <c r="H475" s="396">
        <f>2500</f>
        <v/>
      </c>
      <c r="I475" s="45" t="inlineStr"/>
      <c r="J475" s="397" t="n"/>
      <c r="K475" s="398" t="n"/>
      <c r="L475" s="200" t="n"/>
      <c r="M475" s="399" t="n"/>
      <c r="N475" s="154" t="n"/>
      <c r="O475" s="155" t="n"/>
      <c r="P475" s="400" t="n"/>
      <c r="Q475" s="401" t="inlineStr">
        <is>
          <t>费用</t>
        </is>
      </c>
      <c r="R475" s="168" t="inlineStr"/>
      <c r="S475" s="168" t="inlineStr"/>
      <c r="T475" s="168" t="inlineStr"/>
      <c r="U475" s="168" t="inlineStr"/>
      <c r="V475" s="402" t="n"/>
      <c r="W475" s="402" t="n"/>
      <c r="X475" s="170" t="inlineStr"/>
    </row>
    <row r="476" s="308">
      <c r="A476" s="64">
        <f>ROW()-ROW(A$455)</f>
        <v/>
      </c>
      <c r="B476" s="204" t="inlineStr">
        <is>
          <t>单台合计</t>
        </is>
      </c>
      <c r="C476" s="172" t="n"/>
      <c r="D476" s="204" t="n"/>
      <c r="E476" s="114" t="n"/>
      <c r="F476" s="114" t="n"/>
      <c r="G476" s="396" t="n"/>
      <c r="H476" s="396">
        <f>ROUND(SUM(H474:H475),2)</f>
        <v/>
      </c>
      <c r="I476" s="181" t="n"/>
      <c r="J476" s="397" t="n"/>
      <c r="K476" s="398">
        <f>ROUND(SUM(K474:K475),2)</f>
        <v/>
      </c>
      <c r="L476" s="209" t="n"/>
      <c r="M476" s="399" t="n"/>
      <c r="N476" s="210" t="n"/>
      <c r="O476" s="211" t="n"/>
      <c r="P476" s="400" t="n"/>
      <c r="Q476" s="401" t="n"/>
      <c r="R476" s="168" t="inlineStr"/>
      <c r="S476" s="168" t="inlineStr"/>
      <c r="T476" s="168" t="inlineStr"/>
      <c r="U476" s="168" t="inlineStr"/>
      <c r="V476" s="402" t="n"/>
      <c r="W476" s="402" t="n"/>
      <c r="X476" s="170" t="inlineStr"/>
    </row>
    <row r="477" s="308">
      <c r="A477" s="173" t="inlineStr">
        <is>
          <t>总计</t>
        </is>
      </c>
      <c r="B477" s="205" t="n"/>
      <c r="C477" s="175" t="n"/>
      <c r="D477" s="206" t="n"/>
      <c r="E477" s="206" t="inlineStr">
        <is>
          <t>台</t>
        </is>
      </c>
      <c r="F477" s="206" t="n">
        <v>1</v>
      </c>
      <c r="G477" s="414">
        <f>ROUND(H476,2)</f>
        <v/>
      </c>
      <c r="H477" s="414">
        <f>ROUND(F477*G477,2)</f>
        <v/>
      </c>
      <c r="I477" s="185" t="n"/>
      <c r="J477" s="415" t="n"/>
      <c r="K477" s="416">
        <f>ROUND(K476*F477,2)</f>
        <v/>
      </c>
      <c r="L477" s="214" t="n"/>
      <c r="M477" s="417" t="n"/>
      <c r="N477" s="216" t="n"/>
      <c r="O477" s="217" t="n"/>
      <c r="P477" s="418" t="n"/>
      <c r="Q477" s="401" t="n"/>
      <c r="R477" s="168" t="inlineStr"/>
      <c r="S477" s="168" t="inlineStr"/>
      <c r="T477" s="168" t="inlineStr"/>
      <c r="U477" s="168" t="inlineStr"/>
      <c r="V477" s="402" t="n"/>
      <c r="W477" s="402" t="n"/>
      <c r="X477" s="170" t="inlineStr"/>
    </row>
    <row r="478" customFormat="1" s="4">
      <c r="A478" s="6" t="n"/>
      <c r="B478" s="195" t="inlineStr"/>
      <c r="C478" s="195" t="inlineStr"/>
      <c r="D478" s="195" t="inlineStr"/>
      <c r="Q478" s="159" t="n"/>
      <c r="R478" s="159" t="n"/>
      <c r="S478" s="159" t="n"/>
      <c r="T478" s="159" t="n"/>
      <c r="U478" s="159" t="n"/>
      <c r="X478" s="195" t="inlineStr"/>
    </row>
    <row r="479" customFormat="1" s="4">
      <c r="A479" s="6" t="n"/>
      <c r="B479" s="195" t="inlineStr"/>
      <c r="C479" s="195" t="inlineStr"/>
      <c r="D479" s="195" t="inlineStr"/>
      <c r="Q479" s="159" t="n"/>
      <c r="R479" s="159" t="n"/>
      <c r="S479" s="159" t="n"/>
      <c r="T479" s="159" t="n"/>
      <c r="U479" s="159" t="n"/>
      <c r="X479" s="195" t="inlineStr"/>
    </row>
    <row r="480" s="308">
      <c r="A480" s="208">
        <f>CONCATENATE("报价人：",项目信息!$B$8)</f>
        <v/>
      </c>
      <c r="B480" s="208" t="n"/>
      <c r="C480" s="4" t="n"/>
      <c r="D480" s="4" t="n"/>
      <c r="E480" s="4" t="n"/>
      <c r="F480" s="4" t="n"/>
      <c r="G480" s="4" t="n"/>
      <c r="H480" s="178">
        <f>项目信息!$B$9</f>
        <v/>
      </c>
      <c r="Q480" s="159" t="n"/>
      <c r="R480" s="159" t="n"/>
      <c r="S480" s="159" t="n"/>
      <c r="T480" s="159" t="n"/>
      <c r="U480" s="159" t="n"/>
      <c r="X480" s="203" t="inlineStr"/>
    </row>
    <row r="481" s="308">
      <c r="A481" s="8">
        <f>T(项目信息!$B$22)</f>
        <v/>
      </c>
      <c r="Q481" s="159" t="n"/>
      <c r="R481" s="159" t="n"/>
      <c r="S481" s="159" t="n"/>
      <c r="T481" s="159" t="n"/>
      <c r="U481" s="159" t="n"/>
    </row>
    <row r="482" s="308">
      <c r="A482" s="9">
        <f>T(项目信息!$B$23)</f>
        <v/>
      </c>
      <c r="Q482" s="159" t="n"/>
      <c r="R482" s="159" t="n"/>
      <c r="S482" s="159" t="n"/>
      <c r="T482" s="159" t="n"/>
      <c r="U482" s="159" t="n"/>
    </row>
    <row r="483" s="308">
      <c r="A483" s="97" t="inlineStr">
        <is>
          <t>成套产品报价明细表</t>
        </is>
      </c>
      <c r="B483" s="378" t="n"/>
      <c r="C483" s="378" t="n"/>
      <c r="D483" s="378" t="n"/>
      <c r="E483" s="378" t="n"/>
      <c r="F483" s="378" t="n"/>
      <c r="G483" s="378" t="n"/>
      <c r="H483" s="378" t="n"/>
      <c r="I483" s="378" t="n"/>
      <c r="Q483" s="159" t="n"/>
      <c r="R483" s="159" t="n"/>
      <c r="S483" s="159" t="n"/>
      <c r="T483" s="159" t="n"/>
      <c r="U483" s="159" t="n"/>
    </row>
    <row r="484" customFormat="1" s="4">
      <c r="A484" s="98" t="inlineStr">
        <is>
          <t>柜号:</t>
        </is>
      </c>
      <c r="B484" s="99" t="inlineStr">
        <is>
          <t>BAN1-09</t>
        </is>
      </c>
      <c r="C484" s="100" t="inlineStr">
        <is>
          <t>型号:</t>
        </is>
      </c>
      <c r="D484" s="99" t="inlineStr">
        <is>
          <t>BlokSeT</t>
        </is>
      </c>
      <c r="E484" s="379" t="n"/>
      <c r="F484" s="101" t="inlineStr">
        <is>
          <t>名称:</t>
        </is>
      </c>
      <c r="G484" s="99" t="inlineStr">
        <is>
          <t>馈线柜</t>
        </is>
      </c>
      <c r="H484" s="379" t="n"/>
      <c r="I484" s="408" t="inlineStr"/>
      <c r="J484" s="194" t="inlineStr">
        <is>
          <t>箱柜尺寸:</t>
        </is>
      </c>
      <c r="K484" s="195" t="inlineStr">
        <is>
          <t>600W*1200D*2200H</t>
        </is>
      </c>
      <c r="L484" s="194" t="inlineStr">
        <is>
          <t>类别:</t>
        </is>
      </c>
      <c r="M484" s="195" t="inlineStr">
        <is>
          <t>低压固定柜</t>
        </is>
      </c>
      <c r="N484" s="409" t="inlineStr"/>
      <c r="Q484" s="159" t="n"/>
      <c r="R484" s="159" t="n"/>
      <c r="S484" s="159" t="n"/>
      <c r="T484" s="159" t="n"/>
      <c r="U484" s="159" t="n"/>
    </row>
    <row r="485" ht="20.1" customHeight="1" s="308">
      <c r="A485" s="102" t="inlineStr">
        <is>
          <t>序号</t>
        </is>
      </c>
      <c r="B485" s="103" t="inlineStr">
        <is>
          <t>元件名称</t>
        </is>
      </c>
      <c r="C485" s="103" t="inlineStr">
        <is>
          <t>型号规格</t>
        </is>
      </c>
      <c r="D485" s="104" t="inlineStr">
        <is>
          <t>生产厂家</t>
        </is>
      </c>
      <c r="E485" s="105" t="inlineStr">
        <is>
          <t>单位</t>
        </is>
      </c>
      <c r="F485" s="105" t="inlineStr">
        <is>
          <t>数量</t>
        </is>
      </c>
      <c r="G485" s="382" t="inlineStr">
        <is>
          <t>单   价</t>
        </is>
      </c>
      <c r="H485" s="383" t="inlineStr">
        <is>
          <t>总   价</t>
        </is>
      </c>
      <c r="I485" s="134" t="inlineStr">
        <is>
          <t>备注</t>
        </is>
      </c>
      <c r="J485" s="384" t="inlineStr">
        <is>
          <t>成本单价</t>
        </is>
      </c>
      <c r="K485" s="384" t="inlineStr">
        <is>
          <t>成本总价</t>
        </is>
      </c>
      <c r="L485" s="136" t="inlineStr">
        <is>
          <t>报出
系数</t>
        </is>
      </c>
      <c r="M485" s="384" t="inlineStr">
        <is>
          <t>表价</t>
        </is>
      </c>
      <c r="N485" s="136" t="inlineStr">
        <is>
          <t>折扣
系数</t>
        </is>
      </c>
      <c r="O485" s="137" t="inlineStr">
        <is>
          <t>取费
系数</t>
        </is>
      </c>
      <c r="P485" s="384" t="inlineStr">
        <is>
          <t>成套费</t>
        </is>
      </c>
      <c r="Q485" s="161" t="inlineStr">
        <is>
          <t>类别</t>
        </is>
      </c>
      <c r="R485" s="161" t="inlineStr">
        <is>
          <t>物料编码</t>
        </is>
      </c>
      <c r="S485" s="161" t="inlineStr">
        <is>
          <t>产地</t>
        </is>
      </c>
      <c r="T485" s="161" t="inlineStr">
        <is>
          <t>加工费</t>
        </is>
      </c>
      <c r="U485" s="161" t="inlineStr">
        <is>
          <t>订货号</t>
        </is>
      </c>
      <c r="V485" s="161" t="inlineStr">
        <is>
          <t>人工</t>
        </is>
      </c>
      <c r="W485" s="161" t="inlineStr">
        <is>
          <t>辅料</t>
        </is>
      </c>
      <c r="X485" s="203" t="inlineStr"/>
    </row>
    <row r="486" s="308">
      <c r="A486" s="64">
        <f>ROW()-ROW(A$485)</f>
        <v/>
      </c>
      <c r="B486" s="22" t="inlineStr">
        <is>
          <t>塑壳断路器</t>
        </is>
      </c>
      <c r="C486" s="22" t="inlineStr">
        <is>
          <t>NSX160H TM160D 3P3D P</t>
        </is>
      </c>
      <c r="D486" s="22" t="inlineStr">
        <is>
          <t>甲供/施耐德电气</t>
        </is>
      </c>
      <c r="E486" s="23" t="inlineStr">
        <is>
          <t>只</t>
        </is>
      </c>
      <c r="F486" s="23" t="n">
        <v>5</v>
      </c>
      <c r="G486" s="349">
        <f>IF(AND(B486="",C486=""),"",ROUND(M486*L486*N486,2))</f>
        <v/>
      </c>
      <c r="H486" s="349">
        <f>IF(AND(B486="",C486=""),"",ROUND(F486*G486,2))</f>
        <v/>
      </c>
      <c r="I486" s="45" t="inlineStr"/>
      <c r="J486" s="397">
        <f>IF(AND(B486="",C486=""),"",ROUND(M486*N486,2))</f>
        <v/>
      </c>
      <c r="K486" s="398">
        <f>IF(AND(B486="",C486=""),"",ROUND(J486*F486,2))</f>
        <v/>
      </c>
      <c r="L486" s="200" t="n">
        <v>1</v>
      </c>
      <c r="M486" s="399" t="n">
        <v>1e-07</v>
      </c>
      <c r="N486" s="154" t="n">
        <v>1</v>
      </c>
      <c r="O486" s="155">
        <f>IF(AND(B486="",C486=""),"",IF(G486&gt;=20000,0.05,IF(G486&gt;=10000,0.1,IF(G486&gt;=5000,0.2,IF(G486&gt;=1000,0.3,IF(G486&gt;=0,0.4,{0}))))))</f>
        <v/>
      </c>
      <c r="P486" s="400">
        <f>IF(AND(B486="",C486=""),"",ROUND(H486*O486,2))</f>
        <v/>
      </c>
      <c r="Q486" s="401" t="inlineStr">
        <is>
          <t>元件</t>
        </is>
      </c>
      <c r="R486" s="168" t="inlineStr"/>
      <c r="S486" s="168" t="inlineStr"/>
      <c r="T486" s="168" t="inlineStr">
        <is>
          <t>0</t>
        </is>
      </c>
      <c r="U486" s="168" t="inlineStr">
        <is>
          <t>C16F32D160</t>
        </is>
      </c>
      <c r="V486" s="402" t="n"/>
      <c r="W486" s="402" t="n"/>
      <c r="X486" s="170" t="inlineStr">
        <is>
          <t>NSX630N Mic2.3 630A 3P3D F→NSX630F MIC2.3 630 3P F→NSX630F MIC 2.3 630 3P F</t>
        </is>
      </c>
    </row>
    <row r="487" s="308">
      <c r="A487" s="64">
        <f>ROW()-ROW(A$485)</f>
        <v/>
      </c>
      <c r="B487" s="22" t="inlineStr">
        <is>
          <t>塑壳断路器</t>
        </is>
      </c>
      <c r="C487" s="22" t="inlineStr">
        <is>
          <t>NSX250H TM250D 3P3D P</t>
        </is>
      </c>
      <c r="D487" s="22" t="inlineStr">
        <is>
          <t>甲供/施耐德电气</t>
        </is>
      </c>
      <c r="E487" s="23" t="inlineStr">
        <is>
          <t>只</t>
        </is>
      </c>
      <c r="F487" s="23" t="n">
        <v>1</v>
      </c>
      <c r="G487" s="349">
        <f>IF(AND(B487="",C487=""),"",ROUND(M487*L487*N487,2))</f>
        <v/>
      </c>
      <c r="H487" s="349">
        <f>IF(AND(B487="",C487=""),"",ROUND(F487*G487,2))</f>
        <v/>
      </c>
      <c r="I487" s="45" t="inlineStr"/>
      <c r="J487" s="397">
        <f>IF(AND(B487="",C487=""),"",ROUND(M487*N487,2))</f>
        <v/>
      </c>
      <c r="K487" s="398">
        <f>IF(AND(B487="",C487=""),"",ROUND(J487*F487,2))</f>
        <v/>
      </c>
      <c r="L487" s="200" t="n">
        <v>1</v>
      </c>
      <c r="M487" s="399" t="n">
        <v>1e-07</v>
      </c>
      <c r="N487" s="154" t="n">
        <v>1</v>
      </c>
      <c r="O487" s="155">
        <f>IF(AND(B487="",C487=""),"",IF(G487&gt;=20000,0.05,IF(G487&gt;=10000,0.1,IF(G487&gt;=5000,0.2,IF(G487&gt;=1000,0.3,IF(G487&gt;=0,0.4,{0}))))))</f>
        <v/>
      </c>
      <c r="P487" s="400">
        <f>IF(AND(B487="",C487=""),"",ROUND(H487*O487,2))</f>
        <v/>
      </c>
      <c r="Q487" s="401" t="inlineStr">
        <is>
          <t>元件</t>
        </is>
      </c>
      <c r="R487" s="168" t="inlineStr"/>
      <c r="S487" s="168" t="inlineStr"/>
      <c r="T487" s="168" t="inlineStr">
        <is>
          <t>0</t>
        </is>
      </c>
      <c r="U487" s="168" t="inlineStr">
        <is>
          <t>C16F32D160</t>
        </is>
      </c>
      <c r="V487" s="402" t="n"/>
      <c r="W487" s="402" t="n"/>
      <c r="X487" s="170" t="inlineStr">
        <is>
          <t>NSX630N Mic2.3 630A 3P3D F→NSX630F MIC2.3 630 3P F→NSX630F MIC 2.3 630 3P F</t>
        </is>
      </c>
    </row>
    <row r="488" s="308">
      <c r="A488" s="64">
        <f>ROW()-ROW(A$485)</f>
        <v/>
      </c>
      <c r="B488" s="22" t="inlineStr">
        <is>
          <t>塑壳断路器</t>
        </is>
      </c>
      <c r="C488" s="22" t="inlineStr">
        <is>
          <t>NSX400H Mic2.3 400A 3P3D P</t>
        </is>
      </c>
      <c r="D488" s="22" t="inlineStr">
        <is>
          <t>甲供/施耐德电气</t>
        </is>
      </c>
      <c r="E488" s="23" t="inlineStr">
        <is>
          <t>只</t>
        </is>
      </c>
      <c r="F488" s="23" t="n">
        <v>2</v>
      </c>
      <c r="G488" s="349">
        <f>IF(AND(B488="",C488=""),"",ROUND(M488*L488*N488,2))</f>
        <v/>
      </c>
      <c r="H488" s="349">
        <f>IF(AND(B488="",C488=""),"",ROUND(F488*G488,2))</f>
        <v/>
      </c>
      <c r="I488" s="45" t="inlineStr"/>
      <c r="J488" s="397">
        <f>IF(AND(B488="",C488=""),"",ROUND(M488*N488,2))</f>
        <v/>
      </c>
      <c r="K488" s="398">
        <f>IF(AND(B488="",C488=""),"",ROUND(J488*F488,2))</f>
        <v/>
      </c>
      <c r="L488" s="200" t="n">
        <v>1</v>
      </c>
      <c r="M488" s="399" t="n">
        <v>1e-07</v>
      </c>
      <c r="N488" s="154" t="n">
        <v>1</v>
      </c>
      <c r="O488" s="155">
        <f>IF(AND(B488="",C488=""),"",IF(G488&gt;=20000,0.05,IF(G488&gt;=10000,0.1,IF(G488&gt;=5000,0.2,IF(G488&gt;=1000,0.3,IF(G488&gt;=0,0.4,{0}))))))</f>
        <v/>
      </c>
      <c r="P488" s="400">
        <f>IF(AND(B488="",C488=""),"",ROUND(H488*O488,2))</f>
        <v/>
      </c>
      <c r="Q488" s="401" t="inlineStr">
        <is>
          <t>元件</t>
        </is>
      </c>
      <c r="R488" s="168" t="inlineStr"/>
      <c r="S488" s="168" t="inlineStr"/>
      <c r="T488" s="168" t="inlineStr">
        <is>
          <t>0</t>
        </is>
      </c>
      <c r="U488" s="168" t="inlineStr"/>
      <c r="V488" s="402" t="n"/>
      <c r="W488" s="402" t="n"/>
      <c r="X488" s="170" t="inlineStr"/>
    </row>
    <row r="489" s="308">
      <c r="A489" s="64">
        <f>ROW()-ROW(A$485)</f>
        <v/>
      </c>
      <c r="B489" s="22" t="inlineStr">
        <is>
          <t>塑壳断路器</t>
        </is>
      </c>
      <c r="C489" s="22" t="inlineStr">
        <is>
          <t>NSX630H Mic2.3 6300A 3P3D P</t>
        </is>
      </c>
      <c r="D489" s="22" t="inlineStr">
        <is>
          <t>甲供/施耐德电气</t>
        </is>
      </c>
      <c r="E489" s="23" t="inlineStr">
        <is>
          <t>只</t>
        </is>
      </c>
      <c r="F489" s="23" t="n">
        <v>1</v>
      </c>
      <c r="G489" s="349">
        <f>IF(AND(B489="",C489=""),"",ROUND(M489*L489*N489,2))</f>
        <v/>
      </c>
      <c r="H489" s="349">
        <f>IF(AND(B489="",C489=""),"",ROUND(F489*G489,2))</f>
        <v/>
      </c>
      <c r="I489" s="45" t="inlineStr"/>
      <c r="J489" s="397">
        <f>IF(AND(B489="",C489=""),"",ROUND(M489*N489,2))</f>
        <v/>
      </c>
      <c r="K489" s="398">
        <f>IF(AND(B489="",C489=""),"",ROUND(J489*F489,2))</f>
        <v/>
      </c>
      <c r="L489" s="200" t="n">
        <v>1</v>
      </c>
      <c r="M489" s="399" t="n">
        <v>1e-07</v>
      </c>
      <c r="N489" s="154" t="n">
        <v>1</v>
      </c>
      <c r="O489" s="155">
        <f>IF(AND(B489="",C489=""),"",IF(G489&gt;=20000,0.05,IF(G489&gt;=10000,0.1,IF(G489&gt;=5000,0.2,IF(G489&gt;=1000,0.3,IF(G489&gt;=0,0.4,{0}))))))</f>
        <v/>
      </c>
      <c r="P489" s="400">
        <f>IF(AND(B489="",C489=""),"",ROUND(H489*O489,2))</f>
        <v/>
      </c>
      <c r="Q489" s="401" t="inlineStr">
        <is>
          <t>元件</t>
        </is>
      </c>
      <c r="R489" s="168" t="inlineStr"/>
      <c r="S489" s="168" t="inlineStr"/>
      <c r="T489" s="168" t="inlineStr">
        <is>
          <t>0</t>
        </is>
      </c>
      <c r="U489" s="168" t="inlineStr"/>
      <c r="V489" s="402" t="n"/>
      <c r="W489" s="402" t="n"/>
      <c r="X489" s="170" t="inlineStr"/>
    </row>
    <row r="490" s="308">
      <c r="A490" s="64">
        <f>ROW()-ROW(A$485)</f>
        <v/>
      </c>
      <c r="B490" s="22" t="inlineStr">
        <is>
          <t>电流互感器</t>
        </is>
      </c>
      <c r="C490" s="22" t="inlineStr">
        <is>
          <t>SD-0.66-30I 150/5A</t>
        </is>
      </c>
      <c r="D490" s="22" t="inlineStr">
        <is>
          <t>桑迪</t>
        </is>
      </c>
      <c r="E490" s="23" t="inlineStr">
        <is>
          <t>只</t>
        </is>
      </c>
      <c r="F490" s="23" t="n">
        <v>15</v>
      </c>
      <c r="G490" s="349">
        <f>IF(AND(B490="",C490=""),"",ROUND(M490*L490*N490,2))</f>
        <v/>
      </c>
      <c r="H490" s="396">
        <f>IF(AND(B490="",C490=""),"",ROUND(F490*G490,2))</f>
        <v/>
      </c>
      <c r="I490" s="219" t="inlineStr"/>
      <c r="J490" s="397">
        <f>IF(AND(B490="",C490=""),"",ROUND(M490*N490,2))</f>
        <v/>
      </c>
      <c r="K490" s="398">
        <f>IF(AND(B490="",C490=""),"",ROUND(J490*F490,2))</f>
        <v/>
      </c>
      <c r="L490" s="200" t="n">
        <v>1</v>
      </c>
      <c r="M490" s="399" t="n">
        <v>29.95</v>
      </c>
      <c r="N490" s="154" t="n">
        <v>1</v>
      </c>
      <c r="O490" s="155">
        <f>IF(AND(B490="",C490=""),"",IF(G490&gt;=20000,0.05,IF(G490&gt;=10000,0.1,IF(G490&gt;=5000,0.2,IF(G490&gt;=1000,0.3,IF(G490&gt;=0,0.4,{0}))))))</f>
        <v/>
      </c>
      <c r="P490" s="400">
        <f>IF(AND(B490="",C490=""),"",ROUND(H490*O490,2))</f>
        <v/>
      </c>
      <c r="Q490" s="401" t="inlineStr">
        <is>
          <t>元件</t>
        </is>
      </c>
      <c r="R490" s="168" t="inlineStr"/>
      <c r="S490" s="168" t="inlineStr"/>
      <c r="T490" s="168" t="inlineStr">
        <is>
          <t>0</t>
        </is>
      </c>
      <c r="U490" s="168" t="inlineStr">
        <is>
          <t>710140200000049</t>
        </is>
      </c>
      <c r="V490" s="402" t="n"/>
      <c r="W490" s="402" t="n"/>
      <c r="X490" s="170" t="inlineStr">
        <is>
          <t>SD→SD-0.66-40II-C 400/5A→SD-0.66-30I 250/5A→SD-0.66-30I 150/5A→SD-0.66-60II-C 750/5A→SD-0.66-60II-C 600/5A→SD-0.66-30I 150/5A→SD-0.66-40II-C 400/5A→SD-0.66-100II-C 1600/5A→SD-0.66-80II-V 1000/5A</t>
        </is>
      </c>
    </row>
    <row r="491" s="308">
      <c r="A491" s="64">
        <f>ROW()-ROW(A$485)</f>
        <v/>
      </c>
      <c r="B491" s="22" t="inlineStr">
        <is>
          <t>电流互感器</t>
        </is>
      </c>
      <c r="C491" s="22" t="inlineStr">
        <is>
          <t>SD-0.66-30I 250/5A</t>
        </is>
      </c>
      <c r="D491" s="22" t="inlineStr">
        <is>
          <t>桑迪</t>
        </is>
      </c>
      <c r="E491" s="23" t="inlineStr">
        <is>
          <t>只</t>
        </is>
      </c>
      <c r="F491" s="23" t="n">
        <v>3</v>
      </c>
      <c r="G491" s="349">
        <f>IF(AND(B491="",C491=""),"",ROUND(M491*L491*N491,2))</f>
        <v/>
      </c>
      <c r="H491" s="396">
        <f>IF(AND(B491="",C491=""),"",ROUND(F491*G491,2))</f>
        <v/>
      </c>
      <c r="I491" s="219" t="inlineStr"/>
      <c r="J491" s="397">
        <f>IF(AND(B491="",C491=""),"",ROUND(M491*N491,2))</f>
        <v/>
      </c>
      <c r="K491" s="398">
        <f>IF(AND(B491="",C491=""),"",ROUND(J491*F491,2))</f>
        <v/>
      </c>
      <c r="L491" s="200" t="n">
        <v>1</v>
      </c>
      <c r="M491" s="399" t="n">
        <v>26.65</v>
      </c>
      <c r="N491" s="154" t="n">
        <v>1</v>
      </c>
      <c r="O491" s="155">
        <f>IF(AND(B491="",C491=""),"",IF(G491&gt;=20000,0.05,IF(G491&gt;=10000,0.1,IF(G491&gt;=5000,0.2,IF(G491&gt;=1000,0.3,IF(G491&gt;=0,0.4,{0}))))))</f>
        <v/>
      </c>
      <c r="P491" s="400">
        <f>IF(AND(B491="",C491=""),"",ROUND(H491*O491,2))</f>
        <v/>
      </c>
      <c r="Q491" s="401" t="inlineStr">
        <is>
          <t>元件</t>
        </is>
      </c>
      <c r="R491" s="168" t="inlineStr"/>
      <c r="S491" s="168" t="inlineStr"/>
      <c r="T491" s="168" t="inlineStr">
        <is>
          <t>0</t>
        </is>
      </c>
      <c r="U491" s="168" t="inlineStr">
        <is>
          <t>710140200000049</t>
        </is>
      </c>
      <c r="V491" s="402" t="n"/>
      <c r="W491" s="402" t="n"/>
      <c r="X491" s="170" t="inlineStr">
        <is>
          <t>SD→SD-0.66-40II-C 400/5A→SD-0.66-30I 250/5A→SD-0.66-30I 150/5A→SD-0.66-60II-C 750/5A→SD-0.66-60II-C 600/5A→SD-0.66-30I 150/5A→SD-0.66-40II-C 400/5A→SD-0.66-100II-C 1600/5A→SD-0.66-80II-V 1000/5A</t>
        </is>
      </c>
    </row>
    <row r="492" s="308">
      <c r="A492" s="64">
        <f>ROW()-ROW(A$485)</f>
        <v/>
      </c>
      <c r="B492" s="22" t="inlineStr">
        <is>
          <t>电流互感器</t>
        </is>
      </c>
      <c r="C492" s="22" t="inlineStr">
        <is>
          <t>SD-0.66-40II-C 400/5A</t>
        </is>
      </c>
      <c r="D492" s="22" t="inlineStr">
        <is>
          <t>桑迪</t>
        </is>
      </c>
      <c r="E492" s="23" t="inlineStr">
        <is>
          <t>只</t>
        </is>
      </c>
      <c r="F492" s="23" t="n">
        <v>6</v>
      </c>
      <c r="G492" s="349">
        <f>IF(AND(B492="",C492=""),"",ROUND(M492*L492*N492,2))</f>
        <v/>
      </c>
      <c r="H492" s="396">
        <f>IF(AND(B492="",C492=""),"",ROUND(F492*G492,2))</f>
        <v/>
      </c>
      <c r="I492" s="219" t="inlineStr"/>
      <c r="J492" s="397">
        <f>IF(AND(B492="",C492=""),"",ROUND(M492*N492,2))</f>
        <v/>
      </c>
      <c r="K492" s="398">
        <f>IF(AND(B492="",C492=""),"",ROUND(J492*F492,2))</f>
        <v/>
      </c>
      <c r="L492" s="200" t="n">
        <v>1</v>
      </c>
      <c r="M492" s="399" t="n">
        <v>52</v>
      </c>
      <c r="N492" s="154" t="n">
        <v>1</v>
      </c>
      <c r="O492" s="155">
        <f>IF(AND(B492="",C492=""),"",IF(G492&gt;=20000,0.05,IF(G492&gt;=10000,0.1,IF(G492&gt;=5000,0.2,IF(G492&gt;=1000,0.3,IF(G492&gt;=0,0.4,{0}))))))</f>
        <v/>
      </c>
      <c r="P492" s="400">
        <f>IF(AND(B492="",C492=""),"",ROUND(H492*O492,2))</f>
        <v/>
      </c>
      <c r="Q492" s="401" t="inlineStr">
        <is>
          <t>元件</t>
        </is>
      </c>
      <c r="R492" s="168" t="inlineStr"/>
      <c r="S492" s="168" t="inlineStr"/>
      <c r="T492" s="168" t="inlineStr">
        <is>
          <t>0</t>
        </is>
      </c>
      <c r="U492" s="168" t="inlineStr">
        <is>
          <t>710140200000049</t>
        </is>
      </c>
      <c r="V492" s="402" t="n"/>
      <c r="W492" s="402" t="n"/>
      <c r="X492" s="170" t="inlineStr">
        <is>
          <t>SD→SD-0.66-40II-C 400/5A→SD-0.66-30I 250/5A→SD-0.66-30I 150/5A→SD-0.66-60II-C 750/5A→SD-0.66-60II-C 600/5A→SD-0.66-30I 150/5A→SD-0.66-40II-C 400/5A→SD-0.66-100II-C 1600/5A→SD-0.66-80II-V 1000/5A</t>
        </is>
      </c>
    </row>
    <row r="493" s="308">
      <c r="A493" s="64">
        <f>ROW()-ROW(A$485)</f>
        <v/>
      </c>
      <c r="B493" s="22" t="inlineStr">
        <is>
          <t>电流互感器</t>
        </is>
      </c>
      <c r="C493" s="22" t="inlineStr">
        <is>
          <t>SD-0.66-60II-C 600/5A</t>
        </is>
      </c>
      <c r="D493" s="22" t="inlineStr">
        <is>
          <t>桑迪</t>
        </is>
      </c>
      <c r="E493" s="23" t="inlineStr">
        <is>
          <t>只</t>
        </is>
      </c>
      <c r="F493" s="23" t="n">
        <v>3</v>
      </c>
      <c r="G493" s="349">
        <f>IF(AND(B493="",C493=""),"",ROUND(M493*L493*N493,2))</f>
        <v/>
      </c>
      <c r="H493" s="396">
        <f>IF(AND(B493="",C493=""),"",ROUND(F493*G493,2))</f>
        <v/>
      </c>
      <c r="I493" s="219" t="inlineStr"/>
      <c r="J493" s="397">
        <f>IF(AND(B493="",C493=""),"",ROUND(M493*N493,2))</f>
        <v/>
      </c>
      <c r="K493" s="398">
        <f>IF(AND(B493="",C493=""),"",ROUND(J493*F493,2))</f>
        <v/>
      </c>
      <c r="L493" s="200" t="n">
        <v>1</v>
      </c>
      <c r="M493" s="399" t="n">
        <v>63.7</v>
      </c>
      <c r="N493" s="154" t="n">
        <v>1</v>
      </c>
      <c r="O493" s="155">
        <f>IF(AND(B493="",C493=""),"",IF(G493&gt;=20000,0.05,IF(G493&gt;=10000,0.1,IF(G493&gt;=5000,0.2,IF(G493&gt;=1000,0.3,IF(G493&gt;=0,0.4,{0}))))))</f>
        <v/>
      </c>
      <c r="P493" s="400">
        <f>IF(AND(B493="",C493=""),"",ROUND(H493*O493,2))</f>
        <v/>
      </c>
      <c r="Q493" s="401" t="inlineStr">
        <is>
          <t>元件</t>
        </is>
      </c>
      <c r="R493" s="168" t="inlineStr"/>
      <c r="S493" s="168" t="inlineStr"/>
      <c r="T493" s="168" t="inlineStr">
        <is>
          <t>0</t>
        </is>
      </c>
      <c r="U493" s="168" t="inlineStr"/>
      <c r="V493" s="402" t="n"/>
      <c r="W493" s="402" t="n"/>
      <c r="X493" s="170" t="inlineStr">
        <is>
          <t>SD→SD-0.66-40II-C 400/5A→SD-0.66-30I 250/5A→SD-0.66-30I 150/5A→SD-0.66-60II-C 750/5A→SD-0.66-60II-C 600/5A→SD-0.66-30I 150/5A→SD-0.66-40II-C 400/5A→SD-0.66-100II-C 1600/5A→SD-0.66-80II-V 1000/5A→SD-0.66-40II-C 400/5A</t>
        </is>
      </c>
    </row>
    <row r="494" s="308">
      <c r="A494" s="64">
        <f>ROW()-ROW(A$485)</f>
        <v/>
      </c>
      <c r="B494" s="112" t="inlineStr">
        <is>
          <t>多功能表</t>
        </is>
      </c>
      <c r="C494" s="112" t="inlineStr">
        <is>
          <t>PM4101</t>
        </is>
      </c>
      <c r="D494" s="112" t="inlineStr">
        <is>
          <t>甲供/施耐德电气</t>
        </is>
      </c>
      <c r="E494" s="114" t="inlineStr">
        <is>
          <t>只</t>
        </is>
      </c>
      <c r="F494" s="114" t="n">
        <v>9</v>
      </c>
      <c r="G494" s="396">
        <f>IF(AND(B494="",C494=""),"",ROUND(M494*L494*N494,2))</f>
        <v/>
      </c>
      <c r="H494" s="349">
        <f>IF(AND(B494="",C494=""),"",ROUND(F494*G494,2))</f>
        <v/>
      </c>
      <c r="I494" s="45" t="inlineStr"/>
      <c r="J494" s="397">
        <f>IF(AND(B494="",C494=""),"",ROUND(M494*N494,2))</f>
        <v/>
      </c>
      <c r="K494" s="398">
        <f>IF(AND(B494="",C494=""),"",ROUND(J494*F494,2))</f>
        <v/>
      </c>
      <c r="L494" s="200" t="n">
        <v>1</v>
      </c>
      <c r="M494" s="399" t="n">
        <v>1e-07</v>
      </c>
      <c r="N494" s="154" t="n">
        <v>1</v>
      </c>
      <c r="O494" s="155">
        <f>IF(AND(B494="",C494=""),"",IF(J494&gt;=20000,0.05,IF(J494&gt;=10000,0.1,IF(J494&gt;=5000,0.2,IF(J494&gt;=1000,0.3,IF(J494&gt;=0,0.4,{0}))))))</f>
        <v/>
      </c>
      <c r="P494" s="400">
        <f>IF(AND(B494="",C494=""),"",ROUND(H494*O494,2))</f>
        <v/>
      </c>
      <c r="Q494" s="401" t="inlineStr">
        <is>
          <t>元件</t>
        </is>
      </c>
      <c r="R494" s="168" t="inlineStr"/>
      <c r="S494" s="168" t="inlineStr"/>
      <c r="T494" s="168" t="inlineStr">
        <is>
          <t>0</t>
        </is>
      </c>
      <c r="U494" s="168" t="inlineStr"/>
      <c r="V494" s="402" t="n"/>
      <c r="W494" s="402" t="n"/>
      <c r="X494" s="170" t="inlineStr"/>
    </row>
    <row r="495" customFormat="1" s="3">
      <c r="A495" s="64">
        <f>ROW()-ROW(A$485)</f>
        <v/>
      </c>
      <c r="B495" s="22" t="inlineStr">
        <is>
          <t>指示灯</t>
        </is>
      </c>
      <c r="C495" s="22" t="inlineStr">
        <is>
          <t>XB2BVM3LC</t>
        </is>
      </c>
      <c r="D495" s="22" t="inlineStr">
        <is>
          <t>甲供/施耐德电气</t>
        </is>
      </c>
      <c r="E495" s="23" t="inlineStr">
        <is>
          <t>只</t>
        </is>
      </c>
      <c r="F495" s="23" t="n">
        <v>9</v>
      </c>
      <c r="G495" s="349">
        <f>IF(AND(B495="",C495=""),"",ROUND(M495*L495*N495,2))</f>
        <v/>
      </c>
      <c r="H495" s="353">
        <f>IF(AND(B495="",C495=""),"",ROUND(F495*G495,2))</f>
        <v/>
      </c>
      <c r="I495" s="180" t="inlineStr"/>
      <c r="J495" s="392">
        <f>IF(AND(B495="",C495=""),"",ROUND(M495*N495,2))</f>
        <v/>
      </c>
      <c r="K495" s="393">
        <f>IF(AND(B495="",C495=""),"",ROUND(J495*F495,2))</f>
        <v/>
      </c>
      <c r="L495" s="141" t="n">
        <v>1</v>
      </c>
      <c r="M495" s="394" t="n">
        <v>1e-07</v>
      </c>
      <c r="N495" s="220" t="n">
        <v>1</v>
      </c>
      <c r="O495" s="221">
        <f>IF(AND(B495="",C495=""),"",IF(G495&gt;=20000,0.05,IF(G495&gt;=10000,0.1,IF(G495&gt;=5000,0.2,IF(G495&gt;=1000,0.3,IF(G495&gt;=0,0.4,{0}))))))</f>
        <v/>
      </c>
      <c r="P495" s="419">
        <f>IF(AND(B495="",C495=""),"",ROUND(H495*O495,2))</f>
        <v/>
      </c>
      <c r="Q495" s="420" t="inlineStr">
        <is>
          <t>元件</t>
        </is>
      </c>
      <c r="R495" s="231" t="inlineStr"/>
      <c r="S495" s="231" t="inlineStr"/>
      <c r="T495" s="231" t="inlineStr">
        <is>
          <t>0</t>
        </is>
      </c>
      <c r="U495" s="231" t="inlineStr">
        <is>
          <t>XB2BVM3LC</t>
        </is>
      </c>
      <c r="V495" s="421" t="n"/>
      <c r="W495" s="421" t="n"/>
      <c r="X495" s="166" t="inlineStr">
        <is>
          <t>XA2EVM3LC</t>
        </is>
      </c>
    </row>
    <row r="496" customFormat="1" s="3">
      <c r="A496" s="64">
        <f>ROW()-ROW(A$485)</f>
        <v/>
      </c>
      <c r="B496" s="22" t="inlineStr">
        <is>
          <t>指示灯</t>
        </is>
      </c>
      <c r="C496" s="22" t="inlineStr">
        <is>
          <t>XB2BVM4LC</t>
        </is>
      </c>
      <c r="D496" s="22" t="inlineStr">
        <is>
          <t>甲供/施耐德电气</t>
        </is>
      </c>
      <c r="E496" s="23" t="inlineStr">
        <is>
          <t>只</t>
        </is>
      </c>
      <c r="F496" s="23" t="n">
        <v>9</v>
      </c>
      <c r="G496" s="349">
        <f>IF(AND(B496="",C496=""),"",ROUND(M496*L496*N496,2))</f>
        <v/>
      </c>
      <c r="H496" s="353">
        <f>IF(AND(B496="",C496=""),"",ROUND(F496*G496,2))</f>
        <v/>
      </c>
      <c r="I496" s="180" t="inlineStr"/>
      <c r="J496" s="392">
        <f>IF(AND(B496="",C496=""),"",ROUND(M496*N496,2))</f>
        <v/>
      </c>
      <c r="K496" s="393">
        <f>IF(AND(B496="",C496=""),"",ROUND(J496*F496,2))</f>
        <v/>
      </c>
      <c r="L496" s="141" t="n">
        <v>1</v>
      </c>
      <c r="M496" s="394" t="n">
        <v>1e-07</v>
      </c>
      <c r="N496" s="220" t="n">
        <v>1</v>
      </c>
      <c r="O496" s="221">
        <f>IF(AND(B496="",C496=""),"",IF(G496&gt;=20000,0.05,IF(G496&gt;=10000,0.1,IF(G496&gt;=5000,0.2,IF(G496&gt;=1000,0.3,IF(G496&gt;=0,0.4,{0}))))))</f>
        <v/>
      </c>
      <c r="P496" s="419">
        <f>IF(AND(B496="",C496=""),"",ROUND(H496*O496,2))</f>
        <v/>
      </c>
      <c r="Q496" s="420" t="inlineStr">
        <is>
          <t>元件</t>
        </is>
      </c>
      <c r="R496" s="231" t="inlineStr"/>
      <c r="S496" s="231" t="inlineStr"/>
      <c r="T496" s="231" t="inlineStr">
        <is>
          <t>0</t>
        </is>
      </c>
      <c r="U496" s="231" t="inlineStr">
        <is>
          <t>XB2BVM4LC</t>
        </is>
      </c>
      <c r="V496" s="421" t="n"/>
      <c r="W496" s="421" t="n"/>
      <c r="X496" s="166" t="inlineStr">
        <is>
          <t>XA2EVM4LC</t>
        </is>
      </c>
    </row>
    <row r="497" s="308">
      <c r="A497" s="64">
        <f>ROW()-ROW(A$485)</f>
        <v/>
      </c>
      <c r="B497" s="112" t="inlineStr">
        <is>
          <t>温湿度控制器</t>
        </is>
      </c>
      <c r="C497" s="112" t="inlineStr">
        <is>
          <t>ATH48G-11</t>
        </is>
      </c>
      <c r="D497" s="22" t="inlineStr">
        <is>
          <t>杭州安廷</t>
        </is>
      </c>
      <c r="E497" s="23" t="inlineStr">
        <is>
          <t>套</t>
        </is>
      </c>
      <c r="F497" s="23" t="n">
        <v>1</v>
      </c>
      <c r="G497" s="349">
        <f>IF(AND(B497="",C497=""),"",ROUND(M497*L497*N497,2))</f>
        <v/>
      </c>
      <c r="H497" s="396">
        <f>IF(AND(B497="",C497=""),"",ROUND(F497*G497,2))</f>
        <v/>
      </c>
      <c r="I497" s="150" t="inlineStr"/>
      <c r="J497" s="397">
        <f>IF(AND(B497="",C497=""),"",ROUND(M497*N497,2))</f>
        <v/>
      </c>
      <c r="K497" s="398">
        <f>IF(AND(B497="",C497=""),"",ROUND(J497*F497,2))</f>
        <v/>
      </c>
      <c r="L497" s="141" t="n">
        <v>1</v>
      </c>
      <c r="M497" s="399" t="n">
        <v>450</v>
      </c>
      <c r="N497" s="154" t="n">
        <v>1</v>
      </c>
      <c r="O497" s="155">
        <f>IF(AND(B497="",C497=""),"",IF(G497&gt;=20000,0.05,IF(G497&gt;=10000,0.1,IF(G497&gt;=5000,0.2,IF(G497&gt;=1000,0.3,IF(G497&gt;=0,0.4,{0}))))))</f>
        <v/>
      </c>
      <c r="P497" s="400">
        <f>IF(AND(B497="",C497=""),"",ROUND(H497*O497,2))</f>
        <v/>
      </c>
      <c r="Q497" s="401" t="inlineStr">
        <is>
          <t>元件</t>
        </is>
      </c>
      <c r="R497" s="168" t="inlineStr"/>
      <c r="S497" s="168" t="inlineStr"/>
      <c r="T497" s="168" t="inlineStr">
        <is>
          <t>0</t>
        </is>
      </c>
      <c r="U497" s="168" t="inlineStr"/>
      <c r="V497" s="402" t="n"/>
      <c r="W497" s="402" t="n"/>
      <c r="X497" s="170" t="inlineStr"/>
    </row>
    <row r="498" s="308">
      <c r="A498" s="64">
        <f>ROW()-ROW(A$485)</f>
        <v/>
      </c>
      <c r="B498" s="22" t="inlineStr">
        <is>
          <t>中间继电器</t>
        </is>
      </c>
      <c r="C498" s="22" t="inlineStr">
        <is>
          <t>RXM4AB2P7+RXZE2S114M+RXZ400</t>
        </is>
      </c>
      <c r="D498" s="22" t="inlineStr">
        <is>
          <t>甲供/施耐德电气</t>
        </is>
      </c>
      <c r="E498" s="23" t="inlineStr">
        <is>
          <t>只</t>
        </is>
      </c>
      <c r="F498" s="23" t="n">
        <v>18</v>
      </c>
      <c r="G498" s="349">
        <f>IF(AND(B498="",C498=""),"",ROUND(M498*L498*N498,2))</f>
        <v/>
      </c>
      <c r="H498" s="349">
        <f>IF(AND(B498="",C498=""),"",ROUND(F498*G498,2))</f>
        <v/>
      </c>
      <c r="I498" s="45" t="inlineStr"/>
      <c r="J498" s="397">
        <f>IF(AND(B498="",C498=""),"",ROUND(M498*N498,2))</f>
        <v/>
      </c>
      <c r="K498" s="398">
        <f>IF(AND(B498="",C498=""),"",ROUND(J498*F498,2))</f>
        <v/>
      </c>
      <c r="L498" s="141" t="n">
        <v>1</v>
      </c>
      <c r="M498" s="399" t="n">
        <v>1e-07</v>
      </c>
      <c r="N498" s="154" t="n">
        <v>1</v>
      </c>
      <c r="O498" s="155">
        <f>IF(AND(B498="",C498=""),"",IF(G498&gt;=20000,0.05,IF(G498&gt;=10000,0.1,IF(G498&gt;=5000,0.2,IF(G498&gt;=1000,0.3,IF(G498&gt;=0,0.4,{0}))))))</f>
        <v/>
      </c>
      <c r="P498" s="400">
        <f>IF(AND(B498="",C498=""),"",ROUND(H498*O498,2))</f>
        <v/>
      </c>
      <c r="Q498" s="401" t="inlineStr">
        <is>
          <t>元件</t>
        </is>
      </c>
      <c r="R498" s="168" t="inlineStr"/>
      <c r="S498" s="168" t="inlineStr"/>
      <c r="T498" s="168" t="inlineStr">
        <is>
          <t>0</t>
        </is>
      </c>
      <c r="U498" s="168" t="inlineStr">
        <is>
          <t>RXM4AB2P7+RXZE2S114M+RXZ400</t>
        </is>
      </c>
      <c r="V498" s="402" t="n"/>
      <c r="W498" s="402" t="n"/>
      <c r="X498" s="170" t="inlineStr">
        <is>
          <t>REL-IR-BL/L-230AC/4X21，含底座→RXM4AB2P7+RXZE2S114M+RXZ400→REL-IR-BL/L-230AC/4X21，含底座</t>
        </is>
      </c>
    </row>
    <row r="499" customFormat="1" s="3">
      <c r="A499" s="64">
        <f>ROW()-ROW(A$485)</f>
        <v/>
      </c>
      <c r="B499" s="22" t="inlineStr">
        <is>
          <t>带熔丝端子</t>
        </is>
      </c>
      <c r="C499" s="22" t="inlineStr">
        <is>
          <t>UK 5-HESI</t>
        </is>
      </c>
      <c r="D499" s="22" t="inlineStr">
        <is>
          <t>菲尼克斯</t>
        </is>
      </c>
      <c r="E499" s="23" t="inlineStr">
        <is>
          <t>只</t>
        </is>
      </c>
      <c r="F499" s="23" t="n">
        <v>36</v>
      </c>
      <c r="G499" s="349">
        <f>IF(AND(B499="",C499=""),"",ROUND(M499*L499*N499,2))</f>
        <v/>
      </c>
      <c r="H499" s="349">
        <f>IF(AND(B499="",C499=""),"",ROUND(F499*G499,2))</f>
        <v/>
      </c>
      <c r="I499" s="45" t="inlineStr"/>
      <c r="J499" s="392">
        <f>IF(AND(B499="",C499=""),"",ROUND(M499*N499,2))</f>
        <v/>
      </c>
      <c r="K499" s="393">
        <f>IF(AND(B499="",C499=""),"",ROUND(J499*F499,2))</f>
        <v/>
      </c>
      <c r="L499" s="141" t="n">
        <v>1</v>
      </c>
      <c r="M499" s="394" t="n">
        <v>7</v>
      </c>
      <c r="N499" s="220" t="n">
        <v>1</v>
      </c>
      <c r="O499" s="221">
        <f>IF(AND(B499="",C499=""),"",IF(G499&gt;=20000,0.05,IF(G499&gt;=10000,0.1,IF(G499&gt;=5000,0.2,IF(G499&gt;=1000,0.3,IF(G499&gt;=0,0.4,{0}))))))</f>
        <v/>
      </c>
      <c r="P499" s="419">
        <f>IF(AND(B499="",C499=""),"",ROUND(H499*O499,2))</f>
        <v/>
      </c>
      <c r="Q499" s="420" t="inlineStr">
        <is>
          <t>元件</t>
        </is>
      </c>
      <c r="R499" s="231" t="inlineStr"/>
      <c r="S499" s="231" t="inlineStr"/>
      <c r="T499" s="231" t="inlineStr">
        <is>
          <t>0</t>
        </is>
      </c>
      <c r="U499" s="231" t="inlineStr">
        <is>
          <t>True</t>
        </is>
      </c>
      <c r="V499" s="421" t="n"/>
      <c r="W499" s="421" t="n"/>
      <c r="X499" s="166" t="inlineStr"/>
    </row>
    <row r="500" s="308">
      <c r="A500" s="64">
        <f>ROW()-ROW(A$485)</f>
        <v/>
      </c>
      <c r="B500" s="22" t="inlineStr">
        <is>
          <t>水平母排</t>
        </is>
      </c>
      <c r="C500" s="22" t="inlineStr">
        <is>
          <t>TMY 4*(4*150*5)+2*50*5</t>
        </is>
      </c>
      <c r="D500" s="22" t="inlineStr">
        <is>
          <t>国产优质</t>
        </is>
      </c>
      <c r="E500" s="23" t="inlineStr">
        <is>
          <t>米</t>
        </is>
      </c>
      <c r="F500" s="23" t="n">
        <v>0.7</v>
      </c>
      <c r="G500" s="349">
        <f>IF(AND(B500="",C500=""),"",ROUND(M500*L500*N500,2))</f>
        <v/>
      </c>
      <c r="H500" s="349">
        <f>IF(AND(B500="",C500=""),"",ROUND(F500*G500,2))</f>
        <v/>
      </c>
      <c r="I500" s="45" t="inlineStr"/>
      <c r="J500" s="397">
        <f>IF(AND(B500="",C500=""),"",ROUND(M500*N500,2))</f>
        <v/>
      </c>
      <c r="K500" s="398">
        <f>IF(AND(B500="",C500=""),"",ROUND(J500*F500,2))</f>
        <v/>
      </c>
      <c r="L500" s="200" t="n">
        <v>1</v>
      </c>
      <c r="M500" s="399" t="n">
        <v>12026.68125</v>
      </c>
      <c r="N500" s="154">
        <f>(6317.932*1*1+2684.8*1*1)/9002.732</f>
        <v/>
      </c>
      <c r="O500" s="155">
        <f>IF(AND(B500="",C500=""),"",IF(J500&gt;=20000,0.05,IF(J500&gt;=10000,0.1,IF(J500&gt;=5000,0.2,IF(J500&gt;=1000,0.3,IF(J500&gt;=0,0.4,{0}))))))</f>
        <v/>
      </c>
      <c r="P500" s="400">
        <f>IF(AND(B500="",C500=""),"",ROUND(H500*O500,2))</f>
        <v/>
      </c>
      <c r="Q500" s="401" t="inlineStr">
        <is>
          <t>母排</t>
        </is>
      </c>
      <c r="R500" s="168" t="inlineStr"/>
      <c r="S500" s="168" t="inlineStr"/>
      <c r="T500" s="168" t="inlineStr">
        <is>
          <t>0</t>
        </is>
      </c>
      <c r="U500" s="168" t="inlineStr"/>
      <c r="V500" s="402" t="n"/>
      <c r="W500" s="402" t="n"/>
      <c r="X500" s="170" t="inlineStr"/>
    </row>
    <row r="501" customFormat="1" s="5">
      <c r="A501" s="64">
        <f>ROW()-ROW(A$485)</f>
        <v/>
      </c>
      <c r="B501" s="22" t="inlineStr">
        <is>
          <t>垂直排</t>
        </is>
      </c>
      <c r="C501" s="22" t="inlineStr">
        <is>
          <t>TMY 3*3*80*5</t>
        </is>
      </c>
      <c r="D501" s="22" t="inlineStr">
        <is>
          <t>国产优质</t>
        </is>
      </c>
      <c r="E501" s="23" t="inlineStr">
        <is>
          <t>米</t>
        </is>
      </c>
      <c r="F501" s="23" t="n">
        <v>2</v>
      </c>
      <c r="G501" s="349">
        <f>IF(AND(B501="",C501=""),"",ROUND(M501*L501*N501,2))</f>
        <v/>
      </c>
      <c r="H501" s="349">
        <f>IF(AND(B501="",C501=""),"",ROUND(F501*G501,2))</f>
        <v/>
      </c>
      <c r="I501" s="45" t="inlineStr"/>
      <c r="J501" s="422">
        <f>IF(AND(B501="",C501=""),"",ROUND(M501*N501,2))</f>
        <v/>
      </c>
      <c r="K501" s="423">
        <f>IF(AND(B501="",C501=""),"",ROUND(J501*F501,2))</f>
        <v/>
      </c>
      <c r="L501" s="225" t="n">
        <v>1</v>
      </c>
      <c r="M501" s="424" t="n">
        <v>3463.6842</v>
      </c>
      <c r="N501" s="227" t="n">
        <v>1</v>
      </c>
      <c r="O501" s="228">
        <f>IF(AND(B501="",C501=""),"",IF(G501&gt;=20000,0.05,IF(G501&gt;=10000,0.1,IF(G501&gt;=5000,0.2,IF(G501&gt;=1000,0.3,IF(G501&gt;=0,0.4,{0}))))))</f>
        <v/>
      </c>
      <c r="P501" s="425">
        <f>IF(AND(B501="",C501=""),"",ROUND(H501*O501,2))</f>
        <v/>
      </c>
      <c r="Q501" s="426" t="inlineStr">
        <is>
          <t>母排</t>
        </is>
      </c>
      <c r="R501" s="234" t="inlineStr"/>
      <c r="S501" s="234" t="inlineStr"/>
      <c r="T501" s="235" t="inlineStr">
        <is>
          <t>0</t>
        </is>
      </c>
      <c r="U501" s="235" t="inlineStr"/>
      <c r="V501" s="427" t="n"/>
      <c r="W501" s="427" t="n"/>
      <c r="X501" s="237" t="inlineStr">
        <is>
          <t>TMY 2*30*5→TMY 30*8</t>
        </is>
      </c>
    </row>
    <row r="502" customFormat="1" s="5">
      <c r="A502" s="64">
        <f>ROW()-ROW(A$485)</f>
        <v/>
      </c>
      <c r="B502" s="22" t="inlineStr">
        <is>
          <t>N排</t>
        </is>
      </c>
      <c r="C502" s="22" t="inlineStr">
        <is>
          <t>TMY 3*80*5</t>
        </is>
      </c>
      <c r="D502" s="22" t="inlineStr">
        <is>
          <t>国产优质</t>
        </is>
      </c>
      <c r="E502" s="23" t="inlineStr">
        <is>
          <t>米</t>
        </is>
      </c>
      <c r="F502" s="23" t="n">
        <v>3</v>
      </c>
      <c r="G502" s="349">
        <f>IF(AND(B502="",C502=""),"",ROUND(M502*L502*N502,2))</f>
        <v/>
      </c>
      <c r="H502" s="349">
        <f>IF(AND(B502="",C502=""),"",ROUND(F502*G502,2))</f>
        <v/>
      </c>
      <c r="I502" s="45" t="inlineStr"/>
      <c r="J502" s="422">
        <f>IF(AND(B502="",C502=""),"",ROUND(M502*N502,2))</f>
        <v/>
      </c>
      <c r="K502" s="423">
        <f>IF(AND(B502="",C502=""),"",ROUND(J502*F502,2))</f>
        <v/>
      </c>
      <c r="L502" s="225" t="n">
        <v>1</v>
      </c>
      <c r="M502" s="424" t="n">
        <v>1154.5614</v>
      </c>
      <c r="N502" s="227" t="n">
        <v>1</v>
      </c>
      <c r="O502" s="228">
        <f>IF(AND(B502="",C502=""),"",IF(G502&gt;=20000,0.05,IF(G502&gt;=10000,0.1,IF(G502&gt;=5000,0.2,IF(G502&gt;=1000,0.3,IF(G502&gt;=0,0.4,{0}))))))</f>
        <v/>
      </c>
      <c r="P502" s="425">
        <f>IF(AND(B502="",C502=""),"",ROUND(H502*O502,2))</f>
        <v/>
      </c>
      <c r="Q502" s="426" t="inlineStr">
        <is>
          <t>母排</t>
        </is>
      </c>
      <c r="R502" s="234" t="inlineStr"/>
      <c r="S502" s="234" t="inlineStr"/>
      <c r="T502" s="235" t="inlineStr">
        <is>
          <t>0</t>
        </is>
      </c>
      <c r="U502" s="235" t="inlineStr"/>
      <c r="V502" s="427" t="n"/>
      <c r="W502" s="427" t="n"/>
      <c r="X502" s="237" t="inlineStr">
        <is>
          <t>TMY 2*30*5→TMY 30*8</t>
        </is>
      </c>
    </row>
    <row r="503" customFormat="1" s="5">
      <c r="A503" s="64">
        <f>ROW()-ROW(A$485)</f>
        <v/>
      </c>
      <c r="B503" s="22" t="inlineStr">
        <is>
          <t>PE排</t>
        </is>
      </c>
      <c r="C503" s="22" t="inlineStr">
        <is>
          <t>TMY 2*50*5</t>
        </is>
      </c>
      <c r="D503" s="22" t="inlineStr">
        <is>
          <t>国产优质</t>
        </is>
      </c>
      <c r="E503" s="23" t="inlineStr">
        <is>
          <t>米</t>
        </is>
      </c>
      <c r="F503" s="23" t="n">
        <v>2</v>
      </c>
      <c r="G503" s="349">
        <f>IF(AND(B503="",C503=""),"",ROUND(M503*L503*N503,2))</f>
        <v/>
      </c>
      <c r="H503" s="349">
        <f>IF(AND(B503="",C503=""),"",ROUND(F503*G503,2))</f>
        <v/>
      </c>
      <c r="I503" s="45" t="inlineStr"/>
      <c r="J503" s="422">
        <f>IF(AND(B503="",C503=""),"",ROUND(M503*N503,2))</f>
        <v/>
      </c>
      <c r="K503" s="423">
        <f>IF(AND(B503="",C503=""),"",ROUND(J503*F503,2))</f>
        <v/>
      </c>
      <c r="L503" s="225" t="n">
        <v>1</v>
      </c>
      <c r="M503" s="424" t="n">
        <v>481.06725</v>
      </c>
      <c r="N503" s="227" t="n">
        <v>1</v>
      </c>
      <c r="O503" s="228">
        <f>IF(AND(B503="",C503=""),"",IF(G503&gt;=20000,0.05,IF(G503&gt;=10000,0.1,IF(G503&gt;=5000,0.2,IF(G503&gt;=1000,0.3,IF(G503&gt;=0,0.4,{0}))))))</f>
        <v/>
      </c>
      <c r="P503" s="425">
        <f>IF(AND(B503="",C503=""),"",ROUND(H503*O503,2))</f>
        <v/>
      </c>
      <c r="Q503" s="426" t="inlineStr">
        <is>
          <t>母排</t>
        </is>
      </c>
      <c r="R503" s="234" t="inlineStr"/>
      <c r="S503" s="234" t="inlineStr"/>
      <c r="T503" s="235" t="inlineStr">
        <is>
          <t>0</t>
        </is>
      </c>
      <c r="U503" s="235" t="inlineStr"/>
      <c r="V503" s="427" t="n"/>
      <c r="W503" s="427" t="n"/>
      <c r="X503" s="237" t="inlineStr">
        <is>
          <t>TMY 2*30*5→TMY 30*8</t>
        </is>
      </c>
    </row>
    <row r="504" customFormat="1" s="5">
      <c r="A504" s="64">
        <f>ROW()-ROW(A$485)</f>
        <v/>
      </c>
      <c r="B504" s="22" t="inlineStr">
        <is>
          <t>400A铜排</t>
        </is>
      </c>
      <c r="C504" s="22" t="inlineStr">
        <is>
          <t>TMY 30*5</t>
        </is>
      </c>
      <c r="D504" s="22" t="inlineStr">
        <is>
          <t>国产优质</t>
        </is>
      </c>
      <c r="E504" s="23" t="inlineStr">
        <is>
          <t>米</t>
        </is>
      </c>
      <c r="F504" s="23" t="n">
        <v>6.4</v>
      </c>
      <c r="G504" s="349">
        <f>IF(AND(B504="",C504=""),"",ROUND(M504*L504*N504,2))</f>
        <v/>
      </c>
      <c r="H504" s="349">
        <f>IF(AND(B504="",C504=""),"",ROUND(F504*G504,2))</f>
        <v/>
      </c>
      <c r="I504" s="45" t="inlineStr"/>
      <c r="J504" s="422">
        <f>IF(AND(B504="",C504=""),"",ROUND(M504*N504,2))</f>
        <v/>
      </c>
      <c r="K504" s="423">
        <f>IF(AND(B504="",C504=""),"",ROUND(J504*F504,2))</f>
        <v/>
      </c>
      <c r="L504" s="225" t="n">
        <v>1</v>
      </c>
      <c r="M504" s="424" t="n">
        <v>144.320175</v>
      </c>
      <c r="N504" s="227" t="n">
        <v>1</v>
      </c>
      <c r="O504" s="228">
        <f>IF(AND(B504="",C504=""),"",IF(G504&gt;=20000,0.05,IF(G504&gt;=10000,0.1,IF(G504&gt;=5000,0.2,IF(G504&gt;=1000,0.3,IF(G504&gt;=0,0.4,{0}))))))</f>
        <v/>
      </c>
      <c r="P504" s="425">
        <f>IF(AND(B504="",C504=""),"",ROUND(H504*O504,2))</f>
        <v/>
      </c>
      <c r="Q504" s="426" t="inlineStr">
        <is>
          <t>母排</t>
        </is>
      </c>
      <c r="R504" s="234" t="inlineStr"/>
      <c r="S504" s="234" t="inlineStr"/>
      <c r="T504" s="235" t="inlineStr">
        <is>
          <t>0</t>
        </is>
      </c>
      <c r="U504" s="235" t="inlineStr"/>
      <c r="V504" s="427" t="n"/>
      <c r="W504" s="427" t="n"/>
      <c r="X504" s="237" t="inlineStr">
        <is>
          <t>TMY 2*30*5→TMY 30*8</t>
        </is>
      </c>
    </row>
    <row r="505" customFormat="1" s="5">
      <c r="A505" s="64">
        <f>ROW()-ROW(A$485)</f>
        <v/>
      </c>
      <c r="B505" s="22" t="inlineStr">
        <is>
          <t>630A铜排</t>
        </is>
      </c>
      <c r="C505" s="22" t="inlineStr">
        <is>
          <t>TMY 30*8</t>
        </is>
      </c>
      <c r="D505" s="22" t="inlineStr">
        <is>
          <t>国产优质</t>
        </is>
      </c>
      <c r="E505" s="23" t="inlineStr">
        <is>
          <t>米</t>
        </is>
      </c>
      <c r="F505" s="23" t="n">
        <v>3.2</v>
      </c>
      <c r="G505" s="349">
        <f>IF(AND(B505="",C505=""),"",ROUND(M505*L505*N505,2))</f>
        <v/>
      </c>
      <c r="H505" s="349">
        <f>IF(AND(B505="",C505=""),"",ROUND(F505*G505,2))</f>
        <v/>
      </c>
      <c r="I505" s="45" t="inlineStr"/>
      <c r="J505" s="422">
        <f>IF(AND(B505="",C505=""),"",ROUND(M505*N505,2))</f>
        <v/>
      </c>
      <c r="K505" s="423">
        <f>IF(AND(B505="",C505=""),"",ROUND(J505*F505,2))</f>
        <v/>
      </c>
      <c r="L505" s="225" t="n">
        <v>1</v>
      </c>
      <c r="M505" s="424" t="n">
        <v>230.91228</v>
      </c>
      <c r="N505" s="227" t="n">
        <v>1</v>
      </c>
      <c r="O505" s="228">
        <f>IF(AND(B505="",C505=""),"",IF(G505&gt;=20000,0.05,IF(G505&gt;=10000,0.1,IF(G505&gt;=5000,0.2,IF(G505&gt;=1000,0.3,IF(G505&gt;=0,0.4,{0}))))))</f>
        <v/>
      </c>
      <c r="P505" s="425">
        <f>IF(AND(B505="",C505=""),"",ROUND(H505*O505,2))</f>
        <v/>
      </c>
      <c r="Q505" s="426" t="inlineStr">
        <is>
          <t>母排</t>
        </is>
      </c>
      <c r="R505" s="234" t="inlineStr"/>
      <c r="S505" s="234" t="inlineStr"/>
      <c r="T505" s="235" t="inlineStr">
        <is>
          <t>0</t>
        </is>
      </c>
      <c r="U505" s="235" t="inlineStr"/>
      <c r="V505" s="427" t="n"/>
      <c r="W505" s="427" t="n"/>
      <c r="X505" s="237" t="inlineStr">
        <is>
          <t>TMY 2*30*5→TMY 30*8</t>
        </is>
      </c>
    </row>
    <row r="506" s="308">
      <c r="A506" s="64">
        <f>ROW()-ROW(A$485)</f>
        <v/>
      </c>
      <c r="B506" s="112" t="inlineStr">
        <is>
          <t>辅料</t>
        </is>
      </c>
      <c r="C506" s="112" t="inlineStr"/>
      <c r="D506" s="112" t="inlineStr"/>
      <c r="E506" s="114" t="inlineStr">
        <is>
          <t>套</t>
        </is>
      </c>
      <c r="F506" s="114" t="n">
        <v>1</v>
      </c>
      <c r="G506" s="396">
        <f>IF(AND(B506="",C506=""),"",ROUND(M506*L506*N506,2))</f>
        <v/>
      </c>
      <c r="H506" s="396">
        <f>IF(AND(B506="",C506=""),"",ROUND(F506*G506,2))</f>
        <v/>
      </c>
      <c r="I506" s="219" t="inlineStr"/>
      <c r="J506" s="397">
        <f>IF(AND(B506="",C506=""),"",ROUND(M506*N506,2))</f>
        <v/>
      </c>
      <c r="K506" s="398">
        <f>IF(AND(B506="",C506=""),"",ROUND(J506*F506,2))</f>
        <v/>
      </c>
      <c r="L506" s="200" t="n">
        <v>1</v>
      </c>
      <c r="M506" s="399" t="n">
        <v>2027.59</v>
      </c>
      <c r="N506" s="154" t="n">
        <v>1</v>
      </c>
      <c r="O506" s="155">
        <f>IF(AND(B506="",C506=""),"",IF(G506&gt;=20000,0.05,IF(G506&gt;=10000,0.1,IF(G506&gt;=5000,0.2,IF(G506&gt;=1000,0.3,IF(G506&gt;=0,0.4,{0}))))))</f>
        <v/>
      </c>
      <c r="P506" s="400">
        <f>IF(AND(B506="",C506=""),"",ROUND(H506*O506,2))</f>
        <v/>
      </c>
      <c r="Q506" s="401" t="inlineStr">
        <is>
          <t>辅料</t>
        </is>
      </c>
      <c r="R506" s="168" t="inlineStr"/>
      <c r="S506" s="168" t="inlineStr"/>
      <c r="T506" s="168" t="inlineStr">
        <is>
          <t>0</t>
        </is>
      </c>
      <c r="U506" s="168" t="inlineStr"/>
      <c r="V506" s="402" t="n"/>
      <c r="W506" s="402" t="n"/>
      <c r="X506" s="170" t="inlineStr"/>
    </row>
    <row r="507" s="308">
      <c r="A507" s="64">
        <f>ROW()-ROW(A$485)</f>
        <v/>
      </c>
      <c r="B507" s="112" t="inlineStr">
        <is>
          <t>柜体Blokset</t>
        </is>
      </c>
      <c r="C507" s="22" t="inlineStr">
        <is>
          <t>600W*1200D*2200H</t>
        </is>
      </c>
      <c r="D507" s="112" t="inlineStr">
        <is>
          <t>清科</t>
        </is>
      </c>
      <c r="E507" s="114" t="inlineStr">
        <is>
          <t>台</t>
        </is>
      </c>
      <c r="F507" s="114" t="n">
        <v>1</v>
      </c>
      <c r="G507" s="396">
        <f>IF(AND(B507="",C507=""),"",ROUND(M507*L507*N507,2))</f>
        <v/>
      </c>
      <c r="H507" s="396">
        <f>IF(AND(B507="",C507=""),"",ROUND(F507*G507,2))</f>
        <v/>
      </c>
      <c r="I507" s="219" t="inlineStr"/>
      <c r="J507" s="397">
        <f>IF(AND(B507="",C507=""),"",ROUND(M507*N507,2))</f>
        <v/>
      </c>
      <c r="K507" s="398">
        <f>IF(AND(B507="",C507=""),"",ROUND(J507*F507,2))</f>
        <v/>
      </c>
      <c r="L507" s="200" t="n">
        <v>1</v>
      </c>
      <c r="M507" s="399" t="n">
        <v>6014</v>
      </c>
      <c r="N507" s="154" t="n">
        <v>1</v>
      </c>
      <c r="O507" s="155">
        <f>IF(AND(B507="",C507=""),"",IF(G507&gt;=20000,0.05,IF(G507&gt;=10000,0.1,IF(G507&gt;=5000,0.2,IF(G507&gt;=1000,0.3,IF(G507&gt;=0,0.4,{0}))))))</f>
        <v/>
      </c>
      <c r="P507" s="400">
        <f>IF(AND(B507="",C507=""),"",ROUND(H507*O507,2))</f>
        <v/>
      </c>
      <c r="Q507" s="401" t="inlineStr">
        <is>
          <t>箱体</t>
        </is>
      </c>
      <c r="R507" s="168" t="inlineStr"/>
      <c r="S507" s="168" t="inlineStr"/>
      <c r="T507" s="168" t="inlineStr">
        <is>
          <t>0</t>
        </is>
      </c>
      <c r="U507" s="168" t="inlineStr"/>
      <c r="V507" s="402" t="n"/>
      <c r="W507" s="402" t="n"/>
      <c r="X507" s="170" t="inlineStr">
        <is>
          <t>BlokSeT</t>
        </is>
      </c>
    </row>
    <row r="508" s="308">
      <c r="A508" s="64">
        <f>ROW()-ROW(A$485)</f>
        <v/>
      </c>
      <c r="B508" s="22" t="inlineStr"/>
      <c r="C508" s="22" t="inlineStr"/>
      <c r="D508" s="22" t="inlineStr"/>
      <c r="E508" s="23" t="n"/>
      <c r="F508" s="23">
        <f>IF(AND(B508="",C508=""),"",1)</f>
        <v/>
      </c>
      <c r="G508" s="349">
        <f>IF(AND(B508="",C508=""),"",ROUND(M508*L508*N508,2))</f>
        <v/>
      </c>
      <c r="H508" s="349">
        <f>IF(AND(B508="",C508=""),"",ROUND(F508*G508,2))</f>
        <v/>
      </c>
      <c r="I508" s="45" t="inlineStr"/>
      <c r="J508" s="397">
        <f>IF(AND(B508="",C508=""),"",ROUND(M508*N508,2))</f>
        <v/>
      </c>
      <c r="K508" s="398">
        <f>IF(AND(B508="",C508=""),"",ROUND(J508*F508,2))</f>
        <v/>
      </c>
      <c r="L508" s="200">
        <f>IF(AND(B508="",C508=""),"",1)</f>
        <v/>
      </c>
      <c r="M508" s="399" t="n"/>
      <c r="N508" s="154">
        <f>IF(AND(B508="",C508=""),"",1)</f>
        <v/>
      </c>
      <c r="O508" s="155">
        <f>IF(AND(B508="",C508=""),"",IF(J508&gt;=20000,0.05,IF(J508&gt;=10000,0.1,IF(J508&gt;=5000,0.2,IF(J508&gt;=1000,0.3,IF(J508&gt;=0,0.4,{0}))))))</f>
        <v/>
      </c>
      <c r="P508" s="400">
        <f>IF(AND(B508="",C508=""),"",ROUND(H508*O508,2))</f>
        <v/>
      </c>
      <c r="Q508" s="401">
        <f>IF(AND(B508="",C508=""),"","元件")</f>
        <v/>
      </c>
      <c r="R508" s="168" t="inlineStr"/>
      <c r="S508" s="168" t="inlineStr"/>
      <c r="T508" s="168" t="inlineStr"/>
      <c r="U508" s="168" t="inlineStr"/>
      <c r="V508" s="402" t="n"/>
      <c r="W508" s="402" t="n"/>
      <c r="X508" s="170" t="inlineStr"/>
    </row>
    <row r="509" s="308">
      <c r="A509" s="64">
        <f>ROW()-ROW(A$485)</f>
        <v/>
      </c>
      <c r="B509" s="171" t="inlineStr">
        <is>
          <t>小计</t>
        </is>
      </c>
      <c r="C509" s="172" t="n"/>
      <c r="D509" s="204" t="n"/>
      <c r="E509" s="114" t="n"/>
      <c r="F509" s="114" t="n"/>
      <c r="G509" s="396" t="n"/>
      <c r="H509" s="396">
        <f>ROUND(SUM(H485:INDEX(H:H,ROW()-1)),2)</f>
        <v/>
      </c>
      <c r="I509" s="45" t="inlineStr"/>
      <c r="J509" s="397" t="n"/>
      <c r="K509" s="398">
        <f>ROUND(SUM(K485:INDEX(K:K,ROW()-1)),2)</f>
        <v/>
      </c>
      <c r="L509" s="200" t="n"/>
      <c r="M509" s="399" t="n"/>
      <c r="N509" s="154" t="n"/>
      <c r="O509" s="155" t="n"/>
      <c r="P509" s="400" t="n"/>
      <c r="Q509" s="401" t="n"/>
      <c r="R509" s="168" t="inlineStr"/>
      <c r="S509" s="168" t="inlineStr"/>
      <c r="T509" s="168" t="inlineStr"/>
      <c r="U509" s="168" t="inlineStr"/>
      <c r="V509" s="402">
        <f>ROUND(SUMPRODUCT(F485:INDEX(F:F,ROW()-1),V485:INDEX(V:V,ROW()-1)),2)</f>
        <v/>
      </c>
      <c r="W509" s="402">
        <f>ROUND(SUMPRODUCT(F485:INDEX(F:F,ROW()-1),W485:INDEX(W:W,ROW()-1)),2)</f>
        <v/>
      </c>
      <c r="X509" s="170" t="inlineStr"/>
    </row>
    <row r="510" s="308">
      <c r="A510" s="64">
        <f>ROW()-ROW(A$485)</f>
        <v/>
      </c>
      <c r="B510" s="171" t="inlineStr">
        <is>
          <t>综合费(人工、管理、税金、利润等)</t>
        </is>
      </c>
      <c r="C510" s="172" t="n"/>
      <c r="D510" s="204" t="n"/>
      <c r="E510" s="114" t="n"/>
      <c r="F510" s="114" t="n"/>
      <c r="G510" s="396" t="n"/>
      <c r="H510" s="396">
        <f>2500</f>
        <v/>
      </c>
      <c r="I510" s="45" t="inlineStr"/>
      <c r="J510" s="397" t="n"/>
      <c r="K510" s="398" t="n"/>
      <c r="L510" s="200" t="n"/>
      <c r="M510" s="399" t="n"/>
      <c r="N510" s="154" t="n"/>
      <c r="O510" s="155" t="n"/>
      <c r="P510" s="400" t="n"/>
      <c r="Q510" s="401" t="inlineStr">
        <is>
          <t>费用</t>
        </is>
      </c>
      <c r="R510" s="168" t="inlineStr"/>
      <c r="S510" s="168" t="inlineStr"/>
      <c r="T510" s="168" t="inlineStr"/>
      <c r="U510" s="168" t="inlineStr"/>
      <c r="V510" s="402" t="n"/>
      <c r="W510" s="402" t="n"/>
      <c r="X510" s="170" t="inlineStr"/>
    </row>
    <row r="511" s="308">
      <c r="A511" s="64">
        <f>ROW()-ROW(A$485)</f>
        <v/>
      </c>
      <c r="B511" s="204" t="inlineStr">
        <is>
          <t>单台合计</t>
        </is>
      </c>
      <c r="C511" s="172" t="n"/>
      <c r="D511" s="204" t="n"/>
      <c r="E511" s="114" t="n"/>
      <c r="F511" s="114" t="n"/>
      <c r="G511" s="396" t="n"/>
      <c r="H511" s="396">
        <f>ROUND(SUM(H509:H510),2)</f>
        <v/>
      </c>
      <c r="I511" s="181" t="n"/>
      <c r="J511" s="397" t="n"/>
      <c r="K511" s="398">
        <f>ROUND(SUM(K509:K510),2)</f>
        <v/>
      </c>
      <c r="L511" s="209" t="n"/>
      <c r="M511" s="399" t="n"/>
      <c r="N511" s="210" t="n"/>
      <c r="O511" s="211" t="n"/>
      <c r="P511" s="400" t="n"/>
      <c r="Q511" s="401" t="n"/>
      <c r="R511" s="168" t="inlineStr"/>
      <c r="S511" s="168" t="inlineStr"/>
      <c r="T511" s="168" t="inlineStr"/>
      <c r="U511" s="168" t="inlineStr"/>
      <c r="V511" s="402" t="n"/>
      <c r="W511" s="402" t="n"/>
      <c r="X511" s="170" t="inlineStr"/>
    </row>
    <row r="512" s="308">
      <c r="A512" s="173" t="inlineStr">
        <is>
          <t>总计</t>
        </is>
      </c>
      <c r="B512" s="205" t="n"/>
      <c r="C512" s="175" t="n"/>
      <c r="D512" s="206" t="n"/>
      <c r="E512" s="206" t="inlineStr">
        <is>
          <t>台</t>
        </is>
      </c>
      <c r="F512" s="206" t="n">
        <v>1</v>
      </c>
      <c r="G512" s="414">
        <f>ROUND(H511,2)</f>
        <v/>
      </c>
      <c r="H512" s="414">
        <f>ROUND(F512*G512,2)</f>
        <v/>
      </c>
      <c r="I512" s="185" t="n"/>
      <c r="J512" s="415" t="n"/>
      <c r="K512" s="416">
        <f>ROUND(K511*F512,2)</f>
        <v/>
      </c>
      <c r="L512" s="214" t="n"/>
      <c r="M512" s="417" t="n"/>
      <c r="N512" s="216" t="n"/>
      <c r="O512" s="217" t="n"/>
      <c r="P512" s="418" t="n"/>
      <c r="Q512" s="401" t="n"/>
      <c r="R512" s="168" t="inlineStr"/>
      <c r="S512" s="168" t="inlineStr"/>
      <c r="T512" s="168" t="inlineStr"/>
      <c r="U512" s="168" t="inlineStr"/>
      <c r="V512" s="402" t="n"/>
      <c r="W512" s="402" t="n"/>
      <c r="X512" s="170" t="inlineStr"/>
    </row>
    <row r="513" customFormat="1" s="4">
      <c r="A513" s="6" t="n"/>
      <c r="B513" s="195" t="inlineStr"/>
      <c r="C513" s="195" t="inlineStr"/>
      <c r="D513" s="195" t="inlineStr"/>
      <c r="Q513" s="159" t="n"/>
      <c r="R513" s="159" t="n"/>
      <c r="S513" s="159" t="n"/>
      <c r="T513" s="159" t="n"/>
      <c r="U513" s="159" t="n"/>
      <c r="X513" s="195" t="inlineStr"/>
    </row>
    <row r="514" customFormat="1" s="4">
      <c r="A514" s="6" t="n"/>
      <c r="B514" s="195" t="inlineStr"/>
      <c r="C514" s="195" t="inlineStr"/>
      <c r="D514" s="195" t="inlineStr"/>
      <c r="Q514" s="159" t="n"/>
      <c r="R514" s="159" t="n"/>
      <c r="S514" s="159" t="n"/>
      <c r="T514" s="159" t="n"/>
      <c r="U514" s="159" t="n"/>
      <c r="X514" s="195" t="inlineStr"/>
    </row>
    <row r="515" s="308">
      <c r="A515" s="208">
        <f>CONCATENATE("报价人：",项目信息!$B$8)</f>
        <v/>
      </c>
      <c r="B515" s="208" t="n"/>
      <c r="C515" s="4" t="n"/>
      <c r="D515" s="4" t="n"/>
      <c r="E515" s="4" t="n"/>
      <c r="F515" s="4" t="n"/>
      <c r="G515" s="4" t="n"/>
      <c r="H515" s="178">
        <f>项目信息!$B$9</f>
        <v/>
      </c>
      <c r="Q515" s="159" t="n"/>
      <c r="R515" s="159" t="n"/>
      <c r="S515" s="159" t="n"/>
      <c r="T515" s="159" t="n"/>
      <c r="U515" s="159" t="n"/>
      <c r="X515" s="203" t="inlineStr"/>
    </row>
    <row r="516" s="308">
      <c r="A516" s="8">
        <f>T(项目信息!$B$22)</f>
        <v/>
      </c>
      <c r="Q516" s="159" t="n"/>
      <c r="R516" s="159" t="n"/>
      <c r="S516" s="159" t="n"/>
      <c r="T516" s="159" t="n"/>
      <c r="U516" s="159" t="n"/>
    </row>
    <row r="517" s="308">
      <c r="A517" s="9">
        <f>T(项目信息!$B$23)</f>
        <v/>
      </c>
      <c r="Q517" s="159" t="n"/>
      <c r="R517" s="159" t="n"/>
      <c r="S517" s="159" t="n"/>
      <c r="T517" s="159" t="n"/>
      <c r="U517" s="159" t="n"/>
    </row>
    <row r="518" s="308">
      <c r="A518" s="97" t="inlineStr">
        <is>
          <t>成套产品报价明细表</t>
        </is>
      </c>
      <c r="B518" s="378" t="n"/>
      <c r="C518" s="378" t="n"/>
      <c r="D518" s="378" t="n"/>
      <c r="E518" s="378" t="n"/>
      <c r="F518" s="378" t="n"/>
      <c r="G518" s="378" t="n"/>
      <c r="H518" s="378" t="n"/>
      <c r="I518" s="378" t="n"/>
      <c r="Q518" s="159" t="n"/>
      <c r="R518" s="159" t="n"/>
      <c r="S518" s="159" t="n"/>
      <c r="T518" s="159" t="n"/>
      <c r="U518" s="159" t="n"/>
    </row>
    <row r="519" customFormat="1" s="2">
      <c r="A519" s="98" t="inlineStr">
        <is>
          <t>柜号:</t>
        </is>
      </c>
      <c r="B519" s="99" t="inlineStr">
        <is>
          <t>AAN3-01、BAN4-01</t>
        </is>
      </c>
      <c r="C519" s="100" t="inlineStr">
        <is>
          <t>型号:</t>
        </is>
      </c>
      <c r="D519" s="99" t="inlineStr">
        <is>
          <t>BlokSeT</t>
        </is>
      </c>
      <c r="E519" s="379" t="n"/>
      <c r="F519" s="101" t="inlineStr">
        <is>
          <t>名称:</t>
        </is>
      </c>
      <c r="G519" s="99" t="inlineStr">
        <is>
          <t>进线柜</t>
        </is>
      </c>
      <c r="H519" s="379" t="n"/>
      <c r="I519" s="380" t="inlineStr"/>
      <c r="J519" s="131" t="inlineStr">
        <is>
          <t>箱柜尺寸:</t>
        </is>
      </c>
      <c r="K519" s="132" t="inlineStr">
        <is>
          <t>700W*1200D*2200H</t>
        </is>
      </c>
      <c r="L519" s="131" t="inlineStr">
        <is>
          <t>类别:</t>
        </is>
      </c>
      <c r="M519" s="132" t="inlineStr">
        <is>
          <t>低压固定柜</t>
        </is>
      </c>
      <c r="N519" s="381" t="inlineStr"/>
      <c r="Q519" s="160" t="n"/>
      <c r="R519" s="160" t="n"/>
      <c r="S519" s="160" t="n"/>
      <c r="T519" s="160" t="n"/>
      <c r="U519" s="160" t="n"/>
    </row>
    <row r="520" ht="20.1" customFormat="1" customHeight="1" s="3">
      <c r="A520" s="102" t="inlineStr">
        <is>
          <t>序号</t>
        </is>
      </c>
      <c r="B520" s="103" t="inlineStr">
        <is>
          <t>元件名称</t>
        </is>
      </c>
      <c r="C520" s="103" t="inlineStr">
        <is>
          <t>型号规格</t>
        </is>
      </c>
      <c r="D520" s="104" t="inlineStr">
        <is>
          <t>生产厂家</t>
        </is>
      </c>
      <c r="E520" s="105" t="inlineStr">
        <is>
          <t>单位</t>
        </is>
      </c>
      <c r="F520" s="105" t="inlineStr">
        <is>
          <t>数量</t>
        </is>
      </c>
      <c r="G520" s="382" t="inlineStr">
        <is>
          <t>单   价</t>
        </is>
      </c>
      <c r="H520" s="383" t="inlineStr">
        <is>
          <t>总   价</t>
        </is>
      </c>
      <c r="I520" s="134" t="inlineStr">
        <is>
          <t>备注</t>
        </is>
      </c>
      <c r="J520" s="384" t="inlineStr">
        <is>
          <t>成本单价</t>
        </is>
      </c>
      <c r="K520" s="384" t="inlineStr">
        <is>
          <t>成本总价</t>
        </is>
      </c>
      <c r="L520" s="136" t="inlineStr">
        <is>
          <t>报出
系数</t>
        </is>
      </c>
      <c r="M520" s="384" t="inlineStr">
        <is>
          <t>表价</t>
        </is>
      </c>
      <c r="N520" s="136" t="inlineStr">
        <is>
          <t>折扣
系数</t>
        </is>
      </c>
      <c r="O520" s="137" t="inlineStr">
        <is>
          <t>取费
系数</t>
        </is>
      </c>
      <c r="P520" s="384" t="inlineStr">
        <is>
          <t>成套费</t>
        </is>
      </c>
      <c r="Q520" s="161" t="inlineStr">
        <is>
          <t>类别</t>
        </is>
      </c>
      <c r="R520" s="161" t="inlineStr">
        <is>
          <t>物料编码</t>
        </is>
      </c>
      <c r="S520" s="161" t="inlineStr">
        <is>
          <t>产地</t>
        </is>
      </c>
      <c r="T520" s="161" t="inlineStr">
        <is>
          <t>加工费</t>
        </is>
      </c>
      <c r="U520" s="161" t="inlineStr">
        <is>
          <t>订货号</t>
        </is>
      </c>
      <c r="V520" s="161" t="inlineStr">
        <is>
          <t>人工</t>
        </is>
      </c>
      <c r="W520" s="161" t="inlineStr">
        <is>
          <t>辅料</t>
        </is>
      </c>
      <c r="X520" s="162" t="inlineStr"/>
    </row>
    <row r="521" customFormat="1" s="3">
      <c r="A521" s="108">
        <f>ROW()-ROW(A$520)</f>
        <v/>
      </c>
      <c r="B521" s="109" t="inlineStr">
        <is>
          <t>双电源</t>
        </is>
      </c>
      <c r="C521" s="109" t="inlineStr">
        <is>
          <t>MT32 H1 3P MIC 6.0 D</t>
        </is>
      </c>
      <c r="D521" s="22" t="inlineStr">
        <is>
          <t>甲供/施耐德电气</t>
        </is>
      </c>
      <c r="E521" s="110" t="inlineStr">
        <is>
          <t>只</t>
        </is>
      </c>
      <c r="F521" s="110" t="n">
        <v>1</v>
      </c>
      <c r="G521" s="385">
        <f>IF(AND(B521="",C521=""),"",ROUND(M521*L521*N521,2))</f>
        <v/>
      </c>
      <c r="H521" s="385">
        <f>IF(AND(B521="",C521=""),"",ROUND(F521*G521,2))</f>
        <v/>
      </c>
      <c r="I521" s="138" t="inlineStr"/>
      <c r="J521" s="386">
        <f>IF(AND(B521="",C521=""),"",ROUND(M521*N521,2))</f>
        <v/>
      </c>
      <c r="K521" s="387">
        <f>IF(AND(B521="",C521=""),"",ROUND(J521*F521,2))</f>
        <v/>
      </c>
      <c r="L521" s="141" t="n">
        <v>1</v>
      </c>
      <c r="M521" s="388" t="n">
        <v>1e-07</v>
      </c>
      <c r="N521" s="143" t="n">
        <v>1</v>
      </c>
      <c r="O521" s="144">
        <f>IF(AND(B521="",C521=""),"",IF(G521&gt;=20000,0.05,IF(G521&gt;=10000,0.1,IF(G521&gt;=5000,0.2,IF(G521&gt;=1000,0.3,IF(G521&gt;=0,0.4,{0}))))))</f>
        <v/>
      </c>
      <c r="P521" s="389">
        <f>IF(AND(B521="",C521=""),"",ROUND(H521*O521,2))</f>
        <v/>
      </c>
      <c r="Q521" s="390" t="inlineStr">
        <is>
          <t>元件</t>
        </is>
      </c>
      <c r="R521" s="164" t="inlineStr"/>
      <c r="S521" s="164" t="inlineStr"/>
      <c r="T521" s="164" t="inlineStr">
        <is>
          <t>0</t>
        </is>
      </c>
      <c r="U521" s="164" t="inlineStr">
        <is>
          <t>48327+48500+33542+48527+48494+48484+48408+48603+48170+48175+48384</t>
        </is>
      </c>
      <c r="V521" s="391" t="n"/>
      <c r="W521" s="391" t="n"/>
      <c r="X521"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522" customFormat="1" s="3">
      <c r="A522" s="64">
        <f>ROW()-ROW(A$520)</f>
        <v/>
      </c>
      <c r="B522" s="27" t="inlineStr">
        <is>
          <t>多功能表</t>
        </is>
      </c>
      <c r="C522" s="22" t="inlineStr">
        <is>
          <t>PM5350P</t>
        </is>
      </c>
      <c r="D522" s="22" t="inlineStr">
        <is>
          <t>甲供/施耐德电气</t>
        </is>
      </c>
      <c r="E522" s="110" t="inlineStr">
        <is>
          <t>只</t>
        </is>
      </c>
      <c r="F522" s="23" t="n">
        <v>1</v>
      </c>
      <c r="G522" s="353">
        <f>IF(AND(B522="",C522=""),"",ROUND(M522*L522*N522,2))</f>
        <v/>
      </c>
      <c r="H522" s="349">
        <f>IF(AND(B522="",C522=""),"",ROUND(F522*G522,2))</f>
        <v/>
      </c>
      <c r="I522" s="45" t="inlineStr"/>
      <c r="J522" s="392">
        <f>IF(AND(B522="",C522=""),"",ROUND(M522*N522,2))</f>
        <v/>
      </c>
      <c r="K522" s="393">
        <f>IF(AND(B522="",C522=""),"",ROUND(J522*F522,2))</f>
        <v/>
      </c>
      <c r="L522" s="141" t="n">
        <v>1</v>
      </c>
      <c r="M522" s="394" t="n">
        <v>1e-07</v>
      </c>
      <c r="N522" s="143" t="n">
        <v>1</v>
      </c>
      <c r="O522" s="144">
        <f>IF(AND(B522="",C522=""),"",IF(G522&gt;=20000,0.05,IF(G522&gt;=10000,0.1,IF(G522&gt;=5000,0.2,IF(G522&gt;=1000,0.3,IF(G522&gt;=0,0.4,{0}))))))</f>
        <v/>
      </c>
      <c r="P522" s="395">
        <f>IF(AND(B522="",C522=""),"",ROUND(H522*O522,2))</f>
        <v/>
      </c>
      <c r="Q522" s="390" t="inlineStr">
        <is>
          <t>元件</t>
        </is>
      </c>
      <c r="R522" s="164" t="inlineStr"/>
      <c r="S522" s="164" t="inlineStr"/>
      <c r="T522" s="164" t="inlineStr">
        <is>
          <t>0</t>
        </is>
      </c>
      <c r="U522" s="164" t="inlineStr">
        <is>
          <t>True</t>
        </is>
      </c>
      <c r="V522" s="391" t="n"/>
      <c r="W522" s="391" t="n"/>
      <c r="X522" s="166" t="inlineStr">
        <is>
          <t>PM→PM4633→PM4201</t>
        </is>
      </c>
    </row>
    <row r="523" customFormat="1" s="3">
      <c r="A523" s="64">
        <f>ROW()-ROW(A$520)</f>
        <v/>
      </c>
      <c r="B523" s="27" t="inlineStr">
        <is>
          <t>电流互感器</t>
        </is>
      </c>
      <c r="C523" s="22" t="inlineStr">
        <is>
          <t>SD-0.66-130III-V 3000/5A</t>
        </is>
      </c>
      <c r="D523" s="27" t="inlineStr">
        <is>
          <t>桑迪</t>
        </is>
      </c>
      <c r="E523" s="110" t="inlineStr">
        <is>
          <t>只</t>
        </is>
      </c>
      <c r="F523" s="23" t="n">
        <v>6</v>
      </c>
      <c r="G523" s="349">
        <f>IF(AND(B523="",C523=""),"",ROUND(M523*L523*N523,2))</f>
        <v/>
      </c>
      <c r="H523" s="349">
        <f>IF(AND(B523="",C523=""),"",ROUND(F523*G523,2))</f>
        <v/>
      </c>
      <c r="I523" s="45" t="inlineStr"/>
      <c r="J523" s="392">
        <f>IF(AND(B523="",C523=""),"",ROUND(M523*N523,2))</f>
        <v/>
      </c>
      <c r="K523" s="393">
        <f>IF(AND(B523="",C523=""),"",ROUND(J523*F523,2))</f>
        <v/>
      </c>
      <c r="L523" s="141" t="n">
        <v>1</v>
      </c>
      <c r="M523" s="394" t="n">
        <v>182.65</v>
      </c>
      <c r="N523" s="143" t="n">
        <v>1</v>
      </c>
      <c r="O523" s="144">
        <f>IF(AND(B523="",C523=""),"",IF(G523&gt;=20000,0.05,IF(G523&gt;=10000,0.1,IF(G523&gt;=5000,0.2,IF(G523&gt;=1000,0.3,IF(G523&gt;=0,0.4,{0}))))))</f>
        <v/>
      </c>
      <c r="P523" s="395">
        <f>IF(AND(B523="",C523=""),"",ROUND(H523*O523,2))</f>
        <v/>
      </c>
      <c r="Q523" s="390" t="inlineStr">
        <is>
          <t>元件</t>
        </is>
      </c>
      <c r="R523" s="164" t="inlineStr"/>
      <c r="S523" s="164" t="inlineStr"/>
      <c r="T523" s="164" t="inlineStr">
        <is>
          <t>0</t>
        </is>
      </c>
      <c r="U523" s="164" t="inlineStr">
        <is>
          <t>710141426552500</t>
        </is>
      </c>
      <c r="V523" s="391" t="n"/>
      <c r="W523" s="391" t="n"/>
      <c r="X523"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1600/5A→SD-0.66-160III-C 5000/5A</t>
        </is>
      </c>
    </row>
    <row r="524" customFormat="1" s="3">
      <c r="A524" s="64">
        <f>ROW()-ROW(A$520)</f>
        <v/>
      </c>
      <c r="B524" s="27" t="inlineStr">
        <is>
          <t>后备保护器</t>
        </is>
      </c>
      <c r="C524" s="22" t="inlineStr">
        <is>
          <t>iSCB1 25L2 4P</t>
        </is>
      </c>
      <c r="D524" s="22" t="inlineStr">
        <is>
          <t>甲供/施耐德万高</t>
        </is>
      </c>
      <c r="E524" s="110" t="inlineStr">
        <is>
          <t>只</t>
        </is>
      </c>
      <c r="F524" s="23" t="n">
        <v>1</v>
      </c>
      <c r="G524" s="349">
        <f>IF(AND(B524="",C524=""),"",ROUND(M524*L524*N524,2))</f>
        <v/>
      </c>
      <c r="H524" s="349">
        <f>IF(AND(B524="",C524=""),"",ROUND(F524*G524,2))</f>
        <v/>
      </c>
      <c r="I524" s="45" t="inlineStr"/>
      <c r="J524" s="392">
        <f>IF(AND(B524="",C524=""),"",ROUND(M524*N524,2))</f>
        <v/>
      </c>
      <c r="K524" s="393">
        <f>IF(AND(B524="",C524=""),"",ROUND(J524*F524,2))</f>
        <v/>
      </c>
      <c r="L524" s="141" t="n">
        <v>1</v>
      </c>
      <c r="M524" s="394" t="n">
        <v>1e-07</v>
      </c>
      <c r="N524" s="143" t="n">
        <v>1</v>
      </c>
      <c r="O524" s="144">
        <f>IF(AND(B524="",C524=""),"",IF(G524&gt;=20000,0.05,IF(G524&gt;=10000,0.1,IF(G524&gt;=5000,0.2,IF(G524&gt;=1000,0.3,IF(G524&gt;=0,0.4,{0}))))))</f>
        <v/>
      </c>
      <c r="P524" s="395">
        <f>IF(AND(B524="",C524=""),"",ROUND(H524*O524,2))</f>
        <v/>
      </c>
      <c r="Q524" s="390" t="inlineStr">
        <is>
          <t>元件</t>
        </is>
      </c>
      <c r="R524" s="164" t="inlineStr"/>
      <c r="S524" s="164" t="inlineStr"/>
      <c r="T524" s="164" t="inlineStr">
        <is>
          <t>0</t>
        </is>
      </c>
      <c r="U524" s="164" t="inlineStr">
        <is>
          <t>A9L102554</t>
        </is>
      </c>
      <c r="V524" s="391" t="n"/>
      <c r="W524" s="391" t="n"/>
      <c r="X524" s="166" t="inlineStr">
        <is>
          <t>iSCB1 25L1 4P→iSCB2 40H2 4P</t>
        </is>
      </c>
    </row>
    <row r="525" customFormat="1" s="3">
      <c r="A525" s="64">
        <f>ROW()-ROW(A$520)</f>
        <v/>
      </c>
      <c r="B525" s="27" t="inlineStr">
        <is>
          <t>电涌保护器</t>
        </is>
      </c>
      <c r="C525" s="22" t="inlineStr">
        <is>
          <t>iPRF1 12.5r 3P+N</t>
        </is>
      </c>
      <c r="D525" s="22" t="inlineStr">
        <is>
          <t>甲供/施耐德万高</t>
        </is>
      </c>
      <c r="E525" s="110" t="inlineStr">
        <is>
          <t>只</t>
        </is>
      </c>
      <c r="F525" s="23" t="n">
        <v>1</v>
      </c>
      <c r="G525" s="349">
        <f>IF(AND(B525="",C525=""),"",ROUND(M525*L525*N525,2))</f>
        <v/>
      </c>
      <c r="H525" s="349">
        <f>IF(AND(B525="",C525=""),"",ROUND(F525*G525,2))</f>
        <v/>
      </c>
      <c r="I525" s="45" t="inlineStr"/>
      <c r="J525" s="392">
        <f>IF(AND(B525="",C525=""),"",ROUND(M525*N525,2))</f>
        <v/>
      </c>
      <c r="K525" s="393">
        <f>IF(AND(B525="",C525=""),"",ROUND(J525*F525,2))</f>
        <v/>
      </c>
      <c r="L525" s="141" t="n">
        <v>1</v>
      </c>
      <c r="M525" s="394" t="n">
        <v>1e-07</v>
      </c>
      <c r="N525" s="143" t="n">
        <v>1</v>
      </c>
      <c r="O525" s="144">
        <f>IF(AND(B525="",C525=""),"",IF(G525&gt;=20000,0.05,IF(G525&gt;=10000,0.1,IF(G525&gt;=5000,0.2,IF(G525&gt;=1000,0.3,IF(G525&gt;=0,0.4,{0}))))))</f>
        <v/>
      </c>
      <c r="P525" s="395">
        <f>IF(AND(B525="",C525=""),"",ROUND(H525*O525,2))</f>
        <v/>
      </c>
      <c r="Q525" s="390" t="inlineStr">
        <is>
          <t>元件</t>
        </is>
      </c>
      <c r="R525" s="164" t="inlineStr"/>
      <c r="S525" s="164" t="inlineStr"/>
      <c r="T525" s="164" t="inlineStr">
        <is>
          <t>0</t>
        </is>
      </c>
      <c r="U525" s="164" t="inlineStr">
        <is>
          <t>A9L620601</t>
        </is>
      </c>
      <c r="V525" s="391" t="n"/>
      <c r="W525" s="391" t="n"/>
      <c r="X525" s="166" t="inlineStr">
        <is>
          <t>iPRF1 12.5r 3P+N→iPRU 40r 3P→iPRF1 12.5r 3P+N</t>
        </is>
      </c>
    </row>
    <row r="526" customFormat="1" s="3">
      <c r="A526" s="64">
        <f>ROW()-ROW(A$520)</f>
        <v/>
      </c>
      <c r="B526" s="27" t="inlineStr">
        <is>
          <t>微型断路器</t>
        </is>
      </c>
      <c r="C526" s="22" t="inlineStr">
        <is>
          <t>iC65H 2P C16A</t>
        </is>
      </c>
      <c r="D526" s="22" t="inlineStr">
        <is>
          <t>甲供/施耐德电气</t>
        </is>
      </c>
      <c r="E526" s="110" t="inlineStr">
        <is>
          <t>只</t>
        </is>
      </c>
      <c r="F526" s="23" t="n">
        <v>2</v>
      </c>
      <c r="G526" s="349">
        <f>IF(AND(B526="",C526=""),"",ROUND(M526*L526*N526,2))</f>
        <v/>
      </c>
      <c r="H526" s="349">
        <f>IF(AND(B526="",C526=""),"",ROUND(F526*G526,2))</f>
        <v/>
      </c>
      <c r="I526" s="45" t="inlineStr"/>
      <c r="J526" s="392">
        <f>IF(AND(B526="",C526=""),"",ROUND(M526*N526,2))</f>
        <v/>
      </c>
      <c r="K526" s="393">
        <f>IF(AND(B526="",C526=""),"",ROUND(J526*F526,2))</f>
        <v/>
      </c>
      <c r="L526" s="141" t="n">
        <v>1</v>
      </c>
      <c r="M526" s="394" t="n">
        <v>1e-07</v>
      </c>
      <c r="N526" s="143" t="n">
        <v>1</v>
      </c>
      <c r="O526" s="144">
        <f>IF(AND(B526="",C526=""),"",IF(G526&gt;=20000,0.05,IF(G526&gt;=10000,0.1,IF(G526&gt;=5000,0.2,IF(G526&gt;=1000,0.3,IF(G526&gt;=0,0.4,{0}))))))</f>
        <v/>
      </c>
      <c r="P526" s="395">
        <f>IF(AND(B526="",C526=""),"",ROUND(H526*O526,2))</f>
        <v/>
      </c>
      <c r="Q526" s="390" t="inlineStr">
        <is>
          <t>元件</t>
        </is>
      </c>
      <c r="R526" s="164" t="inlineStr"/>
      <c r="S526" s="164" t="inlineStr"/>
      <c r="T526" s="164" t="n">
        <v>0</v>
      </c>
      <c r="U526" s="164" t="inlineStr"/>
      <c r="V526" s="391" t="n"/>
      <c r="W526" s="391" t="n"/>
      <c r="X526" s="166" t="inlineStr"/>
    </row>
    <row r="527" customFormat="1" s="3">
      <c r="A527" s="64">
        <f>ROW()-ROW(A$520)</f>
        <v/>
      </c>
      <c r="B527" s="27" t="inlineStr">
        <is>
          <t>微型断路器</t>
        </is>
      </c>
      <c r="C527" s="22" t="inlineStr">
        <is>
          <t>iC65H 3P C32A</t>
        </is>
      </c>
      <c r="D527" s="22" t="inlineStr">
        <is>
          <t>甲供/施耐德电气</t>
        </is>
      </c>
      <c r="E527" s="110" t="inlineStr">
        <is>
          <t>只</t>
        </is>
      </c>
      <c r="F527" s="23" t="n">
        <v>2</v>
      </c>
      <c r="G527" s="349">
        <f>IF(AND(B527="",C527=""),"",ROUND(M527*L527*N527,2))</f>
        <v/>
      </c>
      <c r="H527" s="349">
        <f>IF(AND(B527="",C527=""),"",ROUND(F527*G527,2))</f>
        <v/>
      </c>
      <c r="I527" s="45" t="inlineStr"/>
      <c r="J527" s="392">
        <f>IF(AND(B527="",C527=""),"",ROUND(M527*N527,2))</f>
        <v/>
      </c>
      <c r="K527" s="393">
        <f>IF(AND(B527="",C527=""),"",ROUND(J527*F527,2))</f>
        <v/>
      </c>
      <c r="L527" s="141" t="n">
        <v>1</v>
      </c>
      <c r="M527" s="394" t="n">
        <v>1e-07</v>
      </c>
      <c r="N527" s="143" t="n">
        <v>1</v>
      </c>
      <c r="O527" s="144">
        <f>IF(AND(B527="",C527=""),"",IF(G527&gt;=20000,0.05,IF(G527&gt;=10000,0.1,IF(G527&gt;=5000,0.2,IF(G527&gt;=1000,0.3,IF(G527&gt;=0,0.4,{0}))))))</f>
        <v/>
      </c>
      <c r="P527" s="395">
        <f>IF(AND(B527="",C527=""),"",ROUND(H527*O527,2))</f>
        <v/>
      </c>
      <c r="Q527" s="390" t="inlineStr">
        <is>
          <t>元件</t>
        </is>
      </c>
      <c r="R527" s="164" t="inlineStr"/>
      <c r="S527" s="164" t="inlineStr"/>
      <c r="T527" s="164" t="n">
        <v>0</v>
      </c>
      <c r="U527" s="164" t="inlineStr"/>
      <c r="V527" s="391" t="n"/>
      <c r="W527" s="391" t="n"/>
      <c r="X527" s="166" t="inlineStr"/>
    </row>
    <row r="528" customFormat="1" s="3">
      <c r="A528" s="64">
        <f>ROW()-ROW(A$520)</f>
        <v/>
      </c>
      <c r="B528" s="27" t="inlineStr">
        <is>
          <t>熔断器+底座</t>
        </is>
      </c>
      <c r="C528" s="22" t="inlineStr">
        <is>
          <t>NT00 gG 690V/160A、NT00（新底座）</t>
        </is>
      </c>
      <c r="D528" s="22" t="inlineStr">
        <is>
          <t>茗熔</t>
        </is>
      </c>
      <c r="E528" s="110" t="inlineStr">
        <is>
          <t>只</t>
        </is>
      </c>
      <c r="F528" s="23" t="n">
        <v>12</v>
      </c>
      <c r="G528" s="349">
        <f>IF(AND(B528="",C528=""),"",ROUND(M528*L528*N528,2))</f>
        <v/>
      </c>
      <c r="H528" s="349">
        <f>IF(AND(B528="",C528=""),"",ROUND(F528*G528,2))</f>
        <v/>
      </c>
      <c r="I528" s="45" t="inlineStr"/>
      <c r="J528" s="392">
        <f>IF(AND(B528="",C528=""),"",ROUND(M528*N528,2))</f>
        <v/>
      </c>
      <c r="K528" s="393">
        <f>IF(AND(B528="",C528=""),"",ROUND(J528*F528,2))</f>
        <v/>
      </c>
      <c r="L528" s="141" t="n">
        <v>1</v>
      </c>
      <c r="M528" s="394" t="n">
        <v>23.8</v>
      </c>
      <c r="N528" s="143" t="n">
        <v>1</v>
      </c>
      <c r="O528" s="144">
        <f>IF(AND(B528="",C528=""),"",IF(G528&gt;=20000,0.05,IF(G528&gt;=10000,0.1,IF(G528&gt;=5000,0.2,IF(G528&gt;=1000,0.3,IF(G528&gt;=0,0.4,{0}))))))</f>
        <v/>
      </c>
      <c r="P528" s="395">
        <f>IF(AND(B528="",C528=""),"",ROUND(H528*O528,2))</f>
        <v/>
      </c>
      <c r="Q528" s="390" t="inlineStr">
        <is>
          <t>元件</t>
        </is>
      </c>
      <c r="R528" s="164" t="inlineStr"/>
      <c r="S528" s="164" t="inlineStr"/>
      <c r="T528" s="164" t="inlineStr">
        <is>
          <t>0</t>
        </is>
      </c>
      <c r="U528" s="164" t="inlineStr">
        <is>
          <t>0</t>
        </is>
      </c>
      <c r="V528" s="391" t="n"/>
      <c r="W528" s="391" t="n"/>
      <c r="X528" s="166" t="inlineStr"/>
    </row>
    <row r="529" s="308">
      <c r="A529" s="64">
        <f>ROW()-ROW(A$520)</f>
        <v/>
      </c>
      <c r="B529" s="112" t="inlineStr">
        <is>
          <t>温湿度控制器</t>
        </is>
      </c>
      <c r="C529" s="112" t="inlineStr">
        <is>
          <t>ATH48G-11</t>
        </is>
      </c>
      <c r="D529" s="22" t="inlineStr">
        <is>
          <t>杭州安廷</t>
        </is>
      </c>
      <c r="E529" s="23" t="inlineStr">
        <is>
          <t>套</t>
        </is>
      </c>
      <c r="F529" s="23" t="n">
        <v>1</v>
      </c>
      <c r="G529" s="349">
        <f>IF(AND(B529="",C529=""),"",ROUND(M529*L529*N529,2))</f>
        <v/>
      </c>
      <c r="H529" s="396">
        <f>IF(AND(B529="",C529=""),"",ROUND(F529*G529,2))</f>
        <v/>
      </c>
      <c r="I529" s="150" t="inlineStr"/>
      <c r="J529" s="397">
        <f>IF(AND(B529="",C529=""),"",ROUND(M529*N529,2))</f>
        <v/>
      </c>
      <c r="K529" s="398">
        <f>IF(AND(B529="",C529=""),"",ROUND(J529*F529,2))</f>
        <v/>
      </c>
      <c r="L529" s="141" t="n">
        <v>1</v>
      </c>
      <c r="M529" s="399" t="n">
        <v>450</v>
      </c>
      <c r="N529" s="154" t="n">
        <v>1</v>
      </c>
      <c r="O529" s="155">
        <f>IF(AND(B529="",C529=""),"",IF(G529&gt;=20000,0.05,IF(G529&gt;=10000,0.1,IF(G529&gt;=5000,0.2,IF(G529&gt;=1000,0.3,IF(G529&gt;=0,0.4,{0}))))))</f>
        <v/>
      </c>
      <c r="P529" s="400">
        <f>IF(AND(B529="",C529=""),"",ROUND(H529*O529,2))</f>
        <v/>
      </c>
      <c r="Q529" s="401" t="inlineStr">
        <is>
          <t>元件</t>
        </is>
      </c>
      <c r="R529" s="168" t="inlineStr"/>
      <c r="S529" s="168" t="inlineStr"/>
      <c r="T529" s="168" t="inlineStr">
        <is>
          <t>0</t>
        </is>
      </c>
      <c r="U529" s="168" t="inlineStr"/>
      <c r="V529" s="402" t="n"/>
      <c r="W529" s="402" t="n"/>
      <c r="X529" s="170" t="inlineStr"/>
    </row>
    <row r="530" s="308">
      <c r="A530" s="64">
        <f>ROW()-ROW(A$520)</f>
        <v/>
      </c>
      <c r="B530" s="112" t="inlineStr">
        <is>
          <t>指示灯</t>
        </is>
      </c>
      <c r="C530" s="112" t="inlineStr">
        <is>
          <t>XB2BVM3LC</t>
        </is>
      </c>
      <c r="D530" s="112" t="inlineStr">
        <is>
          <t>甲供/施耐德电气</t>
        </is>
      </c>
      <c r="E530" s="114" t="inlineStr">
        <is>
          <t>只</t>
        </is>
      </c>
      <c r="F530" s="114" t="n">
        <v>1</v>
      </c>
      <c r="G530" s="396">
        <f>IF(AND(B530="",C530=""),"",ROUND(M530*L530*N530,2))</f>
        <v/>
      </c>
      <c r="H530" s="396">
        <f>IF(AND(B530="",C530=""),"",ROUND(F530*G530,2))</f>
        <v/>
      </c>
      <c r="I530" s="150" t="inlineStr"/>
      <c r="J530" s="397">
        <f>IF(AND(B530="",C530=""),"",ROUND(M530*N530,2))</f>
        <v/>
      </c>
      <c r="K530" s="398">
        <f>IF(AND(B530="",C530=""),"",ROUND(J530*F530,2))</f>
        <v/>
      </c>
      <c r="L530" s="141" t="n">
        <v>1</v>
      </c>
      <c r="M530" s="399" t="n">
        <v>1e-07</v>
      </c>
      <c r="N530" s="154" t="n">
        <v>1</v>
      </c>
      <c r="O530" s="155">
        <f>IF(AND(B530="",C530=""),"",IF(G530&gt;=20000,0.05,IF(G530&gt;=10000,0.1,IF(G530&gt;=5000,0.2,IF(G530&gt;=1000,0.3,IF(G530&gt;=0,0.4,{0}))))))</f>
        <v/>
      </c>
      <c r="P530" s="400">
        <f>IF(AND(B530="",C530=""),"",ROUND(H530*O530,2))</f>
        <v/>
      </c>
      <c r="Q530" s="401" t="inlineStr">
        <is>
          <t>元件</t>
        </is>
      </c>
      <c r="R530" s="168" t="inlineStr"/>
      <c r="S530" s="168" t="inlineStr"/>
      <c r="T530" s="168" t="inlineStr">
        <is>
          <t>0</t>
        </is>
      </c>
      <c r="U530" s="168" t="inlineStr">
        <is>
          <t>XA2EVM3LC</t>
        </is>
      </c>
      <c r="V530" s="402" t="n"/>
      <c r="W530" s="402" t="n"/>
      <c r="X530" s="170" t="inlineStr"/>
    </row>
    <row r="531" s="308">
      <c r="A531" s="64">
        <f>ROW()-ROW(A$520)</f>
        <v/>
      </c>
      <c r="B531" s="112" t="inlineStr">
        <is>
          <t>指示灯</t>
        </is>
      </c>
      <c r="C531" s="22" t="inlineStr">
        <is>
          <t>XB2BVM4LC</t>
        </is>
      </c>
      <c r="D531" s="112" t="inlineStr">
        <is>
          <t>甲供/施耐德电气</t>
        </is>
      </c>
      <c r="E531" s="114" t="inlineStr">
        <is>
          <t>只</t>
        </is>
      </c>
      <c r="F531" s="114" t="n">
        <v>1</v>
      </c>
      <c r="G531" s="396">
        <f>IF(AND(B531="",C531=""),"",ROUND(M531*L531*N531,2))</f>
        <v/>
      </c>
      <c r="H531" s="396">
        <f>IF(AND(B531="",C531=""),"",ROUND(F531*G531,2))</f>
        <v/>
      </c>
      <c r="I531" s="150" t="inlineStr"/>
      <c r="J531" s="397">
        <f>IF(AND(B531="",C531=""),"",ROUND(M531*N531,2))</f>
        <v/>
      </c>
      <c r="K531" s="398">
        <f>IF(AND(B531="",C531=""),"",ROUND(J531*F531,2))</f>
        <v/>
      </c>
      <c r="L531" s="141" t="n">
        <v>1</v>
      </c>
      <c r="M531" s="399" t="n">
        <v>1e-07</v>
      </c>
      <c r="N531" s="154" t="n">
        <v>1</v>
      </c>
      <c r="O531" s="155">
        <f>IF(AND(B531="",C531=""),"",IF(G531&gt;=20000,0.05,IF(G531&gt;=10000,0.1,IF(G531&gt;=5000,0.2,IF(G531&gt;=1000,0.3,IF(G531&gt;=0,0.4,{0}))))))</f>
        <v/>
      </c>
      <c r="P531" s="400">
        <f>IF(AND(B531="",C531=""),"",ROUND(H531*O531,2))</f>
        <v/>
      </c>
      <c r="Q531" s="401" t="inlineStr">
        <is>
          <t>元件</t>
        </is>
      </c>
      <c r="R531" s="168" t="inlineStr"/>
      <c r="S531" s="168" t="inlineStr"/>
      <c r="T531" s="168" t="inlineStr">
        <is>
          <t>0</t>
        </is>
      </c>
      <c r="U531" s="168" t="inlineStr">
        <is>
          <t>XA2EVM4LC</t>
        </is>
      </c>
      <c r="V531" s="402" t="n"/>
      <c r="W531" s="402" t="n"/>
      <c r="X531" s="170" t="inlineStr"/>
    </row>
    <row r="532" s="308">
      <c r="A532" s="64">
        <f>ROW()-ROW(A$520)</f>
        <v/>
      </c>
      <c r="B532" s="112" t="inlineStr">
        <is>
          <t>指示灯</t>
        </is>
      </c>
      <c r="C532" s="112" t="inlineStr">
        <is>
          <t>XB2BVM5LC</t>
        </is>
      </c>
      <c r="D532" s="112" t="inlineStr">
        <is>
          <t>甲供/施耐德电气</t>
        </is>
      </c>
      <c r="E532" s="114" t="inlineStr">
        <is>
          <t>只</t>
        </is>
      </c>
      <c r="F532" s="114" t="n">
        <v>1</v>
      </c>
      <c r="G532" s="396">
        <f>IF(AND(B532="",C532=""),"",ROUND(M532*L532*N532,2))</f>
        <v/>
      </c>
      <c r="H532" s="396">
        <f>IF(AND(B532="",C532=""),"",ROUND(F532*G532,2))</f>
        <v/>
      </c>
      <c r="I532" s="150" t="inlineStr"/>
      <c r="J532" s="397">
        <f>IF(AND(B532="",C532=""),"",ROUND(M532*N532,2))</f>
        <v/>
      </c>
      <c r="K532" s="398">
        <f>IF(AND(B532="",C532=""),"",ROUND(J532*F532,2))</f>
        <v/>
      </c>
      <c r="L532" s="141" t="n">
        <v>1</v>
      </c>
      <c r="M532" s="399" t="n">
        <v>1e-07</v>
      </c>
      <c r="N532" s="154" t="n">
        <v>1</v>
      </c>
      <c r="O532" s="155">
        <f>IF(AND(B532="",C532=""),"",IF(G532&gt;=20000,0.05,IF(G532&gt;=10000,0.1,IF(G532&gt;=5000,0.2,IF(G532&gt;=1000,0.3,IF(G532&gt;=0,0.4,{0}))))))</f>
        <v/>
      </c>
      <c r="P532" s="400">
        <f>IF(AND(B532="",C532=""),"",ROUND(H532*O532,2))</f>
        <v/>
      </c>
      <c r="Q532" s="401" t="inlineStr">
        <is>
          <t>元件</t>
        </is>
      </c>
      <c r="R532" s="168" t="inlineStr"/>
      <c r="S532" s="168" t="inlineStr"/>
      <c r="T532" s="168" t="inlineStr">
        <is>
          <t>0</t>
        </is>
      </c>
      <c r="U532" s="168" t="inlineStr">
        <is>
          <t>XA2EVM5LC</t>
        </is>
      </c>
      <c r="V532" s="402" t="n"/>
      <c r="W532" s="402" t="n"/>
      <c r="X532" s="170" t="inlineStr"/>
    </row>
    <row r="533" s="308">
      <c r="A533" s="64">
        <f>ROW()-ROW(A$520)</f>
        <v/>
      </c>
      <c r="B533" s="112" t="inlineStr">
        <is>
          <t>按钮</t>
        </is>
      </c>
      <c r="C533" s="112" t="inlineStr">
        <is>
          <t>XB2BA31C</t>
        </is>
      </c>
      <c r="D533" s="112" t="inlineStr">
        <is>
          <t>甲供/施耐德电气</t>
        </is>
      </c>
      <c r="E533" s="114" t="inlineStr">
        <is>
          <t>只</t>
        </is>
      </c>
      <c r="F533" s="114" t="n">
        <v>1</v>
      </c>
      <c r="G533" s="396">
        <f>IF(AND(B533="",C533=""),"",ROUND(M533*L533*N533,2))</f>
        <v/>
      </c>
      <c r="H533" s="396">
        <f>IF(AND(B533="",C533=""),"",ROUND(F533*G533,2))</f>
        <v/>
      </c>
      <c r="I533" s="150" t="inlineStr"/>
      <c r="J533" s="397">
        <f>IF(AND(B533="",C533=""),"",ROUND(M533*N533,2))</f>
        <v/>
      </c>
      <c r="K533" s="398">
        <f>IF(AND(B533="",C533=""),"",ROUND(J533*F533,2))</f>
        <v/>
      </c>
      <c r="L533" s="141" t="n">
        <v>1</v>
      </c>
      <c r="M533" s="399" t="n">
        <v>1e-07</v>
      </c>
      <c r="N533" s="154" t="n">
        <v>1</v>
      </c>
      <c r="O533" s="155">
        <f>IF(AND(B533="",C533=""),"",IF(G533&gt;=20000,0.05,IF(G533&gt;=10000,0.1,IF(G533&gt;=5000,0.2,IF(G533&gt;=1000,0.3,IF(G533&gt;=0,0.4,{0}))))))</f>
        <v/>
      </c>
      <c r="P533" s="400">
        <f>IF(AND(B533="",C533=""),"",ROUND(H533*O533,2))</f>
        <v/>
      </c>
      <c r="Q533" s="401" t="inlineStr">
        <is>
          <t>元件</t>
        </is>
      </c>
      <c r="R533" s="168" t="inlineStr"/>
      <c r="S533" s="168" t="inlineStr"/>
      <c r="T533" s="168" t="inlineStr">
        <is>
          <t>0</t>
        </is>
      </c>
      <c r="U533" s="168" t="inlineStr">
        <is>
          <t>XB2BA31C</t>
        </is>
      </c>
      <c r="V533" s="402" t="n"/>
      <c r="W533" s="402" t="n"/>
      <c r="X533" s="170" t="inlineStr">
        <is>
          <t>XA2EA31</t>
        </is>
      </c>
    </row>
    <row r="534" s="308">
      <c r="A534" s="64">
        <f>ROW()-ROW(A$520)</f>
        <v/>
      </c>
      <c r="B534" s="22" t="inlineStr">
        <is>
          <t>按钮</t>
        </is>
      </c>
      <c r="C534" s="22" t="inlineStr">
        <is>
          <t>XB2BA42C</t>
        </is>
      </c>
      <c r="D534" s="22" t="inlineStr">
        <is>
          <t>甲供/施耐德电气</t>
        </is>
      </c>
      <c r="E534" s="23" t="inlineStr">
        <is>
          <t>只</t>
        </is>
      </c>
      <c r="F534" s="23" t="n">
        <v>1</v>
      </c>
      <c r="G534" s="349">
        <f>IF(AND(B534="",C534=""),"",ROUND(M534*L534*N534,2))</f>
        <v/>
      </c>
      <c r="H534" s="396">
        <f>IF(AND(B534="",C534=""),"",ROUND(F534*G534,2))</f>
        <v/>
      </c>
      <c r="I534" s="150" t="inlineStr"/>
      <c r="J534" s="397">
        <f>IF(AND(B534="",C534=""),"",ROUND(M534*N534,2))</f>
        <v/>
      </c>
      <c r="K534" s="398">
        <f>IF(AND(B534="",C534=""),"",ROUND(J534*F534,2))</f>
        <v/>
      </c>
      <c r="L534" s="141" t="n">
        <v>1</v>
      </c>
      <c r="M534" s="399" t="n">
        <v>1e-07</v>
      </c>
      <c r="N534" s="154" t="n">
        <v>1</v>
      </c>
      <c r="O534" s="155">
        <f>IF(AND(B534="",C534=""),"",IF(G534&gt;=20000,0.05,IF(G534&gt;=10000,0.1,IF(G534&gt;=5000,0.2,IF(G534&gt;=1000,0.3,IF(G534&gt;=0,0.4,{0}))))))</f>
        <v/>
      </c>
      <c r="P534" s="400">
        <f>IF(AND(B534="",C534=""),"",ROUND(H534*O534,2))</f>
        <v/>
      </c>
      <c r="Q534" s="401" t="inlineStr">
        <is>
          <t>元件</t>
        </is>
      </c>
      <c r="R534" s="168" t="inlineStr"/>
      <c r="S534" s="168" t="inlineStr"/>
      <c r="T534" s="168" t="inlineStr">
        <is>
          <t>0</t>
        </is>
      </c>
      <c r="U534" s="168" t="inlineStr">
        <is>
          <t>XB2BA42C</t>
        </is>
      </c>
      <c r="V534" s="402" t="n"/>
      <c r="W534" s="402" t="n"/>
      <c r="X534" s="170" t="inlineStr">
        <is>
          <t>XA2EA41</t>
        </is>
      </c>
    </row>
    <row r="535" s="308">
      <c r="A535" s="64">
        <f>ROW()-ROW(A$520)</f>
        <v/>
      </c>
      <c r="B535" s="112" t="inlineStr">
        <is>
          <t>带熔丝端子</t>
        </is>
      </c>
      <c r="C535" s="112" t="inlineStr">
        <is>
          <t>UK 5-HESI</t>
        </is>
      </c>
      <c r="D535" s="22" t="inlineStr">
        <is>
          <t>菲尼克斯</t>
        </is>
      </c>
      <c r="E535" s="23" t="inlineStr">
        <is>
          <t>只</t>
        </is>
      </c>
      <c r="F535" s="23" t="n">
        <v>7</v>
      </c>
      <c r="G535" s="349">
        <f>IF(AND(B535="",C535=""),"",ROUND(M535*L535*N535,2))</f>
        <v/>
      </c>
      <c r="H535" s="396">
        <f>IF(AND(B535="",C535=""),"",ROUND(F535*G535,2))</f>
        <v/>
      </c>
      <c r="I535" s="150" t="inlineStr"/>
      <c r="J535" s="397">
        <f>IF(AND(B535="",C535=""),"",ROUND(M535*N535,2))</f>
        <v/>
      </c>
      <c r="K535" s="398">
        <f>IF(AND(B535="",C535=""),"",ROUND(J535*F535,2))</f>
        <v/>
      </c>
      <c r="L535" s="141" t="n">
        <v>1</v>
      </c>
      <c r="M535" s="399" t="n">
        <v>7</v>
      </c>
      <c r="N535" s="154" t="n">
        <v>1</v>
      </c>
      <c r="O535" s="155">
        <f>IF(AND(B535="",C535=""),"",IF(G535&gt;=20000,0.05,IF(G535&gt;=10000,0.1,IF(G535&gt;=5000,0.2,IF(G535&gt;=1000,0.3,IF(G535&gt;=0,0.4,{0}))))))</f>
        <v/>
      </c>
      <c r="P535" s="400">
        <f>IF(AND(B535="",C535=""),"",ROUND(H535*O535,2))</f>
        <v/>
      </c>
      <c r="Q535" s="401" t="inlineStr">
        <is>
          <t>元件</t>
        </is>
      </c>
      <c r="R535" s="168" t="inlineStr"/>
      <c r="S535" s="168" t="inlineStr"/>
      <c r="T535" s="168" t="inlineStr">
        <is>
          <t>0</t>
        </is>
      </c>
      <c r="U535" s="168" t="inlineStr"/>
      <c r="V535" s="402" t="n"/>
      <c r="W535" s="402" t="n"/>
      <c r="X535" s="170" t="inlineStr"/>
    </row>
    <row r="536" s="308">
      <c r="A536" s="64">
        <f>ROW()-ROW(A$520)</f>
        <v/>
      </c>
      <c r="B536" s="112" t="inlineStr">
        <is>
          <t>L型端子</t>
        </is>
      </c>
      <c r="C536" s="112" t="inlineStr">
        <is>
          <t>GH100710</t>
        </is>
      </c>
      <c r="D536" s="22" t="inlineStr">
        <is>
          <t>施耐德电气</t>
        </is>
      </c>
      <c r="E536" s="23" t="inlineStr">
        <is>
          <t>只</t>
        </is>
      </c>
      <c r="F536" s="23" t="n">
        <v>3</v>
      </c>
      <c r="G536" s="349">
        <f>IF(AND(B536="",C536=""),"",ROUND(M536*L536*N536,2))</f>
        <v/>
      </c>
      <c r="H536" s="396">
        <f>IF(AND(B536="",C536=""),"",ROUND(F536*G536,2))</f>
        <v/>
      </c>
      <c r="I536" s="150" t="inlineStr"/>
      <c r="J536" s="397">
        <f>IF(AND(B536="",C536=""),"",ROUND(M536*N536,2))</f>
        <v/>
      </c>
      <c r="K536" s="398">
        <f>IF(AND(B536="",C536=""),"",ROUND(J536*F536,2))</f>
        <v/>
      </c>
      <c r="L536" s="141" t="n">
        <v>1</v>
      </c>
      <c r="M536" s="399" t="n">
        <v>1125.85</v>
      </c>
      <c r="N536" s="154" t="n">
        <v>0.45</v>
      </c>
      <c r="O536" s="155">
        <f>IF(AND(B536="",C536=""),"",IF(G536&gt;=20000,0.05,IF(G536&gt;=10000,0.1,IF(G536&gt;=5000,0.2,IF(G536&gt;=1000,0.3,IF(G536&gt;=0,0.4,{0}))))))</f>
        <v/>
      </c>
      <c r="P536" s="400">
        <f>IF(AND(B536="",C536=""),"",ROUND(H536*O536,2))</f>
        <v/>
      </c>
      <c r="Q536" s="401" t="inlineStr">
        <is>
          <t>元件</t>
        </is>
      </c>
      <c r="R536" s="168" t="inlineStr"/>
      <c r="S536" s="168" t="inlineStr"/>
      <c r="T536" s="168" t="inlineStr">
        <is>
          <t>0</t>
        </is>
      </c>
      <c r="U536" s="168" t="inlineStr"/>
      <c r="V536" s="402" t="n"/>
      <c r="W536" s="402" t="n"/>
      <c r="X536" s="170" t="inlineStr"/>
    </row>
    <row r="537" s="308">
      <c r="A537" s="64">
        <f>ROW()-ROW(A$520)</f>
        <v/>
      </c>
      <c r="B537" s="112" t="inlineStr">
        <is>
          <t>T型端子</t>
        </is>
      </c>
      <c r="C537" s="112" t="inlineStr">
        <is>
          <t>87408</t>
        </is>
      </c>
      <c r="D537" s="22" t="inlineStr">
        <is>
          <t>施耐德电气</t>
        </is>
      </c>
      <c r="E537" s="23" t="inlineStr">
        <is>
          <t>只</t>
        </is>
      </c>
      <c r="F537" s="23" t="n">
        <v>3</v>
      </c>
      <c r="G537" s="349">
        <f>IF(AND(B537="",C537=""),"",ROUND(M537*L537*N537,2))</f>
        <v/>
      </c>
      <c r="H537" s="396">
        <f>IF(AND(B537="",C537=""),"",ROUND(F537*G537,2))</f>
        <v/>
      </c>
      <c r="I537" s="150" t="inlineStr"/>
      <c r="J537" s="397">
        <f>IF(AND(B537="",C537=""),"",ROUND(M537*N537,2))</f>
        <v/>
      </c>
      <c r="K537" s="398">
        <f>IF(AND(B537="",C537=""),"",ROUND(J537*F537,2))</f>
        <v/>
      </c>
      <c r="L537" s="141" t="n">
        <v>1</v>
      </c>
      <c r="M537" s="399" t="n">
        <v>659.91</v>
      </c>
      <c r="N537" s="154" t="n">
        <v>0.45</v>
      </c>
      <c r="O537" s="155">
        <f>IF(AND(B537="",C537=""),"",IF(G537&gt;=20000,0.05,IF(G537&gt;=10000,0.1,IF(G537&gt;=5000,0.2,IF(G537&gt;=1000,0.3,IF(G537&gt;=0,0.4,{0}))))))</f>
        <v/>
      </c>
      <c r="P537" s="400">
        <f>IF(AND(B537="",C537=""),"",ROUND(H537*O537,2))</f>
        <v/>
      </c>
      <c r="Q537" s="401" t="inlineStr">
        <is>
          <t>元件</t>
        </is>
      </c>
      <c r="R537" s="168" t="inlineStr"/>
      <c r="S537" s="168" t="inlineStr"/>
      <c r="T537" s="168" t="inlineStr">
        <is>
          <t>0</t>
        </is>
      </c>
      <c r="U537" s="168" t="inlineStr"/>
      <c r="V537" s="402" t="n"/>
      <c r="W537" s="402" t="n"/>
      <c r="X537" s="170" t="inlineStr"/>
    </row>
    <row r="538" s="308">
      <c r="A538" s="64">
        <f>ROW()-ROW(A$520)</f>
        <v/>
      </c>
      <c r="B538" s="33" t="inlineStr">
        <is>
          <t>水平母排</t>
        </is>
      </c>
      <c r="C538" s="22" t="inlineStr">
        <is>
          <t>TMY 4*(3*125*5)+2*50*5</t>
        </is>
      </c>
      <c r="D538" s="22" t="inlineStr">
        <is>
          <t>国产优质</t>
        </is>
      </c>
      <c r="E538" s="23" t="inlineStr">
        <is>
          <t>米</t>
        </is>
      </c>
      <c r="F538" s="23" t="n">
        <v>0.7</v>
      </c>
      <c r="G538" s="349">
        <f>IF(AND(B538="",C538=""),"",ROUND(M538*L538*N538,2))</f>
        <v/>
      </c>
      <c r="H538" s="349">
        <f>IF(AND(B538="",C538=""),"",ROUND(F538*G538,2))</f>
        <v/>
      </c>
      <c r="I538" s="179" t="inlineStr"/>
      <c r="J538" s="397">
        <f>IF(AND(B538="",C538=""),"",ROUND(M538*N538,2))</f>
        <v/>
      </c>
      <c r="K538" s="398">
        <f>IF(AND(B538="",C538=""),"",ROUND(J538*F538,2))</f>
        <v/>
      </c>
      <c r="L538" s="141" t="n">
        <v>1</v>
      </c>
      <c r="M538" s="399" t="n">
        <v>7697.076</v>
      </c>
      <c r="N538" s="154">
        <f>(6317.932*1*1+2684.8*1*1)/9002.732</f>
        <v/>
      </c>
      <c r="O538" s="155">
        <f>IF(AND(B538="",C538=""),"",IF(G538&gt;=20000,0.05,IF(G538&gt;=10000,0.1,IF(G538&gt;=5000,0.2,IF(G538&gt;=1000,0.3,IF(G538&gt;=0,0.4,{0}))))))</f>
        <v/>
      </c>
      <c r="P538" s="400">
        <f>IF(AND(B538="",C538=""),"",ROUND(H538*O538,2))</f>
        <v/>
      </c>
      <c r="Q538" s="401" t="inlineStr">
        <is>
          <t>母排</t>
        </is>
      </c>
      <c r="R538" s="168" t="inlineStr"/>
      <c r="S538" s="168" t="inlineStr"/>
      <c r="T538" s="168" t="inlineStr">
        <is>
          <t>0</t>
        </is>
      </c>
      <c r="U538" s="168" t="inlineStr"/>
      <c r="V538" s="402" t="n"/>
      <c r="W538" s="402" t="n"/>
      <c r="X538" s="170" t="inlineStr"/>
    </row>
    <row r="539" customFormat="1" s="3">
      <c r="A539" s="64">
        <f>ROW()-ROW(A$520)</f>
        <v/>
      </c>
      <c r="B539" s="27" t="inlineStr">
        <is>
          <t>铜排</t>
        </is>
      </c>
      <c r="C539" s="27" t="inlineStr">
        <is>
          <t>TMY</t>
        </is>
      </c>
      <c r="D539" s="22" t="inlineStr">
        <is>
          <t>国产优质</t>
        </is>
      </c>
      <c r="E539" s="23" t="inlineStr">
        <is>
          <t>kg</t>
        </is>
      </c>
      <c r="F539" s="28" t="n">
        <v>145</v>
      </c>
      <c r="G539" s="353">
        <f>IF(AND(B539="",C539=""),"",ROUND(M539*L539*N539,2))</f>
        <v/>
      </c>
      <c r="H539" s="353">
        <f>IF(AND(B539="",C539=""),"",ROUND(F539*G539,2))</f>
        <v/>
      </c>
      <c r="I539" s="180" t="inlineStr"/>
      <c r="J539" s="392">
        <f>IF(AND(B539="",C539=""),"",ROUND(M539*N539,2))</f>
        <v/>
      </c>
      <c r="K539" s="393">
        <f>IF(AND(B539="",C539=""),"",ROUND(J539*F539,2))</f>
        <v/>
      </c>
      <c r="L539" s="141" t="n">
        <v>1</v>
      </c>
      <c r="M539" s="394" t="n">
        <v>108.105</v>
      </c>
      <c r="N539" s="143" t="n">
        <v>1</v>
      </c>
      <c r="O539" s="144">
        <f>IF(AND(B539="",C539=""),"",IF(G539&gt;=20000,0.05,IF(G539&gt;=10000,0.1,IF(G539&gt;=5000,0.2,IF(G539&gt;=1000,0.3,IF(G539&gt;=0,0.4,{0}))))))</f>
        <v/>
      </c>
      <c r="P539" s="395">
        <f>IF(AND(B539="",C539=""),"",ROUND(H539*O539,2))</f>
        <v/>
      </c>
      <c r="Q539" s="390" t="inlineStr">
        <is>
          <t>母排</t>
        </is>
      </c>
      <c r="R539" s="164" t="inlineStr"/>
      <c r="S539" s="164" t="inlineStr"/>
      <c r="T539" s="164" t="inlineStr">
        <is>
          <t>0</t>
        </is>
      </c>
      <c r="U539" s="164" t="inlineStr"/>
      <c r="V539" s="391" t="n"/>
      <c r="W539" s="391" t="n"/>
      <c r="X539" s="166" t="inlineStr"/>
    </row>
    <row r="540" s="308">
      <c r="A540" s="64">
        <f>ROW()-ROW(A$520)</f>
        <v/>
      </c>
      <c r="B540" s="22" t="inlineStr">
        <is>
          <t>辅料</t>
        </is>
      </c>
      <c r="C540" s="22" t="inlineStr"/>
      <c r="D540" s="22" t="inlineStr"/>
      <c r="E540" s="23" t="inlineStr">
        <is>
          <t>套</t>
        </is>
      </c>
      <c r="F540" s="23" t="n">
        <v>1</v>
      </c>
      <c r="G540" s="349">
        <f>IF(AND(B540="",C540=""),"",ROUND(M540*L540*N540,2))</f>
        <v/>
      </c>
      <c r="H540" s="349">
        <f>IF(AND(B540="",C540=""),"",ROUND(F540*G540,2))</f>
        <v/>
      </c>
      <c r="I540" s="179" t="inlineStr"/>
      <c r="J540" s="397">
        <f>IF(AND(B540="",C540=""),"",ROUND(M540*N540,2))</f>
        <v/>
      </c>
      <c r="K540" s="398">
        <f>IF(AND(B540="",C540=""),"",ROUND(J540*F540,2))</f>
        <v/>
      </c>
      <c r="L540" s="141" t="n">
        <v>1</v>
      </c>
      <c r="M540" s="399" t="n">
        <v>550</v>
      </c>
      <c r="N540" s="154" t="n">
        <v>1</v>
      </c>
      <c r="O540" s="155">
        <f>IF(AND(B540="",C540=""),"",IF(G540&gt;=20000,0.05,IF(G540&gt;=10000,0.1,IF(G540&gt;=5000,0.2,IF(G540&gt;=1000,0.3,IF(G540&gt;=0,0.4,{0}))))))</f>
        <v/>
      </c>
      <c r="P540" s="400">
        <f>IF(AND(B540="",C540=""),"",ROUND(H540*O540,2))</f>
        <v/>
      </c>
      <c r="Q540" s="401" t="inlineStr">
        <is>
          <t>辅料</t>
        </is>
      </c>
      <c r="R540" s="168" t="inlineStr"/>
      <c r="S540" s="168" t="inlineStr"/>
      <c r="T540" s="168" t="inlineStr">
        <is>
          <t>0</t>
        </is>
      </c>
      <c r="U540" s="168" t="inlineStr"/>
      <c r="V540" s="402" t="n"/>
      <c r="W540" s="402" t="n"/>
      <c r="X540" s="170" t="inlineStr"/>
    </row>
    <row r="541" s="308">
      <c r="A541" s="64">
        <f>ROW()-ROW(A$520)</f>
        <v/>
      </c>
      <c r="B541" s="22" t="inlineStr">
        <is>
          <t>柜体Blokset</t>
        </is>
      </c>
      <c r="C541" s="33" t="inlineStr">
        <is>
          <t>700W*1200D*2200H</t>
        </is>
      </c>
      <c r="D541" s="22" t="inlineStr">
        <is>
          <t>清科</t>
        </is>
      </c>
      <c r="E541" s="23" t="inlineStr">
        <is>
          <t>台</t>
        </is>
      </c>
      <c r="F541" s="23" t="n">
        <v>1</v>
      </c>
      <c r="G541" s="349">
        <f>IF(AND(B541="",C541=""),"",ROUND(M541*L541*N541,2))</f>
        <v/>
      </c>
      <c r="H541" s="349">
        <f>IF(AND(B541="",C541=""),"",ROUND(F541*G541,2))</f>
        <v/>
      </c>
      <c r="I541" s="179" t="inlineStr"/>
      <c r="J541" s="397">
        <f>IF(AND(B541="",C541=""),"",ROUND(M541*N541,2))</f>
        <v/>
      </c>
      <c r="K541" s="398">
        <f>IF(AND(B541="",C541=""),"",ROUND(J541*F541,2))</f>
        <v/>
      </c>
      <c r="L541" s="141" t="n">
        <v>1</v>
      </c>
      <c r="M541" s="399" t="n">
        <v>4010</v>
      </c>
      <c r="N541" s="154" t="n">
        <v>1</v>
      </c>
      <c r="O541" s="155">
        <f>IF(AND(B541="",C541=""),"",IF(G541&gt;=20000,0.05,IF(G541&gt;=10000,0.1,IF(G541&gt;=5000,0.2,IF(G541&gt;=1000,0.3,IF(G541&gt;=0,0.4,{0}))))))</f>
        <v/>
      </c>
      <c r="P541" s="400">
        <f>IF(AND(B541="",C541=""),"",ROUND(H541*O541,2))</f>
        <v/>
      </c>
      <c r="Q541" s="401" t="inlineStr">
        <is>
          <t>箱体</t>
        </is>
      </c>
      <c r="R541" s="168" t="inlineStr"/>
      <c r="S541" s="168" t="inlineStr"/>
      <c r="T541" s="168" t="inlineStr">
        <is>
          <t>0</t>
        </is>
      </c>
      <c r="U541" s="168" t="inlineStr"/>
      <c r="V541" s="402" t="n"/>
      <c r="W541" s="402" t="n"/>
      <c r="X541" s="170" t="inlineStr"/>
    </row>
    <row r="542" customFormat="1" s="3">
      <c r="A542" s="64">
        <f>ROW()-ROW(A$520)</f>
        <v/>
      </c>
      <c r="B542" s="27" t="inlineStr"/>
      <c r="C542" s="27" t="inlineStr"/>
      <c r="D542" s="27" t="inlineStr"/>
      <c r="E542" s="28" t="n"/>
      <c r="F542" s="28">
        <f>IF(AND(B542="",C542=""),"",1)</f>
        <v/>
      </c>
      <c r="G542" s="353" t="n"/>
      <c r="H542" s="353">
        <f>IF(AND(B542="",C542=""),"",ROUND(F542*G542,2))</f>
        <v/>
      </c>
      <c r="I542" s="180" t="inlineStr"/>
      <c r="J542" s="392">
        <f>IF(AND(B542="",C542=""),"",ROUND(M542*N542,2))</f>
        <v/>
      </c>
      <c r="K542" s="393">
        <f>IF(AND(B542="",C542=""),"",ROUND(J542*F542,2))</f>
        <v/>
      </c>
      <c r="L542" s="141">
        <f>IF(AND(B542="",C542=""),"",1)</f>
        <v/>
      </c>
      <c r="M542" s="394" t="n"/>
      <c r="N542" s="143">
        <f>IF(AND(B542="",C542=""),"",1)</f>
        <v/>
      </c>
      <c r="O542" s="144">
        <f>IF(AND(B542="",C542=""),"",IF(J542&gt;=20000,0.05,IF(J542&gt;=10000,0.1,IF(J542&gt;=5000,0.2,IF(J542&gt;=1000,0.3,IF(J542&gt;=0,0.4,{0}))))))</f>
        <v/>
      </c>
      <c r="P542" s="395">
        <f>IF(AND(B542="",C542=""),"",ROUND(H542*O542,2))</f>
        <v/>
      </c>
      <c r="Q542" s="390">
        <f>IF(AND(B542="",C542=""),"","元件")</f>
        <v/>
      </c>
      <c r="R542" s="164" t="inlineStr"/>
      <c r="S542" s="164" t="inlineStr"/>
      <c r="T542" s="164" t="inlineStr"/>
      <c r="U542" s="164" t="inlineStr"/>
      <c r="V542" s="391" t="n"/>
      <c r="W542" s="391" t="n"/>
      <c r="X542" s="166" t="inlineStr"/>
    </row>
    <row r="543" customFormat="1" s="3">
      <c r="A543" s="64">
        <f>ROW()-ROW(A$520)</f>
        <v/>
      </c>
      <c r="B543" s="27" t="inlineStr"/>
      <c r="C543" s="27" t="inlineStr"/>
      <c r="D543" s="27" t="inlineStr"/>
      <c r="E543" s="28" t="n"/>
      <c r="F543" s="28">
        <f>IF(AND(B543="",C543=""),"",1)</f>
        <v/>
      </c>
      <c r="G543" s="353">
        <f>IF(AND(B543="",C543=""),"",ROUND(M543*L543*N543,2))</f>
        <v/>
      </c>
      <c r="H543" s="353">
        <f>IF(AND(B543="",C543=""),"",ROUND(F543*G543,2))</f>
        <v/>
      </c>
      <c r="I543" s="180" t="inlineStr"/>
      <c r="J543" s="392">
        <f>IF(AND(B543="",C543=""),"",ROUND(M543*N543,2))</f>
        <v/>
      </c>
      <c r="K543" s="393">
        <f>IF(AND(B543="",C543=""),"",ROUND(J543*F543,2))</f>
        <v/>
      </c>
      <c r="L543" s="141">
        <f>IF(AND(B543="",C543=""),"",1)</f>
        <v/>
      </c>
      <c r="M543" s="394" t="n"/>
      <c r="N543" s="143">
        <f>IF(AND(B543="",C543=""),"",1)</f>
        <v/>
      </c>
      <c r="O543" s="144">
        <f>IF(AND(B543="",C543=""),"",IF(J543&gt;=20000,0.05,IF(J543&gt;=10000,0.1,IF(J543&gt;=5000,0.2,IF(J543&gt;=1000,0.3,IF(J543&gt;=0,0.4,{0}))))))</f>
        <v/>
      </c>
      <c r="P543" s="395">
        <f>IF(AND(B543="",C543=""),"",ROUND(H543*O543,2))</f>
        <v/>
      </c>
      <c r="Q543" s="390">
        <f>IF(AND(B543="",C543=""),"","元件")</f>
        <v/>
      </c>
      <c r="R543" s="164" t="inlineStr"/>
      <c r="S543" s="164" t="inlineStr"/>
      <c r="T543" s="164" t="inlineStr"/>
      <c r="U543" s="164" t="inlineStr"/>
      <c r="V543" s="391" t="n"/>
      <c r="W543" s="391" t="n"/>
      <c r="X543" s="166" t="inlineStr"/>
    </row>
    <row r="544" customFormat="1" s="3">
      <c r="A544" s="64">
        <f>ROW()-ROW(A$520)</f>
        <v/>
      </c>
      <c r="B544" s="171" t="inlineStr">
        <is>
          <t>小计</t>
        </is>
      </c>
      <c r="C544" s="172" t="n"/>
      <c r="D544" s="82" t="n"/>
      <c r="E544" s="28" t="n"/>
      <c r="F544" s="28" t="n"/>
      <c r="G544" s="353" t="n"/>
      <c r="H544" s="353">
        <f>ROUND(SUM(H520:INDEX(H:H,ROW()-1)),2)</f>
        <v/>
      </c>
      <c r="I544" s="45" t="inlineStr"/>
      <c r="J544" s="392" t="n"/>
      <c r="K544" s="393">
        <f>ROUND(SUM(K520:INDEX(K:K,ROW()-1)),2)</f>
        <v/>
      </c>
      <c r="L544" s="141" t="n"/>
      <c r="M544" s="394" t="n"/>
      <c r="N544" s="143" t="n"/>
      <c r="O544" s="144" t="n"/>
      <c r="P544" s="395" t="n"/>
      <c r="Q544" s="390" t="n"/>
      <c r="R544" s="164" t="inlineStr"/>
      <c r="S544" s="164" t="inlineStr"/>
      <c r="T544" s="164" t="inlineStr"/>
      <c r="U544" s="164" t="inlineStr"/>
      <c r="V544" s="391">
        <f>ROUND(SUMPRODUCT(F520:INDEX(F:F,ROW()-1),V520:INDEX(V:V,ROW()-1)),2)</f>
        <v/>
      </c>
      <c r="W544" s="391">
        <f>ROUND(SUMPRODUCT(F520:INDEX(F:F,ROW()-1),W520:INDEX(W:W,ROW()-1)),2)</f>
        <v/>
      </c>
      <c r="X544" s="166" t="inlineStr"/>
    </row>
    <row r="545" customFormat="1" s="3">
      <c r="A545" s="64">
        <f>ROW()-ROW(A$520)</f>
        <v/>
      </c>
      <c r="B545" s="171" t="inlineStr">
        <is>
          <t>综合费(人工、管理、税金、利润等)</t>
        </is>
      </c>
      <c r="C545" s="172" t="n"/>
      <c r="D545" s="82" t="n"/>
      <c r="E545" s="28" t="n"/>
      <c r="F545" s="28" t="n"/>
      <c r="G545" s="353" t="n"/>
      <c r="H545" s="353">
        <f>2500</f>
        <v/>
      </c>
      <c r="I545" s="45" t="inlineStr"/>
      <c r="J545" s="392" t="n"/>
      <c r="K545" s="393" t="n"/>
      <c r="L545" s="141" t="n"/>
      <c r="M545" s="394" t="n"/>
      <c r="N545" s="143" t="n"/>
      <c r="O545" s="144" t="n"/>
      <c r="P545" s="395" t="n"/>
      <c r="Q545" s="390" t="inlineStr">
        <is>
          <t>费用</t>
        </is>
      </c>
      <c r="R545" s="164" t="inlineStr"/>
      <c r="S545" s="164" t="inlineStr"/>
      <c r="T545" s="164" t="inlineStr"/>
      <c r="U545" s="164" t="inlineStr"/>
      <c r="V545" s="391" t="n"/>
      <c r="W545" s="391" t="n"/>
      <c r="X545" s="166" t="inlineStr"/>
    </row>
    <row r="546" customFormat="1" s="3">
      <c r="A546" s="64">
        <f>ROW()-ROW(A$520)</f>
        <v/>
      </c>
      <c r="B546" s="82" t="inlineStr">
        <is>
          <t>单台合计</t>
        </is>
      </c>
      <c r="C546" s="172" t="n"/>
      <c r="D546" s="82" t="n"/>
      <c r="E546" s="28" t="n"/>
      <c r="F546" s="28" t="n"/>
      <c r="G546" s="353" t="n"/>
      <c r="H546" s="353">
        <f>ROUND(SUM(H544:H545),2)</f>
        <v/>
      </c>
      <c r="I546" s="181" t="n"/>
      <c r="J546" s="392" t="n"/>
      <c r="K546" s="393">
        <f>ROUND(SUM(K544:K545),2)</f>
        <v/>
      </c>
      <c r="L546" s="182" t="n"/>
      <c r="M546" s="394" t="n"/>
      <c r="N546" s="183" t="n"/>
      <c r="O546" s="184" t="n"/>
      <c r="P546" s="395" t="n"/>
      <c r="Q546" s="390" t="n"/>
      <c r="R546" s="164" t="inlineStr"/>
      <c r="S546" s="164" t="inlineStr"/>
      <c r="T546" s="164" t="inlineStr"/>
      <c r="U546" s="164" t="inlineStr"/>
      <c r="V546" s="391" t="n"/>
      <c r="W546" s="391" t="n"/>
      <c r="X546" s="166" t="inlineStr"/>
    </row>
    <row r="547" customFormat="1" s="3">
      <c r="A547" s="173" t="inlineStr">
        <is>
          <t>总计</t>
        </is>
      </c>
      <c r="B547" s="174" t="n"/>
      <c r="C547" s="175" t="n"/>
      <c r="D547" s="176" t="n"/>
      <c r="E547" s="176" t="inlineStr">
        <is>
          <t>台</t>
        </is>
      </c>
      <c r="F547" s="176" t="n">
        <v>2</v>
      </c>
      <c r="G547" s="403">
        <f>ROUND(H546,2)</f>
        <v/>
      </c>
      <c r="H547" s="403">
        <f>ROUND(F547*G547,2)</f>
        <v/>
      </c>
      <c r="I547" s="185" t="n"/>
      <c r="J547" s="404" t="n"/>
      <c r="K547" s="405">
        <f>ROUND(K546*F547,2)</f>
        <v/>
      </c>
      <c r="L547" s="188" t="n"/>
      <c r="M547" s="406" t="n"/>
      <c r="N547" s="190" t="n"/>
      <c r="O547" s="191" t="n"/>
      <c r="P547" s="407" t="n"/>
      <c r="Q547" s="390" t="n"/>
      <c r="R547" s="164" t="inlineStr"/>
      <c r="S547" s="164" t="inlineStr"/>
      <c r="T547" s="164" t="inlineStr"/>
      <c r="U547" s="164" t="inlineStr"/>
      <c r="V547" s="391" t="n"/>
      <c r="W547" s="391" t="n"/>
      <c r="X547" s="166" t="inlineStr"/>
    </row>
    <row r="548" customFormat="1" s="2">
      <c r="A548" s="89" t="n"/>
      <c r="B548" s="132" t="inlineStr"/>
      <c r="C548" s="132" t="inlineStr"/>
      <c r="D548" s="132" t="inlineStr"/>
      <c r="Q548" s="160" t="n"/>
      <c r="R548" s="160" t="n"/>
      <c r="S548" s="160" t="n"/>
      <c r="T548" s="160" t="n"/>
      <c r="U548" s="160" t="n"/>
      <c r="X548" s="132" t="inlineStr"/>
    </row>
    <row r="549" customFormat="1" s="2">
      <c r="A549" s="89" t="n"/>
      <c r="B549" s="132" t="inlineStr"/>
      <c r="C549" s="132" t="inlineStr"/>
      <c r="D549" s="132" t="inlineStr"/>
      <c r="Q549" s="160" t="n"/>
      <c r="R549" s="160" t="n"/>
      <c r="S549" s="160" t="n"/>
      <c r="T549" s="160" t="n"/>
      <c r="U549" s="160" t="n"/>
      <c r="X549" s="132" t="inlineStr"/>
    </row>
    <row r="550" customFormat="1" s="3">
      <c r="A550" s="92">
        <f>CONCATENATE("报价人：",项目信息!$B$8)</f>
        <v/>
      </c>
      <c r="B550" s="92" t="n"/>
      <c r="C550" s="2" t="n"/>
      <c r="D550" s="2" t="n"/>
      <c r="E550" s="2" t="n"/>
      <c r="F550" s="2" t="n"/>
      <c r="G550" s="2" t="n"/>
      <c r="H550" s="178">
        <f>项目信息!$B$9</f>
        <v/>
      </c>
      <c r="Q550" s="160" t="n"/>
      <c r="R550" s="160" t="n"/>
      <c r="S550" s="160" t="n"/>
      <c r="T550" s="160" t="n"/>
      <c r="U550" s="160" t="n"/>
      <c r="X550" s="162" t="inlineStr"/>
    </row>
    <row r="551" s="308">
      <c r="A551" s="8">
        <f>T(项目信息!$B$22)</f>
        <v/>
      </c>
      <c r="Q551" s="159" t="n"/>
      <c r="R551" s="159" t="n"/>
      <c r="S551" s="159" t="n"/>
      <c r="T551" s="159" t="n"/>
      <c r="U551" s="159" t="n"/>
    </row>
    <row r="552" s="308">
      <c r="A552" s="9">
        <f>T(项目信息!$B$23)</f>
        <v/>
      </c>
      <c r="Q552" s="159" t="n"/>
      <c r="R552" s="159" t="n"/>
      <c r="S552" s="159" t="n"/>
      <c r="T552" s="159" t="n"/>
      <c r="U552" s="159" t="n"/>
    </row>
    <row r="553" s="308">
      <c r="A553" s="97" t="inlineStr">
        <is>
          <t>成套产品报价明细表</t>
        </is>
      </c>
      <c r="B553" s="378" t="n"/>
      <c r="C553" s="378" t="n"/>
      <c r="D553" s="378" t="n"/>
      <c r="E553" s="378" t="n"/>
      <c r="F553" s="378" t="n"/>
      <c r="G553" s="378" t="n"/>
      <c r="H553" s="378" t="n"/>
      <c r="I553" s="378" t="n"/>
      <c r="Q553" s="159" t="n"/>
      <c r="R553" s="159" t="n"/>
      <c r="S553" s="159" t="n"/>
      <c r="T553" s="159" t="n"/>
      <c r="U553" s="159" t="n"/>
    </row>
    <row r="554" customFormat="1" s="4">
      <c r="A554" s="98" t="inlineStr">
        <is>
          <t>柜号:</t>
        </is>
      </c>
      <c r="B554" s="99" t="inlineStr">
        <is>
          <t>AAN3-02、BAN4-02</t>
        </is>
      </c>
      <c r="C554" s="100" t="inlineStr">
        <is>
          <t>型号:</t>
        </is>
      </c>
      <c r="D554" s="99" t="inlineStr">
        <is>
          <t>BlokSeT</t>
        </is>
      </c>
      <c r="E554" s="379" t="n"/>
      <c r="F554" s="101" t="inlineStr">
        <is>
          <t>名称:</t>
        </is>
      </c>
      <c r="G554" s="99" t="inlineStr">
        <is>
          <t>电容柜</t>
        </is>
      </c>
      <c r="H554" s="379" t="n"/>
      <c r="I554" s="408" t="inlineStr"/>
      <c r="J554" s="194" t="inlineStr">
        <is>
          <t>箱柜尺寸:</t>
        </is>
      </c>
      <c r="K554" s="195" t="inlineStr">
        <is>
          <t>800W*1200D*2200H</t>
        </is>
      </c>
      <c r="L554" s="194" t="inlineStr">
        <is>
          <t>类别:</t>
        </is>
      </c>
      <c r="M554" s="195" t="inlineStr">
        <is>
          <t>低压固定柜</t>
        </is>
      </c>
      <c r="N554" s="409" t="inlineStr"/>
      <c r="Q554" s="159" t="n"/>
      <c r="R554" s="159" t="n"/>
      <c r="S554" s="159" t="n"/>
      <c r="T554" s="159" t="n"/>
      <c r="U554" s="159" t="n"/>
    </row>
    <row r="555" ht="20.1" customHeight="1" s="308">
      <c r="A555" s="102" t="inlineStr">
        <is>
          <t>序号</t>
        </is>
      </c>
      <c r="B555" s="103" t="inlineStr">
        <is>
          <t>元件名称</t>
        </is>
      </c>
      <c r="C555" s="103" t="inlineStr">
        <is>
          <t>型号规格</t>
        </is>
      </c>
      <c r="D555" s="104" t="inlineStr">
        <is>
          <t>生产厂家</t>
        </is>
      </c>
      <c r="E555" s="105" t="inlineStr">
        <is>
          <t>单位</t>
        </is>
      </c>
      <c r="F555" s="105" t="inlineStr">
        <is>
          <t>数量</t>
        </is>
      </c>
      <c r="G555" s="382" t="inlineStr">
        <is>
          <t>单   价</t>
        </is>
      </c>
      <c r="H555" s="383" t="inlineStr">
        <is>
          <t>总   价</t>
        </is>
      </c>
      <c r="I555" s="134" t="inlineStr">
        <is>
          <t>备注</t>
        </is>
      </c>
      <c r="J555" s="384" t="inlineStr">
        <is>
          <t>成本单价</t>
        </is>
      </c>
      <c r="K555" s="384" t="inlineStr">
        <is>
          <t>成本总价</t>
        </is>
      </c>
      <c r="L555" s="136" t="inlineStr">
        <is>
          <t>报出
系数</t>
        </is>
      </c>
      <c r="M555" s="384" t="inlineStr">
        <is>
          <t>表价</t>
        </is>
      </c>
      <c r="N555" s="136" t="inlineStr">
        <is>
          <t>折扣
系数</t>
        </is>
      </c>
      <c r="O555" s="137" t="inlineStr">
        <is>
          <t>取费
系数</t>
        </is>
      </c>
      <c r="P555" s="384" t="inlineStr">
        <is>
          <t>成套费</t>
        </is>
      </c>
      <c r="Q555" s="161" t="inlineStr">
        <is>
          <t>类别</t>
        </is>
      </c>
      <c r="R555" s="161" t="inlineStr">
        <is>
          <t>物料编码</t>
        </is>
      </c>
      <c r="S555" s="161" t="inlineStr">
        <is>
          <t>产地</t>
        </is>
      </c>
      <c r="T555" s="161" t="inlineStr">
        <is>
          <t>加工费</t>
        </is>
      </c>
      <c r="U555" s="161" t="inlineStr">
        <is>
          <t>订货号</t>
        </is>
      </c>
      <c r="V555" s="161" t="inlineStr">
        <is>
          <t>人工</t>
        </is>
      </c>
      <c r="W555" s="161" t="inlineStr">
        <is>
          <t>辅料</t>
        </is>
      </c>
      <c r="X555" s="203" t="inlineStr"/>
    </row>
    <row r="556" s="308">
      <c r="A556" s="108">
        <f>ROW()-ROW(A$555)</f>
        <v/>
      </c>
      <c r="B556" s="112" t="inlineStr">
        <is>
          <t>隔离开关熔断器组</t>
        </is>
      </c>
      <c r="C556" s="109" t="inlineStr">
        <is>
          <t>GS630/3P3F+正面延伸旋转手柄 黑色+旋转手柄轴200mm/630-1250A</t>
        </is>
      </c>
      <c r="D556" s="109" t="inlineStr">
        <is>
          <t>甲供/施耐德电气</t>
        </is>
      </c>
      <c r="E556" s="110" t="inlineStr">
        <is>
          <t>只</t>
        </is>
      </c>
      <c r="F556" s="110" t="n">
        <v>1</v>
      </c>
      <c r="G556" s="385">
        <f>IF(AND(B556="",C556=""),"",ROUND(M556*L556*N556,2))</f>
        <v/>
      </c>
      <c r="H556" s="385">
        <f>IF(AND(B556="",C556=""),"",ROUND(F556*G556,2))</f>
        <v/>
      </c>
      <c r="I556" s="197" t="inlineStr"/>
      <c r="J556" s="410">
        <f>IF(AND(B556="",C556=""),"",ROUND(M556*N556,2))</f>
        <v/>
      </c>
      <c r="K556" s="411">
        <f>IF(AND(B556="",C556=""),"",ROUND(J556*F556,2))</f>
        <v/>
      </c>
      <c r="L556" s="200" t="n">
        <v>1</v>
      </c>
      <c r="M556" s="412" t="n">
        <v>1e-07</v>
      </c>
      <c r="N556" s="154" t="n">
        <v>1</v>
      </c>
      <c r="O556" s="155">
        <f>IF(AND(B556="",C556=""),"",IF(G556&gt;=20000,0.05,IF(G556&gt;=10000,0.1,IF(G556&gt;=5000,0.2,IF(G556&gt;=1000,0.3,IF(G556&gt;=0,0.4,{0}))))))</f>
        <v/>
      </c>
      <c r="P556" s="413">
        <f>IF(AND(B556="",C556=""),"",ROUND(H556*O556,2))</f>
        <v/>
      </c>
      <c r="Q556" s="401" t="inlineStr">
        <is>
          <t>元件</t>
        </is>
      </c>
      <c r="R556" s="168" t="inlineStr"/>
      <c r="S556" s="168" t="inlineStr"/>
      <c r="T556" s="168" t="n">
        <v>0</v>
      </c>
      <c r="U556" s="168" t="inlineStr">
        <is>
          <t>LV481453+GS2AH550+GS2AE52</t>
        </is>
      </c>
      <c r="V556" s="402" t="n"/>
      <c r="W556" s="402" t="n"/>
      <c r="X556" s="170" t="inlineStr">
        <is>
          <t>GS800/3P3F 正面延伸旋转手柄 黑色+旋转手柄轴200mm/630-1250A→GS630/3P3F+正面延伸旋转手柄 黑色+旋转手柄轴200mm/630-1250A→WGR-500/3-FW→NSX630N Mic2.3 630A 3P3D P→NSX630N Mic5.3B 630A 3P3D P→GS800/3P3F+正面延伸旋转手柄 黑色+旋转手柄轴200mm/630-1250A</t>
        </is>
      </c>
    </row>
    <row r="557" s="308">
      <c r="A557" s="108">
        <f>ROW()-ROW(A$555)</f>
        <v/>
      </c>
      <c r="B557" s="112" t="inlineStr">
        <is>
          <t>熔断器</t>
        </is>
      </c>
      <c r="C557" s="109" t="inlineStr">
        <is>
          <t>NH3 gG 690V/630A</t>
        </is>
      </c>
      <c r="D557" s="109" t="inlineStr">
        <is>
          <t>茗熔</t>
        </is>
      </c>
      <c r="E557" s="110" t="inlineStr">
        <is>
          <t>只</t>
        </is>
      </c>
      <c r="F557" s="110" t="n">
        <v>3</v>
      </c>
      <c r="G557" s="385">
        <f>IF(AND(B557="",C557=""),"",ROUND(M557*L557*N557,2))</f>
        <v/>
      </c>
      <c r="H557" s="385">
        <f>IF(AND(B557="",C557=""),"",ROUND(F557*G557,2))</f>
        <v/>
      </c>
      <c r="I557" s="197" t="inlineStr"/>
      <c r="J557" s="410">
        <f>IF(AND(B557="",C557=""),"",ROUND(M557*N557,2))</f>
        <v/>
      </c>
      <c r="K557" s="411">
        <f>IF(AND(B557="",C557=""),"",ROUND(J557*F557,2))</f>
        <v/>
      </c>
      <c r="L557" s="200" t="n">
        <v>1</v>
      </c>
      <c r="M557" s="412" t="n">
        <v>62</v>
      </c>
      <c r="N557" s="154" t="n">
        <v>1</v>
      </c>
      <c r="O557" s="155">
        <f>IF(AND(B557="",C557=""),"",IF(G557&gt;=20000,0.05,IF(G557&gt;=10000,0.1,IF(G557&gt;=5000,0.2,IF(G557&gt;=1000,0.3,IF(G557&gt;=0,0.4,{0}))))))</f>
        <v/>
      </c>
      <c r="P557" s="413">
        <f>IF(AND(B557="",C557=""),"",ROUND(H557*O557,2))</f>
        <v/>
      </c>
      <c r="Q557" s="401" t="inlineStr">
        <is>
          <t>元件</t>
        </is>
      </c>
      <c r="R557" s="168" t="inlineStr"/>
      <c r="S557" s="168" t="inlineStr"/>
      <c r="T557" s="168" t="inlineStr">
        <is>
          <t>0</t>
        </is>
      </c>
      <c r="U557" s="168" t="inlineStr">
        <is>
          <t>0</t>
        </is>
      </c>
      <c r="V557" s="402" t="n"/>
      <c r="W557" s="402" t="n"/>
      <c r="X557" s="170" t="inlineStr">
        <is>
          <t>RT17(NT4) gG 400/690V 800A 3C</t>
        </is>
      </c>
    </row>
    <row r="558" s="308">
      <c r="A558" s="64">
        <f>ROW()-ROW(A$555)</f>
        <v/>
      </c>
      <c r="B558" s="22" t="inlineStr">
        <is>
          <t>多功能表</t>
        </is>
      </c>
      <c r="C558" s="22" t="inlineStr">
        <is>
          <t>PM4101</t>
        </is>
      </c>
      <c r="D558" s="109" t="inlineStr">
        <is>
          <t>甲供/施耐德电气</t>
        </is>
      </c>
      <c r="E558" s="23" t="inlineStr">
        <is>
          <t>只</t>
        </is>
      </c>
      <c r="F558" s="23" t="n">
        <v>1</v>
      </c>
      <c r="G558" s="349">
        <f>IF(AND(B558="",C558=""),"",ROUND(M558*L558*N558,2))</f>
        <v/>
      </c>
      <c r="H558" s="349">
        <f>IF(AND(B558="",C558=""),"",ROUND(F558*G558,2))</f>
        <v/>
      </c>
      <c r="I558" s="45" t="inlineStr"/>
      <c r="J558" s="397">
        <f>IF(AND(B558="",C558=""),"",ROUND(M558*N558,2))</f>
        <v/>
      </c>
      <c r="K558" s="398">
        <f>IF(AND(B558="",C558=""),"",ROUND(J558*F558,2))</f>
        <v/>
      </c>
      <c r="L558" s="200" t="n">
        <v>1</v>
      </c>
      <c r="M558" s="399" t="n">
        <v>1e-07</v>
      </c>
      <c r="N558" s="154" t="n">
        <v>1</v>
      </c>
      <c r="O558" s="155">
        <f>IF(AND(B558="",C558=""),"",IF(G558&gt;=20000,0.05,IF(G558&gt;=10000,0.1,IF(G558&gt;=5000,0.2,IF(G558&gt;=1000,0.3,IF(G558&gt;=0,0.4,{0}))))))</f>
        <v/>
      </c>
      <c r="P558" s="400">
        <f>IF(AND(B558="",C558=""),"",ROUND(H558*O558,2))</f>
        <v/>
      </c>
      <c r="Q558" s="401" t="inlineStr">
        <is>
          <t>元件</t>
        </is>
      </c>
      <c r="R558" s="168" t="inlineStr"/>
      <c r="S558" s="168" t="inlineStr"/>
      <c r="T558" s="168" t="inlineStr">
        <is>
          <t>0</t>
        </is>
      </c>
      <c r="U558" s="168" t="inlineStr"/>
      <c r="V558" s="402" t="n"/>
      <c r="W558" s="402" t="n"/>
      <c r="X558" s="170" t="inlineStr">
        <is>
          <t>PM→PM5350P</t>
        </is>
      </c>
    </row>
    <row r="559" s="308">
      <c r="A559" s="64">
        <f>ROW()-ROW(A$555)</f>
        <v/>
      </c>
      <c r="B559" s="112" t="inlineStr">
        <is>
          <t>电流互感器</t>
        </is>
      </c>
      <c r="C559" s="22" t="inlineStr">
        <is>
          <t>SD-0.66-285III-C 5000/5A</t>
        </is>
      </c>
      <c r="D559" s="112" t="inlineStr">
        <is>
          <t>桑迪</t>
        </is>
      </c>
      <c r="E559" s="114" t="inlineStr">
        <is>
          <t>只</t>
        </is>
      </c>
      <c r="F559" s="23" t="n">
        <v>3</v>
      </c>
      <c r="G559" s="396">
        <f>IF(AND(B559="",C559=""),"",ROUND(M559*L559*N559,2))</f>
        <v/>
      </c>
      <c r="H559" s="349">
        <f>IF(AND(B559="",C559=""),"",ROUND(F559*G559,2))</f>
        <v/>
      </c>
      <c r="I559" s="45" t="inlineStr"/>
      <c r="J559" s="397">
        <f>IF(AND(B559="",C559=""),"",ROUND(M559*N559,2))</f>
        <v/>
      </c>
      <c r="K559" s="398">
        <f>IF(AND(B559="",C559=""),"",ROUND(J559*F559,2))</f>
        <v/>
      </c>
      <c r="L559" s="200" t="n">
        <v>1</v>
      </c>
      <c r="M559" s="399" t="n">
        <v>1026.31</v>
      </c>
      <c r="N559" s="154" t="n">
        <v>1</v>
      </c>
      <c r="O559" s="155">
        <f>IF(AND(B559="",C559=""),"",IF(G559&gt;=20000,0.05,IF(G559&gt;=10000,0.1,IF(G559&gt;=5000,0.2,IF(G559&gt;=1000,0.3,IF(G559&gt;=0,0.4,{0}))))))</f>
        <v/>
      </c>
      <c r="P559" s="400">
        <f>IF(AND(B559="",C559=""),"",ROUND(H559*O559,2))</f>
        <v/>
      </c>
      <c r="Q559" s="401" t="inlineStr">
        <is>
          <t>元件</t>
        </is>
      </c>
      <c r="R559" s="168" t="inlineStr"/>
      <c r="S559" s="168" t="inlineStr"/>
      <c r="T559" s="168" t="inlineStr">
        <is>
          <t>0</t>
        </is>
      </c>
      <c r="U559" s="168" t="inlineStr"/>
      <c r="V559" s="402" t="n"/>
      <c r="W559" s="402" t="n"/>
      <c r="X559" s="170" t="inlineStr">
        <is>
          <t>BH-0.66/80C(P) 800/5A→SD-0.66-80II-V 800/5A→SD-0.66-40II-C 400/5A→SD-0.66-60II-C 600/5A→SD-0.66-60II-C 750/5A→SD-0.66-80II-V 800/5A→SD-0.66-60II-C 600/5A</t>
        </is>
      </c>
    </row>
    <row r="560" s="308">
      <c r="A560" s="64">
        <f>ROW()-ROW(A$555)</f>
        <v/>
      </c>
      <c r="B560" s="112" t="inlineStr">
        <is>
          <t>电流互感器</t>
        </is>
      </c>
      <c r="C560" s="22" t="inlineStr">
        <is>
          <t>SD-0.66-60II-C 600/5A</t>
        </is>
      </c>
      <c r="D560" s="112" t="inlineStr">
        <is>
          <t>桑迪</t>
        </is>
      </c>
      <c r="E560" s="114" t="inlineStr">
        <is>
          <t>只</t>
        </is>
      </c>
      <c r="F560" s="23" t="n">
        <v>3</v>
      </c>
      <c r="G560" s="396">
        <f>IF(AND(B560="",C560=""),"",ROUND(M560*L560*N560,2))</f>
        <v/>
      </c>
      <c r="H560" s="349">
        <f>IF(AND(B560="",C560=""),"",ROUND(F560*G560,2))</f>
        <v/>
      </c>
      <c r="I560" s="45" t="inlineStr"/>
      <c r="J560" s="397">
        <f>IF(AND(B560="",C560=""),"",ROUND(M560*N560,2))</f>
        <v/>
      </c>
      <c r="K560" s="398">
        <f>IF(AND(B560="",C560=""),"",ROUND(J560*F560,2))</f>
        <v/>
      </c>
      <c r="L560" s="200" t="n">
        <v>1</v>
      </c>
      <c r="M560" s="399" t="n">
        <v>63.7</v>
      </c>
      <c r="N560" s="154" t="n">
        <v>1</v>
      </c>
      <c r="O560" s="155">
        <f>IF(AND(B560="",C560=""),"",IF(G560&gt;=20000,0.05,IF(G560&gt;=10000,0.1,IF(G560&gt;=5000,0.2,IF(G560&gt;=1000,0.3,IF(G560&gt;=0,0.4,{0}))))))</f>
        <v/>
      </c>
      <c r="P560" s="400">
        <f>IF(AND(B560="",C560=""),"",ROUND(H560*O560,2))</f>
        <v/>
      </c>
      <c r="Q560" s="401" t="inlineStr">
        <is>
          <t>元件</t>
        </is>
      </c>
      <c r="R560" s="168" t="inlineStr"/>
      <c r="S560" s="168" t="inlineStr"/>
      <c r="T560" s="168" t="inlineStr">
        <is>
          <t>0</t>
        </is>
      </c>
      <c r="U560" s="168" t="inlineStr"/>
      <c r="V560" s="402" t="n"/>
      <c r="W560" s="402" t="n"/>
      <c r="X560" s="170" t="inlineStr">
        <is>
          <t>BH-0.66/80C(P) 800/5A→SD-0.66-80II-V 800/5A→SD-0.66-40II-C 400/5A→SD-0.66-60II-C 600/5A→SD-0.66-60II-C 750/5A→SD-0.66-80II-V 800/5A→SD-0.66-60II-C 600/5A→SD-0.66-60II-C 800/5A</t>
        </is>
      </c>
    </row>
    <row r="561" s="308">
      <c r="A561" s="64">
        <f>ROW()-ROW(A$555)</f>
        <v/>
      </c>
      <c r="B561" s="22" t="inlineStr">
        <is>
          <t>SVG</t>
        </is>
      </c>
      <c r="C561" s="22" t="inlineStr">
        <is>
          <t>250kvar</t>
        </is>
      </c>
      <c r="D561" s="27" t="inlineStr">
        <is>
          <t>甲供</t>
        </is>
      </c>
      <c r="E561" s="23" t="inlineStr">
        <is>
          <t>套</t>
        </is>
      </c>
      <c r="F561" s="23">
        <f>IF(AND(B561="",C561=""),"",1)</f>
        <v/>
      </c>
      <c r="G561" s="349">
        <f>IF(AND(B561="",C561=""),"",ROUND(M561*L561*N561,2))</f>
        <v/>
      </c>
      <c r="H561" s="349">
        <f>IF(AND(B561="",C561=""),"",ROUND(F561*G561,2))</f>
        <v/>
      </c>
      <c r="I561" s="45" t="inlineStr"/>
      <c r="J561" s="397">
        <f>IF(AND(B561="",C561=""),"",ROUND(M561*N561,2))</f>
        <v/>
      </c>
      <c r="K561" s="398">
        <f>IF(AND(B561="",C561=""),"",ROUND(J561*F561,2))</f>
        <v/>
      </c>
      <c r="L561" s="200" t="n">
        <v>1</v>
      </c>
      <c r="M561" s="399" t="n">
        <v>1e-07</v>
      </c>
      <c r="N561" s="154" t="n">
        <v>1</v>
      </c>
      <c r="O561" s="155">
        <f>IF(AND(B561="",C561=""),"",IF(G561&gt;=20000,0.05,IF(G561&gt;=10000,0.1,IF(G561&gt;=5000,0.2,IF(G561&gt;=1000,0.3,IF(G561&gt;=0,0.4,{0}))))))</f>
        <v/>
      </c>
      <c r="P561" s="400">
        <f>IF(AND(B561="",C561=""),"",ROUND(H561*O561,2))</f>
        <v/>
      </c>
      <c r="Q561" s="401" t="inlineStr">
        <is>
          <t>元件</t>
        </is>
      </c>
      <c r="R561" s="168" t="inlineStr"/>
      <c r="S561" s="168" t="inlineStr"/>
      <c r="T561" s="168" t="inlineStr">
        <is>
          <t>0</t>
        </is>
      </c>
      <c r="U561" s="168" t="inlineStr"/>
      <c r="V561" s="402" t="n"/>
      <c r="W561" s="402" t="n"/>
      <c r="X561" s="170" t="inlineStr"/>
    </row>
    <row r="562" s="308">
      <c r="A562" s="64">
        <f>ROW()-ROW(A$555)</f>
        <v/>
      </c>
      <c r="B562" s="112" t="inlineStr">
        <is>
          <t>避雷器</t>
        </is>
      </c>
      <c r="C562" s="22" t="inlineStr">
        <is>
          <t>YH3W2-0.28/1.3</t>
        </is>
      </c>
      <c r="D562" s="22" t="inlineStr">
        <is>
          <t>国产优质</t>
        </is>
      </c>
      <c r="E562" s="114" t="inlineStr">
        <is>
          <t>只</t>
        </is>
      </c>
      <c r="F562" s="23" t="n">
        <v>3</v>
      </c>
      <c r="G562" s="396">
        <f>IF(AND(B562="",C562=""),"",ROUND(M562*L562*N562,2))</f>
        <v/>
      </c>
      <c r="H562" s="349">
        <f>IF(AND(B562="",C562=""),"",ROUND(F562*G562,2))</f>
        <v/>
      </c>
      <c r="I562" s="45" t="inlineStr"/>
      <c r="J562" s="397">
        <f>IF(AND(B562="",C562=""),"",ROUND(M562*N562,2))</f>
        <v/>
      </c>
      <c r="K562" s="398">
        <f>IF(AND(B562="",C562=""),"",ROUND(J562*F562,2))</f>
        <v/>
      </c>
      <c r="L562" s="200" t="n">
        <v>1</v>
      </c>
      <c r="M562" s="399" t="n">
        <v>25</v>
      </c>
      <c r="N562" s="154" t="n">
        <v>1</v>
      </c>
      <c r="O562" s="155">
        <f>IF(AND(B562="",C562=""),"",IF(G562&gt;=20000,0.05,IF(G562&gt;=10000,0.1,IF(G562&gt;=5000,0.2,IF(G562&gt;=1000,0.3,IF(G562&gt;=0,0.4,{0}))))))</f>
        <v/>
      </c>
      <c r="P562" s="400">
        <f>IF(AND(B562="",C562=""),"",ROUND(H562*O562,2))</f>
        <v/>
      </c>
      <c r="Q562" s="401" t="inlineStr">
        <is>
          <t>元件</t>
        </is>
      </c>
      <c r="R562" s="168" t="inlineStr"/>
      <c r="S562" s="168" t="inlineStr"/>
      <c r="T562" s="168" t="inlineStr">
        <is>
          <t>0</t>
        </is>
      </c>
      <c r="U562" s="168" t="inlineStr">
        <is>
          <t>A9L208044</t>
        </is>
      </c>
      <c r="V562" s="402" t="n"/>
      <c r="W562" s="402" t="n"/>
      <c r="X562" s="170" t="inlineStr"/>
    </row>
    <row r="563" s="308">
      <c r="A563" s="64">
        <f>ROW()-ROW(A$555)</f>
        <v/>
      </c>
      <c r="B563" s="112" t="inlineStr">
        <is>
          <t>温湿度控制器</t>
        </is>
      </c>
      <c r="C563" s="112" t="inlineStr">
        <is>
          <t>ATH48G-11</t>
        </is>
      </c>
      <c r="D563" s="22" t="inlineStr">
        <is>
          <t>杭州安廷</t>
        </is>
      </c>
      <c r="E563" s="23" t="inlineStr">
        <is>
          <t>套</t>
        </is>
      </c>
      <c r="F563" s="23" t="n">
        <v>1</v>
      </c>
      <c r="G563" s="349">
        <f>IF(AND(B563="",C563=""),"",ROUND(M563*L563*N563,2))</f>
        <v/>
      </c>
      <c r="H563" s="396">
        <f>IF(AND(B563="",C563=""),"",ROUND(F563*G563,2))</f>
        <v/>
      </c>
      <c r="I563" s="150" t="inlineStr"/>
      <c r="J563" s="397">
        <f>IF(AND(B563="",C563=""),"",ROUND(M563*N563,2))</f>
        <v/>
      </c>
      <c r="K563" s="398">
        <f>IF(AND(B563="",C563=""),"",ROUND(J563*F563,2))</f>
        <v/>
      </c>
      <c r="L563" s="141" t="n">
        <v>1</v>
      </c>
      <c r="M563" s="399" t="n">
        <v>450</v>
      </c>
      <c r="N563" s="154" t="n">
        <v>1</v>
      </c>
      <c r="O563" s="155">
        <f>IF(AND(B563="",C563=""),"",IF(G563&gt;=20000,0.05,IF(G563&gt;=10000,0.1,IF(G563&gt;=5000,0.2,IF(G563&gt;=1000,0.3,IF(G563&gt;=0,0.4,{0}))))))</f>
        <v/>
      </c>
      <c r="P563" s="400">
        <f>IF(AND(B563="",C563=""),"",ROUND(H563*O563,2))</f>
        <v/>
      </c>
      <c r="Q563" s="401" t="inlineStr">
        <is>
          <t>元件</t>
        </is>
      </c>
      <c r="R563" s="168" t="inlineStr"/>
      <c r="S563" s="168" t="inlineStr"/>
      <c r="T563" s="168" t="inlineStr">
        <is>
          <t>0</t>
        </is>
      </c>
      <c r="U563" s="168" t="inlineStr"/>
      <c r="V563" s="402" t="n"/>
      <c r="W563" s="402" t="n"/>
      <c r="X563" s="170" t="inlineStr"/>
    </row>
    <row r="564" s="308">
      <c r="A564" s="64">
        <f>ROW()-ROW(A$555)</f>
        <v/>
      </c>
      <c r="B564" s="22" t="inlineStr">
        <is>
          <t>电容柜散热风扇</t>
        </is>
      </c>
      <c r="C564" s="22" t="inlineStr">
        <is>
          <t>SF2208HA2BMT+SVF105SND</t>
        </is>
      </c>
      <c r="D564" s="22" t="inlineStr">
        <is>
          <t>源顶</t>
        </is>
      </c>
      <c r="E564" s="23" t="inlineStr">
        <is>
          <t>只</t>
        </is>
      </c>
      <c r="F564" s="23" t="n">
        <v>2</v>
      </c>
      <c r="G564" s="349">
        <f>IF(AND(B564="",C564=""),"",ROUND(M564*L564*N564,2))</f>
        <v/>
      </c>
      <c r="H564" s="349">
        <f>IF(AND(B564="",C564=""),"",ROUND(F564*G564,2))</f>
        <v/>
      </c>
      <c r="I564" s="45" t="inlineStr"/>
      <c r="J564" s="397">
        <f>IF(AND(B564="",C564=""),"",ROUND(M564*N564,2))</f>
        <v/>
      </c>
      <c r="K564" s="398">
        <f>IF(AND(B564="",C564=""),"",ROUND(J564*F564,2))</f>
        <v/>
      </c>
      <c r="L564" s="200" t="n">
        <v>1</v>
      </c>
      <c r="M564" s="399" t="n">
        <v>241</v>
      </c>
      <c r="N564" s="154" t="n">
        <v>1</v>
      </c>
      <c r="O564" s="155">
        <f>IF(AND(B564="",C564=""),"",IF(G564&gt;=20000,0.05,IF(G564&gt;=10000,0.1,IF(G564&gt;=5000,0.2,IF(G564&gt;=1000,0.3,IF(G564&gt;=0,0.4,{0}))))))</f>
        <v/>
      </c>
      <c r="P564" s="400">
        <f>IF(AND(B564="",C564=""),"",ROUND(H564*O564,2))</f>
        <v/>
      </c>
      <c r="Q564" s="401" t="inlineStr">
        <is>
          <t>元件</t>
        </is>
      </c>
      <c r="R564" s="168" t="inlineStr"/>
      <c r="S564" s="168" t="inlineStr"/>
      <c r="T564" s="168" t="inlineStr">
        <is>
          <t>0</t>
        </is>
      </c>
      <c r="U564" s="168" t="inlineStr">
        <is>
          <t>0</t>
        </is>
      </c>
      <c r="V564" s="402" t="n"/>
      <c r="W564" s="402" t="n"/>
      <c r="X564" s="170" t="inlineStr">
        <is>
          <t>SF2208HA2BMT+SVF105SND</t>
        </is>
      </c>
    </row>
    <row r="565" s="308">
      <c r="A565" s="64">
        <f>ROW()-ROW(A$555)</f>
        <v/>
      </c>
      <c r="B565" s="22" t="inlineStr">
        <is>
          <t>带熔丝端子</t>
        </is>
      </c>
      <c r="C565" s="22" t="inlineStr">
        <is>
          <t>UK 5-HESI</t>
        </is>
      </c>
      <c r="D565" s="22" t="inlineStr">
        <is>
          <t>菲尼克斯</t>
        </is>
      </c>
      <c r="E565" s="23" t="inlineStr">
        <is>
          <t>只</t>
        </is>
      </c>
      <c r="F565" s="23" t="n">
        <v>10</v>
      </c>
      <c r="G565" s="349">
        <f>IF(AND(B565="",C565=""),"",ROUND(M565*L565*N565,2))</f>
        <v/>
      </c>
      <c r="H565" s="349">
        <f>IF(AND(B565="",C565=""),"",ROUND(F565*G565,2))</f>
        <v/>
      </c>
      <c r="I565" s="45" t="inlineStr"/>
      <c r="J565" s="397">
        <f>IF(AND(B565="",C565=""),"",ROUND(M565*N565,2))</f>
        <v/>
      </c>
      <c r="K565" s="398">
        <f>IF(AND(B565="",C565=""),"",ROUND(J565*F565,2))</f>
        <v/>
      </c>
      <c r="L565" s="200" t="n">
        <v>1</v>
      </c>
      <c r="M565" s="399" t="n">
        <v>7</v>
      </c>
      <c r="N565" s="154" t="n">
        <v>1</v>
      </c>
      <c r="O565" s="155">
        <f>IF(AND(B565="",C565=""),"",IF(G565&gt;=20000,0.05,IF(G565&gt;=10000,0.1,IF(G565&gt;=5000,0.2,IF(G565&gt;=1000,0.3,IF(G565&gt;=0,0.4,{0}))))))</f>
        <v/>
      </c>
      <c r="P565" s="400">
        <f>IF(AND(B565="",C565=""),"",ROUND(H565*O565,2))</f>
        <v/>
      </c>
      <c r="Q565" s="401" t="inlineStr">
        <is>
          <t>元件</t>
        </is>
      </c>
      <c r="R565" s="168" t="inlineStr"/>
      <c r="S565" s="168" t="inlineStr"/>
      <c r="T565" s="168" t="inlineStr">
        <is>
          <t>0</t>
        </is>
      </c>
      <c r="U565" s="168" t="inlineStr">
        <is>
          <t>3004100</t>
        </is>
      </c>
      <c r="V565" s="402" t="n"/>
      <c r="W565" s="402" t="n"/>
      <c r="X565" s="170" t="inlineStr"/>
    </row>
    <row r="566" s="308">
      <c r="A566" s="64">
        <f>ROW()-ROW(A$555)</f>
        <v/>
      </c>
      <c r="B566" s="22" t="inlineStr">
        <is>
          <t>水平母排</t>
        </is>
      </c>
      <c r="C566" s="22" t="inlineStr">
        <is>
          <t>TMY 4*(3*125*5)+2*50*5</t>
        </is>
      </c>
      <c r="D566" s="22" t="inlineStr">
        <is>
          <t>国产优质</t>
        </is>
      </c>
      <c r="E566" s="23" t="inlineStr">
        <is>
          <t>米</t>
        </is>
      </c>
      <c r="F566" s="23" t="n">
        <v>0.9</v>
      </c>
      <c r="G566" s="349">
        <f>IF(AND(B566="",C566=""),"",ROUND(M566*L566*N566,2))</f>
        <v/>
      </c>
      <c r="H566" s="349">
        <f>IF(AND(B566="",C566=""),"",ROUND(F566*G566,2))</f>
        <v/>
      </c>
      <c r="I566" s="45" t="inlineStr"/>
      <c r="J566" s="397">
        <f>IF(AND(B566="",C566=""),"",ROUND(M566*N566,2))</f>
        <v/>
      </c>
      <c r="K566" s="398">
        <f>IF(AND(B566="",C566=""),"",ROUND(J566*F566,2))</f>
        <v/>
      </c>
      <c r="L566" s="200" t="n">
        <v>1</v>
      </c>
      <c r="M566" s="399" t="n">
        <v>7697.076</v>
      </c>
      <c r="N566" s="154">
        <f>(6317.932*1*1+2684.8*1*1)/9002.732</f>
        <v/>
      </c>
      <c r="O566" s="155">
        <f>IF(AND(B566="",C566=""),"",IF(G566&gt;=20000,0.05,IF(G566&gt;=10000,0.1,IF(G566&gt;=5000,0.2,IF(G566&gt;=1000,0.3,IF(G566&gt;=0,0.4,{0}))))))</f>
        <v/>
      </c>
      <c r="P566" s="400">
        <f>IF(AND(B566="",C566=""),"",ROUND(H566*O566,2))</f>
        <v/>
      </c>
      <c r="Q566" s="401" t="inlineStr">
        <is>
          <t>母排</t>
        </is>
      </c>
      <c r="R566" s="168" t="inlineStr"/>
      <c r="S566" s="168" t="inlineStr"/>
      <c r="T566" s="168" t="inlineStr">
        <is>
          <t>0</t>
        </is>
      </c>
      <c r="U566" s="168" t="inlineStr">
        <is>
          <t>0</t>
        </is>
      </c>
      <c r="V566" s="402" t="n"/>
      <c r="W566" s="402" t="n"/>
      <c r="X566" s="170" t="inlineStr"/>
    </row>
    <row r="567" s="308">
      <c r="A567" s="64">
        <f>ROW()-ROW(A$555)</f>
        <v/>
      </c>
      <c r="B567" s="22" t="inlineStr">
        <is>
          <t>铜排</t>
        </is>
      </c>
      <c r="C567" s="27" t="inlineStr">
        <is>
          <t>TMY 30*8</t>
        </is>
      </c>
      <c r="D567" s="22" t="inlineStr">
        <is>
          <t>国产优质</t>
        </is>
      </c>
      <c r="E567" s="23" t="inlineStr">
        <is>
          <t>米</t>
        </is>
      </c>
      <c r="F567" s="23" t="n">
        <v>3</v>
      </c>
      <c r="G567" s="349">
        <f>IF(AND(B567="",C567=""),"",ROUND(M567*L567*N567,2))</f>
        <v/>
      </c>
      <c r="H567" s="349">
        <f>IF(AND(B567="",C567=""),"",ROUND(F567*G567,2))</f>
        <v/>
      </c>
      <c r="I567" s="45" t="inlineStr"/>
      <c r="J567" s="397">
        <f>IF(AND(B567="",C567=""),"",ROUND(M567*N567,2))</f>
        <v/>
      </c>
      <c r="K567" s="398">
        <f>IF(AND(B567="",C567=""),"",ROUND(J567*F567,2))</f>
        <v/>
      </c>
      <c r="L567" s="200" t="n">
        <v>1</v>
      </c>
      <c r="M567" s="399" t="n">
        <v>230.91228</v>
      </c>
      <c r="N567" s="154" t="n">
        <v>1</v>
      </c>
      <c r="O567" s="155">
        <f>IF(AND(B567="",C567=""),"",IF(G567&gt;=20000,0.05,IF(G567&gt;=10000,0.1,IF(G567&gt;=5000,0.2,IF(G567&gt;=1000,0.3,IF(G567&gt;=0,0.4,{0}))))))</f>
        <v/>
      </c>
      <c r="P567" s="400">
        <f>IF(AND(B567="",C567=""),"",ROUND(H567*O567,2))</f>
        <v/>
      </c>
      <c r="Q567" s="401" t="inlineStr">
        <is>
          <t>母排</t>
        </is>
      </c>
      <c r="R567" s="168" t="inlineStr"/>
      <c r="S567" s="168" t="inlineStr"/>
      <c r="T567" s="168" t="inlineStr">
        <is>
          <t>0</t>
        </is>
      </c>
      <c r="U567" s="168" t="inlineStr">
        <is>
          <t>0</t>
        </is>
      </c>
      <c r="V567" s="402" t="n"/>
      <c r="W567" s="402" t="n"/>
      <c r="X567" s="170" t="inlineStr"/>
    </row>
    <row r="568" s="308">
      <c r="A568" s="64">
        <f>ROW()-ROW(A$555)</f>
        <v/>
      </c>
      <c r="B568" s="22" t="inlineStr">
        <is>
          <t>线缆</t>
        </is>
      </c>
      <c r="C568" s="27" t="inlineStr">
        <is>
          <t>95mm²</t>
        </is>
      </c>
      <c r="D568" s="22" t="inlineStr">
        <is>
          <t>凯布斯</t>
        </is>
      </c>
      <c r="E568" s="23" t="inlineStr">
        <is>
          <t>米</t>
        </is>
      </c>
      <c r="F568" s="23" t="n">
        <v>9</v>
      </c>
      <c r="G568" s="349">
        <f>IF(AND(B568="",C568=""),"",ROUND(M568*L568*N568,2))</f>
        <v/>
      </c>
      <c r="H568" s="349">
        <f>IF(AND(B568="",C568=""),"",ROUND(F568*G568,2))</f>
        <v/>
      </c>
      <c r="I568" s="45" t="inlineStr"/>
      <c r="J568" s="397">
        <f>IF(AND(B568="",C568=""),"",ROUND(M568*N568,2))</f>
        <v/>
      </c>
      <c r="K568" s="398">
        <f>IF(AND(B568="",C568=""),"",ROUND(J568*F568,2))</f>
        <v/>
      </c>
      <c r="L568" s="200" t="n">
        <v>1</v>
      </c>
      <c r="M568" s="399" t="n">
        <v>86.45</v>
      </c>
      <c r="N568" s="154" t="n">
        <v>1</v>
      </c>
      <c r="O568" s="155">
        <f>IF(AND(B568="",C568=""),"",IF(G568&gt;=20000,0.05,IF(G568&gt;=10000,0.1,IF(G568&gt;=5000,0.2,IF(G568&gt;=1000,0.3,IF(G568&gt;=0,0.4,{0}))))))</f>
        <v/>
      </c>
      <c r="P568" s="400">
        <f>IF(AND(B568="",C568=""),"",ROUND(H568*O568,2))</f>
        <v/>
      </c>
      <c r="Q568" s="401" t="inlineStr">
        <is>
          <t>元件</t>
        </is>
      </c>
      <c r="R568" s="168" t="inlineStr"/>
      <c r="S568" s="168" t="inlineStr"/>
      <c r="T568" s="168" t="inlineStr">
        <is>
          <t>0</t>
        </is>
      </c>
      <c r="U568" s="168" t="inlineStr"/>
      <c r="V568" s="402" t="n"/>
      <c r="W568" s="402" t="n"/>
      <c r="X568" s="170" t="inlineStr">
        <is>
          <t>TMY 60*5</t>
        </is>
      </c>
    </row>
    <row r="569" s="308">
      <c r="A569" s="64">
        <f>ROW()-ROW(A$555)</f>
        <v/>
      </c>
      <c r="B569" s="22" t="inlineStr">
        <is>
          <t>辅料</t>
        </is>
      </c>
      <c r="C569" s="22" t="inlineStr"/>
      <c r="D569" s="22" t="inlineStr"/>
      <c r="E569" s="23" t="inlineStr">
        <is>
          <t>套</t>
        </is>
      </c>
      <c r="F569" s="23" t="n">
        <v>1</v>
      </c>
      <c r="G569" s="349">
        <f>IF(AND(B569="",C569=""),"",ROUND(M569*L569*N569,2))</f>
        <v/>
      </c>
      <c r="H569" s="349">
        <f>IF(AND(B569="",C569=""),"",ROUND(F569*G569,2))</f>
        <v/>
      </c>
      <c r="I569" s="45" t="inlineStr"/>
      <c r="J569" s="397">
        <f>IF(AND(B569="",C569=""),"",ROUND(M569*N569,2))</f>
        <v/>
      </c>
      <c r="K569" s="398">
        <f>IF(AND(B569="",C569=""),"",ROUND(J569*F569,2))</f>
        <v/>
      </c>
      <c r="L569" s="200" t="n">
        <v>1</v>
      </c>
      <c r="M569" s="399" t="n">
        <v>1000</v>
      </c>
      <c r="N569" s="154" t="n">
        <v>1</v>
      </c>
      <c r="O569" s="155">
        <f>IF(AND(B569="",C569=""),"",IF(G569&gt;=20000,0.05,IF(G569&gt;=10000,0.1,IF(G569&gt;=5000,0.2,IF(G569&gt;=1000,0.3,IF(G569&gt;=0,0.4,{0}))))))</f>
        <v/>
      </c>
      <c r="P569" s="400">
        <f>IF(AND(B569="",C569=""),"",ROUND(H569*O569,2))</f>
        <v/>
      </c>
      <c r="Q569" s="401" t="inlineStr">
        <is>
          <t>辅料</t>
        </is>
      </c>
      <c r="R569" s="168" t="inlineStr"/>
      <c r="S569" s="168" t="inlineStr"/>
      <c r="T569" s="168" t="inlineStr">
        <is>
          <t>0</t>
        </is>
      </c>
      <c r="U569" s="168" t="inlineStr">
        <is>
          <t>0</t>
        </is>
      </c>
      <c r="V569" s="402" t="n"/>
      <c r="W569" s="402" t="n"/>
      <c r="X569" s="170" t="inlineStr"/>
    </row>
    <row r="570" s="308">
      <c r="A570" s="64">
        <f>ROW()-ROW(A$555)</f>
        <v/>
      </c>
      <c r="B570" s="22" t="inlineStr">
        <is>
          <t>柜体Blokset</t>
        </is>
      </c>
      <c r="C570" s="22" t="inlineStr">
        <is>
          <t>800W*1200D*2200H</t>
        </is>
      </c>
      <c r="D570" s="22" t="inlineStr">
        <is>
          <t>清科</t>
        </is>
      </c>
      <c r="E570" s="23" t="inlineStr">
        <is>
          <t>台</t>
        </is>
      </c>
      <c r="F570" s="23" t="n">
        <v>1</v>
      </c>
      <c r="G570" s="349">
        <f>IF(AND(B570="",C570=""),"",ROUND(M570*L570*N570,2))</f>
        <v/>
      </c>
      <c r="H570" s="349">
        <f>IF(AND(B570="",C570=""),"",ROUND(F570*G570,2))</f>
        <v/>
      </c>
      <c r="I570" s="45" t="inlineStr"/>
      <c r="J570" s="397">
        <f>IF(AND(B570="",C570=""),"",ROUND(M570*N570,2))</f>
        <v/>
      </c>
      <c r="K570" s="398">
        <f>IF(AND(B570="",C570=""),"",ROUND(J570*F570,2))</f>
        <v/>
      </c>
      <c r="L570" s="200" t="n">
        <v>1</v>
      </c>
      <c r="M570" s="399" t="n">
        <v>4346</v>
      </c>
      <c r="N570" s="154" t="n">
        <v>1</v>
      </c>
      <c r="O570" s="155">
        <f>IF(AND(B570="",C570=""),"",IF(G570&gt;=20000,0.05,IF(G570&gt;=10000,0.1,IF(G570&gt;=5000,0.2,IF(G570&gt;=1000,0.3,IF(G570&gt;=0,0.4,{0}))))))</f>
        <v/>
      </c>
      <c r="P570" s="400">
        <f>IF(AND(B570="",C570=""),"",ROUND(H570*O570,2))</f>
        <v/>
      </c>
      <c r="Q570" s="401" t="inlineStr">
        <is>
          <t>箱体</t>
        </is>
      </c>
      <c r="R570" s="168" t="inlineStr"/>
      <c r="S570" s="168" t="inlineStr"/>
      <c r="T570" s="168" t="inlineStr">
        <is>
          <t>0</t>
        </is>
      </c>
      <c r="U570" s="168" t="inlineStr"/>
      <c r="V570" s="402" t="n"/>
      <c r="W570" s="402" t="n"/>
      <c r="X570" s="170" t="inlineStr">
        <is>
          <t>1300W*1000D*2200H→800W*1000D*2200H BC</t>
        </is>
      </c>
    </row>
    <row r="571" s="308">
      <c r="A571" s="64">
        <f>ROW()-ROW(A$555)</f>
        <v/>
      </c>
      <c r="B571" s="22" t="inlineStr"/>
      <c r="C571" s="22" t="inlineStr"/>
      <c r="D571" s="22" t="inlineStr"/>
      <c r="E571" s="23" t="n"/>
      <c r="F571" s="23">
        <f>IF(AND(B571="",C571=""),"",1)</f>
        <v/>
      </c>
      <c r="G571" s="349">
        <f>IF(AND(B571="",C571=""),"",ROUND(M571*L571*N571,2))</f>
        <v/>
      </c>
      <c r="H571" s="349">
        <f>IF(AND(B571="",C571=""),"",ROUND(F571*G571,2))</f>
        <v/>
      </c>
      <c r="I571" s="45" t="inlineStr"/>
      <c r="J571" s="397">
        <f>IF(AND(B571="",C571=""),"",ROUND(M571*N571,2))</f>
        <v/>
      </c>
      <c r="K571" s="398">
        <f>IF(AND(B571="",C571=""),"",ROUND(J571*F571,2))</f>
        <v/>
      </c>
      <c r="L571" s="200">
        <f>IF(AND(B571="",C571=""),"",1)</f>
        <v/>
      </c>
      <c r="M571" s="399" t="n"/>
      <c r="N571" s="154">
        <f>IF(AND(B571="",C571=""),"",1)</f>
        <v/>
      </c>
      <c r="O571" s="155">
        <f>IF(AND(B571="",C571=""),"",IF(J571&gt;=20000,0.05,IF(J571&gt;=10000,0.1,IF(J571&gt;=5000,0.2,IF(J571&gt;=1000,0.3,IF(J571&gt;=0,0.4,{0}))))))</f>
        <v/>
      </c>
      <c r="P571" s="400">
        <f>IF(AND(B571="",C571=""),"",ROUND(H571*O571,2))</f>
        <v/>
      </c>
      <c r="Q571" s="401">
        <f>IF(AND(B571="",C571=""),"","元件")</f>
        <v/>
      </c>
      <c r="R571" s="168" t="inlineStr"/>
      <c r="S571" s="168" t="inlineStr"/>
      <c r="T571" s="168" t="inlineStr"/>
      <c r="U571" s="168" t="inlineStr"/>
      <c r="V571" s="402" t="n"/>
      <c r="W571" s="402" t="n"/>
      <c r="X571" s="170" t="inlineStr"/>
    </row>
    <row r="572" s="308">
      <c r="A572" s="64">
        <f>ROW()-ROW(A$555)</f>
        <v/>
      </c>
      <c r="B572" s="171" t="inlineStr">
        <is>
          <t>小计</t>
        </is>
      </c>
      <c r="C572" s="172" t="n"/>
      <c r="D572" s="204" t="n"/>
      <c r="E572" s="114" t="n"/>
      <c r="F572" s="114" t="n"/>
      <c r="G572" s="396" t="n"/>
      <c r="H572" s="396">
        <f>ROUND(SUM(H555:INDEX(H:H,ROW()-1)),2)</f>
        <v/>
      </c>
      <c r="I572" s="45" t="inlineStr"/>
      <c r="J572" s="397" t="n"/>
      <c r="K572" s="398">
        <f>ROUND(SUM(K555:INDEX(K:K,ROW()-1)),2)</f>
        <v/>
      </c>
      <c r="L572" s="200" t="n"/>
      <c r="M572" s="399" t="n"/>
      <c r="N572" s="154" t="n"/>
      <c r="O572" s="155" t="n"/>
      <c r="P572" s="400" t="n"/>
      <c r="Q572" s="401" t="n"/>
      <c r="R572" s="168" t="inlineStr"/>
      <c r="S572" s="168" t="inlineStr"/>
      <c r="T572" s="168" t="inlineStr"/>
      <c r="U572" s="168" t="inlineStr"/>
      <c r="V572" s="402">
        <f>ROUND(SUMPRODUCT(F555:INDEX(F:F,ROW()-1),V555:INDEX(V:V,ROW()-1)),2)</f>
        <v/>
      </c>
      <c r="W572" s="402">
        <f>ROUND(SUMPRODUCT(F555:INDEX(F:F,ROW()-1),W555:INDEX(W:W,ROW()-1)),2)</f>
        <v/>
      </c>
      <c r="X572" s="170" t="inlineStr"/>
    </row>
    <row r="573" s="308">
      <c r="A573" s="64">
        <f>ROW()-ROW(A$555)</f>
        <v/>
      </c>
      <c r="B573" s="171" t="inlineStr">
        <is>
          <t>综合费(人工、管理、税金、利润等)</t>
        </is>
      </c>
      <c r="C573" s="172" t="n"/>
      <c r="D573" s="204" t="n"/>
      <c r="E573" s="114" t="n"/>
      <c r="F573" s="114" t="n"/>
      <c r="G573" s="396" t="n"/>
      <c r="H573" s="396">
        <f>2500</f>
        <v/>
      </c>
      <c r="I573" s="45" t="inlineStr"/>
      <c r="J573" s="397" t="n"/>
      <c r="K573" s="398" t="n"/>
      <c r="L573" s="200" t="n"/>
      <c r="M573" s="399" t="n"/>
      <c r="N573" s="154" t="n"/>
      <c r="O573" s="155" t="n"/>
      <c r="P573" s="400" t="n"/>
      <c r="Q573" s="401" t="inlineStr">
        <is>
          <t>费用</t>
        </is>
      </c>
      <c r="R573" s="168" t="inlineStr"/>
      <c r="S573" s="168" t="inlineStr"/>
      <c r="T573" s="168" t="inlineStr"/>
      <c r="U573" s="168" t="inlineStr"/>
      <c r="V573" s="402" t="n"/>
      <c r="W573" s="402" t="n"/>
      <c r="X573" s="170" t="inlineStr"/>
    </row>
    <row r="574" s="308">
      <c r="A574" s="64">
        <f>ROW()-ROW(A$555)</f>
        <v/>
      </c>
      <c r="B574" s="204" t="inlineStr">
        <is>
          <t>单台合计</t>
        </is>
      </c>
      <c r="C574" s="172" t="n"/>
      <c r="D574" s="204" t="n"/>
      <c r="E574" s="114" t="n"/>
      <c r="F574" s="114" t="n"/>
      <c r="G574" s="396" t="n"/>
      <c r="H574" s="396">
        <f>ROUND(SUM(H572:H573),2)</f>
        <v/>
      </c>
      <c r="I574" s="181" t="n"/>
      <c r="J574" s="397" t="n"/>
      <c r="K574" s="398">
        <f>ROUND(SUM(K572:K573),2)</f>
        <v/>
      </c>
      <c r="L574" s="209" t="n"/>
      <c r="M574" s="399" t="n"/>
      <c r="N574" s="210" t="n"/>
      <c r="O574" s="211" t="n"/>
      <c r="P574" s="400" t="n"/>
      <c r="Q574" s="401" t="n"/>
      <c r="R574" s="168" t="inlineStr"/>
      <c r="S574" s="168" t="inlineStr"/>
      <c r="T574" s="168" t="inlineStr"/>
      <c r="U574" s="168" t="inlineStr"/>
      <c r="V574" s="402" t="n"/>
      <c r="W574" s="402" t="n"/>
      <c r="X574" s="170" t="inlineStr"/>
    </row>
    <row r="575" s="308">
      <c r="A575" s="173" t="inlineStr">
        <is>
          <t>总计</t>
        </is>
      </c>
      <c r="B575" s="205" t="n"/>
      <c r="C575" s="175" t="n"/>
      <c r="D575" s="206" t="n"/>
      <c r="E575" s="206" t="inlineStr">
        <is>
          <t>台</t>
        </is>
      </c>
      <c r="F575" s="206" t="n">
        <v>2</v>
      </c>
      <c r="G575" s="414">
        <f>ROUND(H574,2)</f>
        <v/>
      </c>
      <c r="H575" s="414">
        <f>ROUND(F575*G575,2)</f>
        <v/>
      </c>
      <c r="I575" s="185" t="n"/>
      <c r="J575" s="415" t="n"/>
      <c r="K575" s="416">
        <f>ROUND(K574*F575,2)</f>
        <v/>
      </c>
      <c r="L575" s="214" t="n"/>
      <c r="M575" s="417" t="n"/>
      <c r="N575" s="216" t="n"/>
      <c r="O575" s="217" t="n"/>
      <c r="P575" s="418" t="n"/>
      <c r="Q575" s="401" t="n"/>
      <c r="R575" s="168" t="inlineStr"/>
      <c r="S575" s="168" t="inlineStr"/>
      <c r="T575" s="168" t="inlineStr"/>
      <c r="U575" s="168" t="inlineStr"/>
      <c r="V575" s="402" t="n"/>
      <c r="W575" s="402" t="n"/>
      <c r="X575" s="170" t="inlineStr"/>
    </row>
    <row r="576" customFormat="1" s="4">
      <c r="A576" s="6" t="n"/>
      <c r="B576" s="195" t="inlineStr"/>
      <c r="C576" s="195" t="inlineStr"/>
      <c r="D576" s="195" t="inlineStr"/>
      <c r="Q576" s="159" t="n"/>
      <c r="R576" s="159" t="n"/>
      <c r="S576" s="159" t="n"/>
      <c r="T576" s="159" t="n"/>
      <c r="U576" s="159" t="n"/>
      <c r="X576" s="195" t="inlineStr"/>
    </row>
    <row r="577" customFormat="1" s="4">
      <c r="A577" s="6" t="n"/>
      <c r="B577" s="195" t="inlineStr"/>
      <c r="C577" s="195" t="inlineStr"/>
      <c r="D577" s="195" t="inlineStr"/>
      <c r="Q577" s="159" t="n"/>
      <c r="R577" s="159" t="n"/>
      <c r="S577" s="159" t="n"/>
      <c r="T577" s="159" t="n"/>
      <c r="U577" s="159" t="n"/>
      <c r="X577" s="195" t="inlineStr"/>
    </row>
    <row r="578" s="308">
      <c r="A578" s="208">
        <f>CONCATENATE("报价人：",项目信息!$B$8)</f>
        <v/>
      </c>
      <c r="B578" s="208" t="n"/>
      <c r="C578" s="4" t="n"/>
      <c r="D578" s="4" t="n"/>
      <c r="E578" s="4" t="n"/>
      <c r="F578" s="4" t="n"/>
      <c r="G578" s="4" t="n"/>
      <c r="H578" s="178">
        <f>项目信息!$B$9</f>
        <v/>
      </c>
      <c r="Q578" s="159" t="n"/>
      <c r="R578" s="159" t="n"/>
      <c r="S578" s="159" t="n"/>
      <c r="T578" s="159" t="n"/>
      <c r="U578" s="159" t="n"/>
      <c r="X578" s="203" t="inlineStr"/>
    </row>
    <row r="579" s="308">
      <c r="A579" s="8">
        <f>T(项目信息!$B$22)</f>
        <v/>
      </c>
      <c r="Q579" s="159" t="n"/>
      <c r="R579" s="159" t="n"/>
      <c r="S579" s="159" t="n"/>
      <c r="T579" s="159" t="n"/>
      <c r="U579" s="159" t="n"/>
    </row>
    <row r="580" s="308">
      <c r="A580" s="9">
        <f>T(项目信息!$B$23)</f>
        <v/>
      </c>
      <c r="Q580" s="159" t="n"/>
      <c r="R580" s="159" t="n"/>
      <c r="S580" s="159" t="n"/>
      <c r="T580" s="159" t="n"/>
      <c r="U580" s="159" t="n"/>
    </row>
    <row r="581" s="308">
      <c r="A581" s="97" t="inlineStr">
        <is>
          <t>成套产品报价明细表</t>
        </is>
      </c>
      <c r="B581" s="378" t="n"/>
      <c r="C581" s="378" t="n"/>
      <c r="D581" s="378" t="n"/>
      <c r="E581" s="378" t="n"/>
      <c r="F581" s="378" t="n"/>
      <c r="G581" s="378" t="n"/>
      <c r="H581" s="378" t="n"/>
      <c r="I581" s="378" t="n"/>
      <c r="Q581" s="159" t="n"/>
      <c r="R581" s="159" t="n"/>
      <c r="S581" s="159" t="n"/>
      <c r="T581" s="159" t="n"/>
      <c r="U581" s="159" t="n"/>
    </row>
    <row r="582" customFormat="1" s="4">
      <c r="A582" s="98" t="inlineStr">
        <is>
          <t>柜号:</t>
        </is>
      </c>
      <c r="B582" s="99" t="inlineStr">
        <is>
          <t>AAN3-03、BAN4-03</t>
        </is>
      </c>
      <c r="C582" s="100" t="inlineStr">
        <is>
          <t>型号:</t>
        </is>
      </c>
      <c r="D582" s="99" t="inlineStr">
        <is>
          <t>BlokSeT</t>
        </is>
      </c>
      <c r="E582" s="379" t="n"/>
      <c r="F582" s="101" t="inlineStr">
        <is>
          <t>名称:</t>
        </is>
      </c>
      <c r="G582" s="99" t="inlineStr">
        <is>
          <t>馈线柜</t>
        </is>
      </c>
      <c r="H582" s="379" t="n"/>
      <c r="I582" s="408" t="inlineStr"/>
      <c r="J582" s="194" t="inlineStr">
        <is>
          <t>箱柜尺寸:</t>
        </is>
      </c>
      <c r="K582" s="195" t="inlineStr">
        <is>
          <t>400W*1200D*2200H</t>
        </is>
      </c>
      <c r="L582" s="194" t="inlineStr">
        <is>
          <t>类别:</t>
        </is>
      </c>
      <c r="M582" s="195" t="inlineStr">
        <is>
          <t>低压固定柜</t>
        </is>
      </c>
      <c r="N582" s="409" t="inlineStr"/>
      <c r="Q582" s="159" t="n"/>
      <c r="R582" s="159" t="n"/>
      <c r="S582" s="159" t="n"/>
      <c r="T582" s="159" t="n"/>
      <c r="U582" s="159" t="n"/>
    </row>
    <row r="583" ht="20.1" customHeight="1" s="308">
      <c r="A583" s="102" t="inlineStr">
        <is>
          <t>序号</t>
        </is>
      </c>
      <c r="B583" s="103" t="inlineStr">
        <is>
          <t>元件名称</t>
        </is>
      </c>
      <c r="C583" s="103" t="inlineStr">
        <is>
          <t>型号规格</t>
        </is>
      </c>
      <c r="D583" s="104" t="inlineStr">
        <is>
          <t>生产厂家</t>
        </is>
      </c>
      <c r="E583" s="105" t="inlineStr">
        <is>
          <t>单位</t>
        </is>
      </c>
      <c r="F583" s="105" t="inlineStr">
        <is>
          <t>数量</t>
        </is>
      </c>
      <c r="G583" s="382" t="inlineStr">
        <is>
          <t>单   价</t>
        </is>
      </c>
      <c r="H583" s="383" t="inlineStr">
        <is>
          <t>总   价</t>
        </is>
      </c>
      <c r="I583" s="134" t="inlineStr">
        <is>
          <t>备注</t>
        </is>
      </c>
      <c r="J583" s="384" t="inlineStr">
        <is>
          <t>成本单价</t>
        </is>
      </c>
      <c r="K583" s="384" t="inlineStr">
        <is>
          <t>成本总价</t>
        </is>
      </c>
      <c r="L583" s="136" t="inlineStr">
        <is>
          <t>报出
系数</t>
        </is>
      </c>
      <c r="M583" s="384" t="inlineStr">
        <is>
          <t>表价</t>
        </is>
      </c>
      <c r="N583" s="136" t="inlineStr">
        <is>
          <t>折扣
系数</t>
        </is>
      </c>
      <c r="O583" s="137" t="inlineStr">
        <is>
          <t>取费
系数</t>
        </is>
      </c>
      <c r="P583" s="384" t="inlineStr">
        <is>
          <t>成套费</t>
        </is>
      </c>
      <c r="Q583" s="161" t="inlineStr">
        <is>
          <t>类别</t>
        </is>
      </c>
      <c r="R583" s="161" t="inlineStr">
        <is>
          <t>物料编码</t>
        </is>
      </c>
      <c r="S583" s="161" t="inlineStr">
        <is>
          <t>产地</t>
        </is>
      </c>
      <c r="T583" s="161" t="inlineStr">
        <is>
          <t>加工费</t>
        </is>
      </c>
      <c r="U583" s="161" t="inlineStr">
        <is>
          <t>订货号</t>
        </is>
      </c>
      <c r="V583" s="161" t="inlineStr">
        <is>
          <t>人工</t>
        </is>
      </c>
      <c r="W583" s="161" t="inlineStr">
        <is>
          <t>辅料</t>
        </is>
      </c>
      <c r="X583" s="203" t="inlineStr"/>
    </row>
    <row r="584" s="308">
      <c r="A584" s="64">
        <f>ROW()-ROW(A$583)</f>
        <v/>
      </c>
      <c r="B584" s="22" t="inlineStr">
        <is>
          <t>框架断路器</t>
        </is>
      </c>
      <c r="C584" s="22" t="inlineStr">
        <is>
          <t>MT10 N1a SG 3P MIC5.0 E</t>
        </is>
      </c>
      <c r="D584" s="22" t="inlineStr">
        <is>
          <t>甲供/施耐德电气</t>
        </is>
      </c>
      <c r="E584" s="23" t="inlineStr">
        <is>
          <t>只</t>
        </is>
      </c>
      <c r="F584" s="23" t="n">
        <v>2</v>
      </c>
      <c r="G584" s="349">
        <f>IF(AND(B584="",C584=""),"",ROUND(M584*L584*N584,2))</f>
        <v/>
      </c>
      <c r="H584" s="349">
        <f>IF(AND(B584="",C584=""),"",ROUND(F584*G584,2))</f>
        <v/>
      </c>
      <c r="I584" s="45" t="inlineStr"/>
      <c r="J584" s="397">
        <f>IF(AND(B584="",C584=""),"",ROUND(M584*N584,2))</f>
        <v/>
      </c>
      <c r="K584" s="398">
        <f>IF(AND(B584="",C584=""),"",ROUND(J584*F584,2))</f>
        <v/>
      </c>
      <c r="L584" s="200" t="n">
        <v>1</v>
      </c>
      <c r="M584" s="399" t="n">
        <v>1e-07</v>
      </c>
      <c r="N584" s="154" t="n">
        <v>1</v>
      </c>
      <c r="O584" s="155">
        <f>IF(AND(B584="",C584=""),"",IF(G584&gt;=20000,0.05,IF(G584&gt;=10000,0.1,IF(G584&gt;=5000,0.2,IF(G584&gt;=1000,0.3,IF(G584&gt;=0,0.4,{0}))))))</f>
        <v/>
      </c>
      <c r="P584" s="400">
        <f>IF(AND(B584="",C584=""),"",ROUND(H584*O584,2))</f>
        <v/>
      </c>
      <c r="Q584" s="401" t="inlineStr">
        <is>
          <t>元件</t>
        </is>
      </c>
      <c r="R584" s="168" t="inlineStr"/>
      <c r="S584" s="168" t="inlineStr"/>
      <c r="T584" s="168" t="inlineStr">
        <is>
          <t>0</t>
        </is>
      </c>
      <c r="U584" s="168" t="inlineStr">
        <is>
          <t>C16F32D160</t>
        </is>
      </c>
      <c r="V584" s="402" t="n"/>
      <c r="W584" s="402" t="n"/>
      <c r="X584" s="170" t="inlineStr">
        <is>
          <t>NSX630N Mic2.3 630A 3P3D F→NSX630F MIC2.3 630 3P F→NSX630F MIC 2.3 630 3P F</t>
        </is>
      </c>
    </row>
    <row r="585" s="308">
      <c r="A585" s="64">
        <f>ROW()-ROW(A$583)</f>
        <v/>
      </c>
      <c r="B585" s="22" t="inlineStr">
        <is>
          <t>电流互感器</t>
        </is>
      </c>
      <c r="C585" s="22" t="inlineStr">
        <is>
          <t>SD-0.66-80II-V 1000/5A</t>
        </is>
      </c>
      <c r="D585" s="22" t="inlineStr">
        <is>
          <t>桑迪</t>
        </is>
      </c>
      <c r="E585" s="23" t="inlineStr">
        <is>
          <t>只</t>
        </is>
      </c>
      <c r="F585" s="23" t="n">
        <v>6</v>
      </c>
      <c r="G585" s="349">
        <f>IF(AND(B585="",C585=""),"",ROUND(M585*L585*N585,2))</f>
        <v/>
      </c>
      <c r="H585" s="396">
        <f>IF(AND(B585="",C585=""),"",ROUND(F585*G585,2))</f>
        <v/>
      </c>
      <c r="I585" s="219" t="inlineStr"/>
      <c r="J585" s="397">
        <f>IF(AND(B585="",C585=""),"",ROUND(M585*N585,2))</f>
        <v/>
      </c>
      <c r="K585" s="398">
        <f>IF(AND(B585="",C585=""),"",ROUND(J585*F585,2))</f>
        <v/>
      </c>
      <c r="L585" s="200" t="n">
        <v>1</v>
      </c>
      <c r="M585" s="399" t="n">
        <v>91.65000000000001</v>
      </c>
      <c r="N585" s="154" t="n">
        <v>1</v>
      </c>
      <c r="O585" s="155">
        <f>IF(AND(B585="",C585=""),"",IF(G585&gt;=20000,0.05,IF(G585&gt;=10000,0.1,IF(G585&gt;=5000,0.2,IF(G585&gt;=1000,0.3,IF(G585&gt;=0,0.4,{0}))))))</f>
        <v/>
      </c>
      <c r="P585" s="400">
        <f>IF(AND(B585="",C585=""),"",ROUND(H585*O585,2))</f>
        <v/>
      </c>
      <c r="Q585" s="401" t="inlineStr">
        <is>
          <t>元件</t>
        </is>
      </c>
      <c r="R585" s="168" t="inlineStr"/>
      <c r="S585" s="168" t="inlineStr"/>
      <c r="T585" s="168" t="inlineStr">
        <is>
          <t>0</t>
        </is>
      </c>
      <c r="U585" s="168" t="inlineStr">
        <is>
          <t>710141426552500</t>
        </is>
      </c>
      <c r="V585" s="402" t="n"/>
      <c r="W585" s="402" t="n"/>
      <c r="X585" s="170" t="inlineStr">
        <is>
          <t>SD→SD-0.66-40II-C 400/5A→SD-0.66-30I 250/5A→SD-0.66-30I 150/5A→SD-0.66-60II-C 750/5A→SD-0.66-60II-C 600/5A→SD-0.66-30I 150/5A→SD-0.66-40II-C 400/5A→SD-0.66-100II-C 1600/5A</t>
        </is>
      </c>
    </row>
    <row r="586" s="308">
      <c r="A586" s="64">
        <f>ROW()-ROW(A$583)</f>
        <v/>
      </c>
      <c r="B586" s="112" t="inlineStr">
        <is>
          <t>多功能表</t>
        </is>
      </c>
      <c r="C586" s="112" t="inlineStr">
        <is>
          <t>PM4101</t>
        </is>
      </c>
      <c r="D586" s="112" t="inlineStr">
        <is>
          <t>甲供/施耐德电气</t>
        </is>
      </c>
      <c r="E586" s="114" t="inlineStr">
        <is>
          <t>只</t>
        </is>
      </c>
      <c r="F586" s="114" t="n">
        <v>2</v>
      </c>
      <c r="G586" s="396">
        <f>IF(AND(B586="",C586=""),"",ROUND(M586*L586*N586,2))</f>
        <v/>
      </c>
      <c r="H586" s="349">
        <f>IF(AND(B586="",C586=""),"",ROUND(F586*G586,2))</f>
        <v/>
      </c>
      <c r="I586" s="45" t="inlineStr"/>
      <c r="J586" s="397">
        <f>IF(AND(B586="",C586=""),"",ROUND(M586*N586,2))</f>
        <v/>
      </c>
      <c r="K586" s="398">
        <f>IF(AND(B586="",C586=""),"",ROUND(J586*F586,2))</f>
        <v/>
      </c>
      <c r="L586" s="200" t="n">
        <v>1</v>
      </c>
      <c r="M586" s="399" t="n">
        <v>1e-07</v>
      </c>
      <c r="N586" s="154" t="n">
        <v>1</v>
      </c>
      <c r="O586" s="155">
        <f>IF(AND(B586="",C586=""),"",IF(J586&gt;=20000,0.05,IF(J586&gt;=10000,0.1,IF(J586&gt;=5000,0.2,IF(J586&gt;=1000,0.3,IF(J586&gt;=0,0.4,{0}))))))</f>
        <v/>
      </c>
      <c r="P586" s="400">
        <f>IF(AND(B586="",C586=""),"",ROUND(H586*O586,2))</f>
        <v/>
      </c>
      <c r="Q586" s="401" t="inlineStr">
        <is>
          <t>元件</t>
        </is>
      </c>
      <c r="R586" s="168" t="inlineStr"/>
      <c r="S586" s="168" t="inlineStr"/>
      <c r="T586" s="168" t="inlineStr">
        <is>
          <t>0</t>
        </is>
      </c>
      <c r="U586" s="168" t="inlineStr"/>
      <c r="V586" s="402" t="n"/>
      <c r="W586" s="402" t="n"/>
      <c r="X586" s="170" t="inlineStr"/>
    </row>
    <row r="587" customFormat="1" s="3">
      <c r="A587" s="64">
        <f>ROW()-ROW(A$583)</f>
        <v/>
      </c>
      <c r="B587" s="22" t="inlineStr">
        <is>
          <t>指示灯</t>
        </is>
      </c>
      <c r="C587" s="22" t="inlineStr">
        <is>
          <t>XB2BVM3LC</t>
        </is>
      </c>
      <c r="D587" s="22" t="inlineStr">
        <is>
          <t>甲供/施耐德电气</t>
        </is>
      </c>
      <c r="E587" s="23" t="inlineStr">
        <is>
          <t>只</t>
        </is>
      </c>
      <c r="F587" s="23" t="n">
        <v>2</v>
      </c>
      <c r="G587" s="349">
        <f>IF(AND(B587="",C587=""),"",ROUND(M587*L587*N587,2))</f>
        <v/>
      </c>
      <c r="H587" s="353">
        <f>IF(AND(B587="",C587=""),"",ROUND(F587*G587,2))</f>
        <v/>
      </c>
      <c r="I587" s="180" t="inlineStr"/>
      <c r="J587" s="392">
        <f>IF(AND(B587="",C587=""),"",ROUND(M587*N587,2))</f>
        <v/>
      </c>
      <c r="K587" s="393">
        <f>IF(AND(B587="",C587=""),"",ROUND(J587*F587,2))</f>
        <v/>
      </c>
      <c r="L587" s="141" t="n">
        <v>1</v>
      </c>
      <c r="M587" s="394" t="n">
        <v>1e-07</v>
      </c>
      <c r="N587" s="220" t="n">
        <v>1</v>
      </c>
      <c r="O587" s="221">
        <f>IF(AND(B587="",C587=""),"",IF(G587&gt;=20000,0.05,IF(G587&gt;=10000,0.1,IF(G587&gt;=5000,0.2,IF(G587&gt;=1000,0.3,IF(G587&gt;=0,0.4,{0}))))))</f>
        <v/>
      </c>
      <c r="P587" s="419">
        <f>IF(AND(B587="",C587=""),"",ROUND(H587*O587,2))</f>
        <v/>
      </c>
      <c r="Q587" s="420" t="inlineStr">
        <is>
          <t>元件</t>
        </is>
      </c>
      <c r="R587" s="231" t="inlineStr"/>
      <c r="S587" s="231" t="inlineStr"/>
      <c r="T587" s="231" t="inlineStr">
        <is>
          <t>0</t>
        </is>
      </c>
      <c r="U587" s="231" t="inlineStr">
        <is>
          <t>XB2BVM3LC</t>
        </is>
      </c>
      <c r="V587" s="421" t="n"/>
      <c r="W587" s="421" t="n"/>
      <c r="X587" s="166" t="inlineStr">
        <is>
          <t>XA2EVM3LC</t>
        </is>
      </c>
    </row>
    <row r="588" customFormat="1" s="3">
      <c r="A588" s="64">
        <f>ROW()-ROW(A$583)</f>
        <v/>
      </c>
      <c r="B588" s="22" t="inlineStr">
        <is>
          <t>指示灯</t>
        </is>
      </c>
      <c r="C588" s="22" t="inlineStr">
        <is>
          <t>XB2BVM4LC</t>
        </is>
      </c>
      <c r="D588" s="22" t="inlineStr">
        <is>
          <t>甲供/施耐德电气</t>
        </is>
      </c>
      <c r="E588" s="23" t="inlineStr">
        <is>
          <t>只</t>
        </is>
      </c>
      <c r="F588" s="23" t="n">
        <v>2</v>
      </c>
      <c r="G588" s="349">
        <f>IF(AND(B588="",C588=""),"",ROUND(M588*L588*N588,2))</f>
        <v/>
      </c>
      <c r="H588" s="353">
        <f>IF(AND(B588="",C588=""),"",ROUND(F588*G588,2))</f>
        <v/>
      </c>
      <c r="I588" s="180" t="inlineStr"/>
      <c r="J588" s="392">
        <f>IF(AND(B588="",C588=""),"",ROUND(M588*N588,2))</f>
        <v/>
      </c>
      <c r="K588" s="393">
        <f>IF(AND(B588="",C588=""),"",ROUND(J588*F588,2))</f>
        <v/>
      </c>
      <c r="L588" s="141" t="n">
        <v>1</v>
      </c>
      <c r="M588" s="394" t="n">
        <v>1e-07</v>
      </c>
      <c r="N588" s="220" t="n">
        <v>1</v>
      </c>
      <c r="O588" s="221">
        <f>IF(AND(B588="",C588=""),"",IF(G588&gt;=20000,0.05,IF(G588&gt;=10000,0.1,IF(G588&gt;=5000,0.2,IF(G588&gt;=1000,0.3,IF(G588&gt;=0,0.4,{0}))))))</f>
        <v/>
      </c>
      <c r="P588" s="419">
        <f>IF(AND(B588="",C588=""),"",ROUND(H588*O588,2))</f>
        <v/>
      </c>
      <c r="Q588" s="420" t="inlineStr">
        <is>
          <t>元件</t>
        </is>
      </c>
      <c r="R588" s="231" t="inlineStr"/>
      <c r="S588" s="231" t="inlineStr"/>
      <c r="T588" s="231" t="inlineStr">
        <is>
          <t>0</t>
        </is>
      </c>
      <c r="U588" s="231" t="inlineStr">
        <is>
          <t>XB2BVM4LC</t>
        </is>
      </c>
      <c r="V588" s="421" t="n"/>
      <c r="W588" s="421" t="n"/>
      <c r="X588" s="166" t="inlineStr">
        <is>
          <t>XA2EVM4LC</t>
        </is>
      </c>
    </row>
    <row r="589" s="308">
      <c r="A589" s="64">
        <f>ROW()-ROW(A$583)</f>
        <v/>
      </c>
      <c r="B589" s="112" t="inlineStr">
        <is>
          <t>指示灯</t>
        </is>
      </c>
      <c r="C589" s="112" t="inlineStr">
        <is>
          <t>XB2BVM5LC</t>
        </is>
      </c>
      <c r="D589" s="112" t="inlineStr">
        <is>
          <t>甲供/施耐德电气</t>
        </is>
      </c>
      <c r="E589" s="114" t="inlineStr">
        <is>
          <t>只</t>
        </is>
      </c>
      <c r="F589" s="114" t="n">
        <v>2</v>
      </c>
      <c r="G589" s="396">
        <f>IF(AND(B589="",C589=""),"",ROUND(M589*L589*N589,2))</f>
        <v/>
      </c>
      <c r="H589" s="396">
        <f>IF(AND(B589="",C589=""),"",ROUND(F589*G589,2))</f>
        <v/>
      </c>
      <c r="I589" s="150" t="inlineStr"/>
      <c r="J589" s="397">
        <f>IF(AND(B589="",C589=""),"",ROUND(M589*N589,2))</f>
        <v/>
      </c>
      <c r="K589" s="398">
        <f>IF(AND(B589="",C589=""),"",ROUND(J589*F589,2))</f>
        <v/>
      </c>
      <c r="L589" s="141" t="n">
        <v>1</v>
      </c>
      <c r="M589" s="399" t="n">
        <v>1e-07</v>
      </c>
      <c r="N589" s="154" t="n">
        <v>1</v>
      </c>
      <c r="O589" s="155">
        <f>IF(AND(B589="",C589=""),"",IF(G589&gt;=20000,0.05,IF(G589&gt;=10000,0.1,IF(G589&gt;=5000,0.2,IF(G589&gt;=1000,0.3,IF(G589&gt;=0,0.4,{0}))))))</f>
        <v/>
      </c>
      <c r="P589" s="400">
        <f>IF(AND(B589="",C589=""),"",ROUND(H589*O589,2))</f>
        <v/>
      </c>
      <c r="Q589" s="401" t="inlineStr">
        <is>
          <t>元件</t>
        </is>
      </c>
      <c r="R589" s="168" t="inlineStr"/>
      <c r="S589" s="168" t="inlineStr"/>
      <c r="T589" s="168" t="inlineStr">
        <is>
          <t>0</t>
        </is>
      </c>
      <c r="U589" s="168" t="inlineStr">
        <is>
          <t>XA2EVM5LC</t>
        </is>
      </c>
      <c r="V589" s="402" t="n"/>
      <c r="W589" s="402" t="n"/>
      <c r="X589" s="170" t="inlineStr"/>
    </row>
    <row r="590" s="308">
      <c r="A590" s="64">
        <f>ROW()-ROW(A$583)</f>
        <v/>
      </c>
      <c r="B590" s="112" t="inlineStr">
        <is>
          <t>按钮</t>
        </is>
      </c>
      <c r="C590" s="112" t="inlineStr">
        <is>
          <t>XB2BA31C</t>
        </is>
      </c>
      <c r="D590" s="112" t="inlineStr">
        <is>
          <t>甲供/施耐德电气</t>
        </is>
      </c>
      <c r="E590" s="114" t="inlineStr">
        <is>
          <t>只</t>
        </is>
      </c>
      <c r="F590" s="114" t="n">
        <v>2</v>
      </c>
      <c r="G590" s="396">
        <f>IF(AND(B590="",C590=""),"",ROUND(M590*L590*N590,2))</f>
        <v/>
      </c>
      <c r="H590" s="396">
        <f>IF(AND(B590="",C590=""),"",ROUND(F590*G590,2))</f>
        <v/>
      </c>
      <c r="I590" s="150" t="inlineStr"/>
      <c r="J590" s="397">
        <f>IF(AND(B590="",C590=""),"",ROUND(M590*N590,2))</f>
        <v/>
      </c>
      <c r="K590" s="398">
        <f>IF(AND(B590="",C590=""),"",ROUND(J590*F590,2))</f>
        <v/>
      </c>
      <c r="L590" s="141" t="n">
        <v>1</v>
      </c>
      <c r="M590" s="399" t="n">
        <v>1e-07</v>
      </c>
      <c r="N590" s="154" t="n">
        <v>1</v>
      </c>
      <c r="O590" s="155">
        <f>IF(AND(B590="",C590=""),"",IF(G590&gt;=20000,0.05,IF(G590&gt;=10000,0.1,IF(G590&gt;=5000,0.2,IF(G590&gt;=1000,0.3,IF(G590&gt;=0,0.4,{0}))))))</f>
        <v/>
      </c>
      <c r="P590" s="400">
        <f>IF(AND(B590="",C590=""),"",ROUND(H590*O590,2))</f>
        <v/>
      </c>
      <c r="Q590" s="401" t="inlineStr">
        <is>
          <t>元件</t>
        </is>
      </c>
      <c r="R590" s="168" t="inlineStr"/>
      <c r="S590" s="168" t="inlineStr"/>
      <c r="T590" s="168" t="inlineStr">
        <is>
          <t>0</t>
        </is>
      </c>
      <c r="U590" s="168" t="inlineStr">
        <is>
          <t>XB2BA31C</t>
        </is>
      </c>
      <c r="V590" s="402" t="n"/>
      <c r="W590" s="402" t="n"/>
      <c r="X590" s="170" t="inlineStr">
        <is>
          <t>XA2EA31</t>
        </is>
      </c>
    </row>
    <row r="591" s="308">
      <c r="A591" s="64">
        <f>ROW()-ROW(A$583)</f>
        <v/>
      </c>
      <c r="B591" s="22" t="inlineStr">
        <is>
          <t>按钮</t>
        </is>
      </c>
      <c r="C591" s="22" t="inlineStr">
        <is>
          <t>XB2BA42C</t>
        </is>
      </c>
      <c r="D591" s="22" t="inlineStr">
        <is>
          <t>甲供/施耐德电气</t>
        </is>
      </c>
      <c r="E591" s="23" t="inlineStr">
        <is>
          <t>只</t>
        </is>
      </c>
      <c r="F591" s="23" t="n">
        <v>2</v>
      </c>
      <c r="G591" s="349">
        <f>IF(AND(B591="",C591=""),"",ROUND(M591*L591*N591,2))</f>
        <v/>
      </c>
      <c r="H591" s="396">
        <f>IF(AND(B591="",C591=""),"",ROUND(F591*G591,2))</f>
        <v/>
      </c>
      <c r="I591" s="150" t="inlineStr"/>
      <c r="J591" s="397">
        <f>IF(AND(B591="",C591=""),"",ROUND(M591*N591,2))</f>
        <v/>
      </c>
      <c r="K591" s="398">
        <f>IF(AND(B591="",C591=""),"",ROUND(J591*F591,2))</f>
        <v/>
      </c>
      <c r="L591" s="141" t="n">
        <v>1</v>
      </c>
      <c r="M591" s="399" t="n">
        <v>1e-07</v>
      </c>
      <c r="N591" s="154" t="n">
        <v>1</v>
      </c>
      <c r="O591" s="155">
        <f>IF(AND(B591="",C591=""),"",IF(G591&gt;=20000,0.05,IF(G591&gt;=10000,0.1,IF(G591&gt;=5000,0.2,IF(G591&gt;=1000,0.3,IF(G591&gt;=0,0.4,{0}))))))</f>
        <v/>
      </c>
      <c r="P591" s="400">
        <f>IF(AND(B591="",C591=""),"",ROUND(H591*O591,2))</f>
        <v/>
      </c>
      <c r="Q591" s="401" t="inlineStr">
        <is>
          <t>元件</t>
        </is>
      </c>
      <c r="R591" s="168" t="inlineStr"/>
      <c r="S591" s="168" t="inlineStr"/>
      <c r="T591" s="168" t="inlineStr">
        <is>
          <t>0</t>
        </is>
      </c>
      <c r="U591" s="168" t="inlineStr">
        <is>
          <t>XB2BA42C</t>
        </is>
      </c>
      <c r="V591" s="402" t="n"/>
      <c r="W591" s="402" t="n"/>
      <c r="X591" s="170" t="inlineStr">
        <is>
          <t>XA2EA41</t>
        </is>
      </c>
    </row>
    <row r="592" s="308">
      <c r="A592" s="64">
        <f>ROW()-ROW(A$583)</f>
        <v/>
      </c>
      <c r="B592" s="112" t="inlineStr">
        <is>
          <t>温湿度控制器</t>
        </is>
      </c>
      <c r="C592" s="112" t="inlineStr">
        <is>
          <t>ATH48G-11</t>
        </is>
      </c>
      <c r="D592" s="22" t="inlineStr">
        <is>
          <t>杭州安廷</t>
        </is>
      </c>
      <c r="E592" s="23" t="inlineStr">
        <is>
          <t>套</t>
        </is>
      </c>
      <c r="F592" s="23" t="n">
        <v>1</v>
      </c>
      <c r="G592" s="349">
        <f>IF(AND(B592="",C592=""),"",ROUND(M592*L592*N592,2))</f>
        <v/>
      </c>
      <c r="H592" s="396">
        <f>IF(AND(B592="",C592=""),"",ROUND(F592*G592,2))</f>
        <v/>
      </c>
      <c r="I592" s="150" t="inlineStr"/>
      <c r="J592" s="397">
        <f>IF(AND(B592="",C592=""),"",ROUND(M592*N592,2))</f>
        <v/>
      </c>
      <c r="K592" s="398">
        <f>IF(AND(B592="",C592=""),"",ROUND(J592*F592,2))</f>
        <v/>
      </c>
      <c r="L592" s="141" t="n">
        <v>1</v>
      </c>
      <c r="M592" s="399" t="n">
        <v>450</v>
      </c>
      <c r="N592" s="154" t="n">
        <v>1</v>
      </c>
      <c r="O592" s="155">
        <f>IF(AND(B592="",C592=""),"",IF(G592&gt;=20000,0.05,IF(G592&gt;=10000,0.1,IF(G592&gt;=5000,0.2,IF(G592&gt;=1000,0.3,IF(G592&gt;=0,0.4,{0}))))))</f>
        <v/>
      </c>
      <c r="P592" s="400">
        <f>IF(AND(B592="",C592=""),"",ROUND(H592*O592,2))</f>
        <v/>
      </c>
      <c r="Q592" s="401" t="inlineStr">
        <is>
          <t>元件</t>
        </is>
      </c>
      <c r="R592" s="168" t="inlineStr"/>
      <c r="S592" s="168" t="inlineStr"/>
      <c r="T592" s="168" t="inlineStr">
        <is>
          <t>0</t>
        </is>
      </c>
      <c r="U592" s="168" t="inlineStr"/>
      <c r="V592" s="402" t="n"/>
      <c r="W592" s="402" t="n"/>
      <c r="X592" s="170" t="inlineStr"/>
    </row>
    <row r="593" s="308">
      <c r="A593" s="64">
        <f>ROW()-ROW(A$583)</f>
        <v/>
      </c>
      <c r="B593" s="22" t="inlineStr">
        <is>
          <t>中间继电器</t>
        </is>
      </c>
      <c r="C593" s="22" t="inlineStr">
        <is>
          <t>RXM4AB2P7+RXZE2S114M+RXZ400</t>
        </is>
      </c>
      <c r="D593" s="22" t="inlineStr">
        <is>
          <t>甲供/施耐德电气</t>
        </is>
      </c>
      <c r="E593" s="23" t="inlineStr">
        <is>
          <t>只</t>
        </is>
      </c>
      <c r="F593" s="23" t="n">
        <v>4</v>
      </c>
      <c r="G593" s="349">
        <f>IF(AND(B593="",C593=""),"",ROUND(M593*L593*N593,2))</f>
        <v/>
      </c>
      <c r="H593" s="349">
        <f>IF(AND(B593="",C593=""),"",ROUND(F593*G593,2))</f>
        <v/>
      </c>
      <c r="I593" s="45" t="inlineStr"/>
      <c r="J593" s="397">
        <f>IF(AND(B593="",C593=""),"",ROUND(M593*N593,2))</f>
        <v/>
      </c>
      <c r="K593" s="398">
        <f>IF(AND(B593="",C593=""),"",ROUND(J593*F593,2))</f>
        <v/>
      </c>
      <c r="L593" s="141" t="n">
        <v>1</v>
      </c>
      <c r="M593" s="399" t="n">
        <v>1e-07</v>
      </c>
      <c r="N593" s="154" t="n">
        <v>1</v>
      </c>
      <c r="O593" s="155">
        <f>IF(AND(B593="",C593=""),"",IF(G593&gt;=20000,0.05,IF(G593&gt;=10000,0.1,IF(G593&gt;=5000,0.2,IF(G593&gt;=1000,0.3,IF(G593&gt;=0,0.4,{0}))))))</f>
        <v/>
      </c>
      <c r="P593" s="400">
        <f>IF(AND(B593="",C593=""),"",ROUND(H593*O593,2))</f>
        <v/>
      </c>
      <c r="Q593" s="401" t="inlineStr">
        <is>
          <t>元件</t>
        </is>
      </c>
      <c r="R593" s="168" t="inlineStr"/>
      <c r="S593" s="168" t="inlineStr"/>
      <c r="T593" s="168" t="inlineStr">
        <is>
          <t>0</t>
        </is>
      </c>
      <c r="U593" s="168" t="inlineStr">
        <is>
          <t>RXM4AB2P7+RXZE2S114M+RXZ400</t>
        </is>
      </c>
      <c r="V593" s="402" t="n"/>
      <c r="W593" s="402" t="n"/>
      <c r="X593" s="170" t="inlineStr">
        <is>
          <t>REL-IR-BL/L-230AC/4X21，含底座→RXM4AB2P7+RXZE2S114M+RXZ400→REL-IR-BL/L-230AC/4X21，含底座</t>
        </is>
      </c>
    </row>
    <row r="594" customFormat="1" s="3">
      <c r="A594" s="64">
        <f>ROW()-ROW(A$583)</f>
        <v/>
      </c>
      <c r="B594" s="22" t="inlineStr">
        <is>
          <t>带熔丝端子</t>
        </is>
      </c>
      <c r="C594" s="22" t="inlineStr">
        <is>
          <t>UK 5-HESI</t>
        </is>
      </c>
      <c r="D594" s="22" t="inlineStr">
        <is>
          <t>菲尼克斯</t>
        </is>
      </c>
      <c r="E594" s="23" t="inlineStr">
        <is>
          <t>只</t>
        </is>
      </c>
      <c r="F594" s="23" t="n">
        <v>8</v>
      </c>
      <c r="G594" s="349">
        <f>IF(AND(B594="",C594=""),"",ROUND(M594*L594*N594,2))</f>
        <v/>
      </c>
      <c r="H594" s="349">
        <f>IF(AND(B594="",C594=""),"",ROUND(F594*G594,2))</f>
        <v/>
      </c>
      <c r="I594" s="45" t="inlineStr"/>
      <c r="J594" s="392">
        <f>IF(AND(B594="",C594=""),"",ROUND(M594*N594,2))</f>
        <v/>
      </c>
      <c r="K594" s="393">
        <f>IF(AND(B594="",C594=""),"",ROUND(J594*F594,2))</f>
        <v/>
      </c>
      <c r="L594" s="141" t="n">
        <v>1</v>
      </c>
      <c r="M594" s="394" t="n">
        <v>7</v>
      </c>
      <c r="N594" s="220" t="n">
        <v>1</v>
      </c>
      <c r="O594" s="221">
        <f>IF(AND(B594="",C594=""),"",IF(G594&gt;=20000,0.05,IF(G594&gt;=10000,0.1,IF(G594&gt;=5000,0.2,IF(G594&gt;=1000,0.3,IF(G594&gt;=0,0.4,{0}))))))</f>
        <v/>
      </c>
      <c r="P594" s="419">
        <f>IF(AND(B594="",C594=""),"",ROUND(H594*O594,2))</f>
        <v/>
      </c>
      <c r="Q594" s="420" t="inlineStr">
        <is>
          <t>元件</t>
        </is>
      </c>
      <c r="R594" s="231" t="inlineStr"/>
      <c r="S594" s="231" t="inlineStr"/>
      <c r="T594" s="231" t="inlineStr">
        <is>
          <t>0</t>
        </is>
      </c>
      <c r="U594" s="231" t="inlineStr">
        <is>
          <t>True</t>
        </is>
      </c>
      <c r="V594" s="421" t="n"/>
      <c r="W594" s="421" t="n"/>
      <c r="X594" s="166" t="inlineStr"/>
    </row>
    <row r="595" s="308">
      <c r="A595" s="64">
        <f>ROW()-ROW(A$583)</f>
        <v/>
      </c>
      <c r="B595" s="22" t="inlineStr">
        <is>
          <t>水平母排</t>
        </is>
      </c>
      <c r="C595" s="22" t="inlineStr">
        <is>
          <t>TMY 4*(3*125*5)+2*50*5</t>
        </is>
      </c>
      <c r="D595" s="22" t="inlineStr">
        <is>
          <t>国产优质</t>
        </is>
      </c>
      <c r="E595" s="23" t="inlineStr">
        <is>
          <t>米</t>
        </is>
      </c>
      <c r="F595" s="23" t="n">
        <v>0.5</v>
      </c>
      <c r="G595" s="349">
        <f>IF(AND(B595="",C595=""),"",ROUND(M595*L595*N595,2))</f>
        <v/>
      </c>
      <c r="H595" s="349">
        <f>IF(AND(B595="",C595=""),"",ROUND(F595*G595,2))</f>
        <v/>
      </c>
      <c r="I595" s="45" t="inlineStr"/>
      <c r="J595" s="397">
        <f>IF(AND(B595="",C595=""),"",ROUND(M595*N595,2))</f>
        <v/>
      </c>
      <c r="K595" s="398">
        <f>IF(AND(B595="",C595=""),"",ROUND(J595*F595,2))</f>
        <v/>
      </c>
      <c r="L595" s="200" t="n">
        <v>1</v>
      </c>
      <c r="M595" s="399" t="n">
        <v>7697.076</v>
      </c>
      <c r="N595" s="154">
        <f>(6317.932*1*1+2684.8*1*1)/9002.732</f>
        <v/>
      </c>
      <c r="O595" s="155">
        <f>IF(AND(B595="",C595=""),"",IF(J595&gt;=20000,0.05,IF(J595&gt;=10000,0.1,IF(J595&gt;=5000,0.2,IF(J595&gt;=1000,0.3,IF(J595&gt;=0,0.4,{0}))))))</f>
        <v/>
      </c>
      <c r="P595" s="400">
        <f>IF(AND(B595="",C595=""),"",ROUND(H595*O595,2))</f>
        <v/>
      </c>
      <c r="Q595" s="401" t="inlineStr">
        <is>
          <t>母排</t>
        </is>
      </c>
      <c r="R595" s="168" t="inlineStr"/>
      <c r="S595" s="168" t="inlineStr"/>
      <c r="T595" s="168" t="inlineStr">
        <is>
          <t>0</t>
        </is>
      </c>
      <c r="U595" s="168" t="inlineStr"/>
      <c r="V595" s="402" t="n"/>
      <c r="W595" s="402" t="n"/>
      <c r="X595" s="170" t="inlineStr"/>
    </row>
    <row r="596" customFormat="1" s="5">
      <c r="A596" s="64">
        <f>ROW()-ROW(A$583)</f>
        <v/>
      </c>
      <c r="B596" s="22" t="inlineStr">
        <is>
          <t>桩头排</t>
        </is>
      </c>
      <c r="C596" s="22" t="inlineStr">
        <is>
          <t>TMY 3*80*5</t>
        </is>
      </c>
      <c r="D596" s="22" t="inlineStr">
        <is>
          <t>国产优质</t>
        </is>
      </c>
      <c r="E596" s="23" t="inlineStr">
        <is>
          <t>米</t>
        </is>
      </c>
      <c r="F596" s="23" t="n">
        <v>3</v>
      </c>
      <c r="G596" s="349">
        <f>IF(AND(B596="",C596=""),"",ROUND(M596*L596*N596,2))</f>
        <v/>
      </c>
      <c r="H596" s="349">
        <f>IF(AND(B596="",C596=""),"",ROUND(F596*G596,2))</f>
        <v/>
      </c>
      <c r="I596" s="45" t="inlineStr"/>
      <c r="J596" s="422">
        <f>IF(AND(B596="",C596=""),"",ROUND(M596*N596,2))</f>
        <v/>
      </c>
      <c r="K596" s="423">
        <f>IF(AND(B596="",C596=""),"",ROUND(J596*F596,2))</f>
        <v/>
      </c>
      <c r="L596" s="225" t="n">
        <v>1</v>
      </c>
      <c r="M596" s="424" t="n">
        <v>1154.5614</v>
      </c>
      <c r="N596" s="227" t="n">
        <v>1</v>
      </c>
      <c r="O596" s="228">
        <f>IF(AND(B596="",C596=""),"",IF(G596&gt;=20000,0.05,IF(G596&gt;=10000,0.1,IF(G596&gt;=5000,0.2,IF(G596&gt;=1000,0.3,IF(G596&gt;=0,0.4,{0}))))))</f>
        <v/>
      </c>
      <c r="P596" s="425">
        <f>IF(AND(B596="",C596=""),"",ROUND(H596*O596,2))</f>
        <v/>
      </c>
      <c r="Q596" s="426" t="inlineStr">
        <is>
          <t>母排</t>
        </is>
      </c>
      <c r="R596" s="234" t="inlineStr"/>
      <c r="S596" s="234" t="inlineStr"/>
      <c r="T596" s="235" t="inlineStr">
        <is>
          <t>0</t>
        </is>
      </c>
      <c r="U596" s="235" t="inlineStr"/>
      <c r="V596" s="427" t="n"/>
      <c r="W596" s="427" t="n"/>
      <c r="X596" s="237" t="inlineStr">
        <is>
          <t>TMY 2*30*5→TMY 30*8</t>
        </is>
      </c>
    </row>
    <row r="597" customFormat="1" s="5">
      <c r="A597" s="64">
        <f>ROW()-ROW(A$583)</f>
        <v/>
      </c>
      <c r="B597" s="22" t="inlineStr">
        <is>
          <t>垂直排</t>
        </is>
      </c>
      <c r="C597" s="22" t="inlineStr">
        <is>
          <t>TMY 3*80*5</t>
        </is>
      </c>
      <c r="D597" s="22" t="inlineStr">
        <is>
          <t>国产优质</t>
        </is>
      </c>
      <c r="E597" s="23" t="inlineStr">
        <is>
          <t>米</t>
        </is>
      </c>
      <c r="F597" s="23" t="n">
        <v>2</v>
      </c>
      <c r="G597" s="349">
        <f>IF(AND(B597="",C597=""),"",ROUND(M597*L597*N597,2))</f>
        <v/>
      </c>
      <c r="H597" s="349">
        <f>IF(AND(B597="",C597=""),"",ROUND(F597*G597,2))</f>
        <v/>
      </c>
      <c r="I597" s="45" t="inlineStr"/>
      <c r="J597" s="422">
        <f>IF(AND(B597="",C597=""),"",ROUND(M597*N597,2))</f>
        <v/>
      </c>
      <c r="K597" s="423">
        <f>IF(AND(B597="",C597=""),"",ROUND(J597*F597,2))</f>
        <v/>
      </c>
      <c r="L597" s="225" t="n">
        <v>1</v>
      </c>
      <c r="M597" s="424" t="n">
        <v>1154.5614</v>
      </c>
      <c r="N597" s="227" t="n">
        <v>1</v>
      </c>
      <c r="O597" s="228">
        <f>IF(AND(B597="",C597=""),"",IF(G597&gt;=20000,0.05,IF(G597&gt;=10000,0.1,IF(G597&gt;=5000,0.2,IF(G597&gt;=1000,0.3,IF(G597&gt;=0,0.4,{0}))))))</f>
        <v/>
      </c>
      <c r="P597" s="425">
        <f>IF(AND(B597="",C597=""),"",ROUND(H597*O597,2))</f>
        <v/>
      </c>
      <c r="Q597" s="426" t="inlineStr">
        <is>
          <t>母排</t>
        </is>
      </c>
      <c r="R597" s="234" t="inlineStr"/>
      <c r="S597" s="234" t="inlineStr"/>
      <c r="T597" s="235" t="inlineStr">
        <is>
          <t>0</t>
        </is>
      </c>
      <c r="U597" s="235" t="inlineStr"/>
      <c r="V597" s="427" t="n"/>
      <c r="W597" s="427" t="n"/>
      <c r="X597" s="237" t="inlineStr">
        <is>
          <t>TMY 2*30*5→TMY 30*8</t>
        </is>
      </c>
    </row>
    <row r="598" customFormat="1" s="5">
      <c r="A598" s="64">
        <f>ROW()-ROW(A$583)</f>
        <v/>
      </c>
      <c r="B598" s="22" t="inlineStr">
        <is>
          <t>N排</t>
        </is>
      </c>
      <c r="C598" s="22" t="inlineStr">
        <is>
          <t>TMY 80*10</t>
        </is>
      </c>
      <c r="D598" s="22" t="inlineStr">
        <is>
          <t>国产优质</t>
        </is>
      </c>
      <c r="E598" s="23" t="inlineStr">
        <is>
          <t>米</t>
        </is>
      </c>
      <c r="F598" s="23" t="n">
        <v>3</v>
      </c>
      <c r="G598" s="349">
        <f>IF(AND(B598="",C598=""),"",ROUND(M598*L598*N598,2))</f>
        <v/>
      </c>
      <c r="H598" s="349">
        <f>IF(AND(B598="",C598=""),"",ROUND(F598*G598,2))</f>
        <v/>
      </c>
      <c r="I598" s="45" t="inlineStr"/>
      <c r="J598" s="422">
        <f>IF(AND(B598="",C598=""),"",ROUND(M598*N598,2))</f>
        <v/>
      </c>
      <c r="K598" s="423">
        <f>IF(AND(B598="",C598=""),"",ROUND(J598*F598,2))</f>
        <v/>
      </c>
      <c r="L598" s="225" t="n">
        <v>1</v>
      </c>
      <c r="M598" s="424" t="n">
        <v>769.7076</v>
      </c>
      <c r="N598" s="227" t="n">
        <v>1</v>
      </c>
      <c r="O598" s="228">
        <f>IF(AND(B598="",C598=""),"",IF(G598&gt;=20000,0.05,IF(G598&gt;=10000,0.1,IF(G598&gt;=5000,0.2,IF(G598&gt;=1000,0.3,IF(G598&gt;=0,0.4,{0}))))))</f>
        <v/>
      </c>
      <c r="P598" s="425">
        <f>IF(AND(B598="",C598=""),"",ROUND(H598*O598,2))</f>
        <v/>
      </c>
      <c r="Q598" s="426" t="inlineStr">
        <is>
          <t>母排</t>
        </is>
      </c>
      <c r="R598" s="234" t="inlineStr"/>
      <c r="S598" s="234" t="inlineStr"/>
      <c r="T598" s="235" t="inlineStr">
        <is>
          <t>0</t>
        </is>
      </c>
      <c r="U598" s="235" t="inlineStr"/>
      <c r="V598" s="427" t="n"/>
      <c r="W598" s="427" t="n"/>
      <c r="X598" s="237" t="inlineStr">
        <is>
          <t>TMY 2*30*5→TMY 30*8</t>
        </is>
      </c>
    </row>
    <row r="599" customFormat="1" s="5">
      <c r="A599" s="64">
        <f>ROW()-ROW(A$583)</f>
        <v/>
      </c>
      <c r="B599" s="22" t="inlineStr">
        <is>
          <t>PE排</t>
        </is>
      </c>
      <c r="C599" s="22" t="inlineStr">
        <is>
          <t>TMY 2*50*5</t>
        </is>
      </c>
      <c r="D599" s="22" t="inlineStr">
        <is>
          <t>国产优质</t>
        </is>
      </c>
      <c r="E599" s="23" t="inlineStr">
        <is>
          <t>米</t>
        </is>
      </c>
      <c r="F599" s="23" t="n">
        <v>2</v>
      </c>
      <c r="G599" s="349">
        <f>IF(AND(B599="",C599=""),"",ROUND(M599*L599*N599,2))</f>
        <v/>
      </c>
      <c r="H599" s="349">
        <f>IF(AND(B599="",C599=""),"",ROUND(F599*G599,2))</f>
        <v/>
      </c>
      <c r="I599" s="45" t="inlineStr"/>
      <c r="J599" s="422">
        <f>IF(AND(B599="",C599=""),"",ROUND(M599*N599,2))</f>
        <v/>
      </c>
      <c r="K599" s="423">
        <f>IF(AND(B599="",C599=""),"",ROUND(J599*F599,2))</f>
        <v/>
      </c>
      <c r="L599" s="225" t="n">
        <v>1</v>
      </c>
      <c r="M599" s="424" t="n">
        <v>481.06725</v>
      </c>
      <c r="N599" s="227" t="n">
        <v>1</v>
      </c>
      <c r="O599" s="228">
        <f>IF(AND(B599="",C599=""),"",IF(G599&gt;=20000,0.05,IF(G599&gt;=10000,0.1,IF(G599&gt;=5000,0.2,IF(G599&gt;=1000,0.3,IF(G599&gt;=0,0.4,{0}))))))</f>
        <v/>
      </c>
      <c r="P599" s="425">
        <f>IF(AND(B599="",C599=""),"",ROUND(H599*O599,2))</f>
        <v/>
      </c>
      <c r="Q599" s="426" t="inlineStr">
        <is>
          <t>母排</t>
        </is>
      </c>
      <c r="R599" s="234" t="inlineStr"/>
      <c r="S599" s="234" t="inlineStr"/>
      <c r="T599" s="235" t="inlineStr">
        <is>
          <t>0</t>
        </is>
      </c>
      <c r="U599" s="235" t="inlineStr"/>
      <c r="V599" s="427" t="n"/>
      <c r="W599" s="427" t="n"/>
      <c r="X599" s="237" t="inlineStr">
        <is>
          <t>TMY 2*30*5→TMY 30*8</t>
        </is>
      </c>
    </row>
    <row r="600" s="308">
      <c r="A600" s="64">
        <f>ROW()-ROW(A$583)</f>
        <v/>
      </c>
      <c r="B600" s="112" t="inlineStr">
        <is>
          <t>辅料</t>
        </is>
      </c>
      <c r="C600" s="112" t="inlineStr"/>
      <c r="D600" s="112" t="inlineStr"/>
      <c r="E600" s="114" t="inlineStr">
        <is>
          <t>套</t>
        </is>
      </c>
      <c r="F600" s="114" t="n">
        <v>1</v>
      </c>
      <c r="G600" s="396">
        <f>IF(AND(B600="",C600=""),"",ROUND(M600*L600*N600,2))</f>
        <v/>
      </c>
      <c r="H600" s="396">
        <f>IF(AND(B600="",C600=""),"",ROUND(F600*G600,2))</f>
        <v/>
      </c>
      <c r="I600" s="219" t="inlineStr"/>
      <c r="J600" s="397">
        <f>IF(AND(B600="",C600=""),"",ROUND(M600*N600,2))</f>
        <v/>
      </c>
      <c r="K600" s="398">
        <f>IF(AND(B600="",C600=""),"",ROUND(J600*F600,2))</f>
        <v/>
      </c>
      <c r="L600" s="200" t="n">
        <v>1</v>
      </c>
      <c r="M600" s="399" t="n">
        <v>800</v>
      </c>
      <c r="N600" s="154" t="n">
        <v>1</v>
      </c>
      <c r="O600" s="155">
        <f>IF(AND(B600="",C600=""),"",IF(G600&gt;=20000,0.05,IF(G600&gt;=10000,0.1,IF(G600&gt;=5000,0.2,IF(G600&gt;=1000,0.3,IF(G600&gt;=0,0.4,{0}))))))</f>
        <v/>
      </c>
      <c r="P600" s="400">
        <f>IF(AND(B600="",C600=""),"",ROUND(H600*O600,2))</f>
        <v/>
      </c>
      <c r="Q600" s="401" t="inlineStr">
        <is>
          <t>辅料</t>
        </is>
      </c>
      <c r="R600" s="168" t="inlineStr"/>
      <c r="S600" s="168" t="inlineStr"/>
      <c r="T600" s="168" t="inlineStr">
        <is>
          <t>0</t>
        </is>
      </c>
      <c r="U600" s="168" t="inlineStr"/>
      <c r="V600" s="402" t="n"/>
      <c r="W600" s="402" t="n"/>
      <c r="X600" s="170" t="inlineStr"/>
    </row>
    <row r="601" s="308">
      <c r="A601" s="64">
        <f>ROW()-ROW(A$583)</f>
        <v/>
      </c>
      <c r="B601" s="112" t="inlineStr">
        <is>
          <t>柜体Blokset</t>
        </is>
      </c>
      <c r="C601" s="22" t="inlineStr">
        <is>
          <t>400W*1200D*2200H</t>
        </is>
      </c>
      <c r="D601" s="112" t="inlineStr">
        <is>
          <t>清科</t>
        </is>
      </c>
      <c r="E601" s="114" t="inlineStr">
        <is>
          <t>台</t>
        </is>
      </c>
      <c r="F601" s="114" t="n">
        <v>1</v>
      </c>
      <c r="G601" s="396">
        <f>IF(AND(B601="",C601=""),"",ROUND(M601*L601*N601,2))</f>
        <v/>
      </c>
      <c r="H601" s="396">
        <f>IF(AND(B601="",C601=""),"",ROUND(F601*G601,2))</f>
        <v/>
      </c>
      <c r="I601" s="219" t="inlineStr"/>
      <c r="J601" s="397">
        <f>IF(AND(B601="",C601=""),"",ROUND(M601*N601,2))</f>
        <v/>
      </c>
      <c r="K601" s="398">
        <f>IF(AND(B601="",C601=""),"",ROUND(J601*F601,2))</f>
        <v/>
      </c>
      <c r="L601" s="200" t="n">
        <v>1</v>
      </c>
      <c r="M601" s="399" t="n">
        <v>4916</v>
      </c>
      <c r="N601" s="154" t="n">
        <v>1</v>
      </c>
      <c r="O601" s="155">
        <f>IF(AND(B601="",C601=""),"",IF(G601&gt;=20000,0.05,IF(G601&gt;=10000,0.1,IF(G601&gt;=5000,0.2,IF(G601&gt;=1000,0.3,IF(G601&gt;=0,0.4,{0}))))))</f>
        <v/>
      </c>
      <c r="P601" s="400">
        <f>IF(AND(B601="",C601=""),"",ROUND(H601*O601,2))</f>
        <v/>
      </c>
      <c r="Q601" s="401" t="inlineStr">
        <is>
          <t>箱体</t>
        </is>
      </c>
      <c r="R601" s="168" t="inlineStr"/>
      <c r="S601" s="168" t="inlineStr"/>
      <c r="T601" s="168" t="inlineStr">
        <is>
          <t>0</t>
        </is>
      </c>
      <c r="U601" s="168" t="inlineStr"/>
      <c r="V601" s="402" t="n"/>
      <c r="W601" s="402" t="n"/>
      <c r="X601" s="170" t="inlineStr">
        <is>
          <t>BlokSeT</t>
        </is>
      </c>
    </row>
    <row r="602" s="308">
      <c r="A602" s="64">
        <f>ROW()-ROW(A$583)</f>
        <v/>
      </c>
      <c r="B602" s="22" t="inlineStr"/>
      <c r="C602" s="22" t="inlineStr"/>
      <c r="D602" s="22" t="inlineStr"/>
      <c r="E602" s="23" t="n"/>
      <c r="F602" s="23">
        <f>IF(AND(B602="",C602=""),"",1)</f>
        <v/>
      </c>
      <c r="G602" s="349">
        <f>IF(AND(B602="",C602=""),"",ROUND(M602*L602*N602,2))</f>
        <v/>
      </c>
      <c r="H602" s="349">
        <f>IF(AND(B602="",C602=""),"",ROUND(F602*G602,2))</f>
        <v/>
      </c>
      <c r="I602" s="45" t="inlineStr"/>
      <c r="J602" s="397">
        <f>IF(AND(B602="",C602=""),"",ROUND(M602*N602,2))</f>
        <v/>
      </c>
      <c r="K602" s="398">
        <f>IF(AND(B602="",C602=""),"",ROUND(J602*F602,2))</f>
        <v/>
      </c>
      <c r="L602" s="200">
        <f>IF(AND(B602="",C602=""),"",1)</f>
        <v/>
      </c>
      <c r="M602" s="399" t="n"/>
      <c r="N602" s="154">
        <f>IF(AND(B602="",C602=""),"",1)</f>
        <v/>
      </c>
      <c r="O602" s="155">
        <f>IF(AND(B602="",C602=""),"",IF(J602&gt;=20000,0.05,IF(J602&gt;=10000,0.1,IF(J602&gt;=5000,0.2,IF(J602&gt;=1000,0.3,IF(J602&gt;=0,0.4,{0}))))))</f>
        <v/>
      </c>
      <c r="P602" s="400">
        <f>IF(AND(B602="",C602=""),"",ROUND(H602*O602,2))</f>
        <v/>
      </c>
      <c r="Q602" s="401">
        <f>IF(AND(B602="",C602=""),"","元件")</f>
        <v/>
      </c>
      <c r="R602" s="168" t="inlineStr"/>
      <c r="S602" s="168" t="inlineStr"/>
      <c r="T602" s="168" t="inlineStr"/>
      <c r="U602" s="168" t="inlineStr"/>
      <c r="V602" s="402" t="n"/>
      <c r="W602" s="402" t="n"/>
      <c r="X602" s="170" t="inlineStr"/>
    </row>
    <row r="603" s="308">
      <c r="A603" s="64">
        <f>ROW()-ROW(A$583)</f>
        <v/>
      </c>
      <c r="B603" s="171" t="inlineStr">
        <is>
          <t>小计</t>
        </is>
      </c>
      <c r="C603" s="172" t="n"/>
      <c r="D603" s="204" t="n"/>
      <c r="E603" s="114" t="n"/>
      <c r="F603" s="114" t="n"/>
      <c r="G603" s="396" t="n"/>
      <c r="H603" s="396">
        <f>ROUND(SUM(H583:INDEX(H:H,ROW()-1)),2)</f>
        <v/>
      </c>
      <c r="I603" s="45" t="inlineStr"/>
      <c r="J603" s="397" t="n"/>
      <c r="K603" s="398">
        <f>ROUND(SUM(K583:INDEX(K:K,ROW()-1)),2)</f>
        <v/>
      </c>
      <c r="L603" s="200" t="n"/>
      <c r="M603" s="399" t="n"/>
      <c r="N603" s="154" t="n"/>
      <c r="O603" s="155" t="n"/>
      <c r="P603" s="400" t="n"/>
      <c r="Q603" s="401" t="n"/>
      <c r="R603" s="168" t="inlineStr"/>
      <c r="S603" s="168" t="inlineStr"/>
      <c r="T603" s="168" t="inlineStr"/>
      <c r="U603" s="168" t="inlineStr"/>
      <c r="V603" s="402">
        <f>ROUND(SUMPRODUCT(F583:INDEX(F:F,ROW()-1),V583:INDEX(V:V,ROW()-1)),2)</f>
        <v/>
      </c>
      <c r="W603" s="402">
        <f>ROUND(SUMPRODUCT(F583:INDEX(F:F,ROW()-1),W583:INDEX(W:W,ROW()-1)),2)</f>
        <v/>
      </c>
      <c r="X603" s="170" t="inlineStr"/>
    </row>
    <row r="604" s="308">
      <c r="A604" s="64">
        <f>ROW()-ROW(A$583)</f>
        <v/>
      </c>
      <c r="B604" s="171" t="inlineStr">
        <is>
          <t>综合费(人工、管理、税金、利润等)</t>
        </is>
      </c>
      <c r="C604" s="172" t="n"/>
      <c r="D604" s="204" t="n"/>
      <c r="E604" s="114" t="n"/>
      <c r="F604" s="114" t="n"/>
      <c r="G604" s="396" t="n"/>
      <c r="H604" s="396">
        <f>2500</f>
        <v/>
      </c>
      <c r="I604" s="45" t="inlineStr"/>
      <c r="J604" s="397" t="n"/>
      <c r="K604" s="398" t="n"/>
      <c r="L604" s="200" t="n"/>
      <c r="M604" s="399" t="n"/>
      <c r="N604" s="154" t="n"/>
      <c r="O604" s="155" t="n"/>
      <c r="P604" s="400" t="n"/>
      <c r="Q604" s="401" t="inlineStr">
        <is>
          <t>费用</t>
        </is>
      </c>
      <c r="R604" s="168" t="inlineStr"/>
      <c r="S604" s="168" t="inlineStr"/>
      <c r="T604" s="168" t="inlineStr"/>
      <c r="U604" s="168" t="inlineStr"/>
      <c r="V604" s="402" t="n"/>
      <c r="W604" s="402" t="n"/>
      <c r="X604" s="170" t="inlineStr"/>
    </row>
    <row r="605" s="308">
      <c r="A605" s="64">
        <f>ROW()-ROW(A$583)</f>
        <v/>
      </c>
      <c r="B605" s="204" t="inlineStr">
        <is>
          <t>单台合计</t>
        </is>
      </c>
      <c r="C605" s="172" t="n"/>
      <c r="D605" s="204" t="n"/>
      <c r="E605" s="114" t="n"/>
      <c r="F605" s="114" t="n"/>
      <c r="G605" s="396" t="n"/>
      <c r="H605" s="396">
        <f>ROUND(SUM(H603:H604),2)</f>
        <v/>
      </c>
      <c r="I605" s="181" t="n"/>
      <c r="J605" s="397" t="n"/>
      <c r="K605" s="398">
        <f>ROUND(SUM(K603:K604),2)</f>
        <v/>
      </c>
      <c r="L605" s="209" t="n"/>
      <c r="M605" s="399" t="n"/>
      <c r="N605" s="210" t="n"/>
      <c r="O605" s="211" t="n"/>
      <c r="P605" s="400" t="n"/>
      <c r="Q605" s="401" t="n"/>
      <c r="R605" s="168" t="inlineStr"/>
      <c r="S605" s="168" t="inlineStr"/>
      <c r="T605" s="168" t="inlineStr"/>
      <c r="U605" s="168" t="inlineStr"/>
      <c r="V605" s="402" t="n"/>
      <c r="W605" s="402" t="n"/>
      <c r="X605" s="170" t="inlineStr"/>
    </row>
    <row r="606" s="308">
      <c r="A606" s="173" t="inlineStr">
        <is>
          <t>总计</t>
        </is>
      </c>
      <c r="B606" s="205" t="n"/>
      <c r="C606" s="175" t="n"/>
      <c r="D606" s="206" t="n"/>
      <c r="E606" s="206" t="inlineStr">
        <is>
          <t>台</t>
        </is>
      </c>
      <c r="F606" s="206" t="n">
        <v>2</v>
      </c>
      <c r="G606" s="414">
        <f>ROUND(H605,2)</f>
        <v/>
      </c>
      <c r="H606" s="414">
        <f>ROUND(F606*G606,2)</f>
        <v/>
      </c>
      <c r="I606" s="185" t="n"/>
      <c r="J606" s="415" t="n"/>
      <c r="K606" s="416">
        <f>ROUND(K605*F606,2)</f>
        <v/>
      </c>
      <c r="L606" s="214" t="n"/>
      <c r="M606" s="417" t="n"/>
      <c r="N606" s="216" t="n"/>
      <c r="O606" s="217" t="n"/>
      <c r="P606" s="418" t="n"/>
      <c r="Q606" s="401" t="n"/>
      <c r="R606" s="168" t="inlineStr"/>
      <c r="S606" s="168" t="inlineStr"/>
      <c r="T606" s="168" t="inlineStr"/>
      <c r="U606" s="168" t="inlineStr"/>
      <c r="V606" s="402" t="n"/>
      <c r="W606" s="402" t="n"/>
      <c r="X606" s="170" t="inlineStr"/>
    </row>
    <row r="607" customFormat="1" s="4">
      <c r="A607" s="6" t="n"/>
      <c r="B607" s="195" t="inlineStr"/>
      <c r="C607" s="195" t="inlineStr"/>
      <c r="D607" s="195" t="inlineStr"/>
      <c r="Q607" s="159" t="n"/>
      <c r="R607" s="159" t="n"/>
      <c r="S607" s="159" t="n"/>
      <c r="T607" s="159" t="n"/>
      <c r="U607" s="159" t="n"/>
      <c r="X607" s="195" t="inlineStr"/>
    </row>
    <row r="608" customFormat="1" s="4">
      <c r="A608" s="6" t="n"/>
      <c r="B608" s="195" t="inlineStr"/>
      <c r="C608" s="195" t="inlineStr"/>
      <c r="D608" s="195" t="inlineStr"/>
      <c r="Q608" s="159" t="n"/>
      <c r="R608" s="159" t="n"/>
      <c r="S608" s="159" t="n"/>
      <c r="T608" s="159" t="n"/>
      <c r="U608" s="159" t="n"/>
      <c r="X608" s="195" t="inlineStr"/>
    </row>
    <row r="609" s="308">
      <c r="A609" s="208">
        <f>CONCATENATE("报价人：",项目信息!$B$8)</f>
        <v/>
      </c>
      <c r="B609" s="208" t="n"/>
      <c r="C609" s="4" t="n"/>
      <c r="D609" s="4" t="n"/>
      <c r="E609" s="4" t="n"/>
      <c r="F609" s="4" t="n"/>
      <c r="G609" s="4" t="n"/>
      <c r="H609" s="178">
        <f>项目信息!$B$9</f>
        <v/>
      </c>
      <c r="Q609" s="159" t="n"/>
      <c r="R609" s="159" t="n"/>
      <c r="S609" s="159" t="n"/>
      <c r="T609" s="159" t="n"/>
      <c r="U609" s="159" t="n"/>
      <c r="X609" s="203" t="inlineStr"/>
    </row>
    <row r="610" s="308">
      <c r="A610" s="8">
        <f>T(项目信息!$B$22)</f>
        <v/>
      </c>
      <c r="Q610" s="159" t="n"/>
      <c r="R610" s="159" t="n"/>
      <c r="S610" s="159" t="n"/>
      <c r="T610" s="159" t="n"/>
      <c r="U610" s="159" t="n"/>
    </row>
    <row r="611" s="308">
      <c r="A611" s="9">
        <f>T(项目信息!$B$23)</f>
        <v/>
      </c>
      <c r="Q611" s="159" t="n"/>
      <c r="R611" s="159" t="n"/>
      <c r="S611" s="159" t="n"/>
      <c r="T611" s="159" t="n"/>
      <c r="U611" s="159" t="n"/>
    </row>
    <row r="612" s="308">
      <c r="A612" s="97" t="inlineStr">
        <is>
          <t>成套产品报价明细表</t>
        </is>
      </c>
      <c r="B612" s="378" t="n"/>
      <c r="C612" s="378" t="n"/>
      <c r="D612" s="378" t="n"/>
      <c r="E612" s="378" t="n"/>
      <c r="F612" s="378" t="n"/>
      <c r="G612" s="378" t="n"/>
      <c r="H612" s="378" t="n"/>
      <c r="I612" s="378" t="n"/>
      <c r="Q612" s="159" t="n"/>
      <c r="R612" s="159" t="n"/>
      <c r="S612" s="159" t="n"/>
      <c r="T612" s="159" t="n"/>
      <c r="U612" s="159" t="n"/>
    </row>
    <row r="613" customFormat="1" s="4">
      <c r="A613" s="98" t="inlineStr">
        <is>
          <t>柜号:</t>
        </is>
      </c>
      <c r="B613" s="99" t="inlineStr">
        <is>
          <t>AAN3-04</t>
        </is>
      </c>
      <c r="C613" s="100" t="inlineStr">
        <is>
          <t>型号:</t>
        </is>
      </c>
      <c r="D613" s="99" t="inlineStr">
        <is>
          <t>BlokSeT</t>
        </is>
      </c>
      <c r="E613" s="379" t="n"/>
      <c r="F613" s="101" t="inlineStr">
        <is>
          <t>名称:</t>
        </is>
      </c>
      <c r="G613" s="99" t="inlineStr">
        <is>
          <t>馈线柜</t>
        </is>
      </c>
      <c r="H613" s="379" t="n"/>
      <c r="I613" s="408" t="inlineStr"/>
      <c r="J613" s="194" t="inlineStr">
        <is>
          <t>箱柜尺寸:</t>
        </is>
      </c>
      <c r="K613" s="195" t="inlineStr">
        <is>
          <t>400W*1200D*2200H</t>
        </is>
      </c>
      <c r="L613" s="194" t="inlineStr">
        <is>
          <t>类别:</t>
        </is>
      </c>
      <c r="M613" s="195" t="inlineStr">
        <is>
          <t>低压固定柜</t>
        </is>
      </c>
      <c r="N613" s="409" t="inlineStr"/>
      <c r="Q613" s="159" t="n"/>
      <c r="R613" s="159" t="n"/>
      <c r="S613" s="159" t="n"/>
      <c r="T613" s="159" t="n"/>
      <c r="U613" s="159" t="n"/>
    </row>
    <row r="614" ht="20.1" customHeight="1" s="308">
      <c r="A614" s="102" t="inlineStr">
        <is>
          <t>序号</t>
        </is>
      </c>
      <c r="B614" s="103" t="inlineStr">
        <is>
          <t>元件名称</t>
        </is>
      </c>
      <c r="C614" s="103" t="inlineStr">
        <is>
          <t>型号规格</t>
        </is>
      </c>
      <c r="D614" s="104" t="inlineStr">
        <is>
          <t>生产厂家</t>
        </is>
      </c>
      <c r="E614" s="105" t="inlineStr">
        <is>
          <t>单位</t>
        </is>
      </c>
      <c r="F614" s="105" t="inlineStr">
        <is>
          <t>数量</t>
        </is>
      </c>
      <c r="G614" s="382" t="inlineStr">
        <is>
          <t>单   价</t>
        </is>
      </c>
      <c r="H614" s="383" t="inlineStr">
        <is>
          <t>总   价</t>
        </is>
      </c>
      <c r="I614" s="134" t="inlineStr">
        <is>
          <t>备注</t>
        </is>
      </c>
      <c r="J614" s="384" t="inlineStr">
        <is>
          <t>成本单价</t>
        </is>
      </c>
      <c r="K614" s="384" t="inlineStr">
        <is>
          <t>成本总价</t>
        </is>
      </c>
      <c r="L614" s="136" t="inlineStr">
        <is>
          <t>报出
系数</t>
        </is>
      </c>
      <c r="M614" s="384" t="inlineStr">
        <is>
          <t>表价</t>
        </is>
      </c>
      <c r="N614" s="136" t="inlineStr">
        <is>
          <t>折扣
系数</t>
        </is>
      </c>
      <c r="O614" s="137" t="inlineStr">
        <is>
          <t>取费
系数</t>
        </is>
      </c>
      <c r="P614" s="384" t="inlineStr">
        <is>
          <t>成套费</t>
        </is>
      </c>
      <c r="Q614" s="161" t="inlineStr">
        <is>
          <t>类别</t>
        </is>
      </c>
      <c r="R614" s="161" t="inlineStr">
        <is>
          <t>物料编码</t>
        </is>
      </c>
      <c r="S614" s="161" t="inlineStr">
        <is>
          <t>产地</t>
        </is>
      </c>
      <c r="T614" s="161" t="inlineStr">
        <is>
          <t>加工费</t>
        </is>
      </c>
      <c r="U614" s="161" t="inlineStr">
        <is>
          <t>订货号</t>
        </is>
      </c>
      <c r="V614" s="161" t="inlineStr">
        <is>
          <t>人工</t>
        </is>
      </c>
      <c r="W614" s="161" t="inlineStr">
        <is>
          <t>辅料</t>
        </is>
      </c>
      <c r="X614" s="203" t="inlineStr"/>
    </row>
    <row r="615" s="308">
      <c r="A615" s="64">
        <f>ROW()-ROW(A$614)</f>
        <v/>
      </c>
      <c r="B615" s="22" t="inlineStr">
        <is>
          <t>框架断路器</t>
        </is>
      </c>
      <c r="C615" s="22" t="inlineStr">
        <is>
          <t>MT10 N1a SG 3P MIC5.0 E</t>
        </is>
      </c>
      <c r="D615" s="22" t="inlineStr">
        <is>
          <t>甲供/施耐德电气</t>
        </is>
      </c>
      <c r="E615" s="23" t="inlineStr">
        <is>
          <t>只</t>
        </is>
      </c>
      <c r="F615" s="23" t="n">
        <v>1</v>
      </c>
      <c r="G615" s="349">
        <f>IF(AND(B615="",C615=""),"",ROUND(M615*L615*N615,2))</f>
        <v/>
      </c>
      <c r="H615" s="349">
        <f>IF(AND(B615="",C615=""),"",ROUND(F615*G615,2))</f>
        <v/>
      </c>
      <c r="I615" s="45" t="inlineStr"/>
      <c r="J615" s="397">
        <f>IF(AND(B615="",C615=""),"",ROUND(M615*N615,2))</f>
        <v/>
      </c>
      <c r="K615" s="398">
        <f>IF(AND(B615="",C615=""),"",ROUND(J615*F615,2))</f>
        <v/>
      </c>
      <c r="L615" s="200" t="n">
        <v>1</v>
      </c>
      <c r="M615" s="399" t="n">
        <v>1e-07</v>
      </c>
      <c r="N615" s="154" t="n">
        <v>1</v>
      </c>
      <c r="O615" s="155">
        <f>IF(AND(B615="",C615=""),"",IF(G615&gt;=20000,0.05,IF(G615&gt;=10000,0.1,IF(G615&gt;=5000,0.2,IF(G615&gt;=1000,0.3,IF(G615&gt;=0,0.4,{0}))))))</f>
        <v/>
      </c>
      <c r="P615" s="400">
        <f>IF(AND(B615="",C615=""),"",ROUND(H615*O615,2))</f>
        <v/>
      </c>
      <c r="Q615" s="401" t="inlineStr">
        <is>
          <t>元件</t>
        </is>
      </c>
      <c r="R615" s="168" t="inlineStr"/>
      <c r="S615" s="168" t="inlineStr"/>
      <c r="T615" s="168" t="inlineStr">
        <is>
          <t>0</t>
        </is>
      </c>
      <c r="U615" s="168" t="inlineStr">
        <is>
          <t>C16F32D160</t>
        </is>
      </c>
      <c r="V615" s="402" t="n"/>
      <c r="W615" s="402" t="n"/>
      <c r="X615" s="170" t="inlineStr">
        <is>
          <t>NSX630N Mic2.3 630A 3P3D F→NSX630F MIC2.3 630 3P F→NSX630F MIC 2.3 630 3P F</t>
        </is>
      </c>
    </row>
    <row r="616" s="308">
      <c r="A616" s="64">
        <f>ROW()-ROW(A$614)</f>
        <v/>
      </c>
      <c r="B616" s="22" t="inlineStr">
        <is>
          <t>框架断路器</t>
        </is>
      </c>
      <c r="C616" s="22" t="inlineStr">
        <is>
          <t>MT12 N1a SG 3P MIC5.0 E</t>
        </is>
      </c>
      <c r="D616" s="22" t="inlineStr">
        <is>
          <t>甲供/施耐德电气</t>
        </is>
      </c>
      <c r="E616" s="23" t="inlineStr">
        <is>
          <t>只</t>
        </is>
      </c>
      <c r="F616" s="23" t="n">
        <v>1</v>
      </c>
      <c r="G616" s="349">
        <f>IF(AND(B616="",C616=""),"",ROUND(M616*L616*N616,2))</f>
        <v/>
      </c>
      <c r="H616" s="349">
        <f>IF(AND(B616="",C616=""),"",ROUND(F616*G616,2))</f>
        <v/>
      </c>
      <c r="I616" s="45" t="inlineStr"/>
      <c r="J616" s="397">
        <f>IF(AND(B616="",C616=""),"",ROUND(M616*N616,2))</f>
        <v/>
      </c>
      <c r="K616" s="398">
        <f>IF(AND(B616="",C616=""),"",ROUND(J616*F616,2))</f>
        <v/>
      </c>
      <c r="L616" s="200" t="n">
        <v>1</v>
      </c>
      <c r="M616" s="399" t="n">
        <v>1e-07</v>
      </c>
      <c r="N616" s="154" t="n">
        <v>1</v>
      </c>
      <c r="O616" s="155">
        <f>IF(AND(B616="",C616=""),"",IF(G616&gt;=20000,0.05,IF(G616&gt;=10000,0.1,IF(G616&gt;=5000,0.2,IF(G616&gt;=1000,0.3,IF(G616&gt;=0,0.4,{0}))))))</f>
        <v/>
      </c>
      <c r="P616" s="400">
        <f>IF(AND(B616="",C616=""),"",ROUND(H616*O616,2))</f>
        <v/>
      </c>
      <c r="Q616" s="401" t="inlineStr">
        <is>
          <t>元件</t>
        </is>
      </c>
      <c r="R616" s="168" t="inlineStr"/>
      <c r="S616" s="168" t="inlineStr"/>
      <c r="T616" s="168" t="inlineStr">
        <is>
          <t>0</t>
        </is>
      </c>
      <c r="U616" s="168" t="inlineStr">
        <is>
          <t>C16F32D160</t>
        </is>
      </c>
      <c r="V616" s="402" t="n"/>
      <c r="W616" s="402" t="n"/>
      <c r="X616" s="170" t="inlineStr">
        <is>
          <t>NSX630N Mic2.3 630A 3P3D F→NSX630F MIC2.3 630 3P F→NSX630F MIC 2.3 630 3P F</t>
        </is>
      </c>
    </row>
    <row r="617" s="308">
      <c r="A617" s="64">
        <f>ROW()-ROW(A$614)</f>
        <v/>
      </c>
      <c r="B617" s="22" t="inlineStr">
        <is>
          <t>电流互感器</t>
        </is>
      </c>
      <c r="C617" s="22" t="inlineStr">
        <is>
          <t>SD-0.66-80II-V 1000/5A</t>
        </is>
      </c>
      <c r="D617" s="22" t="inlineStr">
        <is>
          <t>桑迪</t>
        </is>
      </c>
      <c r="E617" s="23" t="inlineStr">
        <is>
          <t>只</t>
        </is>
      </c>
      <c r="F617" s="23" t="n">
        <v>3</v>
      </c>
      <c r="G617" s="349">
        <f>IF(AND(B617="",C617=""),"",ROUND(M617*L617*N617,2))</f>
        <v/>
      </c>
      <c r="H617" s="396">
        <f>IF(AND(B617="",C617=""),"",ROUND(F617*G617,2))</f>
        <v/>
      </c>
      <c r="I617" s="219" t="inlineStr"/>
      <c r="J617" s="397">
        <f>IF(AND(B617="",C617=""),"",ROUND(M617*N617,2))</f>
        <v/>
      </c>
      <c r="K617" s="398">
        <f>IF(AND(B617="",C617=""),"",ROUND(J617*F617,2))</f>
        <v/>
      </c>
      <c r="L617" s="200" t="n">
        <v>1</v>
      </c>
      <c r="M617" s="399" t="n">
        <v>91.65000000000001</v>
      </c>
      <c r="N617" s="154" t="n">
        <v>1</v>
      </c>
      <c r="O617" s="155">
        <f>IF(AND(B617="",C617=""),"",IF(G617&gt;=20000,0.05,IF(G617&gt;=10000,0.1,IF(G617&gt;=5000,0.2,IF(G617&gt;=1000,0.3,IF(G617&gt;=0,0.4,{0}))))))</f>
        <v/>
      </c>
      <c r="P617" s="400">
        <f>IF(AND(B617="",C617=""),"",ROUND(H617*O617,2))</f>
        <v/>
      </c>
      <c r="Q617" s="401" t="inlineStr">
        <is>
          <t>元件</t>
        </is>
      </c>
      <c r="R617" s="168" t="inlineStr"/>
      <c r="S617" s="168" t="inlineStr"/>
      <c r="T617" s="168" t="inlineStr">
        <is>
          <t>0</t>
        </is>
      </c>
      <c r="U617" s="168" t="inlineStr">
        <is>
          <t>710141426552500</t>
        </is>
      </c>
      <c r="V617" s="402" t="n"/>
      <c r="W617" s="402" t="n"/>
      <c r="X617" s="170" t="inlineStr">
        <is>
          <t>SD→SD-0.66-40II-C 400/5A→SD-0.66-30I 250/5A→SD-0.66-30I 150/5A→SD-0.66-60II-C 750/5A→SD-0.66-60II-C 600/5A→SD-0.66-30I 150/5A→SD-0.66-40II-C 400/5A→SD-0.66-100II-C 1600/5A</t>
        </is>
      </c>
    </row>
    <row r="618" s="308">
      <c r="A618" s="64">
        <f>ROW()-ROW(A$614)</f>
        <v/>
      </c>
      <c r="B618" s="22" t="inlineStr">
        <is>
          <t>电流互感器</t>
        </is>
      </c>
      <c r="C618" s="22" t="inlineStr">
        <is>
          <t>SD-0.66-80II-V 1250/5A</t>
        </is>
      </c>
      <c r="D618" s="22" t="inlineStr">
        <is>
          <t>桑迪</t>
        </is>
      </c>
      <c r="E618" s="23" t="inlineStr">
        <is>
          <t>只</t>
        </is>
      </c>
      <c r="F618" s="23" t="n">
        <v>3</v>
      </c>
      <c r="G618" s="349">
        <f>IF(AND(B618="",C618=""),"",ROUND(M618*L618*N618,2))</f>
        <v/>
      </c>
      <c r="H618" s="396">
        <f>IF(AND(B618="",C618=""),"",ROUND(F618*G618,2))</f>
        <v/>
      </c>
      <c r="I618" s="219" t="inlineStr"/>
      <c r="J618" s="397">
        <f>IF(AND(B618="",C618=""),"",ROUND(M618*N618,2))</f>
        <v/>
      </c>
      <c r="K618" s="398">
        <f>IF(AND(B618="",C618=""),"",ROUND(J618*F618,2))</f>
        <v/>
      </c>
      <c r="L618" s="200" t="n">
        <v>1</v>
      </c>
      <c r="M618" s="399" t="n">
        <v>115.7</v>
      </c>
      <c r="N618" s="154" t="n">
        <v>1</v>
      </c>
      <c r="O618" s="155">
        <f>IF(AND(B618="",C618=""),"",IF(G618&gt;=20000,0.05,IF(G618&gt;=10000,0.1,IF(G618&gt;=5000,0.2,IF(G618&gt;=1000,0.3,IF(G618&gt;=0,0.4,{0}))))))</f>
        <v/>
      </c>
      <c r="P618" s="400">
        <f>IF(AND(B618="",C618=""),"",ROUND(H618*O618,2))</f>
        <v/>
      </c>
      <c r="Q618" s="401" t="inlineStr">
        <is>
          <t>元件</t>
        </is>
      </c>
      <c r="R618" s="168" t="inlineStr"/>
      <c r="S618" s="168" t="inlineStr"/>
      <c r="T618" s="168" t="inlineStr">
        <is>
          <t>0</t>
        </is>
      </c>
      <c r="U618" s="168" t="inlineStr">
        <is>
          <t>710141426552500</t>
        </is>
      </c>
      <c r="V618" s="402" t="n"/>
      <c r="W618" s="402" t="n"/>
      <c r="X618" s="170" t="inlineStr">
        <is>
          <t>SD→SD-0.66-40II-C 400/5A→SD-0.66-30I 250/5A→SD-0.66-30I 150/5A→SD-0.66-60II-C 750/5A→SD-0.66-60II-C 600/5A→SD-0.66-30I 150/5A→SD-0.66-40II-C 400/5A→SD-0.66-100II-C 1600/5A→SD-0.66-80II-V 1000/5A</t>
        </is>
      </c>
    </row>
    <row r="619" s="308">
      <c r="A619" s="64">
        <f>ROW()-ROW(A$614)</f>
        <v/>
      </c>
      <c r="B619" s="112" t="inlineStr">
        <is>
          <t>多功能表</t>
        </is>
      </c>
      <c r="C619" s="112" t="inlineStr">
        <is>
          <t>PM4101</t>
        </is>
      </c>
      <c r="D619" s="112" t="inlineStr">
        <is>
          <t>甲供/施耐德电气</t>
        </is>
      </c>
      <c r="E619" s="114" t="inlineStr">
        <is>
          <t>只</t>
        </is>
      </c>
      <c r="F619" s="114" t="n">
        <v>2</v>
      </c>
      <c r="G619" s="396">
        <f>IF(AND(B619="",C619=""),"",ROUND(M619*L619*N619,2))</f>
        <v/>
      </c>
      <c r="H619" s="349">
        <f>IF(AND(B619="",C619=""),"",ROUND(F619*G619,2))</f>
        <v/>
      </c>
      <c r="I619" s="45" t="inlineStr"/>
      <c r="J619" s="397">
        <f>IF(AND(B619="",C619=""),"",ROUND(M619*N619,2))</f>
        <v/>
      </c>
      <c r="K619" s="398">
        <f>IF(AND(B619="",C619=""),"",ROUND(J619*F619,2))</f>
        <v/>
      </c>
      <c r="L619" s="200" t="n">
        <v>1</v>
      </c>
      <c r="M619" s="399" t="n">
        <v>1e-07</v>
      </c>
      <c r="N619" s="154" t="n">
        <v>1</v>
      </c>
      <c r="O619" s="155">
        <f>IF(AND(B619="",C619=""),"",IF(J619&gt;=20000,0.05,IF(J619&gt;=10000,0.1,IF(J619&gt;=5000,0.2,IF(J619&gt;=1000,0.3,IF(J619&gt;=0,0.4,{0}))))))</f>
        <v/>
      </c>
      <c r="P619" s="400">
        <f>IF(AND(B619="",C619=""),"",ROUND(H619*O619,2))</f>
        <v/>
      </c>
      <c r="Q619" s="401" t="inlineStr">
        <is>
          <t>元件</t>
        </is>
      </c>
      <c r="R619" s="168" t="inlineStr"/>
      <c r="S619" s="168" t="inlineStr"/>
      <c r="T619" s="168" t="inlineStr">
        <is>
          <t>0</t>
        </is>
      </c>
      <c r="U619" s="168" t="inlineStr"/>
      <c r="V619" s="402" t="n"/>
      <c r="W619" s="402" t="n"/>
      <c r="X619" s="170" t="inlineStr"/>
    </row>
    <row r="620" customFormat="1" s="3">
      <c r="A620" s="64">
        <f>ROW()-ROW(A$614)</f>
        <v/>
      </c>
      <c r="B620" s="22" t="inlineStr">
        <is>
          <t>指示灯</t>
        </is>
      </c>
      <c r="C620" s="22" t="inlineStr">
        <is>
          <t>XB2BVM3LC</t>
        </is>
      </c>
      <c r="D620" s="22" t="inlineStr">
        <is>
          <t>甲供/施耐德电气</t>
        </is>
      </c>
      <c r="E620" s="23" t="inlineStr">
        <is>
          <t>只</t>
        </is>
      </c>
      <c r="F620" s="23" t="n">
        <v>2</v>
      </c>
      <c r="G620" s="349">
        <f>IF(AND(B620="",C620=""),"",ROUND(M620*L620*N620,2))</f>
        <v/>
      </c>
      <c r="H620" s="353">
        <f>IF(AND(B620="",C620=""),"",ROUND(F620*G620,2))</f>
        <v/>
      </c>
      <c r="I620" s="180" t="inlineStr"/>
      <c r="J620" s="392">
        <f>IF(AND(B620="",C620=""),"",ROUND(M620*N620,2))</f>
        <v/>
      </c>
      <c r="K620" s="393">
        <f>IF(AND(B620="",C620=""),"",ROUND(J620*F620,2))</f>
        <v/>
      </c>
      <c r="L620" s="141" t="n">
        <v>1</v>
      </c>
      <c r="M620" s="394" t="n">
        <v>1e-07</v>
      </c>
      <c r="N620" s="220" t="n">
        <v>1</v>
      </c>
      <c r="O620" s="221">
        <f>IF(AND(B620="",C620=""),"",IF(G620&gt;=20000,0.05,IF(G620&gt;=10000,0.1,IF(G620&gt;=5000,0.2,IF(G620&gt;=1000,0.3,IF(G620&gt;=0,0.4,{0}))))))</f>
        <v/>
      </c>
      <c r="P620" s="419">
        <f>IF(AND(B620="",C620=""),"",ROUND(H620*O620,2))</f>
        <v/>
      </c>
      <c r="Q620" s="420" t="inlineStr">
        <is>
          <t>元件</t>
        </is>
      </c>
      <c r="R620" s="231" t="inlineStr"/>
      <c r="S620" s="231" t="inlineStr"/>
      <c r="T620" s="231" t="inlineStr">
        <is>
          <t>0</t>
        </is>
      </c>
      <c r="U620" s="231" t="inlineStr">
        <is>
          <t>XB2BVM3LC</t>
        </is>
      </c>
      <c r="V620" s="421" t="n"/>
      <c r="W620" s="421" t="n"/>
      <c r="X620" s="166" t="inlineStr">
        <is>
          <t>XA2EVM3LC</t>
        </is>
      </c>
    </row>
    <row r="621" customFormat="1" s="3">
      <c r="A621" s="64">
        <f>ROW()-ROW(A$614)</f>
        <v/>
      </c>
      <c r="B621" s="22" t="inlineStr">
        <is>
          <t>指示灯</t>
        </is>
      </c>
      <c r="C621" s="22" t="inlineStr">
        <is>
          <t>XB2BVM4LC</t>
        </is>
      </c>
      <c r="D621" s="22" t="inlineStr">
        <is>
          <t>甲供/施耐德电气</t>
        </is>
      </c>
      <c r="E621" s="23" t="inlineStr">
        <is>
          <t>只</t>
        </is>
      </c>
      <c r="F621" s="23" t="n">
        <v>2</v>
      </c>
      <c r="G621" s="349">
        <f>IF(AND(B621="",C621=""),"",ROUND(M621*L621*N621,2))</f>
        <v/>
      </c>
      <c r="H621" s="353">
        <f>IF(AND(B621="",C621=""),"",ROUND(F621*G621,2))</f>
        <v/>
      </c>
      <c r="I621" s="180" t="inlineStr"/>
      <c r="J621" s="392">
        <f>IF(AND(B621="",C621=""),"",ROUND(M621*N621,2))</f>
        <v/>
      </c>
      <c r="K621" s="393">
        <f>IF(AND(B621="",C621=""),"",ROUND(J621*F621,2))</f>
        <v/>
      </c>
      <c r="L621" s="141" t="n">
        <v>1</v>
      </c>
      <c r="M621" s="394" t="n">
        <v>1e-07</v>
      </c>
      <c r="N621" s="220" t="n">
        <v>1</v>
      </c>
      <c r="O621" s="221">
        <f>IF(AND(B621="",C621=""),"",IF(G621&gt;=20000,0.05,IF(G621&gt;=10000,0.1,IF(G621&gt;=5000,0.2,IF(G621&gt;=1000,0.3,IF(G621&gt;=0,0.4,{0}))))))</f>
        <v/>
      </c>
      <c r="P621" s="419">
        <f>IF(AND(B621="",C621=""),"",ROUND(H621*O621,2))</f>
        <v/>
      </c>
      <c r="Q621" s="420" t="inlineStr">
        <is>
          <t>元件</t>
        </is>
      </c>
      <c r="R621" s="231" t="inlineStr"/>
      <c r="S621" s="231" t="inlineStr"/>
      <c r="T621" s="231" t="inlineStr">
        <is>
          <t>0</t>
        </is>
      </c>
      <c r="U621" s="231" t="inlineStr">
        <is>
          <t>XB2BVM4LC</t>
        </is>
      </c>
      <c r="V621" s="421" t="n"/>
      <c r="W621" s="421" t="n"/>
      <c r="X621" s="166" t="inlineStr">
        <is>
          <t>XA2EVM4LC</t>
        </is>
      </c>
    </row>
    <row r="622" s="308">
      <c r="A622" s="64">
        <f>ROW()-ROW(A$614)</f>
        <v/>
      </c>
      <c r="B622" s="112" t="inlineStr">
        <is>
          <t>指示灯</t>
        </is>
      </c>
      <c r="C622" s="112" t="inlineStr">
        <is>
          <t>XB2BVM5LC</t>
        </is>
      </c>
      <c r="D622" s="112" t="inlineStr">
        <is>
          <t>甲供/施耐德电气</t>
        </is>
      </c>
      <c r="E622" s="114" t="inlineStr">
        <is>
          <t>只</t>
        </is>
      </c>
      <c r="F622" s="114" t="n">
        <v>2</v>
      </c>
      <c r="G622" s="396">
        <f>IF(AND(B622="",C622=""),"",ROUND(M622*L622*N622,2))</f>
        <v/>
      </c>
      <c r="H622" s="396">
        <f>IF(AND(B622="",C622=""),"",ROUND(F622*G622,2))</f>
        <v/>
      </c>
      <c r="I622" s="150" t="inlineStr"/>
      <c r="J622" s="397">
        <f>IF(AND(B622="",C622=""),"",ROUND(M622*N622,2))</f>
        <v/>
      </c>
      <c r="K622" s="398">
        <f>IF(AND(B622="",C622=""),"",ROUND(J622*F622,2))</f>
        <v/>
      </c>
      <c r="L622" s="141" t="n">
        <v>1</v>
      </c>
      <c r="M622" s="399" t="n">
        <v>1e-07</v>
      </c>
      <c r="N622" s="154" t="n">
        <v>1</v>
      </c>
      <c r="O622" s="155">
        <f>IF(AND(B622="",C622=""),"",IF(G622&gt;=20000,0.05,IF(G622&gt;=10000,0.1,IF(G622&gt;=5000,0.2,IF(G622&gt;=1000,0.3,IF(G622&gt;=0,0.4,{0}))))))</f>
        <v/>
      </c>
      <c r="P622" s="400">
        <f>IF(AND(B622="",C622=""),"",ROUND(H622*O622,2))</f>
        <v/>
      </c>
      <c r="Q622" s="401" t="inlineStr">
        <is>
          <t>元件</t>
        </is>
      </c>
      <c r="R622" s="168" t="inlineStr"/>
      <c r="S622" s="168" t="inlineStr"/>
      <c r="T622" s="168" t="inlineStr">
        <is>
          <t>0</t>
        </is>
      </c>
      <c r="U622" s="168" t="inlineStr">
        <is>
          <t>XA2EVM5LC</t>
        </is>
      </c>
      <c r="V622" s="402" t="n"/>
      <c r="W622" s="402" t="n"/>
      <c r="X622" s="170" t="inlineStr"/>
    </row>
    <row r="623" s="308">
      <c r="A623" s="64">
        <f>ROW()-ROW(A$614)</f>
        <v/>
      </c>
      <c r="B623" s="112" t="inlineStr">
        <is>
          <t>按钮</t>
        </is>
      </c>
      <c r="C623" s="112" t="inlineStr">
        <is>
          <t>XB2BA31C</t>
        </is>
      </c>
      <c r="D623" s="112" t="inlineStr">
        <is>
          <t>甲供/施耐德电气</t>
        </is>
      </c>
      <c r="E623" s="114" t="inlineStr">
        <is>
          <t>只</t>
        </is>
      </c>
      <c r="F623" s="114" t="n">
        <v>2</v>
      </c>
      <c r="G623" s="396">
        <f>IF(AND(B623="",C623=""),"",ROUND(M623*L623*N623,2))</f>
        <v/>
      </c>
      <c r="H623" s="396">
        <f>IF(AND(B623="",C623=""),"",ROUND(F623*G623,2))</f>
        <v/>
      </c>
      <c r="I623" s="150" t="inlineStr"/>
      <c r="J623" s="397">
        <f>IF(AND(B623="",C623=""),"",ROUND(M623*N623,2))</f>
        <v/>
      </c>
      <c r="K623" s="398">
        <f>IF(AND(B623="",C623=""),"",ROUND(J623*F623,2))</f>
        <v/>
      </c>
      <c r="L623" s="141" t="n">
        <v>1</v>
      </c>
      <c r="M623" s="399" t="n">
        <v>1e-07</v>
      </c>
      <c r="N623" s="154" t="n">
        <v>1</v>
      </c>
      <c r="O623" s="155">
        <f>IF(AND(B623="",C623=""),"",IF(G623&gt;=20000,0.05,IF(G623&gt;=10000,0.1,IF(G623&gt;=5000,0.2,IF(G623&gt;=1000,0.3,IF(G623&gt;=0,0.4,{0}))))))</f>
        <v/>
      </c>
      <c r="P623" s="400">
        <f>IF(AND(B623="",C623=""),"",ROUND(H623*O623,2))</f>
        <v/>
      </c>
      <c r="Q623" s="401" t="inlineStr">
        <is>
          <t>元件</t>
        </is>
      </c>
      <c r="R623" s="168" t="inlineStr"/>
      <c r="S623" s="168" t="inlineStr"/>
      <c r="T623" s="168" t="inlineStr">
        <is>
          <t>0</t>
        </is>
      </c>
      <c r="U623" s="168" t="inlineStr">
        <is>
          <t>XB2BA31C</t>
        </is>
      </c>
      <c r="V623" s="402" t="n"/>
      <c r="W623" s="402" t="n"/>
      <c r="X623" s="170" t="inlineStr">
        <is>
          <t>XA2EA31</t>
        </is>
      </c>
    </row>
    <row r="624" s="308">
      <c r="A624" s="64">
        <f>ROW()-ROW(A$614)</f>
        <v/>
      </c>
      <c r="B624" s="22" t="inlineStr">
        <is>
          <t>按钮</t>
        </is>
      </c>
      <c r="C624" s="22" t="inlineStr">
        <is>
          <t>XB2BA42C</t>
        </is>
      </c>
      <c r="D624" s="22" t="inlineStr">
        <is>
          <t>甲供/施耐德电气</t>
        </is>
      </c>
      <c r="E624" s="23" t="inlineStr">
        <is>
          <t>只</t>
        </is>
      </c>
      <c r="F624" s="23" t="n">
        <v>2</v>
      </c>
      <c r="G624" s="349">
        <f>IF(AND(B624="",C624=""),"",ROUND(M624*L624*N624,2))</f>
        <v/>
      </c>
      <c r="H624" s="396">
        <f>IF(AND(B624="",C624=""),"",ROUND(F624*G624,2))</f>
        <v/>
      </c>
      <c r="I624" s="150" t="inlineStr"/>
      <c r="J624" s="397">
        <f>IF(AND(B624="",C624=""),"",ROUND(M624*N624,2))</f>
        <v/>
      </c>
      <c r="K624" s="398">
        <f>IF(AND(B624="",C624=""),"",ROUND(J624*F624,2))</f>
        <v/>
      </c>
      <c r="L624" s="141" t="n">
        <v>1</v>
      </c>
      <c r="M624" s="399" t="n">
        <v>1e-07</v>
      </c>
      <c r="N624" s="154" t="n">
        <v>1</v>
      </c>
      <c r="O624" s="155">
        <f>IF(AND(B624="",C624=""),"",IF(G624&gt;=20000,0.05,IF(G624&gt;=10000,0.1,IF(G624&gt;=5000,0.2,IF(G624&gt;=1000,0.3,IF(G624&gt;=0,0.4,{0}))))))</f>
        <v/>
      </c>
      <c r="P624" s="400">
        <f>IF(AND(B624="",C624=""),"",ROUND(H624*O624,2))</f>
        <v/>
      </c>
      <c r="Q624" s="401" t="inlineStr">
        <is>
          <t>元件</t>
        </is>
      </c>
      <c r="R624" s="168" t="inlineStr"/>
      <c r="S624" s="168" t="inlineStr"/>
      <c r="T624" s="168" t="inlineStr">
        <is>
          <t>0</t>
        </is>
      </c>
      <c r="U624" s="168" t="inlineStr">
        <is>
          <t>XB2BA42C</t>
        </is>
      </c>
      <c r="V624" s="402" t="n"/>
      <c r="W624" s="402" t="n"/>
      <c r="X624" s="170" t="inlineStr">
        <is>
          <t>XA2EA41</t>
        </is>
      </c>
    </row>
    <row r="625" s="308">
      <c r="A625" s="64">
        <f>ROW()-ROW(A$614)</f>
        <v/>
      </c>
      <c r="B625" s="112" t="inlineStr">
        <is>
          <t>温湿度控制器</t>
        </is>
      </c>
      <c r="C625" s="112" t="inlineStr">
        <is>
          <t>ATH48G-11</t>
        </is>
      </c>
      <c r="D625" s="22" t="inlineStr">
        <is>
          <t>杭州安廷</t>
        </is>
      </c>
      <c r="E625" s="23" t="inlineStr">
        <is>
          <t>套</t>
        </is>
      </c>
      <c r="F625" s="23" t="n">
        <v>1</v>
      </c>
      <c r="G625" s="349">
        <f>IF(AND(B625="",C625=""),"",ROUND(M625*L625*N625,2))</f>
        <v/>
      </c>
      <c r="H625" s="396">
        <f>IF(AND(B625="",C625=""),"",ROUND(F625*G625,2))</f>
        <v/>
      </c>
      <c r="I625" s="150" t="inlineStr"/>
      <c r="J625" s="397">
        <f>IF(AND(B625="",C625=""),"",ROUND(M625*N625,2))</f>
        <v/>
      </c>
      <c r="K625" s="398">
        <f>IF(AND(B625="",C625=""),"",ROUND(J625*F625,2))</f>
        <v/>
      </c>
      <c r="L625" s="141" t="n">
        <v>1</v>
      </c>
      <c r="M625" s="399" t="n">
        <v>450</v>
      </c>
      <c r="N625" s="154" t="n">
        <v>1</v>
      </c>
      <c r="O625" s="155">
        <f>IF(AND(B625="",C625=""),"",IF(G625&gt;=20000,0.05,IF(G625&gt;=10000,0.1,IF(G625&gt;=5000,0.2,IF(G625&gt;=1000,0.3,IF(G625&gt;=0,0.4,{0}))))))</f>
        <v/>
      </c>
      <c r="P625" s="400">
        <f>IF(AND(B625="",C625=""),"",ROUND(H625*O625,2))</f>
        <v/>
      </c>
      <c r="Q625" s="401" t="inlineStr">
        <is>
          <t>元件</t>
        </is>
      </c>
      <c r="R625" s="168" t="inlineStr"/>
      <c r="S625" s="168" t="inlineStr"/>
      <c r="T625" s="168" t="inlineStr">
        <is>
          <t>0</t>
        </is>
      </c>
      <c r="U625" s="168" t="inlineStr"/>
      <c r="V625" s="402" t="n"/>
      <c r="W625" s="402" t="n"/>
      <c r="X625" s="170" t="inlineStr"/>
    </row>
    <row r="626" s="308">
      <c r="A626" s="64">
        <f>ROW()-ROW(A$614)</f>
        <v/>
      </c>
      <c r="B626" s="22" t="inlineStr">
        <is>
          <t>中间继电器</t>
        </is>
      </c>
      <c r="C626" s="22" t="inlineStr">
        <is>
          <t>RXM4AB2P7+RXZE2S114M+RXZ400</t>
        </is>
      </c>
      <c r="D626" s="22" t="inlineStr">
        <is>
          <t>甲供/施耐德电气</t>
        </is>
      </c>
      <c r="E626" s="23" t="inlineStr">
        <is>
          <t>只</t>
        </is>
      </c>
      <c r="F626" s="23" t="n">
        <v>4</v>
      </c>
      <c r="G626" s="349">
        <f>IF(AND(B626="",C626=""),"",ROUND(M626*L626*N626,2))</f>
        <v/>
      </c>
      <c r="H626" s="349">
        <f>IF(AND(B626="",C626=""),"",ROUND(F626*G626,2))</f>
        <v/>
      </c>
      <c r="I626" s="45" t="inlineStr"/>
      <c r="J626" s="397">
        <f>IF(AND(B626="",C626=""),"",ROUND(M626*N626,2))</f>
        <v/>
      </c>
      <c r="K626" s="398">
        <f>IF(AND(B626="",C626=""),"",ROUND(J626*F626,2))</f>
        <v/>
      </c>
      <c r="L626" s="141" t="n">
        <v>1</v>
      </c>
      <c r="M626" s="399" t="n">
        <v>1e-07</v>
      </c>
      <c r="N626" s="154" t="n">
        <v>1</v>
      </c>
      <c r="O626" s="155">
        <f>IF(AND(B626="",C626=""),"",IF(G626&gt;=20000,0.05,IF(G626&gt;=10000,0.1,IF(G626&gt;=5000,0.2,IF(G626&gt;=1000,0.3,IF(G626&gt;=0,0.4,{0}))))))</f>
        <v/>
      </c>
      <c r="P626" s="400">
        <f>IF(AND(B626="",C626=""),"",ROUND(H626*O626,2))</f>
        <v/>
      </c>
      <c r="Q626" s="401" t="inlineStr">
        <is>
          <t>元件</t>
        </is>
      </c>
      <c r="R626" s="168" t="inlineStr"/>
      <c r="S626" s="168" t="inlineStr"/>
      <c r="T626" s="168" t="inlineStr">
        <is>
          <t>0</t>
        </is>
      </c>
      <c r="U626" s="168" t="inlineStr">
        <is>
          <t>RXM4AB2P7+RXZE2S114M+RXZ400</t>
        </is>
      </c>
      <c r="V626" s="402" t="n"/>
      <c r="W626" s="402" t="n"/>
      <c r="X626" s="170" t="inlineStr">
        <is>
          <t>REL-IR-BL/L-230AC/4X21，含底座→RXM4AB2P7+RXZE2S114M+RXZ400→REL-IR-BL/L-230AC/4X21，含底座</t>
        </is>
      </c>
    </row>
    <row r="627" customFormat="1" s="3">
      <c r="A627" s="64">
        <f>ROW()-ROW(A$614)</f>
        <v/>
      </c>
      <c r="B627" s="22" t="inlineStr">
        <is>
          <t>带熔丝端子</t>
        </is>
      </c>
      <c r="C627" s="22" t="inlineStr">
        <is>
          <t>UK 5-HESI</t>
        </is>
      </c>
      <c r="D627" s="22" t="inlineStr">
        <is>
          <t>菲尼克斯</t>
        </is>
      </c>
      <c r="E627" s="23" t="inlineStr">
        <is>
          <t>只</t>
        </is>
      </c>
      <c r="F627" s="23" t="n">
        <v>8</v>
      </c>
      <c r="G627" s="349">
        <f>IF(AND(B627="",C627=""),"",ROUND(M627*L627*N627,2))</f>
        <v/>
      </c>
      <c r="H627" s="349">
        <f>IF(AND(B627="",C627=""),"",ROUND(F627*G627,2))</f>
        <v/>
      </c>
      <c r="I627" s="45" t="inlineStr"/>
      <c r="J627" s="392">
        <f>IF(AND(B627="",C627=""),"",ROUND(M627*N627,2))</f>
        <v/>
      </c>
      <c r="K627" s="393">
        <f>IF(AND(B627="",C627=""),"",ROUND(J627*F627,2))</f>
        <v/>
      </c>
      <c r="L627" s="141" t="n">
        <v>1</v>
      </c>
      <c r="M627" s="394" t="n">
        <v>7</v>
      </c>
      <c r="N627" s="220" t="n">
        <v>1</v>
      </c>
      <c r="O627" s="221">
        <f>IF(AND(B627="",C627=""),"",IF(G627&gt;=20000,0.05,IF(G627&gt;=10000,0.1,IF(G627&gt;=5000,0.2,IF(G627&gt;=1000,0.3,IF(G627&gt;=0,0.4,{0}))))))</f>
        <v/>
      </c>
      <c r="P627" s="419">
        <f>IF(AND(B627="",C627=""),"",ROUND(H627*O627,2))</f>
        <v/>
      </c>
      <c r="Q627" s="420" t="inlineStr">
        <is>
          <t>元件</t>
        </is>
      </c>
      <c r="R627" s="231" t="inlineStr"/>
      <c r="S627" s="231" t="inlineStr"/>
      <c r="T627" s="231" t="inlineStr">
        <is>
          <t>0</t>
        </is>
      </c>
      <c r="U627" s="231" t="inlineStr">
        <is>
          <t>True</t>
        </is>
      </c>
      <c r="V627" s="421" t="n"/>
      <c r="W627" s="421" t="n"/>
      <c r="X627" s="166" t="inlineStr"/>
    </row>
    <row r="628" s="308">
      <c r="A628" s="64">
        <f>ROW()-ROW(A$614)</f>
        <v/>
      </c>
      <c r="B628" s="22" t="inlineStr">
        <is>
          <t>水平母排</t>
        </is>
      </c>
      <c r="C628" s="22" t="inlineStr">
        <is>
          <t>TMY 4*(3*125*5)+2*50*5</t>
        </is>
      </c>
      <c r="D628" s="22" t="inlineStr">
        <is>
          <t>国产优质</t>
        </is>
      </c>
      <c r="E628" s="23" t="inlineStr">
        <is>
          <t>米</t>
        </is>
      </c>
      <c r="F628" s="23" t="n">
        <v>0.5</v>
      </c>
      <c r="G628" s="349">
        <f>IF(AND(B628="",C628=""),"",ROUND(M628*L628*N628,2))</f>
        <v/>
      </c>
      <c r="H628" s="349">
        <f>IF(AND(B628="",C628=""),"",ROUND(F628*G628,2))</f>
        <v/>
      </c>
      <c r="I628" s="45" t="inlineStr"/>
      <c r="J628" s="397">
        <f>IF(AND(B628="",C628=""),"",ROUND(M628*N628,2))</f>
        <v/>
      </c>
      <c r="K628" s="398">
        <f>IF(AND(B628="",C628=""),"",ROUND(J628*F628,2))</f>
        <v/>
      </c>
      <c r="L628" s="200" t="n">
        <v>1</v>
      </c>
      <c r="M628" s="399" t="n">
        <v>7697.076</v>
      </c>
      <c r="N628" s="154">
        <f>(6317.932*1*1+2684.8*1*1)/9002.732</f>
        <v/>
      </c>
      <c r="O628" s="155">
        <f>IF(AND(B628="",C628=""),"",IF(J628&gt;=20000,0.05,IF(J628&gt;=10000,0.1,IF(J628&gt;=5000,0.2,IF(J628&gt;=1000,0.3,IF(J628&gt;=0,0.4,{0}))))))</f>
        <v/>
      </c>
      <c r="P628" s="400">
        <f>IF(AND(B628="",C628=""),"",ROUND(H628*O628,2))</f>
        <v/>
      </c>
      <c r="Q628" s="401" t="inlineStr">
        <is>
          <t>母排</t>
        </is>
      </c>
      <c r="R628" s="168" t="inlineStr"/>
      <c r="S628" s="168" t="inlineStr"/>
      <c r="T628" s="168" t="inlineStr">
        <is>
          <t>0</t>
        </is>
      </c>
      <c r="U628" s="168" t="inlineStr"/>
      <c r="V628" s="402" t="n"/>
      <c r="W628" s="402" t="n"/>
      <c r="X628" s="170" t="inlineStr"/>
    </row>
    <row r="629" customFormat="1" s="5">
      <c r="A629" s="64">
        <f>ROW()-ROW(A$614)</f>
        <v/>
      </c>
      <c r="B629" s="22" t="inlineStr">
        <is>
          <t>桩头排</t>
        </is>
      </c>
      <c r="C629" s="22" t="inlineStr">
        <is>
          <t>TMY 3*80*5</t>
        </is>
      </c>
      <c r="D629" s="22" t="inlineStr">
        <is>
          <t>国产优质</t>
        </is>
      </c>
      <c r="E629" s="23" t="inlineStr">
        <is>
          <t>米</t>
        </is>
      </c>
      <c r="F629" s="23" t="n">
        <v>1.5</v>
      </c>
      <c r="G629" s="349">
        <f>IF(AND(B629="",C629=""),"",ROUND(M629*L629*N629,2))</f>
        <v/>
      </c>
      <c r="H629" s="349">
        <f>IF(AND(B629="",C629=""),"",ROUND(F629*G629,2))</f>
        <v/>
      </c>
      <c r="I629" s="45" t="inlineStr"/>
      <c r="J629" s="422">
        <f>IF(AND(B629="",C629=""),"",ROUND(M629*N629,2))</f>
        <v/>
      </c>
      <c r="K629" s="423">
        <f>IF(AND(B629="",C629=""),"",ROUND(J629*F629,2))</f>
        <v/>
      </c>
      <c r="L629" s="225" t="n">
        <v>1</v>
      </c>
      <c r="M629" s="424" t="n">
        <v>1154.5614</v>
      </c>
      <c r="N629" s="227" t="n">
        <v>1</v>
      </c>
      <c r="O629" s="228">
        <f>IF(AND(B629="",C629=""),"",IF(G629&gt;=20000,0.05,IF(G629&gt;=10000,0.1,IF(G629&gt;=5000,0.2,IF(G629&gt;=1000,0.3,IF(G629&gt;=0,0.4,{0}))))))</f>
        <v/>
      </c>
      <c r="P629" s="425">
        <f>IF(AND(B629="",C629=""),"",ROUND(H629*O629,2))</f>
        <v/>
      </c>
      <c r="Q629" s="426" t="inlineStr">
        <is>
          <t>母排</t>
        </is>
      </c>
      <c r="R629" s="234" t="inlineStr"/>
      <c r="S629" s="234" t="inlineStr"/>
      <c r="T629" s="235" t="inlineStr">
        <is>
          <t>0</t>
        </is>
      </c>
      <c r="U629" s="235" t="inlineStr"/>
      <c r="V629" s="427" t="n"/>
      <c r="W629" s="427" t="n"/>
      <c r="X629" s="237" t="inlineStr">
        <is>
          <t>TMY 2*30*5→TMY 30*8</t>
        </is>
      </c>
    </row>
    <row r="630" customFormat="1" s="5">
      <c r="A630" s="64">
        <f>ROW()-ROW(A$614)</f>
        <v/>
      </c>
      <c r="B630" s="22" t="inlineStr">
        <is>
          <t>桩头排</t>
        </is>
      </c>
      <c r="C630" s="22" t="inlineStr">
        <is>
          <t>TMY 3*2*80*5</t>
        </is>
      </c>
      <c r="D630" s="22" t="inlineStr">
        <is>
          <t>国产优质</t>
        </is>
      </c>
      <c r="E630" s="23" t="inlineStr">
        <is>
          <t>米</t>
        </is>
      </c>
      <c r="F630" s="23" t="n">
        <v>1.5</v>
      </c>
      <c r="G630" s="349">
        <f>IF(AND(B630="",C630=""),"",ROUND(M630*L630*N630,2))</f>
        <v/>
      </c>
      <c r="H630" s="349">
        <f>IF(AND(B630="",C630=""),"",ROUND(F630*G630,2))</f>
        <v/>
      </c>
      <c r="I630" s="45" t="inlineStr"/>
      <c r="J630" s="422">
        <f>IF(AND(B630="",C630=""),"",ROUND(M630*N630,2))</f>
        <v/>
      </c>
      <c r="K630" s="423">
        <f>IF(AND(B630="",C630=""),"",ROUND(J630*F630,2))</f>
        <v/>
      </c>
      <c r="L630" s="225" t="n">
        <v>1</v>
      </c>
      <c r="M630" s="424" t="n">
        <v>2309.1228</v>
      </c>
      <c r="N630" s="227" t="n">
        <v>1</v>
      </c>
      <c r="O630" s="228">
        <f>IF(AND(B630="",C630=""),"",IF(G630&gt;=20000,0.05,IF(G630&gt;=10000,0.1,IF(G630&gt;=5000,0.2,IF(G630&gt;=1000,0.3,IF(G630&gt;=0,0.4,{0}))))))</f>
        <v/>
      </c>
      <c r="P630" s="425">
        <f>IF(AND(B630="",C630=""),"",ROUND(H630*O630,2))</f>
        <v/>
      </c>
      <c r="Q630" s="426" t="inlineStr">
        <is>
          <t>母排</t>
        </is>
      </c>
      <c r="R630" s="234" t="inlineStr"/>
      <c r="S630" s="234" t="inlineStr"/>
      <c r="T630" s="235" t="inlineStr">
        <is>
          <t>0</t>
        </is>
      </c>
      <c r="U630" s="235" t="inlineStr"/>
      <c r="V630" s="427" t="n"/>
      <c r="W630" s="427" t="n"/>
      <c r="X630" s="237" t="inlineStr">
        <is>
          <t>TMY 2*30*5→TMY 30*8</t>
        </is>
      </c>
    </row>
    <row r="631" customFormat="1" s="5">
      <c r="A631" s="64">
        <f>ROW()-ROW(A$614)</f>
        <v/>
      </c>
      <c r="B631" s="22" t="inlineStr">
        <is>
          <t>垂直排</t>
        </is>
      </c>
      <c r="C631" s="22" t="inlineStr">
        <is>
          <t>TMY 3*80*5</t>
        </is>
      </c>
      <c r="D631" s="22" t="inlineStr">
        <is>
          <t>国产优质</t>
        </is>
      </c>
      <c r="E631" s="23" t="inlineStr">
        <is>
          <t>米</t>
        </is>
      </c>
      <c r="F631" s="23" t="n">
        <v>2</v>
      </c>
      <c r="G631" s="349">
        <f>IF(AND(B631="",C631=""),"",ROUND(M631*L631*N631,2))</f>
        <v/>
      </c>
      <c r="H631" s="349">
        <f>IF(AND(B631="",C631=""),"",ROUND(F631*G631,2))</f>
        <v/>
      </c>
      <c r="I631" s="45" t="inlineStr"/>
      <c r="J631" s="422">
        <f>IF(AND(B631="",C631=""),"",ROUND(M631*N631,2))</f>
        <v/>
      </c>
      <c r="K631" s="423">
        <f>IF(AND(B631="",C631=""),"",ROUND(J631*F631,2))</f>
        <v/>
      </c>
      <c r="L631" s="225" t="n">
        <v>1</v>
      </c>
      <c r="M631" s="424" t="n">
        <v>1154.5614</v>
      </c>
      <c r="N631" s="227" t="n">
        <v>1</v>
      </c>
      <c r="O631" s="228">
        <f>IF(AND(B631="",C631=""),"",IF(G631&gt;=20000,0.05,IF(G631&gt;=10000,0.1,IF(G631&gt;=5000,0.2,IF(G631&gt;=1000,0.3,IF(G631&gt;=0,0.4,{0}))))))</f>
        <v/>
      </c>
      <c r="P631" s="425">
        <f>IF(AND(B631="",C631=""),"",ROUND(H631*O631,2))</f>
        <v/>
      </c>
      <c r="Q631" s="426" t="inlineStr">
        <is>
          <t>母排</t>
        </is>
      </c>
      <c r="R631" s="234" t="inlineStr"/>
      <c r="S631" s="234" t="inlineStr"/>
      <c r="T631" s="235" t="inlineStr">
        <is>
          <t>0</t>
        </is>
      </c>
      <c r="U631" s="235" t="inlineStr"/>
      <c r="V631" s="427" t="n"/>
      <c r="W631" s="427" t="n"/>
      <c r="X631" s="237" t="inlineStr">
        <is>
          <t>TMY 2*30*5→TMY 30*8</t>
        </is>
      </c>
    </row>
    <row r="632" customFormat="1" s="5">
      <c r="A632" s="64">
        <f>ROW()-ROW(A$614)</f>
        <v/>
      </c>
      <c r="B632" s="22" t="inlineStr">
        <is>
          <t>N排</t>
        </is>
      </c>
      <c r="C632" s="22" t="inlineStr">
        <is>
          <t>TMY 3*80*5</t>
        </is>
      </c>
      <c r="D632" s="22" t="inlineStr">
        <is>
          <t>国产优质</t>
        </is>
      </c>
      <c r="E632" s="23" t="inlineStr">
        <is>
          <t>米</t>
        </is>
      </c>
      <c r="F632" s="23" t="n">
        <v>3</v>
      </c>
      <c r="G632" s="349">
        <f>IF(AND(B632="",C632=""),"",ROUND(M632*L632*N632,2))</f>
        <v/>
      </c>
      <c r="H632" s="349">
        <f>IF(AND(B632="",C632=""),"",ROUND(F632*G632,2))</f>
        <v/>
      </c>
      <c r="I632" s="45" t="inlineStr"/>
      <c r="J632" s="422">
        <f>IF(AND(B632="",C632=""),"",ROUND(M632*N632,2))</f>
        <v/>
      </c>
      <c r="K632" s="423">
        <f>IF(AND(B632="",C632=""),"",ROUND(J632*F632,2))</f>
        <v/>
      </c>
      <c r="L632" s="225" t="n">
        <v>1</v>
      </c>
      <c r="M632" s="424" t="n">
        <v>1154.5614</v>
      </c>
      <c r="N632" s="227" t="n">
        <v>1</v>
      </c>
      <c r="O632" s="228">
        <f>IF(AND(B632="",C632=""),"",IF(G632&gt;=20000,0.05,IF(G632&gt;=10000,0.1,IF(G632&gt;=5000,0.2,IF(G632&gt;=1000,0.3,IF(G632&gt;=0,0.4,{0}))))))</f>
        <v/>
      </c>
      <c r="P632" s="425">
        <f>IF(AND(B632="",C632=""),"",ROUND(H632*O632,2))</f>
        <v/>
      </c>
      <c r="Q632" s="426" t="inlineStr">
        <is>
          <t>母排</t>
        </is>
      </c>
      <c r="R632" s="234" t="inlineStr"/>
      <c r="S632" s="234" t="inlineStr"/>
      <c r="T632" s="235" t="inlineStr">
        <is>
          <t>0</t>
        </is>
      </c>
      <c r="U632" s="235" t="inlineStr"/>
      <c r="V632" s="427" t="n"/>
      <c r="W632" s="427" t="n"/>
      <c r="X632" s="237" t="inlineStr">
        <is>
          <t>TMY 2*30*5→TMY 30*8</t>
        </is>
      </c>
    </row>
    <row r="633" customFormat="1" s="5">
      <c r="A633" s="64">
        <f>ROW()-ROW(A$614)</f>
        <v/>
      </c>
      <c r="B633" s="22" t="inlineStr">
        <is>
          <t>PE排</t>
        </is>
      </c>
      <c r="C633" s="22" t="inlineStr">
        <is>
          <t>TMY 2*50*5</t>
        </is>
      </c>
      <c r="D633" s="22" t="inlineStr">
        <is>
          <t>国产优质</t>
        </is>
      </c>
      <c r="E633" s="23" t="inlineStr">
        <is>
          <t>米</t>
        </is>
      </c>
      <c r="F633" s="23" t="n">
        <v>2</v>
      </c>
      <c r="G633" s="349">
        <f>IF(AND(B633="",C633=""),"",ROUND(M633*L633*N633,2))</f>
        <v/>
      </c>
      <c r="H633" s="349">
        <f>IF(AND(B633="",C633=""),"",ROUND(F633*G633,2))</f>
        <v/>
      </c>
      <c r="I633" s="45" t="inlineStr"/>
      <c r="J633" s="422">
        <f>IF(AND(B633="",C633=""),"",ROUND(M633*N633,2))</f>
        <v/>
      </c>
      <c r="K633" s="423">
        <f>IF(AND(B633="",C633=""),"",ROUND(J633*F633,2))</f>
        <v/>
      </c>
      <c r="L633" s="225" t="n">
        <v>1</v>
      </c>
      <c r="M633" s="424" t="n">
        <v>481.06725</v>
      </c>
      <c r="N633" s="227" t="n">
        <v>1</v>
      </c>
      <c r="O633" s="228">
        <f>IF(AND(B633="",C633=""),"",IF(G633&gt;=20000,0.05,IF(G633&gt;=10000,0.1,IF(G633&gt;=5000,0.2,IF(G633&gt;=1000,0.3,IF(G633&gt;=0,0.4,{0}))))))</f>
        <v/>
      </c>
      <c r="P633" s="425">
        <f>IF(AND(B633="",C633=""),"",ROUND(H633*O633,2))</f>
        <v/>
      </c>
      <c r="Q633" s="426" t="inlineStr">
        <is>
          <t>母排</t>
        </is>
      </c>
      <c r="R633" s="234" t="inlineStr"/>
      <c r="S633" s="234" t="inlineStr"/>
      <c r="T633" s="235" t="inlineStr">
        <is>
          <t>0</t>
        </is>
      </c>
      <c r="U633" s="235" t="inlineStr"/>
      <c r="V633" s="427" t="n"/>
      <c r="W633" s="427" t="n"/>
      <c r="X633" s="237" t="inlineStr">
        <is>
          <t>TMY 2*30*5→TMY 30*8</t>
        </is>
      </c>
    </row>
    <row r="634" s="308">
      <c r="A634" s="64">
        <f>ROW()-ROW(A$614)</f>
        <v/>
      </c>
      <c r="B634" s="112" t="inlineStr">
        <is>
          <t>辅料</t>
        </is>
      </c>
      <c r="C634" s="112" t="inlineStr"/>
      <c r="D634" s="112" t="inlineStr"/>
      <c r="E634" s="114" t="inlineStr">
        <is>
          <t>套</t>
        </is>
      </c>
      <c r="F634" s="114" t="n">
        <v>1</v>
      </c>
      <c r="G634" s="396">
        <f>IF(AND(B634="",C634=""),"",ROUND(M634*L634*N634,2))</f>
        <v/>
      </c>
      <c r="H634" s="396">
        <f>IF(AND(B634="",C634=""),"",ROUND(F634*G634,2))</f>
        <v/>
      </c>
      <c r="I634" s="219" t="inlineStr"/>
      <c r="J634" s="397">
        <f>IF(AND(B634="",C634=""),"",ROUND(M634*N634,2))</f>
        <v/>
      </c>
      <c r="K634" s="398">
        <f>IF(AND(B634="",C634=""),"",ROUND(J634*F634,2))</f>
        <v/>
      </c>
      <c r="L634" s="200" t="n">
        <v>1</v>
      </c>
      <c r="M634" s="399" t="n">
        <v>800</v>
      </c>
      <c r="N634" s="154" t="n">
        <v>1</v>
      </c>
      <c r="O634" s="155">
        <f>IF(AND(B634="",C634=""),"",IF(G634&gt;=20000,0.05,IF(G634&gt;=10000,0.1,IF(G634&gt;=5000,0.2,IF(G634&gt;=1000,0.3,IF(G634&gt;=0,0.4,{0}))))))</f>
        <v/>
      </c>
      <c r="P634" s="400">
        <f>IF(AND(B634="",C634=""),"",ROUND(H634*O634,2))</f>
        <v/>
      </c>
      <c r="Q634" s="401" t="inlineStr">
        <is>
          <t>辅料</t>
        </is>
      </c>
      <c r="R634" s="168" t="inlineStr"/>
      <c r="S634" s="168" t="inlineStr"/>
      <c r="T634" s="168" t="inlineStr">
        <is>
          <t>0</t>
        </is>
      </c>
      <c r="U634" s="168" t="inlineStr"/>
      <c r="V634" s="402" t="n"/>
      <c r="W634" s="402" t="n"/>
      <c r="X634" s="170" t="inlineStr"/>
    </row>
    <row r="635" s="308">
      <c r="A635" s="64">
        <f>ROW()-ROW(A$614)</f>
        <v/>
      </c>
      <c r="B635" s="112" t="inlineStr">
        <is>
          <t>柜体Blokset</t>
        </is>
      </c>
      <c r="C635" s="22" t="inlineStr">
        <is>
          <t>400W*1200D*2200H</t>
        </is>
      </c>
      <c r="D635" s="112" t="inlineStr">
        <is>
          <t>清科</t>
        </is>
      </c>
      <c r="E635" s="114" t="inlineStr">
        <is>
          <t>台</t>
        </is>
      </c>
      <c r="F635" s="114" t="n">
        <v>1</v>
      </c>
      <c r="G635" s="396">
        <f>IF(AND(B635="",C635=""),"",ROUND(M635*L635*N635,2))</f>
        <v/>
      </c>
      <c r="H635" s="396">
        <f>IF(AND(B635="",C635=""),"",ROUND(F635*G635,2))</f>
        <v/>
      </c>
      <c r="I635" s="219" t="inlineStr"/>
      <c r="J635" s="397">
        <f>IF(AND(B635="",C635=""),"",ROUND(M635*N635,2))</f>
        <v/>
      </c>
      <c r="K635" s="398">
        <f>IF(AND(B635="",C635=""),"",ROUND(J635*F635,2))</f>
        <v/>
      </c>
      <c r="L635" s="200" t="n">
        <v>1</v>
      </c>
      <c r="M635" s="399" t="n">
        <v>4916</v>
      </c>
      <c r="N635" s="154" t="n">
        <v>1</v>
      </c>
      <c r="O635" s="155">
        <f>IF(AND(B635="",C635=""),"",IF(G635&gt;=20000,0.05,IF(G635&gt;=10000,0.1,IF(G635&gt;=5000,0.2,IF(G635&gt;=1000,0.3,IF(G635&gt;=0,0.4,{0}))))))</f>
        <v/>
      </c>
      <c r="P635" s="400">
        <f>IF(AND(B635="",C635=""),"",ROUND(H635*O635,2))</f>
        <v/>
      </c>
      <c r="Q635" s="401" t="inlineStr">
        <is>
          <t>箱体</t>
        </is>
      </c>
      <c r="R635" s="168" t="inlineStr"/>
      <c r="S635" s="168" t="inlineStr"/>
      <c r="T635" s="168" t="inlineStr">
        <is>
          <t>0</t>
        </is>
      </c>
      <c r="U635" s="168" t="inlineStr"/>
      <c r="V635" s="402" t="n"/>
      <c r="W635" s="402" t="n"/>
      <c r="X635" s="170" t="inlineStr">
        <is>
          <t>BlokSeT</t>
        </is>
      </c>
    </row>
    <row r="636" s="308">
      <c r="A636" s="64">
        <f>ROW()-ROW(A$614)</f>
        <v/>
      </c>
      <c r="B636" s="22" t="inlineStr"/>
      <c r="C636" s="22" t="inlineStr"/>
      <c r="D636" s="22" t="inlineStr"/>
      <c r="E636" s="23" t="n"/>
      <c r="F636" s="23">
        <f>IF(AND(B636="",C636=""),"",1)</f>
        <v/>
      </c>
      <c r="G636" s="349">
        <f>IF(AND(B636="",C636=""),"",ROUND(M636*L636*N636,2))</f>
        <v/>
      </c>
      <c r="H636" s="349">
        <f>IF(AND(B636="",C636=""),"",ROUND(F636*G636,2))</f>
        <v/>
      </c>
      <c r="I636" s="45" t="inlineStr"/>
      <c r="J636" s="397">
        <f>IF(AND(B636="",C636=""),"",ROUND(M636*N636,2))</f>
        <v/>
      </c>
      <c r="K636" s="398">
        <f>IF(AND(B636="",C636=""),"",ROUND(J636*F636,2))</f>
        <v/>
      </c>
      <c r="L636" s="200">
        <f>IF(AND(B636="",C636=""),"",1)</f>
        <v/>
      </c>
      <c r="M636" s="399" t="n"/>
      <c r="N636" s="154">
        <f>IF(AND(B636="",C636=""),"",1)</f>
        <v/>
      </c>
      <c r="O636" s="155">
        <f>IF(AND(B636="",C636=""),"",IF(J636&gt;=20000,0.05,IF(J636&gt;=10000,0.1,IF(J636&gt;=5000,0.2,IF(J636&gt;=1000,0.3,IF(J636&gt;=0,0.4,{0}))))))</f>
        <v/>
      </c>
      <c r="P636" s="400">
        <f>IF(AND(B636="",C636=""),"",ROUND(H636*O636,2))</f>
        <v/>
      </c>
      <c r="Q636" s="401">
        <f>IF(AND(B636="",C636=""),"","元件")</f>
        <v/>
      </c>
      <c r="R636" s="168" t="inlineStr"/>
      <c r="S636" s="168" t="inlineStr"/>
      <c r="T636" s="168" t="inlineStr"/>
      <c r="U636" s="168" t="inlineStr"/>
      <c r="V636" s="402" t="n"/>
      <c r="W636" s="402" t="n"/>
      <c r="X636" s="170" t="inlineStr"/>
    </row>
    <row r="637" s="308">
      <c r="A637" s="64">
        <f>ROW()-ROW(A$614)</f>
        <v/>
      </c>
      <c r="B637" s="171" t="inlineStr">
        <is>
          <t>小计</t>
        </is>
      </c>
      <c r="C637" s="172" t="n"/>
      <c r="D637" s="204" t="n"/>
      <c r="E637" s="114" t="n"/>
      <c r="F637" s="114" t="n"/>
      <c r="G637" s="396" t="n"/>
      <c r="H637" s="396">
        <f>ROUND(SUM(H614:INDEX(H:H,ROW()-1)),2)</f>
        <v/>
      </c>
      <c r="I637" s="45" t="inlineStr"/>
      <c r="J637" s="397" t="n"/>
      <c r="K637" s="398">
        <f>ROUND(SUM(K614:INDEX(K:K,ROW()-1)),2)</f>
        <v/>
      </c>
      <c r="L637" s="200" t="n"/>
      <c r="M637" s="399" t="n"/>
      <c r="N637" s="154" t="n"/>
      <c r="O637" s="155" t="n"/>
      <c r="P637" s="400" t="n"/>
      <c r="Q637" s="401" t="n"/>
      <c r="R637" s="168" t="inlineStr"/>
      <c r="S637" s="168" t="inlineStr"/>
      <c r="T637" s="168" t="inlineStr"/>
      <c r="U637" s="168" t="inlineStr"/>
      <c r="V637" s="402">
        <f>ROUND(SUMPRODUCT(F614:INDEX(F:F,ROW()-1),V614:INDEX(V:V,ROW()-1)),2)</f>
        <v/>
      </c>
      <c r="W637" s="402">
        <f>ROUND(SUMPRODUCT(F614:INDEX(F:F,ROW()-1),W614:INDEX(W:W,ROW()-1)),2)</f>
        <v/>
      </c>
      <c r="X637" s="170" t="inlineStr"/>
    </row>
    <row r="638" s="308">
      <c r="A638" s="64">
        <f>ROW()-ROW(A$614)</f>
        <v/>
      </c>
      <c r="B638" s="171" t="inlineStr">
        <is>
          <t>综合费(人工、管理、税金、利润等)</t>
        </is>
      </c>
      <c r="C638" s="172" t="n"/>
      <c r="D638" s="204" t="n"/>
      <c r="E638" s="114" t="n"/>
      <c r="F638" s="114" t="n"/>
      <c r="G638" s="396" t="n"/>
      <c r="H638" s="396">
        <f>2500</f>
        <v/>
      </c>
      <c r="I638" s="45" t="inlineStr"/>
      <c r="J638" s="397" t="n"/>
      <c r="K638" s="398" t="n"/>
      <c r="L638" s="200" t="n"/>
      <c r="M638" s="399" t="n"/>
      <c r="N638" s="154" t="n"/>
      <c r="O638" s="155" t="n"/>
      <c r="P638" s="400" t="n"/>
      <c r="Q638" s="401" t="inlineStr">
        <is>
          <t>费用</t>
        </is>
      </c>
      <c r="R638" s="168" t="inlineStr"/>
      <c r="S638" s="168" t="inlineStr"/>
      <c r="T638" s="168" t="inlineStr"/>
      <c r="U638" s="168" t="inlineStr"/>
      <c r="V638" s="402" t="n"/>
      <c r="W638" s="402" t="n"/>
      <c r="X638" s="170" t="inlineStr"/>
    </row>
    <row r="639" s="308">
      <c r="A639" s="64">
        <f>ROW()-ROW(A$614)</f>
        <v/>
      </c>
      <c r="B639" s="204" t="inlineStr">
        <is>
          <t>单台合计</t>
        </is>
      </c>
      <c r="C639" s="172" t="n"/>
      <c r="D639" s="204" t="n"/>
      <c r="E639" s="114" t="n"/>
      <c r="F639" s="114" t="n"/>
      <c r="G639" s="396" t="n"/>
      <c r="H639" s="396">
        <f>ROUND(SUM(H637:H638),2)</f>
        <v/>
      </c>
      <c r="I639" s="181" t="n"/>
      <c r="J639" s="397" t="n"/>
      <c r="K639" s="398">
        <f>ROUND(SUM(K637:K638),2)</f>
        <v/>
      </c>
      <c r="L639" s="209" t="n"/>
      <c r="M639" s="399" t="n"/>
      <c r="N639" s="210" t="n"/>
      <c r="O639" s="211" t="n"/>
      <c r="P639" s="400" t="n"/>
      <c r="Q639" s="401" t="n"/>
      <c r="R639" s="168" t="inlineStr"/>
      <c r="S639" s="168" t="inlineStr"/>
      <c r="T639" s="168" t="inlineStr"/>
      <c r="U639" s="168" t="inlineStr"/>
      <c r="V639" s="402" t="n"/>
      <c r="W639" s="402" t="n"/>
      <c r="X639" s="170" t="inlineStr"/>
    </row>
    <row r="640" s="308">
      <c r="A640" s="173" t="inlineStr">
        <is>
          <t>总计</t>
        </is>
      </c>
      <c r="B640" s="205" t="n"/>
      <c r="C640" s="175" t="n"/>
      <c r="D640" s="206" t="n"/>
      <c r="E640" s="206" t="inlineStr">
        <is>
          <t>台</t>
        </is>
      </c>
      <c r="F640" s="206" t="n">
        <v>1</v>
      </c>
      <c r="G640" s="414">
        <f>ROUND(H639,2)</f>
        <v/>
      </c>
      <c r="H640" s="414">
        <f>ROUND(F640*G640,2)</f>
        <v/>
      </c>
      <c r="I640" s="185" t="n"/>
      <c r="J640" s="415" t="n"/>
      <c r="K640" s="416">
        <f>ROUND(K639*F640,2)</f>
        <v/>
      </c>
      <c r="L640" s="214" t="n"/>
      <c r="M640" s="417" t="n"/>
      <c r="N640" s="216" t="n"/>
      <c r="O640" s="217" t="n"/>
      <c r="P640" s="418" t="n"/>
      <c r="Q640" s="401" t="n"/>
      <c r="R640" s="168" t="inlineStr"/>
      <c r="S640" s="168" t="inlineStr"/>
      <c r="T640" s="168" t="inlineStr"/>
      <c r="U640" s="168" t="inlineStr"/>
      <c r="V640" s="402" t="n"/>
      <c r="W640" s="402" t="n"/>
      <c r="X640" s="170" t="inlineStr"/>
    </row>
    <row r="641" customFormat="1" s="4">
      <c r="A641" s="6" t="n"/>
      <c r="B641" s="195" t="inlineStr"/>
      <c r="C641" s="195" t="inlineStr"/>
      <c r="D641" s="195" t="inlineStr"/>
      <c r="Q641" s="159" t="n"/>
      <c r="R641" s="159" t="n"/>
      <c r="S641" s="159" t="n"/>
      <c r="T641" s="159" t="n"/>
      <c r="U641" s="159" t="n"/>
      <c r="X641" s="195" t="inlineStr"/>
    </row>
    <row r="642" customFormat="1" s="4">
      <c r="A642" s="6" t="n"/>
      <c r="B642" s="195" t="inlineStr"/>
      <c r="C642" s="195" t="inlineStr"/>
      <c r="D642" s="195" t="inlineStr"/>
      <c r="Q642" s="159" t="n"/>
      <c r="R642" s="159" t="n"/>
      <c r="S642" s="159" t="n"/>
      <c r="T642" s="159" t="n"/>
      <c r="U642" s="159" t="n"/>
      <c r="X642" s="195" t="inlineStr"/>
    </row>
    <row r="643" s="308">
      <c r="A643" s="208">
        <f>CONCATENATE("报价人：",项目信息!$B$8)</f>
        <v/>
      </c>
      <c r="B643" s="208" t="n"/>
      <c r="C643" s="4" t="n"/>
      <c r="D643" s="4" t="n"/>
      <c r="E643" s="4" t="n"/>
      <c r="F643" s="4" t="n"/>
      <c r="G643" s="4" t="n"/>
      <c r="H643" s="178">
        <f>项目信息!$B$9</f>
        <v/>
      </c>
      <c r="Q643" s="159" t="n"/>
      <c r="R643" s="159" t="n"/>
      <c r="S643" s="159" t="n"/>
      <c r="T643" s="159" t="n"/>
      <c r="U643" s="159" t="n"/>
      <c r="X643" s="203" t="inlineStr"/>
    </row>
    <row r="644" s="308">
      <c r="A644" s="8">
        <f>T(项目信息!$B$22)</f>
        <v/>
      </c>
      <c r="Q644" s="159" t="n"/>
      <c r="R644" s="159" t="n"/>
      <c r="S644" s="159" t="n"/>
      <c r="T644" s="159" t="n"/>
      <c r="U644" s="159" t="n"/>
    </row>
    <row r="645" s="308">
      <c r="A645" s="9">
        <f>T(项目信息!$B$23)</f>
        <v/>
      </c>
      <c r="Q645" s="159" t="n"/>
      <c r="R645" s="159" t="n"/>
      <c r="S645" s="159" t="n"/>
      <c r="T645" s="159" t="n"/>
      <c r="U645" s="159" t="n"/>
    </row>
    <row r="646" s="308">
      <c r="A646" s="97" t="inlineStr">
        <is>
          <t>成套产品报价明细表</t>
        </is>
      </c>
      <c r="B646" s="378" t="n"/>
      <c r="C646" s="378" t="n"/>
      <c r="D646" s="378" t="n"/>
      <c r="E646" s="378" t="n"/>
      <c r="F646" s="378" t="n"/>
      <c r="G646" s="378" t="n"/>
      <c r="H646" s="378" t="n"/>
      <c r="I646" s="378" t="n"/>
      <c r="Q646" s="159" t="n"/>
      <c r="R646" s="159" t="n"/>
      <c r="S646" s="159" t="n"/>
      <c r="T646" s="159" t="n"/>
      <c r="U646" s="159" t="n"/>
    </row>
    <row r="647" customFormat="1" s="4">
      <c r="A647" s="98" t="inlineStr">
        <is>
          <t>柜号:</t>
        </is>
      </c>
      <c r="B647" s="99" t="inlineStr">
        <is>
          <t>AAN3-05</t>
        </is>
      </c>
      <c r="C647" s="100" t="inlineStr">
        <is>
          <t>型号:</t>
        </is>
      </c>
      <c r="D647" s="99" t="inlineStr">
        <is>
          <t>BlokSeT</t>
        </is>
      </c>
      <c r="E647" s="379" t="n"/>
      <c r="F647" s="101" t="inlineStr">
        <is>
          <t>名称:</t>
        </is>
      </c>
      <c r="G647" s="99" t="inlineStr">
        <is>
          <t>馈线柜</t>
        </is>
      </c>
      <c r="H647" s="379" t="n"/>
      <c r="I647" s="408" t="inlineStr"/>
      <c r="J647" s="194" t="inlineStr">
        <is>
          <t>箱柜尺寸:</t>
        </is>
      </c>
      <c r="K647" s="195" t="inlineStr">
        <is>
          <t>800W*1200D*2200H</t>
        </is>
      </c>
      <c r="L647" s="194" t="inlineStr">
        <is>
          <t>类别:</t>
        </is>
      </c>
      <c r="M647" s="195" t="inlineStr">
        <is>
          <t>低压固定柜</t>
        </is>
      </c>
      <c r="N647" s="409" t="inlineStr"/>
      <c r="Q647" s="159" t="n"/>
      <c r="R647" s="159" t="n"/>
      <c r="S647" s="159" t="n"/>
      <c r="T647" s="159" t="n"/>
      <c r="U647" s="159" t="n"/>
    </row>
    <row r="648" ht="20.1" customHeight="1" s="308">
      <c r="A648" s="102" t="inlineStr">
        <is>
          <t>序号</t>
        </is>
      </c>
      <c r="B648" s="103" t="inlineStr">
        <is>
          <t>元件名称</t>
        </is>
      </c>
      <c r="C648" s="103" t="inlineStr">
        <is>
          <t>型号规格</t>
        </is>
      </c>
      <c r="D648" s="104" t="inlineStr">
        <is>
          <t>生产厂家</t>
        </is>
      </c>
      <c r="E648" s="105" t="inlineStr">
        <is>
          <t>单位</t>
        </is>
      </c>
      <c r="F648" s="105" t="inlineStr">
        <is>
          <t>数量</t>
        </is>
      </c>
      <c r="G648" s="382" t="inlineStr">
        <is>
          <t>单   价</t>
        </is>
      </c>
      <c r="H648" s="383" t="inlineStr">
        <is>
          <t>总   价</t>
        </is>
      </c>
      <c r="I648" s="134" t="inlineStr">
        <is>
          <t>备注</t>
        </is>
      </c>
      <c r="J648" s="384" t="inlineStr">
        <is>
          <t>成本单价</t>
        </is>
      </c>
      <c r="K648" s="384" t="inlineStr">
        <is>
          <t>成本总价</t>
        </is>
      </c>
      <c r="L648" s="136" t="inlineStr">
        <is>
          <t>报出
系数</t>
        </is>
      </c>
      <c r="M648" s="384" t="inlineStr">
        <is>
          <t>表价</t>
        </is>
      </c>
      <c r="N648" s="136" t="inlineStr">
        <is>
          <t>折扣
系数</t>
        </is>
      </c>
      <c r="O648" s="137" t="inlineStr">
        <is>
          <t>取费
系数</t>
        </is>
      </c>
      <c r="P648" s="384" t="inlineStr">
        <is>
          <t>成套费</t>
        </is>
      </c>
      <c r="Q648" s="161" t="inlineStr">
        <is>
          <t>类别</t>
        </is>
      </c>
      <c r="R648" s="161" t="inlineStr">
        <is>
          <t>物料编码</t>
        </is>
      </c>
      <c r="S648" s="161" t="inlineStr">
        <is>
          <t>产地</t>
        </is>
      </c>
      <c r="T648" s="161" t="inlineStr">
        <is>
          <t>加工费</t>
        </is>
      </c>
      <c r="U648" s="161" t="inlineStr">
        <is>
          <t>订货号</t>
        </is>
      </c>
      <c r="V648" s="161" t="inlineStr">
        <is>
          <t>人工</t>
        </is>
      </c>
      <c r="W648" s="161" t="inlineStr">
        <is>
          <t>辅料</t>
        </is>
      </c>
      <c r="X648" s="203" t="inlineStr"/>
    </row>
    <row r="649" s="308">
      <c r="A649" s="64">
        <f>ROW()-ROW(A$648)</f>
        <v/>
      </c>
      <c r="B649" s="22" t="inlineStr">
        <is>
          <t>框架断路器</t>
        </is>
      </c>
      <c r="C649" s="22" t="inlineStr">
        <is>
          <t>MT12 N1a SG 3P MIC5.0 E</t>
        </is>
      </c>
      <c r="D649" s="22" t="inlineStr">
        <is>
          <t>甲供/施耐德电气</t>
        </is>
      </c>
      <c r="E649" s="23" t="inlineStr">
        <is>
          <t>只</t>
        </is>
      </c>
      <c r="F649" s="23" t="n">
        <v>1</v>
      </c>
      <c r="G649" s="349">
        <f>IF(AND(B649="",C649=""),"",ROUND(M649*L649*N649,2))</f>
        <v/>
      </c>
      <c r="H649" s="349">
        <f>IF(AND(B649="",C649=""),"",ROUND(F649*G649,2))</f>
        <v/>
      </c>
      <c r="I649" s="45" t="inlineStr"/>
      <c r="J649" s="397">
        <f>IF(AND(B649="",C649=""),"",ROUND(M649*N649,2))</f>
        <v/>
      </c>
      <c r="K649" s="398">
        <f>IF(AND(B649="",C649=""),"",ROUND(J649*F649,2))</f>
        <v/>
      </c>
      <c r="L649" s="200" t="n">
        <v>1</v>
      </c>
      <c r="M649" s="399" t="n">
        <v>1e-07</v>
      </c>
      <c r="N649" s="154" t="n">
        <v>1</v>
      </c>
      <c r="O649" s="155">
        <f>IF(AND(B649="",C649=""),"",IF(G649&gt;=20000,0.05,IF(G649&gt;=10000,0.1,IF(G649&gt;=5000,0.2,IF(G649&gt;=1000,0.3,IF(G649&gt;=0,0.4,{0}))))))</f>
        <v/>
      </c>
      <c r="P649" s="400">
        <f>IF(AND(B649="",C649=""),"",ROUND(H649*O649,2))</f>
        <v/>
      </c>
      <c r="Q649" s="401" t="inlineStr">
        <is>
          <t>元件</t>
        </is>
      </c>
      <c r="R649" s="168" t="inlineStr"/>
      <c r="S649" s="168" t="inlineStr"/>
      <c r="T649" s="168" t="inlineStr">
        <is>
          <t>0</t>
        </is>
      </c>
      <c r="U649" s="168" t="inlineStr">
        <is>
          <t>C16F32D160</t>
        </is>
      </c>
      <c r="V649" s="402" t="n"/>
      <c r="W649" s="402" t="n"/>
      <c r="X649" s="170" t="inlineStr">
        <is>
          <t>NSX630N Mic2.3 630A 3P3D F→NSX630F MIC2.3 630 3P F→NSX630F MIC 2.3 630 3P F</t>
        </is>
      </c>
    </row>
    <row r="650" s="308">
      <c r="A650" s="64">
        <f>ROW()-ROW(A$648)</f>
        <v/>
      </c>
      <c r="B650" s="22" t="inlineStr">
        <is>
          <t>框架断路器</t>
        </is>
      </c>
      <c r="C650" s="22" t="inlineStr">
        <is>
          <t>MT10 N1a SG 4P MIC5.0 E</t>
        </is>
      </c>
      <c r="D650" s="22" t="inlineStr">
        <is>
          <t>甲供/施耐德电气</t>
        </is>
      </c>
      <c r="E650" s="23" t="inlineStr">
        <is>
          <t>只</t>
        </is>
      </c>
      <c r="F650" s="23" t="n">
        <v>1</v>
      </c>
      <c r="G650" s="349">
        <f>IF(AND(B650="",C650=""),"",ROUND(M650*L650*N650,2))</f>
        <v/>
      </c>
      <c r="H650" s="349">
        <f>IF(AND(B650="",C650=""),"",ROUND(F650*G650,2))</f>
        <v/>
      </c>
      <c r="I650" s="45" t="inlineStr"/>
      <c r="J650" s="397">
        <f>IF(AND(B650="",C650=""),"",ROUND(M650*N650,2))</f>
        <v/>
      </c>
      <c r="K650" s="398">
        <f>IF(AND(B650="",C650=""),"",ROUND(J650*F650,2))</f>
        <v/>
      </c>
      <c r="L650" s="200" t="n">
        <v>1</v>
      </c>
      <c r="M650" s="399" t="n">
        <v>1e-07</v>
      </c>
      <c r="N650" s="154" t="n">
        <v>1</v>
      </c>
      <c r="O650" s="155">
        <f>IF(AND(B650="",C650=""),"",IF(G650&gt;=20000,0.05,IF(G650&gt;=10000,0.1,IF(G650&gt;=5000,0.2,IF(G650&gt;=1000,0.3,IF(G650&gt;=0,0.4,{0}))))))</f>
        <v/>
      </c>
      <c r="P650" s="400">
        <f>IF(AND(B650="",C650=""),"",ROUND(H650*O650,2))</f>
        <v/>
      </c>
      <c r="Q650" s="401" t="inlineStr">
        <is>
          <t>元件</t>
        </is>
      </c>
      <c r="R650" s="168" t="inlineStr"/>
      <c r="S650" s="168" t="inlineStr"/>
      <c r="T650" s="168" t="inlineStr">
        <is>
          <t>0</t>
        </is>
      </c>
      <c r="U650" s="168" t="inlineStr">
        <is>
          <t>C16F32D160</t>
        </is>
      </c>
      <c r="V650" s="402" t="n"/>
      <c r="W650" s="402" t="n"/>
      <c r="X650" s="170" t="inlineStr">
        <is>
          <t>NSX630N Mic2.3 630A 3P3D F→NSX630F MIC2.3 630 3P F→NSX630F MIC 2.3 630 3P F</t>
        </is>
      </c>
    </row>
    <row r="651" s="308">
      <c r="A651" s="64">
        <f>ROW()-ROW(A$648)</f>
        <v/>
      </c>
      <c r="B651" s="22" t="inlineStr">
        <is>
          <t>电流互感器</t>
        </is>
      </c>
      <c r="C651" s="22" t="inlineStr">
        <is>
          <t>SD-0.66-80II-V 1000/5A</t>
        </is>
      </c>
      <c r="D651" s="22" t="inlineStr">
        <is>
          <t>桑迪</t>
        </is>
      </c>
      <c r="E651" s="23" t="inlineStr">
        <is>
          <t>只</t>
        </is>
      </c>
      <c r="F651" s="23" t="n">
        <v>3</v>
      </c>
      <c r="G651" s="349">
        <f>IF(AND(B651="",C651=""),"",ROUND(M651*L651*N651,2))</f>
        <v/>
      </c>
      <c r="H651" s="396">
        <f>IF(AND(B651="",C651=""),"",ROUND(F651*G651,2))</f>
        <v/>
      </c>
      <c r="I651" s="219" t="inlineStr"/>
      <c r="J651" s="397">
        <f>IF(AND(B651="",C651=""),"",ROUND(M651*N651,2))</f>
        <v/>
      </c>
      <c r="K651" s="398">
        <f>IF(AND(B651="",C651=""),"",ROUND(J651*F651,2))</f>
        <v/>
      </c>
      <c r="L651" s="200" t="n">
        <v>1</v>
      </c>
      <c r="M651" s="399" t="n">
        <v>91.65000000000001</v>
      </c>
      <c r="N651" s="154" t="n">
        <v>1</v>
      </c>
      <c r="O651" s="155">
        <f>IF(AND(B651="",C651=""),"",IF(G651&gt;=20000,0.05,IF(G651&gt;=10000,0.1,IF(G651&gt;=5000,0.2,IF(G651&gt;=1000,0.3,IF(G651&gt;=0,0.4,{0}))))))</f>
        <v/>
      </c>
      <c r="P651" s="400">
        <f>IF(AND(B651="",C651=""),"",ROUND(H651*O651,2))</f>
        <v/>
      </c>
      <c r="Q651" s="401" t="inlineStr">
        <is>
          <t>元件</t>
        </is>
      </c>
      <c r="R651" s="168" t="inlineStr"/>
      <c r="S651" s="168" t="inlineStr"/>
      <c r="T651" s="168" t="inlineStr">
        <is>
          <t>0</t>
        </is>
      </c>
      <c r="U651" s="168" t="inlineStr">
        <is>
          <t>710141426552500</t>
        </is>
      </c>
      <c r="V651" s="402" t="n"/>
      <c r="W651" s="402" t="n"/>
      <c r="X651" s="170" t="inlineStr">
        <is>
          <t>SD→SD-0.66-40II-C 400/5A→SD-0.66-30I 250/5A→SD-0.66-30I 150/5A→SD-0.66-60II-C 750/5A→SD-0.66-60II-C 600/5A→SD-0.66-30I 150/5A→SD-0.66-40II-C 400/5A→SD-0.66-100II-C 1600/5A</t>
        </is>
      </c>
    </row>
    <row r="652" s="308">
      <c r="A652" s="64">
        <f>ROW()-ROW(A$648)</f>
        <v/>
      </c>
      <c r="B652" s="22" t="inlineStr">
        <is>
          <t>电流互感器</t>
        </is>
      </c>
      <c r="C652" s="22" t="inlineStr">
        <is>
          <t>SD-0.66-80II-V 1250/5A</t>
        </is>
      </c>
      <c r="D652" s="22" t="inlineStr">
        <is>
          <t>桑迪</t>
        </is>
      </c>
      <c r="E652" s="23" t="inlineStr">
        <is>
          <t>只</t>
        </is>
      </c>
      <c r="F652" s="23" t="n">
        <v>3</v>
      </c>
      <c r="G652" s="349">
        <f>IF(AND(B652="",C652=""),"",ROUND(M652*L652*N652,2))</f>
        <v/>
      </c>
      <c r="H652" s="396">
        <f>IF(AND(B652="",C652=""),"",ROUND(F652*G652,2))</f>
        <v/>
      </c>
      <c r="I652" s="219" t="inlineStr"/>
      <c r="J652" s="397">
        <f>IF(AND(B652="",C652=""),"",ROUND(M652*N652,2))</f>
        <v/>
      </c>
      <c r="K652" s="398">
        <f>IF(AND(B652="",C652=""),"",ROUND(J652*F652,2))</f>
        <v/>
      </c>
      <c r="L652" s="200" t="n">
        <v>1</v>
      </c>
      <c r="M652" s="399" t="n">
        <v>115.7</v>
      </c>
      <c r="N652" s="154" t="n">
        <v>1</v>
      </c>
      <c r="O652" s="155">
        <f>IF(AND(B652="",C652=""),"",IF(G652&gt;=20000,0.05,IF(G652&gt;=10000,0.1,IF(G652&gt;=5000,0.2,IF(G652&gt;=1000,0.3,IF(G652&gt;=0,0.4,{0}))))))</f>
        <v/>
      </c>
      <c r="P652" s="400">
        <f>IF(AND(B652="",C652=""),"",ROUND(H652*O652,2))</f>
        <v/>
      </c>
      <c r="Q652" s="401" t="inlineStr">
        <is>
          <t>元件</t>
        </is>
      </c>
      <c r="R652" s="168" t="inlineStr"/>
      <c r="S652" s="168" t="inlineStr"/>
      <c r="T652" s="168" t="inlineStr">
        <is>
          <t>0</t>
        </is>
      </c>
      <c r="U652" s="168" t="inlineStr">
        <is>
          <t>710141426552500</t>
        </is>
      </c>
      <c r="V652" s="402" t="n"/>
      <c r="W652" s="402" t="n"/>
      <c r="X652" s="170" t="inlineStr">
        <is>
          <t>SD→SD-0.66-40II-C 400/5A→SD-0.66-30I 250/5A→SD-0.66-30I 150/5A→SD-0.66-60II-C 750/5A→SD-0.66-60II-C 600/5A→SD-0.66-30I 150/5A→SD-0.66-40II-C 400/5A→SD-0.66-100II-C 1600/5A→SD-0.66-80II-V 1000/5A</t>
        </is>
      </c>
    </row>
    <row r="653" s="308">
      <c r="A653" s="64">
        <f>ROW()-ROW(A$648)</f>
        <v/>
      </c>
      <c r="B653" s="112" t="inlineStr">
        <is>
          <t>多功能表</t>
        </is>
      </c>
      <c r="C653" s="112" t="inlineStr">
        <is>
          <t>PM4101</t>
        </is>
      </c>
      <c r="D653" s="112" t="inlineStr">
        <is>
          <t>甲供/施耐德电气</t>
        </is>
      </c>
      <c r="E653" s="114" t="inlineStr">
        <is>
          <t>只</t>
        </is>
      </c>
      <c r="F653" s="114" t="n">
        <v>2</v>
      </c>
      <c r="G653" s="396">
        <f>IF(AND(B653="",C653=""),"",ROUND(M653*L653*N653,2))</f>
        <v/>
      </c>
      <c r="H653" s="349">
        <f>IF(AND(B653="",C653=""),"",ROUND(F653*G653,2))</f>
        <v/>
      </c>
      <c r="I653" s="45" t="inlineStr"/>
      <c r="J653" s="397">
        <f>IF(AND(B653="",C653=""),"",ROUND(M653*N653,2))</f>
        <v/>
      </c>
      <c r="K653" s="398">
        <f>IF(AND(B653="",C653=""),"",ROUND(J653*F653,2))</f>
        <v/>
      </c>
      <c r="L653" s="200" t="n">
        <v>1</v>
      </c>
      <c r="M653" s="399" t="n">
        <v>1e-07</v>
      </c>
      <c r="N653" s="154" t="n">
        <v>1</v>
      </c>
      <c r="O653" s="155">
        <f>IF(AND(B653="",C653=""),"",IF(J653&gt;=20000,0.05,IF(J653&gt;=10000,0.1,IF(J653&gt;=5000,0.2,IF(J653&gt;=1000,0.3,IF(J653&gt;=0,0.4,{0}))))))</f>
        <v/>
      </c>
      <c r="P653" s="400">
        <f>IF(AND(B653="",C653=""),"",ROUND(H653*O653,2))</f>
        <v/>
      </c>
      <c r="Q653" s="401" t="inlineStr">
        <is>
          <t>元件</t>
        </is>
      </c>
      <c r="R653" s="168" t="inlineStr"/>
      <c r="S653" s="168" t="inlineStr"/>
      <c r="T653" s="168" t="inlineStr">
        <is>
          <t>0</t>
        </is>
      </c>
      <c r="U653" s="168" t="inlineStr"/>
      <c r="V653" s="402" t="n"/>
      <c r="W653" s="402" t="n"/>
      <c r="X653" s="170" t="inlineStr"/>
    </row>
    <row r="654" customFormat="1" s="3">
      <c r="A654" s="64">
        <f>ROW()-ROW(A$648)</f>
        <v/>
      </c>
      <c r="B654" s="22" t="inlineStr">
        <is>
          <t>指示灯</t>
        </is>
      </c>
      <c r="C654" s="22" t="inlineStr">
        <is>
          <t>XB2BVM3LC</t>
        </is>
      </c>
      <c r="D654" s="22" t="inlineStr">
        <is>
          <t>甲供/施耐德电气</t>
        </is>
      </c>
      <c r="E654" s="23" t="inlineStr">
        <is>
          <t>只</t>
        </is>
      </c>
      <c r="F654" s="23" t="n">
        <v>2</v>
      </c>
      <c r="G654" s="349">
        <f>IF(AND(B654="",C654=""),"",ROUND(M654*L654*N654,2))</f>
        <v/>
      </c>
      <c r="H654" s="353">
        <f>IF(AND(B654="",C654=""),"",ROUND(F654*G654,2))</f>
        <v/>
      </c>
      <c r="I654" s="180" t="inlineStr"/>
      <c r="J654" s="392">
        <f>IF(AND(B654="",C654=""),"",ROUND(M654*N654,2))</f>
        <v/>
      </c>
      <c r="K654" s="393">
        <f>IF(AND(B654="",C654=""),"",ROUND(J654*F654,2))</f>
        <v/>
      </c>
      <c r="L654" s="141" t="n">
        <v>1</v>
      </c>
      <c r="M654" s="394" t="n">
        <v>1e-07</v>
      </c>
      <c r="N654" s="220" t="n">
        <v>1</v>
      </c>
      <c r="O654" s="221">
        <f>IF(AND(B654="",C654=""),"",IF(G654&gt;=20000,0.05,IF(G654&gt;=10000,0.1,IF(G654&gt;=5000,0.2,IF(G654&gt;=1000,0.3,IF(G654&gt;=0,0.4,{0}))))))</f>
        <v/>
      </c>
      <c r="P654" s="419">
        <f>IF(AND(B654="",C654=""),"",ROUND(H654*O654,2))</f>
        <v/>
      </c>
      <c r="Q654" s="420" t="inlineStr">
        <is>
          <t>元件</t>
        </is>
      </c>
      <c r="R654" s="231" t="inlineStr"/>
      <c r="S654" s="231" t="inlineStr"/>
      <c r="T654" s="231" t="inlineStr">
        <is>
          <t>0</t>
        </is>
      </c>
      <c r="U654" s="231" t="inlineStr">
        <is>
          <t>XB2BVM3LC</t>
        </is>
      </c>
      <c r="V654" s="421" t="n"/>
      <c r="W654" s="421" t="n"/>
      <c r="X654" s="166" t="inlineStr">
        <is>
          <t>XA2EVM3LC</t>
        </is>
      </c>
    </row>
    <row r="655" customFormat="1" s="3">
      <c r="A655" s="64">
        <f>ROW()-ROW(A$648)</f>
        <v/>
      </c>
      <c r="B655" s="22" t="inlineStr">
        <is>
          <t>指示灯</t>
        </is>
      </c>
      <c r="C655" s="22" t="inlineStr">
        <is>
          <t>XB2BVM4LC</t>
        </is>
      </c>
      <c r="D655" s="22" t="inlineStr">
        <is>
          <t>甲供/施耐德电气</t>
        </is>
      </c>
      <c r="E655" s="23" t="inlineStr">
        <is>
          <t>只</t>
        </is>
      </c>
      <c r="F655" s="23" t="n">
        <v>2</v>
      </c>
      <c r="G655" s="349">
        <f>IF(AND(B655="",C655=""),"",ROUND(M655*L655*N655,2))</f>
        <v/>
      </c>
      <c r="H655" s="353">
        <f>IF(AND(B655="",C655=""),"",ROUND(F655*G655,2))</f>
        <v/>
      </c>
      <c r="I655" s="180" t="inlineStr"/>
      <c r="J655" s="392">
        <f>IF(AND(B655="",C655=""),"",ROUND(M655*N655,2))</f>
        <v/>
      </c>
      <c r="K655" s="393">
        <f>IF(AND(B655="",C655=""),"",ROUND(J655*F655,2))</f>
        <v/>
      </c>
      <c r="L655" s="141" t="n">
        <v>1</v>
      </c>
      <c r="M655" s="394" t="n">
        <v>1e-07</v>
      </c>
      <c r="N655" s="220" t="n">
        <v>1</v>
      </c>
      <c r="O655" s="221">
        <f>IF(AND(B655="",C655=""),"",IF(G655&gt;=20000,0.05,IF(G655&gt;=10000,0.1,IF(G655&gt;=5000,0.2,IF(G655&gt;=1000,0.3,IF(G655&gt;=0,0.4,{0}))))))</f>
        <v/>
      </c>
      <c r="P655" s="419">
        <f>IF(AND(B655="",C655=""),"",ROUND(H655*O655,2))</f>
        <v/>
      </c>
      <c r="Q655" s="420" t="inlineStr">
        <is>
          <t>元件</t>
        </is>
      </c>
      <c r="R655" s="231" t="inlineStr"/>
      <c r="S655" s="231" t="inlineStr"/>
      <c r="T655" s="231" t="inlineStr">
        <is>
          <t>0</t>
        </is>
      </c>
      <c r="U655" s="231" t="inlineStr">
        <is>
          <t>XB2BVM4LC</t>
        </is>
      </c>
      <c r="V655" s="421" t="n"/>
      <c r="W655" s="421" t="n"/>
      <c r="X655" s="166" t="inlineStr">
        <is>
          <t>XA2EVM4LC</t>
        </is>
      </c>
    </row>
    <row r="656" s="308">
      <c r="A656" s="64">
        <f>ROW()-ROW(A$648)</f>
        <v/>
      </c>
      <c r="B656" s="112" t="inlineStr">
        <is>
          <t>指示灯</t>
        </is>
      </c>
      <c r="C656" s="112" t="inlineStr">
        <is>
          <t>XB2BVM5LC</t>
        </is>
      </c>
      <c r="D656" s="112" t="inlineStr">
        <is>
          <t>甲供/施耐德电气</t>
        </is>
      </c>
      <c r="E656" s="114" t="inlineStr">
        <is>
          <t>只</t>
        </is>
      </c>
      <c r="F656" s="114" t="n">
        <v>2</v>
      </c>
      <c r="G656" s="396">
        <f>IF(AND(B656="",C656=""),"",ROUND(M656*L656*N656,2))</f>
        <v/>
      </c>
      <c r="H656" s="396">
        <f>IF(AND(B656="",C656=""),"",ROUND(F656*G656,2))</f>
        <v/>
      </c>
      <c r="I656" s="150" t="inlineStr"/>
      <c r="J656" s="397">
        <f>IF(AND(B656="",C656=""),"",ROUND(M656*N656,2))</f>
        <v/>
      </c>
      <c r="K656" s="398">
        <f>IF(AND(B656="",C656=""),"",ROUND(J656*F656,2))</f>
        <v/>
      </c>
      <c r="L656" s="141" t="n">
        <v>1</v>
      </c>
      <c r="M656" s="399" t="n">
        <v>1e-07</v>
      </c>
      <c r="N656" s="154" t="n">
        <v>1</v>
      </c>
      <c r="O656" s="155">
        <f>IF(AND(B656="",C656=""),"",IF(G656&gt;=20000,0.05,IF(G656&gt;=10000,0.1,IF(G656&gt;=5000,0.2,IF(G656&gt;=1000,0.3,IF(G656&gt;=0,0.4,{0}))))))</f>
        <v/>
      </c>
      <c r="P656" s="400">
        <f>IF(AND(B656="",C656=""),"",ROUND(H656*O656,2))</f>
        <v/>
      </c>
      <c r="Q656" s="401" t="inlineStr">
        <is>
          <t>元件</t>
        </is>
      </c>
      <c r="R656" s="168" t="inlineStr"/>
      <c r="S656" s="168" t="inlineStr"/>
      <c r="T656" s="168" t="inlineStr">
        <is>
          <t>0</t>
        </is>
      </c>
      <c r="U656" s="168" t="inlineStr">
        <is>
          <t>XA2EVM5LC</t>
        </is>
      </c>
      <c r="V656" s="402" t="n"/>
      <c r="W656" s="402" t="n"/>
      <c r="X656" s="170" t="inlineStr"/>
    </row>
    <row r="657" s="308">
      <c r="A657" s="64">
        <f>ROW()-ROW(A$648)</f>
        <v/>
      </c>
      <c r="B657" s="112" t="inlineStr">
        <is>
          <t>按钮</t>
        </is>
      </c>
      <c r="C657" s="112" t="inlineStr">
        <is>
          <t>XB2BA31C</t>
        </is>
      </c>
      <c r="D657" s="112" t="inlineStr">
        <is>
          <t>甲供/施耐德电气</t>
        </is>
      </c>
      <c r="E657" s="114" t="inlineStr">
        <is>
          <t>只</t>
        </is>
      </c>
      <c r="F657" s="114" t="n">
        <v>2</v>
      </c>
      <c r="G657" s="396">
        <f>IF(AND(B657="",C657=""),"",ROUND(M657*L657*N657,2))</f>
        <v/>
      </c>
      <c r="H657" s="396">
        <f>IF(AND(B657="",C657=""),"",ROUND(F657*G657,2))</f>
        <v/>
      </c>
      <c r="I657" s="150" t="inlineStr"/>
      <c r="J657" s="397">
        <f>IF(AND(B657="",C657=""),"",ROUND(M657*N657,2))</f>
        <v/>
      </c>
      <c r="K657" s="398">
        <f>IF(AND(B657="",C657=""),"",ROUND(J657*F657,2))</f>
        <v/>
      </c>
      <c r="L657" s="141" t="n">
        <v>1</v>
      </c>
      <c r="M657" s="399" t="n">
        <v>1e-07</v>
      </c>
      <c r="N657" s="154" t="n">
        <v>1</v>
      </c>
      <c r="O657" s="155">
        <f>IF(AND(B657="",C657=""),"",IF(G657&gt;=20000,0.05,IF(G657&gt;=10000,0.1,IF(G657&gt;=5000,0.2,IF(G657&gt;=1000,0.3,IF(G657&gt;=0,0.4,{0}))))))</f>
        <v/>
      </c>
      <c r="P657" s="400">
        <f>IF(AND(B657="",C657=""),"",ROUND(H657*O657,2))</f>
        <v/>
      </c>
      <c r="Q657" s="401" t="inlineStr">
        <is>
          <t>元件</t>
        </is>
      </c>
      <c r="R657" s="168" t="inlineStr"/>
      <c r="S657" s="168" t="inlineStr"/>
      <c r="T657" s="168" t="inlineStr">
        <is>
          <t>0</t>
        </is>
      </c>
      <c r="U657" s="168" t="inlineStr">
        <is>
          <t>XB2BA31C</t>
        </is>
      </c>
      <c r="V657" s="402" t="n"/>
      <c r="W657" s="402" t="n"/>
      <c r="X657" s="170" t="inlineStr">
        <is>
          <t>XA2EA31</t>
        </is>
      </c>
    </row>
    <row r="658" s="308">
      <c r="A658" s="64">
        <f>ROW()-ROW(A$648)</f>
        <v/>
      </c>
      <c r="B658" s="22" t="inlineStr">
        <is>
          <t>按钮</t>
        </is>
      </c>
      <c r="C658" s="22" t="inlineStr">
        <is>
          <t>XB2BA42C</t>
        </is>
      </c>
      <c r="D658" s="22" t="inlineStr">
        <is>
          <t>甲供/施耐德电气</t>
        </is>
      </c>
      <c r="E658" s="23" t="inlineStr">
        <is>
          <t>只</t>
        </is>
      </c>
      <c r="F658" s="23" t="n">
        <v>2</v>
      </c>
      <c r="G658" s="349">
        <f>IF(AND(B658="",C658=""),"",ROUND(M658*L658*N658,2))</f>
        <v/>
      </c>
      <c r="H658" s="396">
        <f>IF(AND(B658="",C658=""),"",ROUND(F658*G658,2))</f>
        <v/>
      </c>
      <c r="I658" s="150" t="inlineStr"/>
      <c r="J658" s="397">
        <f>IF(AND(B658="",C658=""),"",ROUND(M658*N658,2))</f>
        <v/>
      </c>
      <c r="K658" s="398">
        <f>IF(AND(B658="",C658=""),"",ROUND(J658*F658,2))</f>
        <v/>
      </c>
      <c r="L658" s="141" t="n">
        <v>1</v>
      </c>
      <c r="M658" s="399" t="n">
        <v>1e-07</v>
      </c>
      <c r="N658" s="154" t="n">
        <v>1</v>
      </c>
      <c r="O658" s="155">
        <f>IF(AND(B658="",C658=""),"",IF(G658&gt;=20000,0.05,IF(G658&gt;=10000,0.1,IF(G658&gt;=5000,0.2,IF(G658&gt;=1000,0.3,IF(G658&gt;=0,0.4,{0}))))))</f>
        <v/>
      </c>
      <c r="P658" s="400">
        <f>IF(AND(B658="",C658=""),"",ROUND(H658*O658,2))</f>
        <v/>
      </c>
      <c r="Q658" s="401" t="inlineStr">
        <is>
          <t>元件</t>
        </is>
      </c>
      <c r="R658" s="168" t="inlineStr"/>
      <c r="S658" s="168" t="inlineStr"/>
      <c r="T658" s="168" t="inlineStr">
        <is>
          <t>0</t>
        </is>
      </c>
      <c r="U658" s="168" t="inlineStr">
        <is>
          <t>XB2BA42C</t>
        </is>
      </c>
      <c r="V658" s="402" t="n"/>
      <c r="W658" s="402" t="n"/>
      <c r="X658" s="170" t="inlineStr">
        <is>
          <t>XA2EA41</t>
        </is>
      </c>
    </row>
    <row r="659" s="308">
      <c r="A659" s="64">
        <f>ROW()-ROW(A$648)</f>
        <v/>
      </c>
      <c r="B659" s="112" t="inlineStr">
        <is>
          <t>温湿度控制器</t>
        </is>
      </c>
      <c r="C659" s="112" t="inlineStr">
        <is>
          <t>ATH48G-11</t>
        </is>
      </c>
      <c r="D659" s="22" t="inlineStr">
        <is>
          <t>杭州安廷</t>
        </is>
      </c>
      <c r="E659" s="23" t="inlineStr">
        <is>
          <t>套</t>
        </is>
      </c>
      <c r="F659" s="23" t="n">
        <v>1</v>
      </c>
      <c r="G659" s="349">
        <f>IF(AND(B659="",C659=""),"",ROUND(M659*L659*N659,2))</f>
        <v/>
      </c>
      <c r="H659" s="396">
        <f>IF(AND(B659="",C659=""),"",ROUND(F659*G659,2))</f>
        <v/>
      </c>
      <c r="I659" s="150" t="inlineStr"/>
      <c r="J659" s="397">
        <f>IF(AND(B659="",C659=""),"",ROUND(M659*N659,2))</f>
        <v/>
      </c>
      <c r="K659" s="398">
        <f>IF(AND(B659="",C659=""),"",ROUND(J659*F659,2))</f>
        <v/>
      </c>
      <c r="L659" s="141" t="n">
        <v>1</v>
      </c>
      <c r="M659" s="399" t="n">
        <v>450</v>
      </c>
      <c r="N659" s="154" t="n">
        <v>1</v>
      </c>
      <c r="O659" s="155">
        <f>IF(AND(B659="",C659=""),"",IF(G659&gt;=20000,0.05,IF(G659&gt;=10000,0.1,IF(G659&gt;=5000,0.2,IF(G659&gt;=1000,0.3,IF(G659&gt;=0,0.4,{0}))))))</f>
        <v/>
      </c>
      <c r="P659" s="400">
        <f>IF(AND(B659="",C659=""),"",ROUND(H659*O659,2))</f>
        <v/>
      </c>
      <c r="Q659" s="401" t="inlineStr">
        <is>
          <t>元件</t>
        </is>
      </c>
      <c r="R659" s="168" t="inlineStr"/>
      <c r="S659" s="168" t="inlineStr"/>
      <c r="T659" s="168" t="inlineStr">
        <is>
          <t>0</t>
        </is>
      </c>
      <c r="U659" s="168" t="inlineStr"/>
      <c r="V659" s="402" t="n"/>
      <c r="W659" s="402" t="n"/>
      <c r="X659" s="170" t="inlineStr"/>
    </row>
    <row r="660" s="308">
      <c r="A660" s="64">
        <f>ROW()-ROW(A$648)</f>
        <v/>
      </c>
      <c r="B660" s="22" t="inlineStr">
        <is>
          <t>中间继电器</t>
        </is>
      </c>
      <c r="C660" s="22" t="inlineStr">
        <is>
          <t>RXM4AB2P7+RXZE2S114M+RXZ400</t>
        </is>
      </c>
      <c r="D660" s="22" t="inlineStr">
        <is>
          <t>甲供/施耐德电气</t>
        </is>
      </c>
      <c r="E660" s="23" t="inlineStr">
        <is>
          <t>只</t>
        </is>
      </c>
      <c r="F660" s="23" t="n">
        <v>4</v>
      </c>
      <c r="G660" s="349">
        <f>IF(AND(B660="",C660=""),"",ROUND(M660*L660*N660,2))</f>
        <v/>
      </c>
      <c r="H660" s="349">
        <f>IF(AND(B660="",C660=""),"",ROUND(F660*G660,2))</f>
        <v/>
      </c>
      <c r="I660" s="45" t="inlineStr"/>
      <c r="J660" s="397">
        <f>IF(AND(B660="",C660=""),"",ROUND(M660*N660,2))</f>
        <v/>
      </c>
      <c r="K660" s="398">
        <f>IF(AND(B660="",C660=""),"",ROUND(J660*F660,2))</f>
        <v/>
      </c>
      <c r="L660" s="141" t="n">
        <v>1</v>
      </c>
      <c r="M660" s="399" t="n">
        <v>1e-07</v>
      </c>
      <c r="N660" s="154" t="n">
        <v>1</v>
      </c>
      <c r="O660" s="155">
        <f>IF(AND(B660="",C660=""),"",IF(G660&gt;=20000,0.05,IF(G660&gt;=10000,0.1,IF(G660&gt;=5000,0.2,IF(G660&gt;=1000,0.3,IF(G660&gt;=0,0.4,{0}))))))</f>
        <v/>
      </c>
      <c r="P660" s="400">
        <f>IF(AND(B660="",C660=""),"",ROUND(H660*O660,2))</f>
        <v/>
      </c>
      <c r="Q660" s="401" t="inlineStr">
        <is>
          <t>元件</t>
        </is>
      </c>
      <c r="R660" s="168" t="inlineStr"/>
      <c r="S660" s="168" t="inlineStr"/>
      <c r="T660" s="168" t="inlineStr">
        <is>
          <t>0</t>
        </is>
      </c>
      <c r="U660" s="168" t="inlineStr">
        <is>
          <t>RXM4AB2P7+RXZE2S114M+RXZ400</t>
        </is>
      </c>
      <c r="V660" s="402" t="n"/>
      <c r="W660" s="402" t="n"/>
      <c r="X660" s="170" t="inlineStr">
        <is>
          <t>REL-IR-BL/L-230AC/4X21，含底座→RXM4AB2P7+RXZE2S114M+RXZ400→REL-IR-BL/L-230AC/4X21，含底座</t>
        </is>
      </c>
    </row>
    <row r="661" customFormat="1" s="3">
      <c r="A661" s="64">
        <f>ROW()-ROW(A$648)</f>
        <v/>
      </c>
      <c r="B661" s="22" t="inlineStr">
        <is>
          <t>带熔丝端子</t>
        </is>
      </c>
      <c r="C661" s="22" t="inlineStr">
        <is>
          <t>UK 5-HESI</t>
        </is>
      </c>
      <c r="D661" s="22" t="inlineStr">
        <is>
          <t>菲尼克斯</t>
        </is>
      </c>
      <c r="E661" s="23" t="inlineStr">
        <is>
          <t>只</t>
        </is>
      </c>
      <c r="F661" s="23" t="n">
        <v>8</v>
      </c>
      <c r="G661" s="349">
        <f>IF(AND(B661="",C661=""),"",ROUND(M661*L661*N661,2))</f>
        <v/>
      </c>
      <c r="H661" s="349">
        <f>IF(AND(B661="",C661=""),"",ROUND(F661*G661,2))</f>
        <v/>
      </c>
      <c r="I661" s="45" t="inlineStr"/>
      <c r="J661" s="392">
        <f>IF(AND(B661="",C661=""),"",ROUND(M661*N661,2))</f>
        <v/>
      </c>
      <c r="K661" s="393">
        <f>IF(AND(B661="",C661=""),"",ROUND(J661*F661,2))</f>
        <v/>
      </c>
      <c r="L661" s="141" t="n">
        <v>1</v>
      </c>
      <c r="M661" s="394" t="n">
        <v>7</v>
      </c>
      <c r="N661" s="220" t="n">
        <v>1</v>
      </c>
      <c r="O661" s="221">
        <f>IF(AND(B661="",C661=""),"",IF(G661&gt;=20000,0.05,IF(G661&gt;=10000,0.1,IF(G661&gt;=5000,0.2,IF(G661&gt;=1000,0.3,IF(G661&gt;=0,0.4,{0}))))))</f>
        <v/>
      </c>
      <c r="P661" s="419">
        <f>IF(AND(B661="",C661=""),"",ROUND(H661*O661,2))</f>
        <v/>
      </c>
      <c r="Q661" s="420" t="inlineStr">
        <is>
          <t>元件</t>
        </is>
      </c>
      <c r="R661" s="231" t="inlineStr"/>
      <c r="S661" s="231" t="inlineStr"/>
      <c r="T661" s="231" t="inlineStr">
        <is>
          <t>0</t>
        </is>
      </c>
      <c r="U661" s="231" t="inlineStr">
        <is>
          <t>True</t>
        </is>
      </c>
      <c r="V661" s="421" t="n"/>
      <c r="W661" s="421" t="n"/>
      <c r="X661" s="166" t="inlineStr"/>
    </row>
    <row r="662" s="308">
      <c r="A662" s="64">
        <f>ROW()-ROW(A$648)</f>
        <v/>
      </c>
      <c r="B662" s="22" t="inlineStr">
        <is>
          <t>水平母排</t>
        </is>
      </c>
      <c r="C662" s="22" t="inlineStr">
        <is>
          <t>TMY 4*(3*125*5)+2*50*5</t>
        </is>
      </c>
      <c r="D662" s="22" t="inlineStr">
        <is>
          <t>国产优质</t>
        </is>
      </c>
      <c r="E662" s="23" t="inlineStr">
        <is>
          <t>米</t>
        </is>
      </c>
      <c r="F662" s="23" t="n">
        <v>0.9</v>
      </c>
      <c r="G662" s="349">
        <f>IF(AND(B662="",C662=""),"",ROUND(M662*L662*N662,2))</f>
        <v/>
      </c>
      <c r="H662" s="349">
        <f>IF(AND(B662="",C662=""),"",ROUND(F662*G662,2))</f>
        <v/>
      </c>
      <c r="I662" s="45" t="inlineStr"/>
      <c r="J662" s="397">
        <f>IF(AND(B662="",C662=""),"",ROUND(M662*N662,2))</f>
        <v/>
      </c>
      <c r="K662" s="398">
        <f>IF(AND(B662="",C662=""),"",ROUND(J662*F662,2))</f>
        <v/>
      </c>
      <c r="L662" s="200" t="n">
        <v>1</v>
      </c>
      <c r="M662" s="399" t="n">
        <v>7697.076</v>
      </c>
      <c r="N662" s="154">
        <f>(6317.932*1*1+2684.8*1*1)/9002.732</f>
        <v/>
      </c>
      <c r="O662" s="155">
        <f>IF(AND(B662="",C662=""),"",IF(J662&gt;=20000,0.05,IF(J662&gt;=10000,0.1,IF(J662&gt;=5000,0.2,IF(J662&gt;=1000,0.3,IF(J662&gt;=0,0.4,{0}))))))</f>
        <v/>
      </c>
      <c r="P662" s="400">
        <f>IF(AND(B662="",C662=""),"",ROUND(H662*O662,2))</f>
        <v/>
      </c>
      <c r="Q662" s="401" t="inlineStr">
        <is>
          <t>母排</t>
        </is>
      </c>
      <c r="R662" s="168" t="inlineStr"/>
      <c r="S662" s="168" t="inlineStr"/>
      <c r="T662" s="168" t="inlineStr">
        <is>
          <t>0</t>
        </is>
      </c>
      <c r="U662" s="168" t="inlineStr"/>
      <c r="V662" s="402" t="n"/>
      <c r="W662" s="402" t="n"/>
      <c r="X662" s="170" t="inlineStr"/>
    </row>
    <row r="663" customFormat="1" s="5">
      <c r="A663" s="64">
        <f>ROW()-ROW(A$648)</f>
        <v/>
      </c>
      <c r="B663" s="22" t="inlineStr">
        <is>
          <t>桩头排</t>
        </is>
      </c>
      <c r="C663" s="22" t="inlineStr">
        <is>
          <t>TMY 3*80*5</t>
        </is>
      </c>
      <c r="D663" s="22" t="inlineStr">
        <is>
          <t>国产优质</t>
        </is>
      </c>
      <c r="E663" s="23" t="inlineStr">
        <is>
          <t>米</t>
        </is>
      </c>
      <c r="F663" s="23" t="n">
        <v>1.5</v>
      </c>
      <c r="G663" s="349">
        <f>IF(AND(B663="",C663=""),"",ROUND(M663*L663*N663,2))</f>
        <v/>
      </c>
      <c r="H663" s="349">
        <f>IF(AND(B663="",C663=""),"",ROUND(F663*G663,2))</f>
        <v/>
      </c>
      <c r="I663" s="45" t="inlineStr"/>
      <c r="J663" s="422">
        <f>IF(AND(B663="",C663=""),"",ROUND(M663*N663,2))</f>
        <v/>
      </c>
      <c r="K663" s="423">
        <f>IF(AND(B663="",C663=""),"",ROUND(J663*F663,2))</f>
        <v/>
      </c>
      <c r="L663" s="225" t="n">
        <v>1</v>
      </c>
      <c r="M663" s="424" t="n">
        <v>1154.5614</v>
      </c>
      <c r="N663" s="227" t="n">
        <v>1</v>
      </c>
      <c r="O663" s="228">
        <f>IF(AND(B663="",C663=""),"",IF(G663&gt;=20000,0.05,IF(G663&gt;=10000,0.1,IF(G663&gt;=5000,0.2,IF(G663&gt;=1000,0.3,IF(G663&gt;=0,0.4,{0}))))))</f>
        <v/>
      </c>
      <c r="P663" s="425">
        <f>IF(AND(B663="",C663=""),"",ROUND(H663*O663,2))</f>
        <v/>
      </c>
      <c r="Q663" s="426" t="inlineStr">
        <is>
          <t>母排</t>
        </is>
      </c>
      <c r="R663" s="234" t="inlineStr"/>
      <c r="S663" s="234" t="inlineStr"/>
      <c r="T663" s="235" t="inlineStr">
        <is>
          <t>0</t>
        </is>
      </c>
      <c r="U663" s="235" t="inlineStr"/>
      <c r="V663" s="427" t="n"/>
      <c r="W663" s="427" t="n"/>
      <c r="X663" s="237" t="inlineStr">
        <is>
          <t>TMY 2*30*5→TMY 30*8</t>
        </is>
      </c>
    </row>
    <row r="664" customFormat="1" s="5">
      <c r="A664" s="64">
        <f>ROW()-ROW(A$648)</f>
        <v/>
      </c>
      <c r="B664" s="22" t="inlineStr">
        <is>
          <t>桩头排</t>
        </is>
      </c>
      <c r="C664" s="22" t="inlineStr">
        <is>
          <t>TMY 4*2*80*5</t>
        </is>
      </c>
      <c r="D664" s="22" t="inlineStr">
        <is>
          <t>国产优质</t>
        </is>
      </c>
      <c r="E664" s="23" t="inlineStr">
        <is>
          <t>米</t>
        </is>
      </c>
      <c r="F664" s="23" t="n">
        <v>1.5</v>
      </c>
      <c r="G664" s="349">
        <f>IF(AND(B664="",C664=""),"",ROUND(M664*L664*N664,2))</f>
        <v/>
      </c>
      <c r="H664" s="349">
        <f>IF(AND(B664="",C664=""),"",ROUND(F664*G664,2))</f>
        <v/>
      </c>
      <c r="I664" s="45" t="inlineStr"/>
      <c r="J664" s="422">
        <f>IF(AND(B664="",C664=""),"",ROUND(M664*N664,2))</f>
        <v/>
      </c>
      <c r="K664" s="423">
        <f>IF(AND(B664="",C664=""),"",ROUND(J664*F664,2))</f>
        <v/>
      </c>
      <c r="L664" s="225" t="n">
        <v>1</v>
      </c>
      <c r="M664" s="424" t="n">
        <v>3078.8304</v>
      </c>
      <c r="N664" s="227" t="n">
        <v>1</v>
      </c>
      <c r="O664" s="228">
        <f>IF(AND(B664="",C664=""),"",IF(G664&gt;=20000,0.05,IF(G664&gt;=10000,0.1,IF(G664&gt;=5000,0.2,IF(G664&gt;=1000,0.3,IF(G664&gt;=0,0.4,{0}))))))</f>
        <v/>
      </c>
      <c r="P664" s="425">
        <f>IF(AND(B664="",C664=""),"",ROUND(H664*O664,2))</f>
        <v/>
      </c>
      <c r="Q664" s="426" t="inlineStr">
        <is>
          <t>母排</t>
        </is>
      </c>
      <c r="R664" s="234" t="inlineStr"/>
      <c r="S664" s="234" t="inlineStr"/>
      <c r="T664" s="235" t="inlineStr">
        <is>
          <t>0</t>
        </is>
      </c>
      <c r="U664" s="235" t="inlineStr"/>
      <c r="V664" s="427" t="n"/>
      <c r="W664" s="427" t="n"/>
      <c r="X664" s="237" t="inlineStr">
        <is>
          <t>TMY 2*30*5→TMY 30*8</t>
        </is>
      </c>
    </row>
    <row r="665" customFormat="1" s="5">
      <c r="A665" s="64">
        <f>ROW()-ROW(A$648)</f>
        <v/>
      </c>
      <c r="B665" s="22" t="inlineStr">
        <is>
          <t>垂直排</t>
        </is>
      </c>
      <c r="C665" s="22" t="inlineStr">
        <is>
          <t>TMY 4*2*80*5</t>
        </is>
      </c>
      <c r="D665" s="22" t="inlineStr">
        <is>
          <t>国产优质</t>
        </is>
      </c>
      <c r="E665" s="23" t="inlineStr">
        <is>
          <t>米</t>
        </is>
      </c>
      <c r="F665" s="23" t="n">
        <v>2</v>
      </c>
      <c r="G665" s="349">
        <f>IF(AND(B665="",C665=""),"",ROUND(M665*L665*N665,2))</f>
        <v/>
      </c>
      <c r="H665" s="349">
        <f>IF(AND(B665="",C665=""),"",ROUND(F665*G665,2))</f>
        <v/>
      </c>
      <c r="I665" s="45" t="inlineStr"/>
      <c r="J665" s="422">
        <f>IF(AND(B665="",C665=""),"",ROUND(M665*N665,2))</f>
        <v/>
      </c>
      <c r="K665" s="423">
        <f>IF(AND(B665="",C665=""),"",ROUND(J665*F665,2))</f>
        <v/>
      </c>
      <c r="L665" s="225" t="n">
        <v>1</v>
      </c>
      <c r="M665" s="424" t="n">
        <v>3078.8304</v>
      </c>
      <c r="N665" s="227" t="n">
        <v>1</v>
      </c>
      <c r="O665" s="228">
        <f>IF(AND(B665="",C665=""),"",IF(G665&gt;=20000,0.05,IF(G665&gt;=10000,0.1,IF(G665&gt;=5000,0.2,IF(G665&gt;=1000,0.3,IF(G665&gt;=0,0.4,{0}))))))</f>
        <v/>
      </c>
      <c r="P665" s="425">
        <f>IF(AND(B665="",C665=""),"",ROUND(H665*O665,2))</f>
        <v/>
      </c>
      <c r="Q665" s="426" t="inlineStr">
        <is>
          <t>母排</t>
        </is>
      </c>
      <c r="R665" s="234" t="inlineStr"/>
      <c r="S665" s="234" t="inlineStr"/>
      <c r="T665" s="235" t="inlineStr">
        <is>
          <t>0</t>
        </is>
      </c>
      <c r="U665" s="235" t="inlineStr"/>
      <c r="V665" s="427" t="n"/>
      <c r="W665" s="427" t="n"/>
      <c r="X665" s="237" t="inlineStr">
        <is>
          <t>TMY 2*30*5→TMY 30*8</t>
        </is>
      </c>
    </row>
    <row r="666" customFormat="1" s="5">
      <c r="A666" s="64">
        <f>ROW()-ROW(A$648)</f>
        <v/>
      </c>
      <c r="B666" s="22" t="inlineStr">
        <is>
          <t>N排</t>
        </is>
      </c>
      <c r="C666" s="22" t="inlineStr">
        <is>
          <t>TMY 80*5</t>
        </is>
      </c>
      <c r="D666" s="22" t="inlineStr">
        <is>
          <t>国产优质</t>
        </is>
      </c>
      <c r="E666" s="23" t="inlineStr">
        <is>
          <t>米</t>
        </is>
      </c>
      <c r="F666" s="23" t="n">
        <v>1.8</v>
      </c>
      <c r="G666" s="349">
        <f>IF(AND(B666="",C666=""),"",ROUND(M666*L666*N666,2))</f>
        <v/>
      </c>
      <c r="H666" s="349">
        <f>IF(AND(B666="",C666=""),"",ROUND(F666*G666,2))</f>
        <v/>
      </c>
      <c r="I666" s="45" t="inlineStr"/>
      <c r="J666" s="422">
        <f>IF(AND(B666="",C666=""),"",ROUND(M666*N666,2))</f>
        <v/>
      </c>
      <c r="K666" s="423">
        <f>IF(AND(B666="",C666=""),"",ROUND(J666*F666,2))</f>
        <v/>
      </c>
      <c r="L666" s="225" t="n">
        <v>1</v>
      </c>
      <c r="M666" s="424" t="n">
        <v>384.8538</v>
      </c>
      <c r="N666" s="227" t="n">
        <v>1</v>
      </c>
      <c r="O666" s="228">
        <f>IF(AND(B666="",C666=""),"",IF(G666&gt;=20000,0.05,IF(G666&gt;=10000,0.1,IF(G666&gt;=5000,0.2,IF(G666&gt;=1000,0.3,IF(G666&gt;=0,0.4,{0}))))))</f>
        <v/>
      </c>
      <c r="P666" s="425">
        <f>IF(AND(B666="",C666=""),"",ROUND(H666*O666,2))</f>
        <v/>
      </c>
      <c r="Q666" s="426" t="inlineStr">
        <is>
          <t>母排</t>
        </is>
      </c>
      <c r="R666" s="234" t="inlineStr"/>
      <c r="S666" s="234" t="inlineStr"/>
      <c r="T666" s="235" t="inlineStr">
        <is>
          <t>0</t>
        </is>
      </c>
      <c r="U666" s="235" t="inlineStr"/>
      <c r="V666" s="427" t="n"/>
      <c r="W666" s="427" t="n"/>
      <c r="X666" s="237" t="inlineStr">
        <is>
          <t>TMY 2*30*5→TMY 30*8</t>
        </is>
      </c>
    </row>
    <row r="667" customFormat="1" s="5">
      <c r="A667" s="64">
        <f>ROW()-ROW(A$648)</f>
        <v/>
      </c>
      <c r="B667" s="22" t="inlineStr">
        <is>
          <t>PE排</t>
        </is>
      </c>
      <c r="C667" s="22" t="inlineStr">
        <is>
          <t>TMY 2*50*5</t>
        </is>
      </c>
      <c r="D667" s="22" t="inlineStr">
        <is>
          <t>国产优质</t>
        </is>
      </c>
      <c r="E667" s="23" t="inlineStr">
        <is>
          <t>米</t>
        </is>
      </c>
      <c r="F667" s="23" t="n">
        <v>2</v>
      </c>
      <c r="G667" s="349">
        <f>IF(AND(B667="",C667=""),"",ROUND(M667*L667*N667,2))</f>
        <v/>
      </c>
      <c r="H667" s="349">
        <f>IF(AND(B667="",C667=""),"",ROUND(F667*G667,2))</f>
        <v/>
      </c>
      <c r="I667" s="45" t="inlineStr"/>
      <c r="J667" s="422">
        <f>IF(AND(B667="",C667=""),"",ROUND(M667*N667,2))</f>
        <v/>
      </c>
      <c r="K667" s="423">
        <f>IF(AND(B667="",C667=""),"",ROUND(J667*F667,2))</f>
        <v/>
      </c>
      <c r="L667" s="225" t="n">
        <v>1</v>
      </c>
      <c r="M667" s="424" t="n">
        <v>481.06725</v>
      </c>
      <c r="N667" s="227" t="n">
        <v>1</v>
      </c>
      <c r="O667" s="228">
        <f>IF(AND(B667="",C667=""),"",IF(G667&gt;=20000,0.05,IF(G667&gt;=10000,0.1,IF(G667&gt;=5000,0.2,IF(G667&gt;=1000,0.3,IF(G667&gt;=0,0.4,{0}))))))</f>
        <v/>
      </c>
      <c r="P667" s="425">
        <f>IF(AND(B667="",C667=""),"",ROUND(H667*O667,2))</f>
        <v/>
      </c>
      <c r="Q667" s="426" t="inlineStr">
        <is>
          <t>母排</t>
        </is>
      </c>
      <c r="R667" s="234" t="inlineStr"/>
      <c r="S667" s="234" t="inlineStr"/>
      <c r="T667" s="235" t="inlineStr">
        <is>
          <t>0</t>
        </is>
      </c>
      <c r="U667" s="235" t="inlineStr"/>
      <c r="V667" s="427" t="n"/>
      <c r="W667" s="427" t="n"/>
      <c r="X667" s="237" t="inlineStr">
        <is>
          <t>TMY 2*30*5→TMY 30*8</t>
        </is>
      </c>
    </row>
    <row r="668" s="308">
      <c r="A668" s="64">
        <f>ROW()-ROW(A$648)</f>
        <v/>
      </c>
      <c r="B668" s="112" t="inlineStr">
        <is>
          <t>辅料</t>
        </is>
      </c>
      <c r="C668" s="112" t="inlineStr"/>
      <c r="D668" s="112" t="inlineStr"/>
      <c r="E668" s="114" t="inlineStr">
        <is>
          <t>套</t>
        </is>
      </c>
      <c r="F668" s="114" t="n">
        <v>1</v>
      </c>
      <c r="G668" s="396">
        <f>IF(AND(B668="",C668=""),"",ROUND(M668*L668*N668,2))</f>
        <v/>
      </c>
      <c r="H668" s="396">
        <f>IF(AND(B668="",C668=""),"",ROUND(F668*G668,2))</f>
        <v/>
      </c>
      <c r="I668" s="219" t="inlineStr"/>
      <c r="J668" s="397">
        <f>IF(AND(B668="",C668=""),"",ROUND(M668*N668,2))</f>
        <v/>
      </c>
      <c r="K668" s="398">
        <f>IF(AND(B668="",C668=""),"",ROUND(J668*F668,2))</f>
        <v/>
      </c>
      <c r="L668" s="200" t="n">
        <v>1</v>
      </c>
      <c r="M668" s="399" t="n">
        <v>800</v>
      </c>
      <c r="N668" s="154" t="n">
        <v>1</v>
      </c>
      <c r="O668" s="155">
        <f>IF(AND(B668="",C668=""),"",IF(G668&gt;=20000,0.05,IF(G668&gt;=10000,0.1,IF(G668&gt;=5000,0.2,IF(G668&gt;=1000,0.3,IF(G668&gt;=0,0.4,{0}))))))</f>
        <v/>
      </c>
      <c r="P668" s="400">
        <f>IF(AND(B668="",C668=""),"",ROUND(H668*O668,2))</f>
        <v/>
      </c>
      <c r="Q668" s="401" t="inlineStr">
        <is>
          <t>辅料</t>
        </is>
      </c>
      <c r="R668" s="168" t="inlineStr"/>
      <c r="S668" s="168" t="inlineStr"/>
      <c r="T668" s="168" t="inlineStr">
        <is>
          <t>0</t>
        </is>
      </c>
      <c r="U668" s="168" t="inlineStr"/>
      <c r="V668" s="402" t="n"/>
      <c r="W668" s="402" t="n"/>
      <c r="X668" s="170" t="inlineStr"/>
    </row>
    <row r="669" s="308">
      <c r="A669" s="64">
        <f>ROW()-ROW(A$648)</f>
        <v/>
      </c>
      <c r="B669" s="112" t="inlineStr">
        <is>
          <t>柜体Blokset</t>
        </is>
      </c>
      <c r="C669" s="22" t="inlineStr">
        <is>
          <t>800W*1200D*2200H</t>
        </is>
      </c>
      <c r="D669" s="112" t="inlineStr">
        <is>
          <t>清科</t>
        </is>
      </c>
      <c r="E669" s="114" t="inlineStr">
        <is>
          <t>台</t>
        </is>
      </c>
      <c r="F669" s="114" t="n">
        <v>1</v>
      </c>
      <c r="G669" s="396">
        <f>IF(AND(B669="",C669=""),"",ROUND(M669*L669*N669,2))</f>
        <v/>
      </c>
      <c r="H669" s="396">
        <f>IF(AND(B669="",C669=""),"",ROUND(F669*G669,2))</f>
        <v/>
      </c>
      <c r="I669" s="219" t="inlineStr"/>
      <c r="J669" s="397">
        <f>IF(AND(B669="",C669=""),"",ROUND(M669*N669,2))</f>
        <v/>
      </c>
      <c r="K669" s="398">
        <f>IF(AND(B669="",C669=""),"",ROUND(J669*F669,2))</f>
        <v/>
      </c>
      <c r="L669" s="200" t="n">
        <v>1</v>
      </c>
      <c r="M669" s="399" t="n">
        <v>4916</v>
      </c>
      <c r="N669" s="154" t="n">
        <v>1</v>
      </c>
      <c r="O669" s="155">
        <f>IF(AND(B669="",C669=""),"",IF(G669&gt;=20000,0.05,IF(G669&gt;=10000,0.1,IF(G669&gt;=5000,0.2,IF(G669&gt;=1000,0.3,IF(G669&gt;=0,0.4,{0}))))))</f>
        <v/>
      </c>
      <c r="P669" s="400">
        <f>IF(AND(B669="",C669=""),"",ROUND(H669*O669,2))</f>
        <v/>
      </c>
      <c r="Q669" s="401" t="inlineStr">
        <is>
          <t>箱体</t>
        </is>
      </c>
      <c r="R669" s="168" t="inlineStr"/>
      <c r="S669" s="168" t="inlineStr"/>
      <c r="T669" s="168" t="inlineStr">
        <is>
          <t>0</t>
        </is>
      </c>
      <c r="U669" s="168" t="inlineStr"/>
      <c r="V669" s="402" t="n"/>
      <c r="W669" s="402" t="n"/>
      <c r="X669" s="170" t="inlineStr">
        <is>
          <t>BlokSeT</t>
        </is>
      </c>
    </row>
    <row r="670" s="308">
      <c r="A670" s="64">
        <f>ROW()-ROW(A$648)</f>
        <v/>
      </c>
      <c r="B670" s="22" t="inlineStr"/>
      <c r="C670" s="22" t="inlineStr"/>
      <c r="D670" s="22" t="inlineStr"/>
      <c r="E670" s="23" t="n"/>
      <c r="F670" s="23">
        <f>IF(AND(B670="",C670=""),"",1)</f>
        <v/>
      </c>
      <c r="G670" s="349">
        <f>IF(AND(B670="",C670=""),"",ROUND(M670*L670*N670,2))</f>
        <v/>
      </c>
      <c r="H670" s="349">
        <f>IF(AND(B670="",C670=""),"",ROUND(F670*G670,2))</f>
        <v/>
      </c>
      <c r="I670" s="45" t="inlineStr"/>
      <c r="J670" s="397">
        <f>IF(AND(B670="",C670=""),"",ROUND(M670*N670,2))</f>
        <v/>
      </c>
      <c r="K670" s="398">
        <f>IF(AND(B670="",C670=""),"",ROUND(J670*F670,2))</f>
        <v/>
      </c>
      <c r="L670" s="200">
        <f>IF(AND(B670="",C670=""),"",1)</f>
        <v/>
      </c>
      <c r="M670" s="399" t="n"/>
      <c r="N670" s="154">
        <f>IF(AND(B670="",C670=""),"",1)</f>
        <v/>
      </c>
      <c r="O670" s="155">
        <f>IF(AND(B670="",C670=""),"",IF(J670&gt;=20000,0.05,IF(J670&gt;=10000,0.1,IF(J670&gt;=5000,0.2,IF(J670&gt;=1000,0.3,IF(J670&gt;=0,0.4,{0}))))))</f>
        <v/>
      </c>
      <c r="P670" s="400">
        <f>IF(AND(B670="",C670=""),"",ROUND(H670*O670,2))</f>
        <v/>
      </c>
      <c r="Q670" s="401">
        <f>IF(AND(B670="",C670=""),"","元件")</f>
        <v/>
      </c>
      <c r="R670" s="168" t="inlineStr"/>
      <c r="S670" s="168" t="inlineStr"/>
      <c r="T670" s="168" t="inlineStr"/>
      <c r="U670" s="168" t="inlineStr"/>
      <c r="V670" s="402" t="n"/>
      <c r="W670" s="402" t="n"/>
      <c r="X670" s="170" t="inlineStr"/>
    </row>
    <row r="671" s="308">
      <c r="A671" s="64">
        <f>ROW()-ROW(A$648)</f>
        <v/>
      </c>
      <c r="B671" s="171" t="inlineStr">
        <is>
          <t>小计</t>
        </is>
      </c>
      <c r="C671" s="172" t="n"/>
      <c r="D671" s="204" t="n"/>
      <c r="E671" s="114" t="n"/>
      <c r="F671" s="114" t="n"/>
      <c r="G671" s="396" t="n"/>
      <c r="H671" s="396">
        <f>ROUND(SUM(H648:INDEX(H:H,ROW()-1)),2)</f>
        <v/>
      </c>
      <c r="I671" s="45" t="inlineStr"/>
      <c r="J671" s="397" t="n"/>
      <c r="K671" s="398">
        <f>ROUND(SUM(K648:INDEX(K:K,ROW()-1)),2)</f>
        <v/>
      </c>
      <c r="L671" s="200" t="n"/>
      <c r="M671" s="399" t="n"/>
      <c r="N671" s="154" t="n"/>
      <c r="O671" s="155" t="n"/>
      <c r="P671" s="400" t="n"/>
      <c r="Q671" s="401" t="n"/>
      <c r="R671" s="168" t="inlineStr"/>
      <c r="S671" s="168" t="inlineStr"/>
      <c r="T671" s="168" t="inlineStr"/>
      <c r="U671" s="168" t="inlineStr"/>
      <c r="V671" s="402">
        <f>ROUND(SUMPRODUCT(F648:INDEX(F:F,ROW()-1),V648:INDEX(V:V,ROW()-1)),2)</f>
        <v/>
      </c>
      <c r="W671" s="402">
        <f>ROUND(SUMPRODUCT(F648:INDEX(F:F,ROW()-1),W648:INDEX(W:W,ROW()-1)),2)</f>
        <v/>
      </c>
      <c r="X671" s="170" t="inlineStr"/>
    </row>
    <row r="672" s="308">
      <c r="A672" s="64">
        <f>ROW()-ROW(A$648)</f>
        <v/>
      </c>
      <c r="B672" s="171" t="inlineStr">
        <is>
          <t>综合费(人工、管理、税金、利润等)</t>
        </is>
      </c>
      <c r="C672" s="172" t="n"/>
      <c r="D672" s="204" t="n"/>
      <c r="E672" s="114" t="n"/>
      <c r="F672" s="114" t="n"/>
      <c r="G672" s="396" t="n"/>
      <c r="H672" s="396">
        <f>2500</f>
        <v/>
      </c>
      <c r="I672" s="45" t="inlineStr"/>
      <c r="J672" s="397" t="n"/>
      <c r="K672" s="398" t="n"/>
      <c r="L672" s="200" t="n"/>
      <c r="M672" s="399" t="n"/>
      <c r="N672" s="154" t="n"/>
      <c r="O672" s="155" t="n"/>
      <c r="P672" s="400" t="n"/>
      <c r="Q672" s="401" t="inlineStr">
        <is>
          <t>费用</t>
        </is>
      </c>
      <c r="R672" s="168" t="inlineStr"/>
      <c r="S672" s="168" t="inlineStr"/>
      <c r="T672" s="168" t="inlineStr"/>
      <c r="U672" s="168" t="inlineStr"/>
      <c r="V672" s="402" t="n"/>
      <c r="W672" s="402" t="n"/>
      <c r="X672" s="170" t="inlineStr"/>
    </row>
    <row r="673" s="308">
      <c r="A673" s="64">
        <f>ROW()-ROW(A$648)</f>
        <v/>
      </c>
      <c r="B673" s="204" t="inlineStr">
        <is>
          <t>单台合计</t>
        </is>
      </c>
      <c r="C673" s="172" t="n"/>
      <c r="D673" s="204" t="n"/>
      <c r="E673" s="114" t="n"/>
      <c r="F673" s="114" t="n"/>
      <c r="G673" s="396" t="n"/>
      <c r="H673" s="396">
        <f>ROUND(SUM(H671:H672),2)</f>
        <v/>
      </c>
      <c r="I673" s="181" t="n"/>
      <c r="J673" s="397" t="n"/>
      <c r="K673" s="398">
        <f>ROUND(SUM(K671:K672),2)</f>
        <v/>
      </c>
      <c r="L673" s="209" t="n"/>
      <c r="M673" s="399" t="n"/>
      <c r="N673" s="210" t="n"/>
      <c r="O673" s="211" t="n"/>
      <c r="P673" s="400" t="n"/>
      <c r="Q673" s="401" t="n"/>
      <c r="R673" s="168" t="inlineStr"/>
      <c r="S673" s="168" t="inlineStr"/>
      <c r="T673" s="168" t="inlineStr"/>
      <c r="U673" s="168" t="inlineStr"/>
      <c r="V673" s="402" t="n"/>
      <c r="W673" s="402" t="n"/>
      <c r="X673" s="170" t="inlineStr"/>
    </row>
    <row r="674" s="308">
      <c r="A674" s="173" t="inlineStr">
        <is>
          <t>总计</t>
        </is>
      </c>
      <c r="B674" s="205" t="n"/>
      <c r="C674" s="175" t="n"/>
      <c r="D674" s="206" t="n"/>
      <c r="E674" s="206" t="inlineStr">
        <is>
          <t>台</t>
        </is>
      </c>
      <c r="F674" s="206" t="n">
        <v>1</v>
      </c>
      <c r="G674" s="414">
        <f>ROUND(H673,2)</f>
        <v/>
      </c>
      <c r="H674" s="414">
        <f>ROUND(F674*G674,2)</f>
        <v/>
      </c>
      <c r="I674" s="185" t="n"/>
      <c r="J674" s="415" t="n"/>
      <c r="K674" s="416">
        <f>ROUND(K673*F674,2)</f>
        <v/>
      </c>
      <c r="L674" s="214" t="n"/>
      <c r="M674" s="417" t="n"/>
      <c r="N674" s="216" t="n"/>
      <c r="O674" s="217" t="n"/>
      <c r="P674" s="418" t="n"/>
      <c r="Q674" s="401" t="n"/>
      <c r="R674" s="168" t="inlineStr"/>
      <c r="S674" s="168" t="inlineStr"/>
      <c r="T674" s="168" t="inlineStr"/>
      <c r="U674" s="168" t="inlineStr"/>
      <c r="V674" s="402" t="n"/>
      <c r="W674" s="402" t="n"/>
      <c r="X674" s="170" t="inlineStr"/>
    </row>
    <row r="675" customFormat="1" s="4">
      <c r="A675" s="6" t="n"/>
      <c r="B675" s="195" t="inlineStr"/>
      <c r="C675" s="195" t="inlineStr"/>
      <c r="D675" s="195" t="inlineStr"/>
      <c r="Q675" s="159" t="n"/>
      <c r="R675" s="159" t="n"/>
      <c r="S675" s="159" t="n"/>
      <c r="T675" s="159" t="n"/>
      <c r="U675" s="159" t="n"/>
      <c r="X675" s="195" t="inlineStr"/>
    </row>
    <row r="676" customFormat="1" s="4">
      <c r="A676" s="6" t="n"/>
      <c r="B676" s="195" t="inlineStr"/>
      <c r="C676" s="195" t="inlineStr"/>
      <c r="D676" s="195" t="inlineStr"/>
      <c r="Q676" s="159" t="n"/>
      <c r="R676" s="159" t="n"/>
      <c r="S676" s="159" t="n"/>
      <c r="T676" s="159" t="n"/>
      <c r="U676" s="159" t="n"/>
      <c r="X676" s="195" t="inlineStr"/>
    </row>
    <row r="677" s="308">
      <c r="A677" s="208">
        <f>CONCATENATE("报价人：",项目信息!$B$8)</f>
        <v/>
      </c>
      <c r="B677" s="208" t="n"/>
      <c r="C677" s="4" t="n"/>
      <c r="D677" s="4" t="n"/>
      <c r="E677" s="4" t="n"/>
      <c r="F677" s="4" t="n"/>
      <c r="G677" s="4" t="n"/>
      <c r="H677" s="178">
        <f>项目信息!$B$9</f>
        <v/>
      </c>
      <c r="Q677" s="159" t="n"/>
      <c r="R677" s="159" t="n"/>
      <c r="S677" s="159" t="n"/>
      <c r="T677" s="159" t="n"/>
      <c r="U677" s="159" t="n"/>
      <c r="X677" s="203" t="inlineStr"/>
    </row>
    <row r="678" s="308">
      <c r="A678" s="8">
        <f>T(项目信息!$B$22)</f>
        <v/>
      </c>
      <c r="Q678" s="159" t="n"/>
      <c r="R678" s="159" t="n"/>
      <c r="S678" s="159" t="n"/>
      <c r="T678" s="159" t="n"/>
      <c r="U678" s="159" t="n"/>
    </row>
    <row r="679" s="308">
      <c r="A679" s="9">
        <f>T(项目信息!$B$23)</f>
        <v/>
      </c>
      <c r="Q679" s="159" t="n"/>
      <c r="R679" s="159" t="n"/>
      <c r="S679" s="159" t="n"/>
      <c r="T679" s="159" t="n"/>
      <c r="U679" s="159" t="n"/>
    </row>
    <row r="680" s="308">
      <c r="A680" s="97" t="inlineStr">
        <is>
          <t>成套产品报价明细表</t>
        </is>
      </c>
      <c r="B680" s="378" t="n"/>
      <c r="C680" s="378" t="n"/>
      <c r="D680" s="378" t="n"/>
      <c r="E680" s="378" t="n"/>
      <c r="F680" s="378" t="n"/>
      <c r="G680" s="378" t="n"/>
      <c r="H680" s="378" t="n"/>
      <c r="I680" s="378" t="n"/>
      <c r="Q680" s="159" t="n"/>
      <c r="R680" s="159" t="n"/>
      <c r="S680" s="159" t="n"/>
      <c r="T680" s="159" t="n"/>
      <c r="U680" s="159" t="n"/>
    </row>
    <row r="681" customFormat="1" s="4">
      <c r="A681" s="98" t="inlineStr">
        <is>
          <t>柜号:</t>
        </is>
      </c>
      <c r="B681" s="99" t="inlineStr">
        <is>
          <t>AAN3-06、BAN4-06</t>
        </is>
      </c>
      <c r="C681" s="100" t="inlineStr">
        <is>
          <t>型号:</t>
        </is>
      </c>
      <c r="D681" s="99" t="inlineStr">
        <is>
          <t>BlokSeT</t>
        </is>
      </c>
      <c r="E681" s="379" t="n"/>
      <c r="F681" s="101" t="inlineStr">
        <is>
          <t>名称:</t>
        </is>
      </c>
      <c r="G681" s="99" t="inlineStr">
        <is>
          <t>馈线柜</t>
        </is>
      </c>
      <c r="H681" s="379" t="n"/>
      <c r="I681" s="408" t="inlineStr"/>
      <c r="J681" s="194" t="inlineStr">
        <is>
          <t>箱柜尺寸:</t>
        </is>
      </c>
      <c r="K681" s="195" t="inlineStr">
        <is>
          <t>700W*1200D*2200H</t>
        </is>
      </c>
      <c r="L681" s="194" t="inlineStr">
        <is>
          <t>类别:</t>
        </is>
      </c>
      <c r="M681" s="195" t="inlineStr">
        <is>
          <t>低压固定柜</t>
        </is>
      </c>
      <c r="N681" s="409" t="inlineStr"/>
      <c r="Q681" s="159" t="n"/>
      <c r="R681" s="159" t="n"/>
      <c r="S681" s="159" t="n"/>
      <c r="T681" s="159" t="n"/>
      <c r="U681" s="159" t="n"/>
    </row>
    <row r="682" ht="20.1" customHeight="1" s="308">
      <c r="A682" s="102" t="inlineStr">
        <is>
          <t>序号</t>
        </is>
      </c>
      <c r="B682" s="103" t="inlineStr">
        <is>
          <t>元件名称</t>
        </is>
      </c>
      <c r="C682" s="103" t="inlineStr">
        <is>
          <t>型号规格</t>
        </is>
      </c>
      <c r="D682" s="104" t="inlineStr">
        <is>
          <t>生产厂家</t>
        </is>
      </c>
      <c r="E682" s="105" t="inlineStr">
        <is>
          <t>单位</t>
        </is>
      </c>
      <c r="F682" s="105" t="inlineStr">
        <is>
          <t>数量</t>
        </is>
      </c>
      <c r="G682" s="382" t="inlineStr">
        <is>
          <t>单   价</t>
        </is>
      </c>
      <c r="H682" s="383" t="inlineStr">
        <is>
          <t>总   价</t>
        </is>
      </c>
      <c r="I682" s="134" t="inlineStr">
        <is>
          <t>备注</t>
        </is>
      </c>
      <c r="J682" s="384" t="inlineStr">
        <is>
          <t>成本单价</t>
        </is>
      </c>
      <c r="K682" s="384" t="inlineStr">
        <is>
          <t>成本总价</t>
        </is>
      </c>
      <c r="L682" s="136" t="inlineStr">
        <is>
          <t>报出
系数</t>
        </is>
      </c>
      <c r="M682" s="384" t="inlineStr">
        <is>
          <t>表价</t>
        </is>
      </c>
      <c r="N682" s="136" t="inlineStr">
        <is>
          <t>折扣
系数</t>
        </is>
      </c>
      <c r="O682" s="137" t="inlineStr">
        <is>
          <t>取费
系数</t>
        </is>
      </c>
      <c r="P682" s="384" t="inlineStr">
        <is>
          <t>成套费</t>
        </is>
      </c>
      <c r="Q682" s="161" t="inlineStr">
        <is>
          <t>类别</t>
        </is>
      </c>
      <c r="R682" s="161" t="inlineStr">
        <is>
          <t>物料编码</t>
        </is>
      </c>
      <c r="S682" s="161" t="inlineStr">
        <is>
          <t>产地</t>
        </is>
      </c>
      <c r="T682" s="161" t="inlineStr">
        <is>
          <t>加工费</t>
        </is>
      </c>
      <c r="U682" s="161" t="inlineStr">
        <is>
          <t>订货号</t>
        </is>
      </c>
      <c r="V682" s="161" t="inlineStr">
        <is>
          <t>人工</t>
        </is>
      </c>
      <c r="W682" s="161" t="inlineStr">
        <is>
          <t>辅料</t>
        </is>
      </c>
      <c r="X682" s="203" t="inlineStr"/>
    </row>
    <row r="683" s="308">
      <c r="A683" s="64">
        <f>ROW()-ROW(A$682)</f>
        <v/>
      </c>
      <c r="B683" s="22" t="inlineStr">
        <is>
          <t>框架断路器</t>
        </is>
      </c>
      <c r="C683" s="22" t="inlineStr">
        <is>
          <t>MT25 H1 4P MIC5.0 E</t>
        </is>
      </c>
      <c r="D683" s="22" t="inlineStr">
        <is>
          <t>甲供/施耐德电气</t>
        </is>
      </c>
      <c r="E683" s="23" t="inlineStr">
        <is>
          <t>只</t>
        </is>
      </c>
      <c r="F683" s="23" t="n">
        <v>1</v>
      </c>
      <c r="G683" s="349">
        <f>IF(AND(B683="",C683=""),"",ROUND(M683*L683*N683,2))</f>
        <v/>
      </c>
      <c r="H683" s="349">
        <f>IF(AND(B683="",C683=""),"",ROUND(F683*G683,2))</f>
        <v/>
      </c>
      <c r="I683" s="45" t="inlineStr"/>
      <c r="J683" s="397">
        <f>IF(AND(B683="",C683=""),"",ROUND(M683*N683,2))</f>
        <v/>
      </c>
      <c r="K683" s="398">
        <f>IF(AND(B683="",C683=""),"",ROUND(J683*F683,2))</f>
        <v/>
      </c>
      <c r="L683" s="200" t="n">
        <v>1</v>
      </c>
      <c r="M683" s="399" t="n">
        <v>1e-07</v>
      </c>
      <c r="N683" s="154" t="n">
        <v>1</v>
      </c>
      <c r="O683" s="155">
        <f>IF(AND(B683="",C683=""),"",IF(G683&gt;=20000,0.05,IF(G683&gt;=10000,0.1,IF(G683&gt;=5000,0.2,IF(G683&gt;=1000,0.3,IF(G683&gt;=0,0.4,{0}))))))</f>
        <v/>
      </c>
      <c r="P683" s="400">
        <f>IF(AND(B683="",C683=""),"",ROUND(H683*O683,2))</f>
        <v/>
      </c>
      <c r="Q683" s="401" t="inlineStr">
        <is>
          <t>元件</t>
        </is>
      </c>
      <c r="R683" s="168" t="inlineStr"/>
      <c r="S683" s="168" t="inlineStr"/>
      <c r="T683" s="168" t="inlineStr">
        <is>
          <t>0</t>
        </is>
      </c>
      <c r="U683" s="168" t="inlineStr">
        <is>
          <t>C16F32D160</t>
        </is>
      </c>
      <c r="V683" s="402" t="n"/>
      <c r="W683" s="402" t="n"/>
      <c r="X683" s="170" t="inlineStr">
        <is>
          <t>NSX630N Mic2.3 630A 3P3D F→NSX630F MIC2.3 630 3P F→NSX630F MIC 2.3 630 3P F</t>
        </is>
      </c>
    </row>
    <row r="684" s="308">
      <c r="A684" s="64">
        <f>ROW()-ROW(A$682)</f>
        <v/>
      </c>
      <c r="B684" s="22" t="inlineStr">
        <is>
          <t>电流互感器</t>
        </is>
      </c>
      <c r="C684" s="22" t="inlineStr">
        <is>
          <t>SD-0.66-100II-C 2500/5A</t>
        </is>
      </c>
      <c r="D684" s="22" t="inlineStr">
        <is>
          <t>桑迪</t>
        </is>
      </c>
      <c r="E684" s="23" t="inlineStr">
        <is>
          <t>只</t>
        </is>
      </c>
      <c r="F684" s="23" t="n">
        <v>3</v>
      </c>
      <c r="G684" s="349">
        <f>IF(AND(B684="",C684=""),"",ROUND(M684*L684*N684,2))</f>
        <v/>
      </c>
      <c r="H684" s="396">
        <f>IF(AND(B684="",C684=""),"",ROUND(F684*G684,2))</f>
        <v/>
      </c>
      <c r="I684" s="219" t="inlineStr"/>
      <c r="J684" s="397">
        <f>IF(AND(B684="",C684=""),"",ROUND(M684*N684,2))</f>
        <v/>
      </c>
      <c r="K684" s="398">
        <f>IF(AND(B684="",C684=""),"",ROUND(J684*F684,2))</f>
        <v/>
      </c>
      <c r="L684" s="200" t="n">
        <v>1</v>
      </c>
      <c r="M684" s="399" t="n">
        <v>161.85</v>
      </c>
      <c r="N684" s="154" t="n">
        <v>1</v>
      </c>
      <c r="O684" s="155">
        <f>IF(AND(B684="",C684=""),"",IF(G684&gt;=20000,0.05,IF(G684&gt;=10000,0.1,IF(G684&gt;=5000,0.2,IF(G684&gt;=1000,0.3,IF(G684&gt;=0,0.4,{0}))))))</f>
        <v/>
      </c>
      <c r="P684" s="400">
        <f>IF(AND(B684="",C684=""),"",ROUND(H684*O684,2))</f>
        <v/>
      </c>
      <c r="Q684" s="401" t="inlineStr">
        <is>
          <t>元件</t>
        </is>
      </c>
      <c r="R684" s="168" t="inlineStr"/>
      <c r="S684" s="168" t="inlineStr"/>
      <c r="T684" s="168" t="inlineStr">
        <is>
          <t>0</t>
        </is>
      </c>
      <c r="U684" s="168" t="inlineStr">
        <is>
          <t>710141426552500</t>
        </is>
      </c>
      <c r="V684" s="402" t="n"/>
      <c r="W684" s="402" t="n"/>
      <c r="X684" s="170" t="inlineStr">
        <is>
          <t>SD→SD-0.66-40II-C 400/5A→SD-0.66-30I 250/5A→SD-0.66-30I 150/5A→SD-0.66-60II-C 750/5A→SD-0.66-60II-C 600/5A→SD-0.66-30I 150/5A→SD-0.66-40II-C 400/5A→SD-0.66-100II-C 1600/5A→SD-0.66-80II-V 1000/5A→SD-0.66-80II-V 1250/5A</t>
        </is>
      </c>
    </row>
    <row r="685" s="308">
      <c r="A685" s="64">
        <f>ROW()-ROW(A$682)</f>
        <v/>
      </c>
      <c r="B685" s="112" t="inlineStr">
        <is>
          <t>多功能表</t>
        </is>
      </c>
      <c r="C685" s="112" t="inlineStr">
        <is>
          <t>PM4101</t>
        </is>
      </c>
      <c r="D685" s="112" t="inlineStr">
        <is>
          <t>甲供/施耐德电气</t>
        </is>
      </c>
      <c r="E685" s="114" t="inlineStr">
        <is>
          <t>只</t>
        </is>
      </c>
      <c r="F685" s="114" t="n">
        <v>1</v>
      </c>
      <c r="G685" s="396">
        <f>IF(AND(B685="",C685=""),"",ROUND(M685*L685*N685,2))</f>
        <v/>
      </c>
      <c r="H685" s="349">
        <f>IF(AND(B685="",C685=""),"",ROUND(F685*G685,2))</f>
        <v/>
      </c>
      <c r="I685" s="45" t="inlineStr"/>
      <c r="J685" s="397">
        <f>IF(AND(B685="",C685=""),"",ROUND(M685*N685,2))</f>
        <v/>
      </c>
      <c r="K685" s="398">
        <f>IF(AND(B685="",C685=""),"",ROUND(J685*F685,2))</f>
        <v/>
      </c>
      <c r="L685" s="200" t="n">
        <v>1</v>
      </c>
      <c r="M685" s="399" t="n">
        <v>1e-07</v>
      </c>
      <c r="N685" s="154" t="n">
        <v>1</v>
      </c>
      <c r="O685" s="155">
        <f>IF(AND(B685="",C685=""),"",IF(J685&gt;=20000,0.05,IF(J685&gt;=10000,0.1,IF(J685&gt;=5000,0.2,IF(J685&gt;=1000,0.3,IF(J685&gt;=0,0.4,{0}))))))</f>
        <v/>
      </c>
      <c r="P685" s="400">
        <f>IF(AND(B685="",C685=""),"",ROUND(H685*O685,2))</f>
        <v/>
      </c>
      <c r="Q685" s="401" t="inlineStr">
        <is>
          <t>元件</t>
        </is>
      </c>
      <c r="R685" s="168" t="inlineStr"/>
      <c r="S685" s="168" t="inlineStr"/>
      <c r="T685" s="168" t="inlineStr">
        <is>
          <t>0</t>
        </is>
      </c>
      <c r="U685" s="168" t="inlineStr"/>
      <c r="V685" s="402" t="n"/>
      <c r="W685" s="402" t="n"/>
      <c r="X685" s="170" t="inlineStr"/>
    </row>
    <row r="686" customFormat="1" s="3">
      <c r="A686" s="64">
        <f>ROW()-ROW(A$682)</f>
        <v/>
      </c>
      <c r="B686" s="22" t="inlineStr">
        <is>
          <t>指示灯</t>
        </is>
      </c>
      <c r="C686" s="22" t="inlineStr">
        <is>
          <t>XB2BVM3LC</t>
        </is>
      </c>
      <c r="D686" s="22" t="inlineStr">
        <is>
          <t>甲供/施耐德电气</t>
        </is>
      </c>
      <c r="E686" s="23" t="inlineStr">
        <is>
          <t>只</t>
        </is>
      </c>
      <c r="F686" s="23" t="n">
        <v>1</v>
      </c>
      <c r="G686" s="349">
        <f>IF(AND(B686="",C686=""),"",ROUND(M686*L686*N686,2))</f>
        <v/>
      </c>
      <c r="H686" s="353">
        <f>IF(AND(B686="",C686=""),"",ROUND(F686*G686,2))</f>
        <v/>
      </c>
      <c r="I686" s="180" t="inlineStr"/>
      <c r="J686" s="392">
        <f>IF(AND(B686="",C686=""),"",ROUND(M686*N686,2))</f>
        <v/>
      </c>
      <c r="K686" s="393">
        <f>IF(AND(B686="",C686=""),"",ROUND(J686*F686,2))</f>
        <v/>
      </c>
      <c r="L686" s="141" t="n">
        <v>1</v>
      </c>
      <c r="M686" s="394" t="n">
        <v>1e-07</v>
      </c>
      <c r="N686" s="220" t="n">
        <v>1</v>
      </c>
      <c r="O686" s="221">
        <f>IF(AND(B686="",C686=""),"",IF(G686&gt;=20000,0.05,IF(G686&gt;=10000,0.1,IF(G686&gt;=5000,0.2,IF(G686&gt;=1000,0.3,IF(G686&gt;=0,0.4,{0}))))))</f>
        <v/>
      </c>
      <c r="P686" s="419">
        <f>IF(AND(B686="",C686=""),"",ROUND(H686*O686,2))</f>
        <v/>
      </c>
      <c r="Q686" s="420" t="inlineStr">
        <is>
          <t>元件</t>
        </is>
      </c>
      <c r="R686" s="231" t="inlineStr"/>
      <c r="S686" s="231" t="inlineStr"/>
      <c r="T686" s="231" t="inlineStr">
        <is>
          <t>0</t>
        </is>
      </c>
      <c r="U686" s="231" t="inlineStr">
        <is>
          <t>XB2BVM3LC</t>
        </is>
      </c>
      <c r="V686" s="421" t="n"/>
      <c r="W686" s="421" t="n"/>
      <c r="X686" s="166" t="inlineStr">
        <is>
          <t>XA2EVM3LC</t>
        </is>
      </c>
    </row>
    <row r="687" customFormat="1" s="3">
      <c r="A687" s="64">
        <f>ROW()-ROW(A$682)</f>
        <v/>
      </c>
      <c r="B687" s="22" t="inlineStr">
        <is>
          <t>指示灯</t>
        </is>
      </c>
      <c r="C687" s="22" t="inlineStr">
        <is>
          <t>XB2BVM4LC</t>
        </is>
      </c>
      <c r="D687" s="22" t="inlineStr">
        <is>
          <t>甲供/施耐德电气</t>
        </is>
      </c>
      <c r="E687" s="23" t="inlineStr">
        <is>
          <t>只</t>
        </is>
      </c>
      <c r="F687" s="23" t="n">
        <v>1</v>
      </c>
      <c r="G687" s="349">
        <f>IF(AND(B687="",C687=""),"",ROUND(M687*L687*N687,2))</f>
        <v/>
      </c>
      <c r="H687" s="353">
        <f>IF(AND(B687="",C687=""),"",ROUND(F687*G687,2))</f>
        <v/>
      </c>
      <c r="I687" s="180" t="inlineStr"/>
      <c r="J687" s="392">
        <f>IF(AND(B687="",C687=""),"",ROUND(M687*N687,2))</f>
        <v/>
      </c>
      <c r="K687" s="393">
        <f>IF(AND(B687="",C687=""),"",ROUND(J687*F687,2))</f>
        <v/>
      </c>
      <c r="L687" s="141" t="n">
        <v>1</v>
      </c>
      <c r="M687" s="394" t="n">
        <v>1e-07</v>
      </c>
      <c r="N687" s="220" t="n">
        <v>1</v>
      </c>
      <c r="O687" s="221">
        <f>IF(AND(B687="",C687=""),"",IF(G687&gt;=20000,0.05,IF(G687&gt;=10000,0.1,IF(G687&gt;=5000,0.2,IF(G687&gt;=1000,0.3,IF(G687&gt;=0,0.4,{0}))))))</f>
        <v/>
      </c>
      <c r="P687" s="419">
        <f>IF(AND(B687="",C687=""),"",ROUND(H687*O687,2))</f>
        <v/>
      </c>
      <c r="Q687" s="420" t="inlineStr">
        <is>
          <t>元件</t>
        </is>
      </c>
      <c r="R687" s="231" t="inlineStr"/>
      <c r="S687" s="231" t="inlineStr"/>
      <c r="T687" s="231" t="inlineStr">
        <is>
          <t>0</t>
        </is>
      </c>
      <c r="U687" s="231" t="inlineStr">
        <is>
          <t>XB2BVM4LC</t>
        </is>
      </c>
      <c r="V687" s="421" t="n"/>
      <c r="W687" s="421" t="n"/>
      <c r="X687" s="166" t="inlineStr">
        <is>
          <t>XA2EVM4LC</t>
        </is>
      </c>
    </row>
    <row r="688" s="308">
      <c r="A688" s="64">
        <f>ROW()-ROW(A$682)</f>
        <v/>
      </c>
      <c r="B688" s="112" t="inlineStr">
        <is>
          <t>指示灯</t>
        </is>
      </c>
      <c r="C688" s="112" t="inlineStr">
        <is>
          <t>XB2BVM5LC</t>
        </is>
      </c>
      <c r="D688" s="112" t="inlineStr">
        <is>
          <t>甲供/施耐德电气</t>
        </is>
      </c>
      <c r="E688" s="114" t="inlineStr">
        <is>
          <t>只</t>
        </is>
      </c>
      <c r="F688" s="114" t="n">
        <v>1</v>
      </c>
      <c r="G688" s="396">
        <f>IF(AND(B688="",C688=""),"",ROUND(M688*L688*N688,2))</f>
        <v/>
      </c>
      <c r="H688" s="396">
        <f>IF(AND(B688="",C688=""),"",ROUND(F688*G688,2))</f>
        <v/>
      </c>
      <c r="I688" s="150" t="inlineStr"/>
      <c r="J688" s="397">
        <f>IF(AND(B688="",C688=""),"",ROUND(M688*N688,2))</f>
        <v/>
      </c>
      <c r="K688" s="398">
        <f>IF(AND(B688="",C688=""),"",ROUND(J688*F688,2))</f>
        <v/>
      </c>
      <c r="L688" s="141" t="n">
        <v>1</v>
      </c>
      <c r="M688" s="399" t="n">
        <v>1e-07</v>
      </c>
      <c r="N688" s="154" t="n">
        <v>1</v>
      </c>
      <c r="O688" s="155">
        <f>IF(AND(B688="",C688=""),"",IF(G688&gt;=20000,0.05,IF(G688&gt;=10000,0.1,IF(G688&gt;=5000,0.2,IF(G688&gt;=1000,0.3,IF(G688&gt;=0,0.4,{0}))))))</f>
        <v/>
      </c>
      <c r="P688" s="400">
        <f>IF(AND(B688="",C688=""),"",ROUND(H688*O688,2))</f>
        <v/>
      </c>
      <c r="Q688" s="401" t="inlineStr">
        <is>
          <t>元件</t>
        </is>
      </c>
      <c r="R688" s="168" t="inlineStr"/>
      <c r="S688" s="168" t="inlineStr"/>
      <c r="T688" s="168" t="inlineStr">
        <is>
          <t>0</t>
        </is>
      </c>
      <c r="U688" s="168" t="inlineStr">
        <is>
          <t>XA2EVM5LC</t>
        </is>
      </c>
      <c r="V688" s="402" t="n"/>
      <c r="W688" s="402" t="n"/>
      <c r="X688" s="170" t="inlineStr"/>
    </row>
    <row r="689" s="308">
      <c r="A689" s="64">
        <f>ROW()-ROW(A$682)</f>
        <v/>
      </c>
      <c r="B689" s="112" t="inlineStr">
        <is>
          <t>按钮</t>
        </is>
      </c>
      <c r="C689" s="112" t="inlineStr">
        <is>
          <t>XB2BA31C</t>
        </is>
      </c>
      <c r="D689" s="112" t="inlineStr">
        <is>
          <t>甲供/施耐德电气</t>
        </is>
      </c>
      <c r="E689" s="114" t="inlineStr">
        <is>
          <t>只</t>
        </is>
      </c>
      <c r="F689" s="114" t="n">
        <v>1</v>
      </c>
      <c r="G689" s="396">
        <f>IF(AND(B689="",C689=""),"",ROUND(M689*L689*N689,2))</f>
        <v/>
      </c>
      <c r="H689" s="396">
        <f>IF(AND(B689="",C689=""),"",ROUND(F689*G689,2))</f>
        <v/>
      </c>
      <c r="I689" s="150" t="inlineStr"/>
      <c r="J689" s="397">
        <f>IF(AND(B689="",C689=""),"",ROUND(M689*N689,2))</f>
        <v/>
      </c>
      <c r="K689" s="398">
        <f>IF(AND(B689="",C689=""),"",ROUND(J689*F689,2))</f>
        <v/>
      </c>
      <c r="L689" s="141" t="n">
        <v>1</v>
      </c>
      <c r="M689" s="399" t="n">
        <v>1e-07</v>
      </c>
      <c r="N689" s="154" t="n">
        <v>1</v>
      </c>
      <c r="O689" s="155">
        <f>IF(AND(B689="",C689=""),"",IF(G689&gt;=20000,0.05,IF(G689&gt;=10000,0.1,IF(G689&gt;=5000,0.2,IF(G689&gt;=1000,0.3,IF(G689&gt;=0,0.4,{0}))))))</f>
        <v/>
      </c>
      <c r="P689" s="400">
        <f>IF(AND(B689="",C689=""),"",ROUND(H689*O689,2))</f>
        <v/>
      </c>
      <c r="Q689" s="401" t="inlineStr">
        <is>
          <t>元件</t>
        </is>
      </c>
      <c r="R689" s="168" t="inlineStr"/>
      <c r="S689" s="168" t="inlineStr"/>
      <c r="T689" s="168" t="inlineStr">
        <is>
          <t>0</t>
        </is>
      </c>
      <c r="U689" s="168" t="inlineStr">
        <is>
          <t>XB2BA31C</t>
        </is>
      </c>
      <c r="V689" s="402" t="n"/>
      <c r="W689" s="402" t="n"/>
      <c r="X689" s="170" t="inlineStr">
        <is>
          <t>XA2EA31</t>
        </is>
      </c>
    </row>
    <row r="690" s="308">
      <c r="A690" s="64">
        <f>ROW()-ROW(A$682)</f>
        <v/>
      </c>
      <c r="B690" s="22" t="inlineStr">
        <is>
          <t>按钮</t>
        </is>
      </c>
      <c r="C690" s="22" t="inlineStr">
        <is>
          <t>XB2BA42C</t>
        </is>
      </c>
      <c r="D690" s="22" t="inlineStr">
        <is>
          <t>甲供/施耐德电气</t>
        </is>
      </c>
      <c r="E690" s="23" t="inlineStr">
        <is>
          <t>只</t>
        </is>
      </c>
      <c r="F690" s="23" t="n">
        <v>1</v>
      </c>
      <c r="G690" s="349">
        <f>IF(AND(B690="",C690=""),"",ROUND(M690*L690*N690,2))</f>
        <v/>
      </c>
      <c r="H690" s="396">
        <f>IF(AND(B690="",C690=""),"",ROUND(F690*G690,2))</f>
        <v/>
      </c>
      <c r="I690" s="150" t="inlineStr"/>
      <c r="J690" s="397">
        <f>IF(AND(B690="",C690=""),"",ROUND(M690*N690,2))</f>
        <v/>
      </c>
      <c r="K690" s="398">
        <f>IF(AND(B690="",C690=""),"",ROUND(J690*F690,2))</f>
        <v/>
      </c>
      <c r="L690" s="141" t="n">
        <v>1</v>
      </c>
      <c r="M690" s="399" t="n">
        <v>1e-07</v>
      </c>
      <c r="N690" s="154" t="n">
        <v>1</v>
      </c>
      <c r="O690" s="155">
        <f>IF(AND(B690="",C690=""),"",IF(G690&gt;=20000,0.05,IF(G690&gt;=10000,0.1,IF(G690&gt;=5000,0.2,IF(G690&gt;=1000,0.3,IF(G690&gt;=0,0.4,{0}))))))</f>
        <v/>
      </c>
      <c r="P690" s="400">
        <f>IF(AND(B690="",C690=""),"",ROUND(H690*O690,2))</f>
        <v/>
      </c>
      <c r="Q690" s="401" t="inlineStr">
        <is>
          <t>元件</t>
        </is>
      </c>
      <c r="R690" s="168" t="inlineStr"/>
      <c r="S690" s="168" t="inlineStr"/>
      <c r="T690" s="168" t="inlineStr">
        <is>
          <t>0</t>
        </is>
      </c>
      <c r="U690" s="168" t="inlineStr">
        <is>
          <t>XB2BA42C</t>
        </is>
      </c>
      <c r="V690" s="402" t="n"/>
      <c r="W690" s="402" t="n"/>
      <c r="X690" s="170" t="inlineStr">
        <is>
          <t>XA2EA41</t>
        </is>
      </c>
    </row>
    <row r="691" s="308">
      <c r="A691" s="64">
        <f>ROW()-ROW(A$682)</f>
        <v/>
      </c>
      <c r="B691" s="112" t="inlineStr">
        <is>
          <t>温湿度控制器</t>
        </is>
      </c>
      <c r="C691" s="112" t="inlineStr">
        <is>
          <t>ATH48G-11</t>
        </is>
      </c>
      <c r="D691" s="22" t="inlineStr">
        <is>
          <t>杭州安廷</t>
        </is>
      </c>
      <c r="E691" s="23" t="inlineStr">
        <is>
          <t>套</t>
        </is>
      </c>
      <c r="F691" s="23" t="n">
        <v>1</v>
      </c>
      <c r="G691" s="349">
        <f>IF(AND(B691="",C691=""),"",ROUND(M691*L691*N691,2))</f>
        <v/>
      </c>
      <c r="H691" s="396">
        <f>IF(AND(B691="",C691=""),"",ROUND(F691*G691,2))</f>
        <v/>
      </c>
      <c r="I691" s="150" t="inlineStr"/>
      <c r="J691" s="397">
        <f>IF(AND(B691="",C691=""),"",ROUND(M691*N691,2))</f>
        <v/>
      </c>
      <c r="K691" s="398">
        <f>IF(AND(B691="",C691=""),"",ROUND(J691*F691,2))</f>
        <v/>
      </c>
      <c r="L691" s="141" t="n">
        <v>1</v>
      </c>
      <c r="M691" s="399" t="n">
        <v>450</v>
      </c>
      <c r="N691" s="154" t="n">
        <v>1</v>
      </c>
      <c r="O691" s="155">
        <f>IF(AND(B691="",C691=""),"",IF(G691&gt;=20000,0.05,IF(G691&gt;=10000,0.1,IF(G691&gt;=5000,0.2,IF(G691&gt;=1000,0.3,IF(G691&gt;=0,0.4,{0}))))))</f>
        <v/>
      </c>
      <c r="P691" s="400">
        <f>IF(AND(B691="",C691=""),"",ROUND(H691*O691,2))</f>
        <v/>
      </c>
      <c r="Q691" s="401" t="inlineStr">
        <is>
          <t>元件</t>
        </is>
      </c>
      <c r="R691" s="168" t="inlineStr"/>
      <c r="S691" s="168" t="inlineStr"/>
      <c r="T691" s="168" t="inlineStr">
        <is>
          <t>0</t>
        </is>
      </c>
      <c r="U691" s="168" t="inlineStr"/>
      <c r="V691" s="402" t="n"/>
      <c r="W691" s="402" t="n"/>
      <c r="X691" s="170" t="inlineStr"/>
    </row>
    <row r="692" s="308">
      <c r="A692" s="64">
        <f>ROW()-ROW(A$682)</f>
        <v/>
      </c>
      <c r="B692" s="22" t="inlineStr">
        <is>
          <t>中间继电器</t>
        </is>
      </c>
      <c r="C692" s="22" t="inlineStr">
        <is>
          <t>RXM4AB2P7+RXZE2S114M+RXZ400</t>
        </is>
      </c>
      <c r="D692" s="22" t="inlineStr">
        <is>
          <t>甲供/施耐德电气</t>
        </is>
      </c>
      <c r="E692" s="23" t="inlineStr">
        <is>
          <t>只</t>
        </is>
      </c>
      <c r="F692" s="23" t="n">
        <v>2</v>
      </c>
      <c r="G692" s="349">
        <f>IF(AND(B692="",C692=""),"",ROUND(M692*L692*N692,2))</f>
        <v/>
      </c>
      <c r="H692" s="349">
        <f>IF(AND(B692="",C692=""),"",ROUND(F692*G692,2))</f>
        <v/>
      </c>
      <c r="I692" s="45" t="inlineStr"/>
      <c r="J692" s="397">
        <f>IF(AND(B692="",C692=""),"",ROUND(M692*N692,2))</f>
        <v/>
      </c>
      <c r="K692" s="398">
        <f>IF(AND(B692="",C692=""),"",ROUND(J692*F692,2))</f>
        <v/>
      </c>
      <c r="L692" s="141" t="n">
        <v>1</v>
      </c>
      <c r="M692" s="399" t="n">
        <v>1e-07</v>
      </c>
      <c r="N692" s="154" t="n">
        <v>1</v>
      </c>
      <c r="O692" s="155">
        <f>IF(AND(B692="",C692=""),"",IF(G692&gt;=20000,0.05,IF(G692&gt;=10000,0.1,IF(G692&gt;=5000,0.2,IF(G692&gt;=1000,0.3,IF(G692&gt;=0,0.4,{0}))))))</f>
        <v/>
      </c>
      <c r="P692" s="400">
        <f>IF(AND(B692="",C692=""),"",ROUND(H692*O692,2))</f>
        <v/>
      </c>
      <c r="Q692" s="401" t="inlineStr">
        <is>
          <t>元件</t>
        </is>
      </c>
      <c r="R692" s="168" t="inlineStr"/>
      <c r="S692" s="168" t="inlineStr"/>
      <c r="T692" s="168" t="inlineStr">
        <is>
          <t>0</t>
        </is>
      </c>
      <c r="U692" s="168" t="inlineStr">
        <is>
          <t>RXM4AB2P7+RXZE2S114M+RXZ400</t>
        </is>
      </c>
      <c r="V692" s="402" t="n"/>
      <c r="W692" s="402" t="n"/>
      <c r="X692" s="170" t="inlineStr">
        <is>
          <t>REL-IR-BL/L-230AC/4X21，含底座→RXM4AB2P7+RXZE2S114M+RXZ400→REL-IR-BL/L-230AC/4X21，含底座</t>
        </is>
      </c>
    </row>
    <row r="693" customFormat="1" s="3">
      <c r="A693" s="64">
        <f>ROW()-ROW(A$682)</f>
        <v/>
      </c>
      <c r="B693" s="22" t="inlineStr">
        <is>
          <t>带熔丝端子</t>
        </is>
      </c>
      <c r="C693" s="22" t="inlineStr">
        <is>
          <t>UK 5-HESI</t>
        </is>
      </c>
      <c r="D693" s="22" t="inlineStr">
        <is>
          <t>菲尼克斯</t>
        </is>
      </c>
      <c r="E693" s="23" t="inlineStr">
        <is>
          <t>只</t>
        </is>
      </c>
      <c r="F693" s="23" t="n">
        <v>4</v>
      </c>
      <c r="G693" s="349">
        <f>IF(AND(B693="",C693=""),"",ROUND(M693*L693*N693,2))</f>
        <v/>
      </c>
      <c r="H693" s="349">
        <f>IF(AND(B693="",C693=""),"",ROUND(F693*G693,2))</f>
        <v/>
      </c>
      <c r="I693" s="45" t="inlineStr"/>
      <c r="J693" s="392">
        <f>IF(AND(B693="",C693=""),"",ROUND(M693*N693,2))</f>
        <v/>
      </c>
      <c r="K693" s="393">
        <f>IF(AND(B693="",C693=""),"",ROUND(J693*F693,2))</f>
        <v/>
      </c>
      <c r="L693" s="141" t="n">
        <v>1</v>
      </c>
      <c r="M693" s="394" t="n">
        <v>7</v>
      </c>
      <c r="N693" s="220" t="n">
        <v>1</v>
      </c>
      <c r="O693" s="221">
        <f>IF(AND(B693="",C693=""),"",IF(G693&gt;=20000,0.05,IF(G693&gt;=10000,0.1,IF(G693&gt;=5000,0.2,IF(G693&gt;=1000,0.3,IF(G693&gt;=0,0.4,{0}))))))</f>
        <v/>
      </c>
      <c r="P693" s="419">
        <f>IF(AND(B693="",C693=""),"",ROUND(H693*O693,2))</f>
        <v/>
      </c>
      <c r="Q693" s="420" t="inlineStr">
        <is>
          <t>元件</t>
        </is>
      </c>
      <c r="R693" s="231" t="inlineStr"/>
      <c r="S693" s="231" t="inlineStr"/>
      <c r="T693" s="231" t="inlineStr">
        <is>
          <t>0</t>
        </is>
      </c>
      <c r="U693" s="231" t="inlineStr">
        <is>
          <t>True</t>
        </is>
      </c>
      <c r="V693" s="421" t="n"/>
      <c r="W693" s="421" t="n"/>
      <c r="X693" s="166" t="inlineStr"/>
    </row>
    <row r="694" s="308">
      <c r="A694" s="64">
        <f>ROW()-ROW(A$682)</f>
        <v/>
      </c>
      <c r="B694" s="22" t="inlineStr">
        <is>
          <t>水平母排</t>
        </is>
      </c>
      <c r="C694" s="22" t="inlineStr">
        <is>
          <t>TMY 4*(3*125*5)+2*50*5</t>
        </is>
      </c>
      <c r="D694" s="22" t="inlineStr">
        <is>
          <t>国产优质</t>
        </is>
      </c>
      <c r="E694" s="23" t="inlineStr">
        <is>
          <t>米</t>
        </is>
      </c>
      <c r="F694" s="23" t="n">
        <v>0.8</v>
      </c>
      <c r="G694" s="349">
        <f>IF(AND(B694="",C694=""),"",ROUND(M694*L694*N694,2))</f>
        <v/>
      </c>
      <c r="H694" s="349">
        <f>IF(AND(B694="",C694=""),"",ROUND(F694*G694,2))</f>
        <v/>
      </c>
      <c r="I694" s="45" t="inlineStr"/>
      <c r="J694" s="397">
        <f>IF(AND(B694="",C694=""),"",ROUND(M694*N694,2))</f>
        <v/>
      </c>
      <c r="K694" s="398">
        <f>IF(AND(B694="",C694=""),"",ROUND(J694*F694,2))</f>
        <v/>
      </c>
      <c r="L694" s="200" t="n">
        <v>1</v>
      </c>
      <c r="M694" s="399" t="n">
        <v>7697.076</v>
      </c>
      <c r="N694" s="154">
        <f>(6317.932*1*1+2684.8*1*1)/9002.732</f>
        <v/>
      </c>
      <c r="O694" s="155">
        <f>IF(AND(B694="",C694=""),"",IF(J694&gt;=20000,0.05,IF(J694&gt;=10000,0.1,IF(J694&gt;=5000,0.2,IF(J694&gt;=1000,0.3,IF(J694&gt;=0,0.4,{0}))))))</f>
        <v/>
      </c>
      <c r="P694" s="400">
        <f>IF(AND(B694="",C694=""),"",ROUND(H694*O694,2))</f>
        <v/>
      </c>
      <c r="Q694" s="401" t="inlineStr">
        <is>
          <t>母排</t>
        </is>
      </c>
      <c r="R694" s="168" t="inlineStr"/>
      <c r="S694" s="168" t="inlineStr"/>
      <c r="T694" s="168" t="inlineStr">
        <is>
          <t>0</t>
        </is>
      </c>
      <c r="U694" s="168" t="inlineStr"/>
      <c r="V694" s="402" t="n"/>
      <c r="W694" s="402" t="n"/>
      <c r="X694" s="170" t="inlineStr"/>
    </row>
    <row r="695" customFormat="1" s="5">
      <c r="A695" s="64">
        <f>ROW()-ROW(A$682)</f>
        <v/>
      </c>
      <c r="B695" s="22" t="inlineStr">
        <is>
          <t>桩头排</t>
        </is>
      </c>
      <c r="C695" s="22" t="inlineStr">
        <is>
          <t>TMY</t>
        </is>
      </c>
      <c r="D695" s="22" t="inlineStr">
        <is>
          <t>国产优质</t>
        </is>
      </c>
      <c r="E695" s="23" t="inlineStr">
        <is>
          <t>kg</t>
        </is>
      </c>
      <c r="F695" s="23" t="n">
        <v>151</v>
      </c>
      <c r="G695" s="349">
        <f>IF(AND(B695="",C695=""),"",ROUND(M695*L695*N695,2))</f>
        <v/>
      </c>
      <c r="H695" s="349">
        <f>IF(AND(B695="",C695=""),"",ROUND(F695*G695,2))</f>
        <v/>
      </c>
      <c r="I695" s="45" t="inlineStr"/>
      <c r="J695" s="422">
        <f>IF(AND(B695="",C695=""),"",ROUND(M695*N695,2))</f>
        <v/>
      </c>
      <c r="K695" s="423">
        <f>IF(AND(B695="",C695=""),"",ROUND(J695*F695,2))</f>
        <v/>
      </c>
      <c r="L695" s="225" t="n">
        <v>1</v>
      </c>
      <c r="M695" s="424" t="n">
        <v>108.105</v>
      </c>
      <c r="N695" s="227" t="n">
        <v>1</v>
      </c>
      <c r="O695" s="228">
        <f>IF(AND(B695="",C695=""),"",IF(G695&gt;=20000,0.05,IF(G695&gt;=10000,0.1,IF(G695&gt;=5000,0.2,IF(G695&gt;=1000,0.3,IF(G695&gt;=0,0.4,{0}))))))</f>
        <v/>
      </c>
      <c r="P695" s="425">
        <f>IF(AND(B695="",C695=""),"",ROUND(H695*O695,2))</f>
        <v/>
      </c>
      <c r="Q695" s="426" t="inlineStr">
        <is>
          <t>母排</t>
        </is>
      </c>
      <c r="R695" s="234" t="inlineStr"/>
      <c r="S695" s="234" t="inlineStr"/>
      <c r="T695" s="235" t="inlineStr">
        <is>
          <t>0</t>
        </is>
      </c>
      <c r="U695" s="235" t="inlineStr"/>
      <c r="V695" s="427" t="n"/>
      <c r="W695" s="427" t="n"/>
      <c r="X695" s="237" t="inlineStr">
        <is>
          <t>TMY 2*30*5→TMY 30*8</t>
        </is>
      </c>
    </row>
    <row r="696" s="308">
      <c r="A696" s="64">
        <f>ROW()-ROW(A$682)</f>
        <v/>
      </c>
      <c r="B696" s="112" t="inlineStr">
        <is>
          <t>辅料</t>
        </is>
      </c>
      <c r="C696" s="112" t="inlineStr"/>
      <c r="D696" s="112" t="inlineStr"/>
      <c r="E696" s="114" t="inlineStr">
        <is>
          <t>套</t>
        </is>
      </c>
      <c r="F696" s="114" t="n">
        <v>1</v>
      </c>
      <c r="G696" s="396">
        <f>IF(AND(B696="",C696=""),"",ROUND(M696*L696*N696,2))</f>
        <v/>
      </c>
      <c r="H696" s="396">
        <f>IF(AND(B696="",C696=""),"",ROUND(F696*G696,2))</f>
        <v/>
      </c>
      <c r="I696" s="219" t="inlineStr"/>
      <c r="J696" s="397">
        <f>IF(AND(B696="",C696=""),"",ROUND(M696*N696,2))</f>
        <v/>
      </c>
      <c r="K696" s="398">
        <f>IF(AND(B696="",C696=""),"",ROUND(J696*F696,2))</f>
        <v/>
      </c>
      <c r="L696" s="200" t="n">
        <v>1</v>
      </c>
      <c r="M696" s="399" t="n">
        <v>550</v>
      </c>
      <c r="N696" s="154" t="n">
        <v>1</v>
      </c>
      <c r="O696" s="155">
        <f>IF(AND(B696="",C696=""),"",IF(G696&gt;=20000,0.05,IF(G696&gt;=10000,0.1,IF(G696&gt;=5000,0.2,IF(G696&gt;=1000,0.3,IF(G696&gt;=0,0.4,{0}))))))</f>
        <v/>
      </c>
      <c r="P696" s="400">
        <f>IF(AND(B696="",C696=""),"",ROUND(H696*O696,2))</f>
        <v/>
      </c>
      <c r="Q696" s="401" t="inlineStr">
        <is>
          <t>辅料</t>
        </is>
      </c>
      <c r="R696" s="168" t="inlineStr"/>
      <c r="S696" s="168" t="inlineStr"/>
      <c r="T696" s="168" t="inlineStr">
        <is>
          <t>0</t>
        </is>
      </c>
      <c r="U696" s="168" t="inlineStr"/>
      <c r="V696" s="402" t="n"/>
      <c r="W696" s="402" t="n"/>
      <c r="X696" s="170" t="inlineStr"/>
    </row>
    <row r="697" s="308">
      <c r="A697" s="64">
        <f>ROW()-ROW(A$682)</f>
        <v/>
      </c>
      <c r="B697" s="112" t="inlineStr">
        <is>
          <t>柜体Blokset</t>
        </is>
      </c>
      <c r="C697" s="22" t="inlineStr">
        <is>
          <t>700W*1200D*2200H</t>
        </is>
      </c>
      <c r="D697" s="112" t="inlineStr">
        <is>
          <t>清科</t>
        </is>
      </c>
      <c r="E697" s="114" t="inlineStr">
        <is>
          <t>台</t>
        </is>
      </c>
      <c r="F697" s="114" t="n">
        <v>1</v>
      </c>
      <c r="G697" s="396">
        <f>IF(AND(B697="",C697=""),"",ROUND(M697*L697*N697,2))</f>
        <v/>
      </c>
      <c r="H697" s="396">
        <f>IF(AND(B697="",C697=""),"",ROUND(F697*G697,2))</f>
        <v/>
      </c>
      <c r="I697" s="219" t="inlineStr"/>
      <c r="J697" s="397">
        <f>IF(AND(B697="",C697=""),"",ROUND(M697*N697,2))</f>
        <v/>
      </c>
      <c r="K697" s="398">
        <f>IF(AND(B697="",C697=""),"",ROUND(J697*F697,2))</f>
        <v/>
      </c>
      <c r="L697" s="200" t="n">
        <v>1</v>
      </c>
      <c r="M697" s="399" t="n">
        <v>4010</v>
      </c>
      <c r="N697" s="154" t="n">
        <v>1</v>
      </c>
      <c r="O697" s="155">
        <f>IF(AND(B697="",C697=""),"",IF(G697&gt;=20000,0.05,IF(G697&gt;=10000,0.1,IF(G697&gt;=5000,0.2,IF(G697&gt;=1000,0.3,IF(G697&gt;=0,0.4,{0}))))))</f>
        <v/>
      </c>
      <c r="P697" s="400">
        <f>IF(AND(B697="",C697=""),"",ROUND(H697*O697,2))</f>
        <v/>
      </c>
      <c r="Q697" s="401" t="inlineStr">
        <is>
          <t>箱体</t>
        </is>
      </c>
      <c r="R697" s="168" t="inlineStr"/>
      <c r="S697" s="168" t="inlineStr"/>
      <c r="T697" s="168" t="inlineStr">
        <is>
          <t>0</t>
        </is>
      </c>
      <c r="U697" s="168" t="inlineStr"/>
      <c r="V697" s="402" t="n"/>
      <c r="W697" s="402" t="n"/>
      <c r="X697" s="170" t="inlineStr">
        <is>
          <t>BlokSeT</t>
        </is>
      </c>
    </row>
    <row r="698" s="308">
      <c r="A698" s="64">
        <f>ROW()-ROW(A$682)</f>
        <v/>
      </c>
      <c r="B698" s="22" t="inlineStr"/>
      <c r="C698" s="22" t="inlineStr"/>
      <c r="D698" s="22" t="inlineStr"/>
      <c r="E698" s="23" t="n"/>
      <c r="F698" s="23">
        <f>IF(AND(B698="",C698=""),"",1)</f>
        <v/>
      </c>
      <c r="G698" s="349">
        <f>IF(AND(B698="",C698=""),"",ROUND(M698*L698*N698,2))</f>
        <v/>
      </c>
      <c r="H698" s="349">
        <f>IF(AND(B698="",C698=""),"",ROUND(F698*G698,2))</f>
        <v/>
      </c>
      <c r="I698" s="45" t="inlineStr"/>
      <c r="J698" s="397">
        <f>IF(AND(B698="",C698=""),"",ROUND(M698*N698,2))</f>
        <v/>
      </c>
      <c r="K698" s="398">
        <f>IF(AND(B698="",C698=""),"",ROUND(J698*F698,2))</f>
        <v/>
      </c>
      <c r="L698" s="200">
        <f>IF(AND(B698="",C698=""),"",1)</f>
        <v/>
      </c>
      <c r="M698" s="399" t="n"/>
      <c r="N698" s="154">
        <f>IF(AND(B698="",C698=""),"",1)</f>
        <v/>
      </c>
      <c r="O698" s="155">
        <f>IF(AND(B698="",C698=""),"",IF(J698&gt;=20000,0.05,IF(J698&gt;=10000,0.1,IF(J698&gt;=5000,0.2,IF(J698&gt;=1000,0.3,IF(J698&gt;=0,0.4,{0}))))))</f>
        <v/>
      </c>
      <c r="P698" s="400">
        <f>IF(AND(B698="",C698=""),"",ROUND(H698*O698,2))</f>
        <v/>
      </c>
      <c r="Q698" s="401">
        <f>IF(AND(B698="",C698=""),"","元件")</f>
        <v/>
      </c>
      <c r="R698" s="168" t="inlineStr"/>
      <c r="S698" s="168" t="inlineStr"/>
      <c r="T698" s="168" t="inlineStr"/>
      <c r="U698" s="168" t="inlineStr"/>
      <c r="V698" s="402" t="n"/>
      <c r="W698" s="402" t="n"/>
      <c r="X698" s="170" t="inlineStr"/>
    </row>
    <row r="699" s="308">
      <c r="A699" s="64">
        <f>ROW()-ROW(A$682)</f>
        <v/>
      </c>
      <c r="B699" s="171" t="inlineStr">
        <is>
          <t>小计</t>
        </is>
      </c>
      <c r="C699" s="172" t="n"/>
      <c r="D699" s="204" t="n"/>
      <c r="E699" s="114" t="n"/>
      <c r="F699" s="114" t="n"/>
      <c r="G699" s="396" t="n"/>
      <c r="H699" s="396">
        <f>ROUND(SUM(H682:INDEX(H:H,ROW()-1)),2)</f>
        <v/>
      </c>
      <c r="I699" s="45" t="inlineStr"/>
      <c r="J699" s="397" t="n"/>
      <c r="K699" s="398">
        <f>ROUND(SUM(K682:INDEX(K:K,ROW()-1)),2)</f>
        <v/>
      </c>
      <c r="L699" s="200" t="n"/>
      <c r="M699" s="399" t="n"/>
      <c r="N699" s="154" t="n"/>
      <c r="O699" s="155" t="n"/>
      <c r="P699" s="400" t="n"/>
      <c r="Q699" s="401" t="n"/>
      <c r="R699" s="168" t="inlineStr"/>
      <c r="S699" s="168" t="inlineStr"/>
      <c r="T699" s="168" t="inlineStr"/>
      <c r="U699" s="168" t="inlineStr"/>
      <c r="V699" s="402">
        <f>ROUND(SUMPRODUCT(F682:INDEX(F:F,ROW()-1),V682:INDEX(V:V,ROW()-1)),2)</f>
        <v/>
      </c>
      <c r="W699" s="402">
        <f>ROUND(SUMPRODUCT(F682:INDEX(F:F,ROW()-1),W682:INDEX(W:W,ROW()-1)),2)</f>
        <v/>
      </c>
      <c r="X699" s="170" t="inlineStr"/>
    </row>
    <row r="700" s="308">
      <c r="A700" s="64">
        <f>ROW()-ROW(A$682)</f>
        <v/>
      </c>
      <c r="B700" s="171" t="inlineStr">
        <is>
          <t>综合费(人工、管理、税金、利润等)</t>
        </is>
      </c>
      <c r="C700" s="172" t="n"/>
      <c r="D700" s="204" t="n"/>
      <c r="E700" s="114" t="n"/>
      <c r="F700" s="114" t="n"/>
      <c r="G700" s="396" t="n"/>
      <c r="H700" s="396">
        <f>2500</f>
        <v/>
      </c>
      <c r="I700" s="45" t="inlineStr"/>
      <c r="J700" s="397" t="n"/>
      <c r="K700" s="398" t="n"/>
      <c r="L700" s="200" t="n"/>
      <c r="M700" s="399" t="n"/>
      <c r="N700" s="154" t="n"/>
      <c r="O700" s="155" t="n"/>
      <c r="P700" s="400" t="n"/>
      <c r="Q700" s="401" t="inlineStr">
        <is>
          <t>费用</t>
        </is>
      </c>
      <c r="R700" s="168" t="inlineStr"/>
      <c r="S700" s="168" t="inlineStr"/>
      <c r="T700" s="168" t="inlineStr"/>
      <c r="U700" s="168" t="inlineStr"/>
      <c r="V700" s="402" t="n"/>
      <c r="W700" s="402" t="n"/>
      <c r="X700" s="170" t="inlineStr"/>
    </row>
    <row r="701" s="308">
      <c r="A701" s="64">
        <f>ROW()-ROW(A$682)</f>
        <v/>
      </c>
      <c r="B701" s="204" t="inlineStr">
        <is>
          <t>单台合计</t>
        </is>
      </c>
      <c r="C701" s="172" t="n"/>
      <c r="D701" s="204" t="n"/>
      <c r="E701" s="114" t="n"/>
      <c r="F701" s="114" t="n"/>
      <c r="G701" s="396" t="n"/>
      <c r="H701" s="396">
        <f>ROUND(SUM(H699:H700),2)</f>
        <v/>
      </c>
      <c r="I701" s="181" t="n"/>
      <c r="J701" s="397" t="n"/>
      <c r="K701" s="398">
        <f>ROUND(SUM(K699:K700),2)</f>
        <v/>
      </c>
      <c r="L701" s="209" t="n"/>
      <c r="M701" s="399" t="n"/>
      <c r="N701" s="210" t="n"/>
      <c r="O701" s="211" t="n"/>
      <c r="P701" s="400" t="n"/>
      <c r="Q701" s="401" t="n"/>
      <c r="R701" s="168" t="inlineStr"/>
      <c r="S701" s="168" t="inlineStr"/>
      <c r="T701" s="168" t="inlineStr"/>
      <c r="U701" s="168" t="inlineStr"/>
      <c r="V701" s="402" t="n"/>
      <c r="W701" s="402" t="n"/>
      <c r="X701" s="170" t="inlineStr"/>
    </row>
    <row r="702" s="308">
      <c r="A702" s="173" t="inlineStr">
        <is>
          <t>总计</t>
        </is>
      </c>
      <c r="B702" s="205" t="n"/>
      <c r="C702" s="175" t="n"/>
      <c r="D702" s="206" t="n"/>
      <c r="E702" s="206" t="inlineStr">
        <is>
          <t>台</t>
        </is>
      </c>
      <c r="F702" s="206" t="n">
        <v>2</v>
      </c>
      <c r="G702" s="414">
        <f>ROUND(H701,2)</f>
        <v/>
      </c>
      <c r="H702" s="414">
        <f>ROUND(F702*G702,2)</f>
        <v/>
      </c>
      <c r="I702" s="185" t="n"/>
      <c r="J702" s="415" t="n"/>
      <c r="K702" s="416">
        <f>ROUND(K701*F702,2)</f>
        <v/>
      </c>
      <c r="L702" s="214" t="n"/>
      <c r="M702" s="417" t="n"/>
      <c r="N702" s="216" t="n"/>
      <c r="O702" s="217" t="n"/>
      <c r="P702" s="418" t="n"/>
      <c r="Q702" s="401" t="n"/>
      <c r="R702" s="168" t="inlineStr"/>
      <c r="S702" s="168" t="inlineStr"/>
      <c r="T702" s="168" t="inlineStr"/>
      <c r="U702" s="168" t="inlineStr"/>
      <c r="V702" s="402" t="n"/>
      <c r="W702" s="402" t="n"/>
      <c r="X702" s="170" t="inlineStr"/>
    </row>
    <row r="703" customFormat="1" s="4">
      <c r="A703" s="6" t="n"/>
      <c r="B703" s="195" t="inlineStr"/>
      <c r="C703" s="195" t="inlineStr"/>
      <c r="D703" s="195" t="inlineStr"/>
      <c r="Q703" s="159" t="n"/>
      <c r="R703" s="159" t="n"/>
      <c r="S703" s="159" t="n"/>
      <c r="T703" s="159" t="n"/>
      <c r="U703" s="159" t="n"/>
      <c r="X703" s="195" t="inlineStr"/>
    </row>
    <row r="704" customFormat="1" s="4">
      <c r="A704" s="6" t="n"/>
      <c r="B704" s="195" t="inlineStr"/>
      <c r="C704" s="195" t="inlineStr"/>
      <c r="D704" s="195" t="inlineStr"/>
      <c r="Q704" s="159" t="n"/>
      <c r="R704" s="159" t="n"/>
      <c r="S704" s="159" t="n"/>
      <c r="T704" s="159" t="n"/>
      <c r="U704" s="159" t="n"/>
      <c r="X704" s="195" t="inlineStr"/>
    </row>
    <row r="705" s="308">
      <c r="A705" s="208">
        <f>CONCATENATE("报价人：",项目信息!$B$8)</f>
        <v/>
      </c>
      <c r="B705" s="208" t="n"/>
      <c r="C705" s="4" t="n"/>
      <c r="D705" s="4" t="n"/>
      <c r="E705" s="4" t="n"/>
      <c r="F705" s="4" t="n"/>
      <c r="G705" s="4" t="n"/>
      <c r="H705" s="178">
        <f>项目信息!$B$9</f>
        <v/>
      </c>
      <c r="Q705" s="159" t="n"/>
      <c r="R705" s="159" t="n"/>
      <c r="S705" s="159" t="n"/>
      <c r="T705" s="159" t="n"/>
      <c r="U705" s="159" t="n"/>
      <c r="X705" s="203" t="inlineStr"/>
    </row>
    <row r="706" s="308">
      <c r="A706" s="8">
        <f>T(项目信息!$B$22)</f>
        <v/>
      </c>
      <c r="Q706" s="159" t="n"/>
      <c r="R706" s="159" t="n"/>
      <c r="S706" s="159" t="n"/>
      <c r="T706" s="159" t="n"/>
      <c r="U706" s="159" t="n"/>
    </row>
    <row r="707" s="308">
      <c r="A707" s="9">
        <f>T(项目信息!$B$23)</f>
        <v/>
      </c>
      <c r="Q707" s="159" t="n"/>
      <c r="R707" s="159" t="n"/>
      <c r="S707" s="159" t="n"/>
      <c r="T707" s="159" t="n"/>
      <c r="U707" s="159" t="n"/>
    </row>
    <row r="708" s="308">
      <c r="A708" s="97" t="inlineStr">
        <is>
          <t>成套产品报价明细表</t>
        </is>
      </c>
      <c r="B708" s="378" t="n"/>
      <c r="C708" s="378" t="n"/>
      <c r="D708" s="378" t="n"/>
      <c r="E708" s="378" t="n"/>
      <c r="F708" s="378" t="n"/>
      <c r="G708" s="378" t="n"/>
      <c r="H708" s="378" t="n"/>
      <c r="I708" s="378" t="n"/>
      <c r="Q708" s="159" t="n"/>
      <c r="R708" s="159" t="n"/>
      <c r="S708" s="159" t="n"/>
      <c r="T708" s="159" t="n"/>
      <c r="U708" s="159" t="n"/>
    </row>
    <row r="709" customFormat="1" s="2">
      <c r="A709" s="98" t="inlineStr">
        <is>
          <t>柜号:</t>
        </is>
      </c>
      <c r="B709" s="99" t="inlineStr">
        <is>
          <t>AAN3-07、BAN4-07</t>
        </is>
      </c>
      <c r="C709" s="100" t="inlineStr">
        <is>
          <t>型号:</t>
        </is>
      </c>
      <c r="D709" s="99" t="inlineStr">
        <is>
          <t>BlokSeT</t>
        </is>
      </c>
      <c r="E709" s="379" t="n"/>
      <c r="F709" s="101" t="inlineStr">
        <is>
          <t>名称:</t>
        </is>
      </c>
      <c r="G709" s="99" t="inlineStr">
        <is>
          <t>联络柜</t>
        </is>
      </c>
      <c r="H709" s="379" t="n"/>
      <c r="I709" s="380" t="inlineStr"/>
      <c r="J709" s="131" t="inlineStr">
        <is>
          <t>箱柜尺寸:</t>
        </is>
      </c>
      <c r="K709" s="132" t="inlineStr">
        <is>
          <t>700W*1200D*2200H</t>
        </is>
      </c>
      <c r="L709" s="131" t="inlineStr">
        <is>
          <t>类别:</t>
        </is>
      </c>
      <c r="M709" s="132" t="inlineStr">
        <is>
          <t>低压固定柜</t>
        </is>
      </c>
      <c r="N709" s="381" t="inlineStr"/>
      <c r="Q709" s="160" t="n"/>
      <c r="R709" s="160" t="n"/>
      <c r="S709" s="160" t="n"/>
      <c r="T709" s="160" t="n"/>
      <c r="U709" s="160" t="n"/>
    </row>
    <row r="710" ht="20.1" customFormat="1" customHeight="1" s="3">
      <c r="A710" s="102" t="inlineStr">
        <is>
          <t>序号</t>
        </is>
      </c>
      <c r="B710" s="103" t="inlineStr">
        <is>
          <t>元件名称</t>
        </is>
      </c>
      <c r="C710" s="103" t="inlineStr">
        <is>
          <t>型号规格</t>
        </is>
      </c>
      <c r="D710" s="104" t="inlineStr">
        <is>
          <t>生产厂家</t>
        </is>
      </c>
      <c r="E710" s="105" t="inlineStr">
        <is>
          <t>单位</t>
        </is>
      </c>
      <c r="F710" s="105" t="inlineStr">
        <is>
          <t>数量</t>
        </is>
      </c>
      <c r="G710" s="382" t="inlineStr">
        <is>
          <t>单   价</t>
        </is>
      </c>
      <c r="H710" s="383" t="inlineStr">
        <is>
          <t>总   价</t>
        </is>
      </c>
      <c r="I710" s="134" t="inlineStr">
        <is>
          <t>备注</t>
        </is>
      </c>
      <c r="J710" s="384" t="inlineStr">
        <is>
          <t>成本单价</t>
        </is>
      </c>
      <c r="K710" s="384" t="inlineStr">
        <is>
          <t>成本总价</t>
        </is>
      </c>
      <c r="L710" s="136" t="inlineStr">
        <is>
          <t>报出
系数</t>
        </is>
      </c>
      <c r="M710" s="384" t="inlineStr">
        <is>
          <t>表价</t>
        </is>
      </c>
      <c r="N710" s="136" t="inlineStr">
        <is>
          <t>折扣
系数</t>
        </is>
      </c>
      <c r="O710" s="137" t="inlineStr">
        <is>
          <t>取费
系数</t>
        </is>
      </c>
      <c r="P710" s="384" t="inlineStr">
        <is>
          <t>成套费</t>
        </is>
      </c>
      <c r="Q710" s="161" t="inlineStr">
        <is>
          <t>类别</t>
        </is>
      </c>
      <c r="R710" s="161" t="inlineStr">
        <is>
          <t>物料编码</t>
        </is>
      </c>
      <c r="S710" s="161" t="inlineStr">
        <is>
          <t>产地</t>
        </is>
      </c>
      <c r="T710" s="161" t="inlineStr">
        <is>
          <t>加工费</t>
        </is>
      </c>
      <c r="U710" s="161" t="inlineStr">
        <is>
          <t>订货号</t>
        </is>
      </c>
      <c r="V710" s="161" t="inlineStr">
        <is>
          <t>人工</t>
        </is>
      </c>
      <c r="W710" s="161" t="inlineStr">
        <is>
          <t>辅料</t>
        </is>
      </c>
      <c r="X710" s="162" t="inlineStr"/>
    </row>
    <row r="711" customFormat="1" s="3">
      <c r="A711" s="108">
        <f>ROW()-ROW(A$710)</f>
        <v/>
      </c>
      <c r="B711" s="109" t="inlineStr">
        <is>
          <t>双电源</t>
        </is>
      </c>
      <c r="C711" s="109" t="inlineStr">
        <is>
          <t>MT32 H1 3P MIC 5.0 E</t>
        </is>
      </c>
      <c r="D711" s="22" t="inlineStr">
        <is>
          <t>甲供/施耐德电气</t>
        </is>
      </c>
      <c r="E711" s="110" t="inlineStr">
        <is>
          <t>只</t>
        </is>
      </c>
      <c r="F711" s="110" t="n">
        <v>1</v>
      </c>
      <c r="G711" s="385">
        <f>IF(AND(B711="",C711=""),"",ROUND(M711*L711*N711,2))</f>
        <v/>
      </c>
      <c r="H711" s="385">
        <f>IF(AND(B711="",C711=""),"",ROUND(F711*G711,2))</f>
        <v/>
      </c>
      <c r="I711" s="138" t="inlineStr"/>
      <c r="J711" s="386">
        <f>IF(AND(B711="",C711=""),"",ROUND(M711*N711,2))</f>
        <v/>
      </c>
      <c r="K711" s="387">
        <f>IF(AND(B711="",C711=""),"",ROUND(J711*F711,2))</f>
        <v/>
      </c>
      <c r="L711" s="141" t="n">
        <v>1</v>
      </c>
      <c r="M711" s="388" t="n">
        <v>1e-07</v>
      </c>
      <c r="N711" s="143" t="n">
        <v>1</v>
      </c>
      <c r="O711" s="144">
        <f>IF(AND(B711="",C711=""),"",IF(G711&gt;=20000,0.05,IF(G711&gt;=10000,0.1,IF(G711&gt;=5000,0.2,IF(G711&gt;=1000,0.3,IF(G711&gt;=0,0.4,{0}))))))</f>
        <v/>
      </c>
      <c r="P711" s="389">
        <f>IF(AND(B711="",C711=""),"",ROUND(H711*O711,2))</f>
        <v/>
      </c>
      <c r="Q711" s="390" t="inlineStr">
        <is>
          <t>元件</t>
        </is>
      </c>
      <c r="R711" s="164" t="inlineStr"/>
      <c r="S711" s="164" t="inlineStr"/>
      <c r="T711" s="164" t="inlineStr">
        <is>
          <t>0</t>
        </is>
      </c>
      <c r="U711" s="164" t="inlineStr">
        <is>
          <t>48327+48500+33542+48527+48494+48484+48408+48603+48170+48175+48384</t>
        </is>
      </c>
      <c r="V711" s="391" t="n"/>
      <c r="W711" s="391" t="n"/>
      <c r="X711"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712" customFormat="1" s="3">
      <c r="A712" s="64">
        <f>ROW()-ROW(A$710)</f>
        <v/>
      </c>
      <c r="B712" s="27" t="inlineStr">
        <is>
          <t>多功能表</t>
        </is>
      </c>
      <c r="C712" s="22" t="inlineStr">
        <is>
          <t>PM5350P</t>
        </is>
      </c>
      <c r="D712" s="22" t="inlineStr">
        <is>
          <t>甲供/施耐德电气</t>
        </is>
      </c>
      <c r="E712" s="110" t="inlineStr">
        <is>
          <t>只</t>
        </is>
      </c>
      <c r="F712" s="23" t="n">
        <v>1</v>
      </c>
      <c r="G712" s="353">
        <f>IF(AND(B712="",C712=""),"",ROUND(M712*L712*N712,2))</f>
        <v/>
      </c>
      <c r="H712" s="349">
        <f>IF(AND(B712="",C712=""),"",ROUND(F712*G712,2))</f>
        <v/>
      </c>
      <c r="I712" s="45" t="inlineStr"/>
      <c r="J712" s="392">
        <f>IF(AND(B712="",C712=""),"",ROUND(M712*N712,2))</f>
        <v/>
      </c>
      <c r="K712" s="393">
        <f>IF(AND(B712="",C712=""),"",ROUND(J712*F712,2))</f>
        <v/>
      </c>
      <c r="L712" s="141" t="n">
        <v>1</v>
      </c>
      <c r="M712" s="394" t="n">
        <v>1e-07</v>
      </c>
      <c r="N712" s="143" t="n">
        <v>1</v>
      </c>
      <c r="O712" s="144">
        <f>IF(AND(B712="",C712=""),"",IF(G712&gt;=20000,0.05,IF(G712&gt;=10000,0.1,IF(G712&gt;=5000,0.2,IF(G712&gt;=1000,0.3,IF(G712&gt;=0,0.4,{0}))))))</f>
        <v/>
      </c>
      <c r="P712" s="395">
        <f>IF(AND(B712="",C712=""),"",ROUND(H712*O712,2))</f>
        <v/>
      </c>
      <c r="Q712" s="390" t="inlineStr">
        <is>
          <t>元件</t>
        </is>
      </c>
      <c r="R712" s="164" t="inlineStr"/>
      <c r="S712" s="164" t="inlineStr"/>
      <c r="T712" s="164" t="inlineStr">
        <is>
          <t>0</t>
        </is>
      </c>
      <c r="U712" s="164" t="inlineStr">
        <is>
          <t>True</t>
        </is>
      </c>
      <c r="V712" s="391" t="n"/>
      <c r="W712" s="391" t="n"/>
      <c r="X712" s="166" t="inlineStr">
        <is>
          <t>PM→PM4633→PM4201</t>
        </is>
      </c>
    </row>
    <row r="713" customFormat="1" s="3">
      <c r="A713" s="64">
        <f>ROW()-ROW(A$710)</f>
        <v/>
      </c>
      <c r="B713" s="27" t="inlineStr">
        <is>
          <t>电流互感器</t>
        </is>
      </c>
      <c r="C713" s="22" t="inlineStr">
        <is>
          <t>SD-0.66-130III-V 3000/5A</t>
        </is>
      </c>
      <c r="D713" s="27" t="inlineStr">
        <is>
          <t>桑迪</t>
        </is>
      </c>
      <c r="E713" s="110" t="inlineStr">
        <is>
          <t>只</t>
        </is>
      </c>
      <c r="F713" s="23" t="n">
        <v>3</v>
      </c>
      <c r="G713" s="349">
        <f>IF(AND(B713="",C713=""),"",ROUND(M713*L713*N713,2))</f>
        <v/>
      </c>
      <c r="H713" s="349">
        <f>IF(AND(B713="",C713=""),"",ROUND(F713*G713,2))</f>
        <v/>
      </c>
      <c r="I713" s="45" t="inlineStr"/>
      <c r="J713" s="392">
        <f>IF(AND(B713="",C713=""),"",ROUND(M713*N713,2))</f>
        <v/>
      </c>
      <c r="K713" s="393">
        <f>IF(AND(B713="",C713=""),"",ROUND(J713*F713,2))</f>
        <v/>
      </c>
      <c r="L713" s="141" t="n">
        <v>1</v>
      </c>
      <c r="M713" s="394" t="n">
        <v>182.65</v>
      </c>
      <c r="N713" s="143" t="n">
        <v>1</v>
      </c>
      <c r="O713" s="144">
        <f>IF(AND(B713="",C713=""),"",IF(G713&gt;=20000,0.05,IF(G713&gt;=10000,0.1,IF(G713&gt;=5000,0.2,IF(G713&gt;=1000,0.3,IF(G713&gt;=0,0.4,{0}))))))</f>
        <v/>
      </c>
      <c r="P713" s="395">
        <f>IF(AND(B713="",C713=""),"",ROUND(H713*O713,2))</f>
        <v/>
      </c>
      <c r="Q713" s="390" t="inlineStr">
        <is>
          <t>元件</t>
        </is>
      </c>
      <c r="R713" s="164" t="inlineStr"/>
      <c r="S713" s="164" t="inlineStr"/>
      <c r="T713" s="164" t="inlineStr">
        <is>
          <t>0</t>
        </is>
      </c>
      <c r="U713" s="164" t="inlineStr">
        <is>
          <t>710141426552500</t>
        </is>
      </c>
      <c r="V713" s="391" t="n"/>
      <c r="W713" s="391" t="n"/>
      <c r="X713"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1600/5A→SD-0.66-160III-C 5000/5A</t>
        </is>
      </c>
    </row>
    <row r="714" s="308">
      <c r="A714" s="64">
        <f>ROW()-ROW(A$710)</f>
        <v/>
      </c>
      <c r="B714" s="112" t="inlineStr">
        <is>
          <t>温湿度控制器</t>
        </is>
      </c>
      <c r="C714" s="112" t="inlineStr">
        <is>
          <t>ATH48G-11</t>
        </is>
      </c>
      <c r="D714" s="22" t="inlineStr">
        <is>
          <t>杭州安廷</t>
        </is>
      </c>
      <c r="E714" s="23" t="inlineStr">
        <is>
          <t>套</t>
        </is>
      </c>
      <c r="F714" s="23" t="n">
        <v>1</v>
      </c>
      <c r="G714" s="349">
        <f>IF(AND(B714="",C714=""),"",ROUND(M714*L714*N714,2))</f>
        <v/>
      </c>
      <c r="H714" s="396">
        <f>IF(AND(B714="",C714=""),"",ROUND(F714*G714,2))</f>
        <v/>
      </c>
      <c r="I714" s="150" t="inlineStr"/>
      <c r="J714" s="397">
        <f>IF(AND(B714="",C714=""),"",ROUND(M714*N714,2))</f>
        <v/>
      </c>
      <c r="K714" s="398">
        <f>IF(AND(B714="",C714=""),"",ROUND(J714*F714,2))</f>
        <v/>
      </c>
      <c r="L714" s="141" t="n">
        <v>1</v>
      </c>
      <c r="M714" s="399" t="n">
        <v>450</v>
      </c>
      <c r="N714" s="154" t="n">
        <v>1</v>
      </c>
      <c r="O714" s="155">
        <f>IF(AND(B714="",C714=""),"",IF(G714&gt;=20000,0.05,IF(G714&gt;=10000,0.1,IF(G714&gt;=5000,0.2,IF(G714&gt;=1000,0.3,IF(G714&gt;=0,0.4,{0}))))))</f>
        <v/>
      </c>
      <c r="P714" s="400">
        <f>IF(AND(B714="",C714=""),"",ROUND(H714*O714,2))</f>
        <v/>
      </c>
      <c r="Q714" s="401" t="inlineStr">
        <is>
          <t>元件</t>
        </is>
      </c>
      <c r="R714" s="168" t="inlineStr"/>
      <c r="S714" s="168" t="inlineStr"/>
      <c r="T714" s="168" t="inlineStr">
        <is>
          <t>0</t>
        </is>
      </c>
      <c r="U714" s="168" t="inlineStr"/>
      <c r="V714" s="402" t="n"/>
      <c r="W714" s="402" t="n"/>
      <c r="X714" s="170" t="inlineStr"/>
    </row>
    <row r="715" s="308">
      <c r="A715" s="64">
        <f>ROW()-ROW(A$710)</f>
        <v/>
      </c>
      <c r="B715" s="112" t="inlineStr">
        <is>
          <t>指示灯</t>
        </is>
      </c>
      <c r="C715" s="112" t="inlineStr">
        <is>
          <t>XB2BVM3LC</t>
        </is>
      </c>
      <c r="D715" s="112" t="inlineStr">
        <is>
          <t>甲供/施耐德电气</t>
        </is>
      </c>
      <c r="E715" s="114" t="inlineStr">
        <is>
          <t>只</t>
        </is>
      </c>
      <c r="F715" s="114" t="n">
        <v>1</v>
      </c>
      <c r="G715" s="396">
        <f>IF(AND(B715="",C715=""),"",ROUND(M715*L715*N715,2))</f>
        <v/>
      </c>
      <c r="H715" s="396">
        <f>IF(AND(B715="",C715=""),"",ROUND(F715*G715,2))</f>
        <v/>
      </c>
      <c r="I715" s="150" t="inlineStr"/>
      <c r="J715" s="397">
        <f>IF(AND(B715="",C715=""),"",ROUND(M715*N715,2))</f>
        <v/>
      </c>
      <c r="K715" s="398">
        <f>IF(AND(B715="",C715=""),"",ROUND(J715*F715,2))</f>
        <v/>
      </c>
      <c r="L715" s="141" t="n">
        <v>1</v>
      </c>
      <c r="M715" s="399" t="n">
        <v>1e-07</v>
      </c>
      <c r="N715" s="154" t="n">
        <v>1</v>
      </c>
      <c r="O715" s="155">
        <f>IF(AND(B715="",C715=""),"",IF(G715&gt;=20000,0.05,IF(G715&gt;=10000,0.1,IF(G715&gt;=5000,0.2,IF(G715&gt;=1000,0.3,IF(G715&gt;=0,0.4,{0}))))))</f>
        <v/>
      </c>
      <c r="P715" s="400">
        <f>IF(AND(B715="",C715=""),"",ROUND(H715*O715,2))</f>
        <v/>
      </c>
      <c r="Q715" s="401" t="inlineStr">
        <is>
          <t>元件</t>
        </is>
      </c>
      <c r="R715" s="168" t="inlineStr"/>
      <c r="S715" s="168" t="inlineStr"/>
      <c r="T715" s="168" t="inlineStr">
        <is>
          <t>0</t>
        </is>
      </c>
      <c r="U715" s="168" t="inlineStr">
        <is>
          <t>XA2EVM3LC</t>
        </is>
      </c>
      <c r="V715" s="402" t="n"/>
      <c r="W715" s="402" t="n"/>
      <c r="X715" s="170" t="inlineStr"/>
    </row>
    <row r="716" s="308">
      <c r="A716" s="64">
        <f>ROW()-ROW(A$710)</f>
        <v/>
      </c>
      <c r="B716" s="112" t="inlineStr">
        <is>
          <t>指示灯</t>
        </is>
      </c>
      <c r="C716" s="22" t="inlineStr">
        <is>
          <t>XB2BVM4LC</t>
        </is>
      </c>
      <c r="D716" s="112" t="inlineStr">
        <is>
          <t>甲供/施耐德电气</t>
        </is>
      </c>
      <c r="E716" s="114" t="inlineStr">
        <is>
          <t>只</t>
        </is>
      </c>
      <c r="F716" s="114" t="n">
        <v>1</v>
      </c>
      <c r="G716" s="396">
        <f>IF(AND(B716="",C716=""),"",ROUND(M716*L716*N716,2))</f>
        <v/>
      </c>
      <c r="H716" s="396">
        <f>IF(AND(B716="",C716=""),"",ROUND(F716*G716,2))</f>
        <v/>
      </c>
      <c r="I716" s="150" t="inlineStr"/>
      <c r="J716" s="397">
        <f>IF(AND(B716="",C716=""),"",ROUND(M716*N716,2))</f>
        <v/>
      </c>
      <c r="K716" s="398">
        <f>IF(AND(B716="",C716=""),"",ROUND(J716*F716,2))</f>
        <v/>
      </c>
      <c r="L716" s="141" t="n">
        <v>1</v>
      </c>
      <c r="M716" s="399" t="n">
        <v>1e-07</v>
      </c>
      <c r="N716" s="154" t="n">
        <v>1</v>
      </c>
      <c r="O716" s="155">
        <f>IF(AND(B716="",C716=""),"",IF(G716&gt;=20000,0.05,IF(G716&gt;=10000,0.1,IF(G716&gt;=5000,0.2,IF(G716&gt;=1000,0.3,IF(G716&gt;=0,0.4,{0}))))))</f>
        <v/>
      </c>
      <c r="P716" s="400">
        <f>IF(AND(B716="",C716=""),"",ROUND(H716*O716,2))</f>
        <v/>
      </c>
      <c r="Q716" s="401" t="inlineStr">
        <is>
          <t>元件</t>
        </is>
      </c>
      <c r="R716" s="168" t="inlineStr"/>
      <c r="S716" s="168" t="inlineStr"/>
      <c r="T716" s="168" t="inlineStr">
        <is>
          <t>0</t>
        </is>
      </c>
      <c r="U716" s="168" t="inlineStr">
        <is>
          <t>XA2EVM4LC</t>
        </is>
      </c>
      <c r="V716" s="402" t="n"/>
      <c r="W716" s="402" t="n"/>
      <c r="X716" s="170" t="inlineStr"/>
    </row>
    <row r="717" s="308">
      <c r="A717" s="64">
        <f>ROW()-ROW(A$710)</f>
        <v/>
      </c>
      <c r="B717" s="112" t="inlineStr">
        <is>
          <t>指示灯</t>
        </is>
      </c>
      <c r="C717" s="112" t="inlineStr">
        <is>
          <t>XB2BVM5LC</t>
        </is>
      </c>
      <c r="D717" s="112" t="inlineStr">
        <is>
          <t>甲供/施耐德电气</t>
        </is>
      </c>
      <c r="E717" s="114" t="inlineStr">
        <is>
          <t>只</t>
        </is>
      </c>
      <c r="F717" s="114" t="n">
        <v>1</v>
      </c>
      <c r="G717" s="396">
        <f>IF(AND(B717="",C717=""),"",ROUND(M717*L717*N717,2))</f>
        <v/>
      </c>
      <c r="H717" s="396">
        <f>IF(AND(B717="",C717=""),"",ROUND(F717*G717,2))</f>
        <v/>
      </c>
      <c r="I717" s="150" t="inlineStr"/>
      <c r="J717" s="397">
        <f>IF(AND(B717="",C717=""),"",ROUND(M717*N717,2))</f>
        <v/>
      </c>
      <c r="K717" s="398">
        <f>IF(AND(B717="",C717=""),"",ROUND(J717*F717,2))</f>
        <v/>
      </c>
      <c r="L717" s="141" t="n">
        <v>1</v>
      </c>
      <c r="M717" s="399" t="n">
        <v>1e-07</v>
      </c>
      <c r="N717" s="154" t="n">
        <v>1</v>
      </c>
      <c r="O717" s="155">
        <f>IF(AND(B717="",C717=""),"",IF(G717&gt;=20000,0.05,IF(G717&gt;=10000,0.1,IF(G717&gt;=5000,0.2,IF(G717&gt;=1000,0.3,IF(G717&gt;=0,0.4,{0}))))))</f>
        <v/>
      </c>
      <c r="P717" s="400">
        <f>IF(AND(B717="",C717=""),"",ROUND(H717*O717,2))</f>
        <v/>
      </c>
      <c r="Q717" s="401" t="inlineStr">
        <is>
          <t>元件</t>
        </is>
      </c>
      <c r="R717" s="168" t="inlineStr"/>
      <c r="S717" s="168" t="inlineStr"/>
      <c r="T717" s="168" t="inlineStr">
        <is>
          <t>0</t>
        </is>
      </c>
      <c r="U717" s="168" t="inlineStr">
        <is>
          <t>XA2EVM5LC</t>
        </is>
      </c>
      <c r="V717" s="402" t="n"/>
      <c r="W717" s="402" t="n"/>
      <c r="X717" s="170" t="inlineStr"/>
    </row>
    <row r="718" s="308">
      <c r="A718" s="64">
        <f>ROW()-ROW(A$710)</f>
        <v/>
      </c>
      <c r="B718" s="112" t="inlineStr">
        <is>
          <t>按钮</t>
        </is>
      </c>
      <c r="C718" s="112" t="inlineStr">
        <is>
          <t>XB2BA31C</t>
        </is>
      </c>
      <c r="D718" s="112" t="inlineStr">
        <is>
          <t>甲供/施耐德电气</t>
        </is>
      </c>
      <c r="E718" s="114" t="inlineStr">
        <is>
          <t>只</t>
        </is>
      </c>
      <c r="F718" s="114" t="n">
        <v>1</v>
      </c>
      <c r="G718" s="396">
        <f>IF(AND(B718="",C718=""),"",ROUND(M718*L718*N718,2))</f>
        <v/>
      </c>
      <c r="H718" s="396">
        <f>IF(AND(B718="",C718=""),"",ROUND(F718*G718,2))</f>
        <v/>
      </c>
      <c r="I718" s="150" t="inlineStr"/>
      <c r="J718" s="397">
        <f>IF(AND(B718="",C718=""),"",ROUND(M718*N718,2))</f>
        <v/>
      </c>
      <c r="K718" s="398">
        <f>IF(AND(B718="",C718=""),"",ROUND(J718*F718,2))</f>
        <v/>
      </c>
      <c r="L718" s="141" t="n">
        <v>1</v>
      </c>
      <c r="M718" s="399" t="n">
        <v>1e-07</v>
      </c>
      <c r="N718" s="154" t="n">
        <v>1</v>
      </c>
      <c r="O718" s="155">
        <f>IF(AND(B718="",C718=""),"",IF(G718&gt;=20000,0.05,IF(G718&gt;=10000,0.1,IF(G718&gt;=5000,0.2,IF(G718&gt;=1000,0.3,IF(G718&gt;=0,0.4,{0}))))))</f>
        <v/>
      </c>
      <c r="P718" s="400">
        <f>IF(AND(B718="",C718=""),"",ROUND(H718*O718,2))</f>
        <v/>
      </c>
      <c r="Q718" s="401" t="inlineStr">
        <is>
          <t>元件</t>
        </is>
      </c>
      <c r="R718" s="168" t="inlineStr"/>
      <c r="S718" s="168" t="inlineStr"/>
      <c r="T718" s="168" t="inlineStr">
        <is>
          <t>0</t>
        </is>
      </c>
      <c r="U718" s="168" t="inlineStr">
        <is>
          <t>XB2BA31C</t>
        </is>
      </c>
      <c r="V718" s="402" t="n"/>
      <c r="W718" s="402" t="n"/>
      <c r="X718" s="170" t="inlineStr">
        <is>
          <t>XA2EA31</t>
        </is>
      </c>
    </row>
    <row r="719" s="308">
      <c r="A719" s="64">
        <f>ROW()-ROW(A$710)</f>
        <v/>
      </c>
      <c r="B719" s="22" t="inlineStr">
        <is>
          <t>按钮</t>
        </is>
      </c>
      <c r="C719" s="22" t="inlineStr">
        <is>
          <t>XB2BA42C</t>
        </is>
      </c>
      <c r="D719" s="22" t="inlineStr">
        <is>
          <t>甲供/施耐德电气</t>
        </is>
      </c>
      <c r="E719" s="23" t="inlineStr">
        <is>
          <t>只</t>
        </is>
      </c>
      <c r="F719" s="23" t="n">
        <v>1</v>
      </c>
      <c r="G719" s="349">
        <f>IF(AND(B719="",C719=""),"",ROUND(M719*L719*N719,2))</f>
        <v/>
      </c>
      <c r="H719" s="396">
        <f>IF(AND(B719="",C719=""),"",ROUND(F719*G719,2))</f>
        <v/>
      </c>
      <c r="I719" s="150" t="inlineStr"/>
      <c r="J719" s="397">
        <f>IF(AND(B719="",C719=""),"",ROUND(M719*N719,2))</f>
        <v/>
      </c>
      <c r="K719" s="398">
        <f>IF(AND(B719="",C719=""),"",ROUND(J719*F719,2))</f>
        <v/>
      </c>
      <c r="L719" s="141" t="n">
        <v>1</v>
      </c>
      <c r="M719" s="399" t="n">
        <v>1e-07</v>
      </c>
      <c r="N719" s="154" t="n">
        <v>1</v>
      </c>
      <c r="O719" s="155">
        <f>IF(AND(B719="",C719=""),"",IF(G719&gt;=20000,0.05,IF(G719&gt;=10000,0.1,IF(G719&gt;=5000,0.2,IF(G719&gt;=1000,0.3,IF(G719&gt;=0,0.4,{0}))))))</f>
        <v/>
      </c>
      <c r="P719" s="400">
        <f>IF(AND(B719="",C719=""),"",ROUND(H719*O719,2))</f>
        <v/>
      </c>
      <c r="Q719" s="401" t="inlineStr">
        <is>
          <t>元件</t>
        </is>
      </c>
      <c r="R719" s="168" t="inlineStr"/>
      <c r="S719" s="168" t="inlineStr"/>
      <c r="T719" s="168" t="inlineStr">
        <is>
          <t>0</t>
        </is>
      </c>
      <c r="U719" s="168" t="inlineStr">
        <is>
          <t>XB2BA42C</t>
        </is>
      </c>
      <c r="V719" s="402" t="n"/>
      <c r="W719" s="402" t="n"/>
      <c r="X719" s="170" t="inlineStr">
        <is>
          <t>XA2EA41</t>
        </is>
      </c>
    </row>
    <row r="720" s="308">
      <c r="A720" s="64">
        <f>ROW()-ROW(A$710)</f>
        <v/>
      </c>
      <c r="B720" s="112" t="inlineStr">
        <is>
          <t>带熔丝端子</t>
        </is>
      </c>
      <c r="C720" s="112" t="inlineStr">
        <is>
          <t>UK 5-HESI</t>
        </is>
      </c>
      <c r="D720" s="22" t="inlineStr">
        <is>
          <t>菲尼克斯</t>
        </is>
      </c>
      <c r="E720" s="23" t="inlineStr">
        <is>
          <t>只</t>
        </is>
      </c>
      <c r="F720" s="23" t="n">
        <v>7</v>
      </c>
      <c r="G720" s="349">
        <f>IF(AND(B720="",C720=""),"",ROUND(M720*L720*N720,2))</f>
        <v/>
      </c>
      <c r="H720" s="396">
        <f>IF(AND(B720="",C720=""),"",ROUND(F720*G720,2))</f>
        <v/>
      </c>
      <c r="I720" s="150" t="inlineStr"/>
      <c r="J720" s="397">
        <f>IF(AND(B720="",C720=""),"",ROUND(M720*N720,2))</f>
        <v/>
      </c>
      <c r="K720" s="398">
        <f>IF(AND(B720="",C720=""),"",ROUND(J720*F720,2))</f>
        <v/>
      </c>
      <c r="L720" s="141" t="n">
        <v>1</v>
      </c>
      <c r="M720" s="399" t="n">
        <v>7</v>
      </c>
      <c r="N720" s="154" t="n">
        <v>1</v>
      </c>
      <c r="O720" s="155">
        <f>IF(AND(B720="",C720=""),"",IF(G720&gt;=20000,0.05,IF(G720&gt;=10000,0.1,IF(G720&gt;=5000,0.2,IF(G720&gt;=1000,0.3,IF(G720&gt;=0,0.4,{0}))))))</f>
        <v/>
      </c>
      <c r="P720" s="400">
        <f>IF(AND(B720="",C720=""),"",ROUND(H720*O720,2))</f>
        <v/>
      </c>
      <c r="Q720" s="401" t="inlineStr">
        <is>
          <t>元件</t>
        </is>
      </c>
      <c r="R720" s="168" t="inlineStr"/>
      <c r="S720" s="168" t="inlineStr"/>
      <c r="T720" s="168" t="inlineStr">
        <is>
          <t>0</t>
        </is>
      </c>
      <c r="U720" s="168" t="inlineStr"/>
      <c r="V720" s="402" t="n"/>
      <c r="W720" s="402" t="n"/>
      <c r="X720" s="170" t="inlineStr"/>
    </row>
    <row r="721" s="308">
      <c r="A721" s="64">
        <f>ROW()-ROW(A$710)</f>
        <v/>
      </c>
      <c r="B721" s="112" t="inlineStr">
        <is>
          <t>L型端子</t>
        </is>
      </c>
      <c r="C721" s="112" t="inlineStr">
        <is>
          <t>GH100710</t>
        </is>
      </c>
      <c r="D721" s="22" t="inlineStr">
        <is>
          <t>施耐德电气</t>
        </is>
      </c>
      <c r="E721" s="23" t="inlineStr">
        <is>
          <t>只</t>
        </is>
      </c>
      <c r="F721" s="23" t="n">
        <v>3</v>
      </c>
      <c r="G721" s="349">
        <f>IF(AND(B721="",C721=""),"",ROUND(M721*L721*N721,2))</f>
        <v/>
      </c>
      <c r="H721" s="396">
        <f>IF(AND(B721="",C721=""),"",ROUND(F721*G721,2))</f>
        <v/>
      </c>
      <c r="I721" s="150" t="inlineStr"/>
      <c r="J721" s="397">
        <f>IF(AND(B721="",C721=""),"",ROUND(M721*N721,2))</f>
        <v/>
      </c>
      <c r="K721" s="398">
        <f>IF(AND(B721="",C721=""),"",ROUND(J721*F721,2))</f>
        <v/>
      </c>
      <c r="L721" s="141" t="n">
        <v>1</v>
      </c>
      <c r="M721" s="399" t="n">
        <v>1125.85</v>
      </c>
      <c r="N721" s="154" t="n">
        <v>0.45</v>
      </c>
      <c r="O721" s="155">
        <f>IF(AND(B721="",C721=""),"",IF(G721&gt;=20000,0.05,IF(G721&gt;=10000,0.1,IF(G721&gt;=5000,0.2,IF(G721&gt;=1000,0.3,IF(G721&gt;=0,0.4,{0}))))))</f>
        <v/>
      </c>
      <c r="P721" s="400">
        <f>IF(AND(B721="",C721=""),"",ROUND(H721*O721,2))</f>
        <v/>
      </c>
      <c r="Q721" s="401" t="inlineStr">
        <is>
          <t>元件</t>
        </is>
      </c>
      <c r="R721" s="168" t="inlineStr"/>
      <c r="S721" s="168" t="inlineStr"/>
      <c r="T721" s="168" t="inlineStr">
        <is>
          <t>0</t>
        </is>
      </c>
      <c r="U721" s="168" t="inlineStr"/>
      <c r="V721" s="402" t="n"/>
      <c r="W721" s="402" t="n"/>
      <c r="X721" s="170" t="inlineStr"/>
    </row>
    <row r="722" s="308">
      <c r="A722" s="64">
        <f>ROW()-ROW(A$710)</f>
        <v/>
      </c>
      <c r="B722" s="33" t="inlineStr">
        <is>
          <t>水平母排</t>
        </is>
      </c>
      <c r="C722" s="22" t="inlineStr">
        <is>
          <t>TMY 4*(3*125*5)+2*50*5</t>
        </is>
      </c>
      <c r="D722" s="22" t="inlineStr">
        <is>
          <t>国产优质</t>
        </is>
      </c>
      <c r="E722" s="23" t="inlineStr">
        <is>
          <t>米</t>
        </is>
      </c>
      <c r="F722" s="23" t="n">
        <v>0.8</v>
      </c>
      <c r="G722" s="349">
        <f>IF(AND(B722="",C722=""),"",ROUND(M722*L722*N722,2))</f>
        <v/>
      </c>
      <c r="H722" s="349">
        <f>IF(AND(B722="",C722=""),"",ROUND(F722*G722,2))</f>
        <v/>
      </c>
      <c r="I722" s="179" t="inlineStr"/>
      <c r="J722" s="397">
        <f>IF(AND(B722="",C722=""),"",ROUND(M722*N722,2))</f>
        <v/>
      </c>
      <c r="K722" s="398">
        <f>IF(AND(B722="",C722=""),"",ROUND(J722*F722,2))</f>
        <v/>
      </c>
      <c r="L722" s="141" t="n">
        <v>1</v>
      </c>
      <c r="M722" s="399" t="n">
        <v>7697.076</v>
      </c>
      <c r="N722" s="154">
        <f>(6317.932*1*1+2684.8*1*1)/9002.732</f>
        <v/>
      </c>
      <c r="O722" s="155">
        <f>IF(AND(B722="",C722=""),"",IF(G722&gt;=20000,0.05,IF(G722&gt;=10000,0.1,IF(G722&gt;=5000,0.2,IF(G722&gt;=1000,0.3,IF(G722&gt;=0,0.4,{0}))))))</f>
        <v/>
      </c>
      <c r="P722" s="400">
        <f>IF(AND(B722="",C722=""),"",ROUND(H722*O722,2))</f>
        <v/>
      </c>
      <c r="Q722" s="401" t="inlineStr">
        <is>
          <t>母排</t>
        </is>
      </c>
      <c r="R722" s="168" t="inlineStr"/>
      <c r="S722" s="168" t="inlineStr"/>
      <c r="T722" s="168" t="inlineStr">
        <is>
          <t>0</t>
        </is>
      </c>
      <c r="U722" s="168" t="inlineStr"/>
      <c r="V722" s="402" t="n"/>
      <c r="W722" s="402" t="n"/>
      <c r="X722" s="170" t="inlineStr"/>
    </row>
    <row r="723" customFormat="1" s="3">
      <c r="A723" s="64">
        <f>ROW()-ROW(A$710)</f>
        <v/>
      </c>
      <c r="B723" s="27" t="inlineStr">
        <is>
          <t>铜排</t>
        </is>
      </c>
      <c r="C723" s="27" t="inlineStr">
        <is>
          <t>TMY</t>
        </is>
      </c>
      <c r="D723" s="22" t="inlineStr">
        <is>
          <t>国产优质</t>
        </is>
      </c>
      <c r="E723" s="23" t="inlineStr">
        <is>
          <t>kg</t>
        </is>
      </c>
      <c r="F723" s="28" t="n">
        <v>148</v>
      </c>
      <c r="G723" s="353">
        <f>IF(AND(B723="",C723=""),"",ROUND(M723*L723*N723,2))</f>
        <v/>
      </c>
      <c r="H723" s="353">
        <f>IF(AND(B723="",C723=""),"",ROUND(F723*G723,2))</f>
        <v/>
      </c>
      <c r="I723" s="180" t="inlineStr"/>
      <c r="J723" s="392">
        <f>IF(AND(B723="",C723=""),"",ROUND(M723*N723,2))</f>
        <v/>
      </c>
      <c r="K723" s="393">
        <f>IF(AND(B723="",C723=""),"",ROUND(J723*F723,2))</f>
        <v/>
      </c>
      <c r="L723" s="141" t="n">
        <v>1</v>
      </c>
      <c r="M723" s="394" t="n">
        <v>108.105</v>
      </c>
      <c r="N723" s="143" t="n">
        <v>1</v>
      </c>
      <c r="O723" s="144">
        <f>IF(AND(B723="",C723=""),"",IF(G723&gt;=20000,0.05,IF(G723&gt;=10000,0.1,IF(G723&gt;=5000,0.2,IF(G723&gt;=1000,0.3,IF(G723&gt;=0,0.4,{0}))))))</f>
        <v/>
      </c>
      <c r="P723" s="395">
        <f>IF(AND(B723="",C723=""),"",ROUND(H723*O723,2))</f>
        <v/>
      </c>
      <c r="Q723" s="390" t="inlineStr">
        <is>
          <t>母排</t>
        </is>
      </c>
      <c r="R723" s="164" t="inlineStr"/>
      <c r="S723" s="164" t="inlineStr"/>
      <c r="T723" s="164" t="inlineStr">
        <is>
          <t>0</t>
        </is>
      </c>
      <c r="U723" s="164" t="inlineStr"/>
      <c r="V723" s="391" t="n"/>
      <c r="W723" s="391" t="n"/>
      <c r="X723" s="166" t="inlineStr"/>
    </row>
    <row r="724" s="308">
      <c r="A724" s="64">
        <f>ROW()-ROW(A$710)</f>
        <v/>
      </c>
      <c r="B724" s="22" t="inlineStr">
        <is>
          <t>辅料</t>
        </is>
      </c>
      <c r="C724" s="22" t="inlineStr"/>
      <c r="D724" s="22" t="inlineStr"/>
      <c r="E724" s="23" t="inlineStr">
        <is>
          <t>套</t>
        </is>
      </c>
      <c r="F724" s="23" t="n">
        <v>1</v>
      </c>
      <c r="G724" s="349">
        <f>IF(AND(B724="",C724=""),"",ROUND(M724*L724*N724,2))</f>
        <v/>
      </c>
      <c r="H724" s="349">
        <f>IF(AND(B724="",C724=""),"",ROUND(F724*G724,2))</f>
        <v/>
      </c>
      <c r="I724" s="179" t="inlineStr"/>
      <c r="J724" s="397">
        <f>IF(AND(B724="",C724=""),"",ROUND(M724*N724,2))</f>
        <v/>
      </c>
      <c r="K724" s="398">
        <f>IF(AND(B724="",C724=""),"",ROUND(J724*F724,2))</f>
        <v/>
      </c>
      <c r="L724" s="141" t="n">
        <v>1</v>
      </c>
      <c r="M724" s="399" t="n">
        <v>550</v>
      </c>
      <c r="N724" s="154" t="n">
        <v>1</v>
      </c>
      <c r="O724" s="155">
        <f>IF(AND(B724="",C724=""),"",IF(G724&gt;=20000,0.05,IF(G724&gt;=10000,0.1,IF(G724&gt;=5000,0.2,IF(G724&gt;=1000,0.3,IF(G724&gt;=0,0.4,{0}))))))</f>
        <v/>
      </c>
      <c r="P724" s="400">
        <f>IF(AND(B724="",C724=""),"",ROUND(H724*O724,2))</f>
        <v/>
      </c>
      <c r="Q724" s="401" t="inlineStr">
        <is>
          <t>辅料</t>
        </is>
      </c>
      <c r="R724" s="168" t="inlineStr"/>
      <c r="S724" s="168" t="inlineStr"/>
      <c r="T724" s="168" t="inlineStr">
        <is>
          <t>0</t>
        </is>
      </c>
      <c r="U724" s="168" t="inlineStr"/>
      <c r="V724" s="402" t="n"/>
      <c r="W724" s="402" t="n"/>
      <c r="X724" s="170" t="inlineStr"/>
    </row>
    <row r="725" s="308">
      <c r="A725" s="64">
        <f>ROW()-ROW(A$710)</f>
        <v/>
      </c>
      <c r="B725" s="22" t="inlineStr">
        <is>
          <t>柜体Blokset</t>
        </is>
      </c>
      <c r="C725" s="33" t="inlineStr">
        <is>
          <t>700W*1200D*2200H</t>
        </is>
      </c>
      <c r="D725" s="22" t="inlineStr">
        <is>
          <t>清科</t>
        </is>
      </c>
      <c r="E725" s="23" t="inlineStr">
        <is>
          <t>台</t>
        </is>
      </c>
      <c r="F725" s="23" t="n">
        <v>1</v>
      </c>
      <c r="G725" s="349">
        <f>IF(AND(B725="",C725=""),"",ROUND(M725*L725*N725,2))</f>
        <v/>
      </c>
      <c r="H725" s="349">
        <f>IF(AND(B725="",C725=""),"",ROUND(F725*G725,2))</f>
        <v/>
      </c>
      <c r="I725" s="179" t="inlineStr"/>
      <c r="J725" s="397">
        <f>IF(AND(B725="",C725=""),"",ROUND(M725*N725,2))</f>
        <v/>
      </c>
      <c r="K725" s="398">
        <f>IF(AND(B725="",C725=""),"",ROUND(J725*F725,2))</f>
        <v/>
      </c>
      <c r="L725" s="141" t="n">
        <v>1</v>
      </c>
      <c r="M725" s="399" t="n">
        <v>4010</v>
      </c>
      <c r="N725" s="154" t="n">
        <v>1</v>
      </c>
      <c r="O725" s="155">
        <f>IF(AND(B725="",C725=""),"",IF(G725&gt;=20000,0.05,IF(G725&gt;=10000,0.1,IF(G725&gt;=5000,0.2,IF(G725&gt;=1000,0.3,IF(G725&gt;=0,0.4,{0}))))))</f>
        <v/>
      </c>
      <c r="P725" s="400">
        <f>IF(AND(B725="",C725=""),"",ROUND(H725*O725,2))</f>
        <v/>
      </c>
      <c r="Q725" s="401" t="inlineStr">
        <is>
          <t>箱体</t>
        </is>
      </c>
      <c r="R725" s="168" t="inlineStr"/>
      <c r="S725" s="168" t="inlineStr"/>
      <c r="T725" s="168" t="inlineStr">
        <is>
          <t>0</t>
        </is>
      </c>
      <c r="U725" s="168" t="inlineStr"/>
      <c r="V725" s="402" t="n"/>
      <c r="W725" s="402" t="n"/>
      <c r="X725" s="170" t="inlineStr"/>
    </row>
    <row r="726" customFormat="1" s="3">
      <c r="A726" s="64">
        <f>ROW()-ROW(A$710)</f>
        <v/>
      </c>
      <c r="B726" s="27" t="inlineStr"/>
      <c r="C726" s="27" t="inlineStr"/>
      <c r="D726" s="27" t="inlineStr"/>
      <c r="E726" s="28" t="n"/>
      <c r="F726" s="28">
        <f>IF(AND(B726="",C726=""),"",1)</f>
        <v/>
      </c>
      <c r="G726" s="353" t="n"/>
      <c r="H726" s="353">
        <f>IF(AND(B726="",C726=""),"",ROUND(F726*G726,2))</f>
        <v/>
      </c>
      <c r="I726" s="180" t="inlineStr"/>
      <c r="J726" s="392">
        <f>IF(AND(B726="",C726=""),"",ROUND(M726*N726,2))</f>
        <v/>
      </c>
      <c r="K726" s="393">
        <f>IF(AND(B726="",C726=""),"",ROUND(J726*F726,2))</f>
        <v/>
      </c>
      <c r="L726" s="141">
        <f>IF(AND(B726="",C726=""),"",1)</f>
        <v/>
      </c>
      <c r="M726" s="394" t="n"/>
      <c r="N726" s="143">
        <f>IF(AND(B726="",C726=""),"",1)</f>
        <v/>
      </c>
      <c r="O726" s="144">
        <f>IF(AND(B726="",C726=""),"",IF(J726&gt;=20000,0.05,IF(J726&gt;=10000,0.1,IF(J726&gt;=5000,0.2,IF(J726&gt;=1000,0.3,IF(J726&gt;=0,0.4,{0}))))))</f>
        <v/>
      </c>
      <c r="P726" s="395">
        <f>IF(AND(B726="",C726=""),"",ROUND(H726*O726,2))</f>
        <v/>
      </c>
      <c r="Q726" s="390">
        <f>IF(AND(B726="",C726=""),"","元件")</f>
        <v/>
      </c>
      <c r="R726" s="164" t="inlineStr"/>
      <c r="S726" s="164" t="inlineStr"/>
      <c r="T726" s="164" t="inlineStr"/>
      <c r="U726" s="164" t="inlineStr"/>
      <c r="V726" s="391" t="n"/>
      <c r="W726" s="391" t="n"/>
      <c r="X726" s="166" t="inlineStr"/>
    </row>
    <row r="727" customFormat="1" s="3">
      <c r="A727" s="64">
        <f>ROW()-ROW(A$710)</f>
        <v/>
      </c>
      <c r="B727" s="27" t="inlineStr"/>
      <c r="C727" s="27" t="inlineStr"/>
      <c r="D727" s="27" t="inlineStr"/>
      <c r="E727" s="28" t="n"/>
      <c r="F727" s="28">
        <f>IF(AND(B727="",C727=""),"",1)</f>
        <v/>
      </c>
      <c r="G727" s="353">
        <f>IF(AND(B727="",C727=""),"",ROUND(M727*L727*N727,2))</f>
        <v/>
      </c>
      <c r="H727" s="353">
        <f>IF(AND(B727="",C727=""),"",ROUND(F727*G727,2))</f>
        <v/>
      </c>
      <c r="I727" s="180" t="inlineStr"/>
      <c r="J727" s="392">
        <f>IF(AND(B727="",C727=""),"",ROUND(M727*N727,2))</f>
        <v/>
      </c>
      <c r="K727" s="393">
        <f>IF(AND(B727="",C727=""),"",ROUND(J727*F727,2))</f>
        <v/>
      </c>
      <c r="L727" s="141">
        <f>IF(AND(B727="",C727=""),"",1)</f>
        <v/>
      </c>
      <c r="M727" s="394" t="n"/>
      <c r="N727" s="143">
        <f>IF(AND(B727="",C727=""),"",1)</f>
        <v/>
      </c>
      <c r="O727" s="144">
        <f>IF(AND(B727="",C727=""),"",IF(J727&gt;=20000,0.05,IF(J727&gt;=10000,0.1,IF(J727&gt;=5000,0.2,IF(J727&gt;=1000,0.3,IF(J727&gt;=0,0.4,{0}))))))</f>
        <v/>
      </c>
      <c r="P727" s="395">
        <f>IF(AND(B727="",C727=""),"",ROUND(H727*O727,2))</f>
        <v/>
      </c>
      <c r="Q727" s="390">
        <f>IF(AND(B727="",C727=""),"","元件")</f>
        <v/>
      </c>
      <c r="R727" s="164" t="inlineStr"/>
      <c r="S727" s="164" t="inlineStr"/>
      <c r="T727" s="164" t="inlineStr"/>
      <c r="U727" s="164" t="inlineStr"/>
      <c r="V727" s="391" t="n"/>
      <c r="W727" s="391" t="n"/>
      <c r="X727" s="166" t="inlineStr"/>
    </row>
    <row r="728" customFormat="1" s="3">
      <c r="A728" s="64">
        <f>ROW()-ROW(A$710)</f>
        <v/>
      </c>
      <c r="B728" s="171" t="inlineStr">
        <is>
          <t>小计</t>
        </is>
      </c>
      <c r="C728" s="172" t="n"/>
      <c r="D728" s="82" t="n"/>
      <c r="E728" s="28" t="n"/>
      <c r="F728" s="28" t="n"/>
      <c r="G728" s="353" t="n"/>
      <c r="H728" s="353">
        <f>ROUND(SUM(H710:INDEX(H:H,ROW()-1)),2)</f>
        <v/>
      </c>
      <c r="I728" s="45" t="inlineStr"/>
      <c r="J728" s="392" t="n"/>
      <c r="K728" s="393">
        <f>ROUND(SUM(K710:INDEX(K:K,ROW()-1)),2)</f>
        <v/>
      </c>
      <c r="L728" s="141" t="n"/>
      <c r="M728" s="394" t="n"/>
      <c r="N728" s="143" t="n"/>
      <c r="O728" s="144" t="n"/>
      <c r="P728" s="395" t="n"/>
      <c r="Q728" s="390" t="n"/>
      <c r="R728" s="164" t="inlineStr"/>
      <c r="S728" s="164" t="inlineStr"/>
      <c r="T728" s="164" t="inlineStr"/>
      <c r="U728" s="164" t="inlineStr"/>
      <c r="V728" s="391">
        <f>ROUND(SUMPRODUCT(F710:INDEX(F:F,ROW()-1),V710:INDEX(V:V,ROW()-1)),2)</f>
        <v/>
      </c>
      <c r="W728" s="391">
        <f>ROUND(SUMPRODUCT(F710:INDEX(F:F,ROW()-1),W710:INDEX(W:W,ROW()-1)),2)</f>
        <v/>
      </c>
      <c r="X728" s="166" t="inlineStr"/>
    </row>
    <row r="729" customFormat="1" s="3">
      <c r="A729" s="64">
        <f>ROW()-ROW(A$710)</f>
        <v/>
      </c>
      <c r="B729" s="171" t="inlineStr">
        <is>
          <t>综合费(人工、管理、税金、利润等)</t>
        </is>
      </c>
      <c r="C729" s="172" t="n"/>
      <c r="D729" s="82" t="n"/>
      <c r="E729" s="28" t="n"/>
      <c r="F729" s="28" t="n"/>
      <c r="G729" s="353" t="n"/>
      <c r="H729" s="353">
        <f>2500</f>
        <v/>
      </c>
      <c r="I729" s="45" t="inlineStr"/>
      <c r="J729" s="392" t="n"/>
      <c r="K729" s="393" t="n"/>
      <c r="L729" s="141" t="n"/>
      <c r="M729" s="394" t="n"/>
      <c r="N729" s="143" t="n"/>
      <c r="O729" s="144" t="n"/>
      <c r="P729" s="395" t="n"/>
      <c r="Q729" s="390" t="inlineStr">
        <is>
          <t>费用</t>
        </is>
      </c>
      <c r="R729" s="164" t="inlineStr"/>
      <c r="S729" s="164" t="inlineStr"/>
      <c r="T729" s="164" t="inlineStr"/>
      <c r="U729" s="164" t="inlineStr"/>
      <c r="V729" s="391" t="n"/>
      <c r="W729" s="391" t="n"/>
      <c r="X729" s="166" t="inlineStr"/>
    </row>
    <row r="730" customFormat="1" s="3">
      <c r="A730" s="64">
        <f>ROW()-ROW(A$710)</f>
        <v/>
      </c>
      <c r="B730" s="82" t="inlineStr">
        <is>
          <t>单台合计</t>
        </is>
      </c>
      <c r="C730" s="172" t="n"/>
      <c r="D730" s="82" t="n"/>
      <c r="E730" s="28" t="n"/>
      <c r="F730" s="28" t="n"/>
      <c r="G730" s="353" t="n"/>
      <c r="H730" s="353">
        <f>ROUND(SUM(H728:H729),2)</f>
        <v/>
      </c>
      <c r="I730" s="181" t="n"/>
      <c r="J730" s="392" t="n"/>
      <c r="K730" s="393">
        <f>ROUND(SUM(K728:K729),2)</f>
        <v/>
      </c>
      <c r="L730" s="182" t="n"/>
      <c r="M730" s="394" t="n"/>
      <c r="N730" s="183" t="n"/>
      <c r="O730" s="184" t="n"/>
      <c r="P730" s="395" t="n"/>
      <c r="Q730" s="390" t="n"/>
      <c r="R730" s="164" t="inlineStr"/>
      <c r="S730" s="164" t="inlineStr"/>
      <c r="T730" s="164" t="inlineStr"/>
      <c r="U730" s="164" t="inlineStr"/>
      <c r="V730" s="391" t="n"/>
      <c r="W730" s="391" t="n"/>
      <c r="X730" s="166" t="inlineStr"/>
    </row>
    <row r="731" customFormat="1" s="3">
      <c r="A731" s="173" t="inlineStr">
        <is>
          <t>总计</t>
        </is>
      </c>
      <c r="B731" s="174" t="n"/>
      <c r="C731" s="175" t="n"/>
      <c r="D731" s="176" t="n"/>
      <c r="E731" s="176" t="inlineStr">
        <is>
          <t>台</t>
        </is>
      </c>
      <c r="F731" s="176" t="n">
        <v>2</v>
      </c>
      <c r="G731" s="403">
        <f>ROUND(H730,2)</f>
        <v/>
      </c>
      <c r="H731" s="403">
        <f>ROUND(F731*G731,2)</f>
        <v/>
      </c>
      <c r="I731" s="185" t="n"/>
      <c r="J731" s="404" t="n"/>
      <c r="K731" s="405">
        <f>ROUND(K730*F731,2)</f>
        <v/>
      </c>
      <c r="L731" s="188" t="n"/>
      <c r="M731" s="406" t="n"/>
      <c r="N731" s="190" t="n"/>
      <c r="O731" s="191" t="n"/>
      <c r="P731" s="407" t="n"/>
      <c r="Q731" s="390" t="n"/>
      <c r="R731" s="164" t="inlineStr"/>
      <c r="S731" s="164" t="inlineStr"/>
      <c r="T731" s="164" t="inlineStr"/>
      <c r="U731" s="164" t="inlineStr"/>
      <c r="V731" s="391" t="n"/>
      <c r="W731" s="391" t="n"/>
      <c r="X731" s="166" t="inlineStr"/>
    </row>
    <row r="732" customFormat="1" s="2">
      <c r="A732" s="89" t="n"/>
      <c r="B732" s="132" t="inlineStr"/>
      <c r="C732" s="132" t="inlineStr"/>
      <c r="D732" s="132" t="inlineStr"/>
      <c r="Q732" s="160" t="n"/>
      <c r="R732" s="160" t="n"/>
      <c r="S732" s="160" t="n"/>
      <c r="T732" s="160" t="n"/>
      <c r="U732" s="160" t="n"/>
      <c r="X732" s="132" t="inlineStr"/>
    </row>
    <row r="733" customFormat="1" s="2">
      <c r="A733" s="89" t="n"/>
      <c r="B733" s="132" t="inlineStr"/>
      <c r="C733" s="132" t="inlineStr"/>
      <c r="D733" s="132" t="inlineStr"/>
      <c r="Q733" s="160" t="n"/>
      <c r="R733" s="160" t="n"/>
      <c r="S733" s="160" t="n"/>
      <c r="T733" s="160" t="n"/>
      <c r="U733" s="160" t="n"/>
      <c r="X733" s="132" t="inlineStr"/>
    </row>
    <row r="734" customFormat="1" s="3">
      <c r="A734" s="92">
        <f>CONCATENATE("报价人：",项目信息!$B$8)</f>
        <v/>
      </c>
      <c r="B734" s="92" t="n"/>
      <c r="C734" s="2" t="n"/>
      <c r="D734" s="2" t="n"/>
      <c r="E734" s="2" t="n"/>
      <c r="F734" s="2" t="n"/>
      <c r="G734" s="2" t="n"/>
      <c r="H734" s="178">
        <f>项目信息!$B$9</f>
        <v/>
      </c>
      <c r="Q734" s="160" t="n"/>
      <c r="R734" s="160" t="n"/>
      <c r="S734" s="160" t="n"/>
      <c r="T734" s="160" t="n"/>
      <c r="U734" s="160" t="n"/>
      <c r="X734" s="162" t="inlineStr"/>
    </row>
    <row r="735" s="308">
      <c r="A735" s="8">
        <f>T(项目信息!$B$22)</f>
        <v/>
      </c>
      <c r="Q735" s="159" t="n"/>
      <c r="R735" s="159" t="n"/>
      <c r="S735" s="159" t="n"/>
      <c r="T735" s="159" t="n"/>
      <c r="U735" s="159" t="n"/>
    </row>
    <row r="736" s="308">
      <c r="A736" s="9">
        <f>T(项目信息!$B$23)</f>
        <v/>
      </c>
      <c r="Q736" s="159" t="n"/>
      <c r="R736" s="159" t="n"/>
      <c r="S736" s="159" t="n"/>
      <c r="T736" s="159" t="n"/>
      <c r="U736" s="159" t="n"/>
    </row>
    <row r="737" s="308">
      <c r="A737" s="97" t="inlineStr">
        <is>
          <t>成套产品报价明细表</t>
        </is>
      </c>
      <c r="B737" s="378" t="n"/>
      <c r="C737" s="378" t="n"/>
      <c r="D737" s="378" t="n"/>
      <c r="E737" s="378" t="n"/>
      <c r="F737" s="378" t="n"/>
      <c r="G737" s="378" t="n"/>
      <c r="H737" s="378" t="n"/>
      <c r="I737" s="378" t="n"/>
      <c r="Q737" s="159" t="n"/>
      <c r="R737" s="159" t="n"/>
      <c r="S737" s="159" t="n"/>
      <c r="T737" s="159" t="n"/>
      <c r="U737" s="159" t="n"/>
    </row>
    <row r="738" customFormat="1" s="4">
      <c r="A738" s="98" t="inlineStr">
        <is>
          <t>柜号:</t>
        </is>
      </c>
      <c r="B738" s="99" t="inlineStr">
        <is>
          <t>BAN4-05</t>
        </is>
      </c>
      <c r="C738" s="100" t="inlineStr">
        <is>
          <t>型号:</t>
        </is>
      </c>
      <c r="D738" s="99" t="inlineStr">
        <is>
          <t>BlokSeT</t>
        </is>
      </c>
      <c r="E738" s="379" t="n"/>
      <c r="F738" s="101" t="inlineStr">
        <is>
          <t>名称:</t>
        </is>
      </c>
      <c r="G738" s="99" t="inlineStr">
        <is>
          <t>馈线柜</t>
        </is>
      </c>
      <c r="H738" s="379" t="n"/>
      <c r="I738" s="408" t="inlineStr"/>
      <c r="J738" s="194" t="inlineStr">
        <is>
          <t>箱柜尺寸:</t>
        </is>
      </c>
      <c r="K738" s="195" t="inlineStr">
        <is>
          <t>600W*1200D*2200H</t>
        </is>
      </c>
      <c r="L738" s="194" t="inlineStr">
        <is>
          <t>类别:</t>
        </is>
      </c>
      <c r="M738" s="195" t="inlineStr">
        <is>
          <t>低压固定柜</t>
        </is>
      </c>
      <c r="N738" s="409" t="inlineStr"/>
      <c r="Q738" s="159" t="n"/>
      <c r="R738" s="159" t="n"/>
      <c r="S738" s="159" t="n"/>
      <c r="T738" s="159" t="n"/>
      <c r="U738" s="159" t="n"/>
    </row>
    <row r="739" ht="20.1" customHeight="1" s="308">
      <c r="A739" s="102" t="inlineStr">
        <is>
          <t>序号</t>
        </is>
      </c>
      <c r="B739" s="103" t="inlineStr">
        <is>
          <t>元件名称</t>
        </is>
      </c>
      <c r="C739" s="103" t="inlineStr">
        <is>
          <t>型号规格</t>
        </is>
      </c>
      <c r="D739" s="104" t="inlineStr">
        <is>
          <t>生产厂家</t>
        </is>
      </c>
      <c r="E739" s="105" t="inlineStr">
        <is>
          <t>单位</t>
        </is>
      </c>
      <c r="F739" s="105" t="inlineStr">
        <is>
          <t>数量</t>
        </is>
      </c>
      <c r="G739" s="382" t="inlineStr">
        <is>
          <t>单   价</t>
        </is>
      </c>
      <c r="H739" s="383" t="inlineStr">
        <is>
          <t>总   价</t>
        </is>
      </c>
      <c r="I739" s="134" t="inlineStr">
        <is>
          <t>备注</t>
        </is>
      </c>
      <c r="J739" s="384" t="inlineStr">
        <is>
          <t>成本单价</t>
        </is>
      </c>
      <c r="K739" s="384" t="inlineStr">
        <is>
          <t>成本总价</t>
        </is>
      </c>
      <c r="L739" s="136" t="inlineStr">
        <is>
          <t>报出
系数</t>
        </is>
      </c>
      <c r="M739" s="384" t="inlineStr">
        <is>
          <t>表价</t>
        </is>
      </c>
      <c r="N739" s="136" t="inlineStr">
        <is>
          <t>折扣
系数</t>
        </is>
      </c>
      <c r="O739" s="137" t="inlineStr">
        <is>
          <t>取费
系数</t>
        </is>
      </c>
      <c r="P739" s="384" t="inlineStr">
        <is>
          <t>成套费</t>
        </is>
      </c>
      <c r="Q739" s="161" t="inlineStr">
        <is>
          <t>类别</t>
        </is>
      </c>
      <c r="R739" s="161" t="inlineStr">
        <is>
          <t>物料编码</t>
        </is>
      </c>
      <c r="S739" s="161" t="inlineStr">
        <is>
          <t>产地</t>
        </is>
      </c>
      <c r="T739" s="161" t="inlineStr">
        <is>
          <t>加工费</t>
        </is>
      </c>
      <c r="U739" s="161" t="inlineStr">
        <is>
          <t>订货号</t>
        </is>
      </c>
      <c r="V739" s="161" t="inlineStr">
        <is>
          <t>人工</t>
        </is>
      </c>
      <c r="W739" s="161" t="inlineStr">
        <is>
          <t>辅料</t>
        </is>
      </c>
      <c r="X739" s="203" t="inlineStr"/>
    </row>
    <row r="740" s="308">
      <c r="A740" s="64">
        <f>ROW()-ROW(A$739)</f>
        <v/>
      </c>
      <c r="B740" s="22" t="inlineStr">
        <is>
          <t>塑壳断路器</t>
        </is>
      </c>
      <c r="C740" s="22" t="inlineStr">
        <is>
          <t>NSX100H TM100D 3P3D P</t>
        </is>
      </c>
      <c r="D740" s="22" t="inlineStr">
        <is>
          <t>甲供/施耐德电气</t>
        </is>
      </c>
      <c r="E740" s="23" t="inlineStr">
        <is>
          <t>只</t>
        </is>
      </c>
      <c r="F740" s="23" t="n">
        <v>1</v>
      </c>
      <c r="G740" s="349">
        <f>IF(AND(B740="",C740=""),"",ROUND(M740*L740*N740,2))</f>
        <v/>
      </c>
      <c r="H740" s="349">
        <f>IF(AND(B740="",C740=""),"",ROUND(F740*G740,2))</f>
        <v/>
      </c>
      <c r="I740" s="45" t="inlineStr"/>
      <c r="J740" s="397">
        <f>IF(AND(B740="",C740=""),"",ROUND(M740*N740,2))</f>
        <v/>
      </c>
      <c r="K740" s="398">
        <f>IF(AND(B740="",C740=""),"",ROUND(J740*F740,2))</f>
        <v/>
      </c>
      <c r="L740" s="200" t="n">
        <v>1</v>
      </c>
      <c r="M740" s="399" t="n">
        <v>1e-07</v>
      </c>
      <c r="N740" s="154" t="n">
        <v>1</v>
      </c>
      <c r="O740" s="155">
        <f>IF(AND(B740="",C740=""),"",IF(G740&gt;=20000,0.05,IF(G740&gt;=10000,0.1,IF(G740&gt;=5000,0.2,IF(G740&gt;=1000,0.3,IF(G740&gt;=0,0.4,{0}))))))</f>
        <v/>
      </c>
      <c r="P740" s="400">
        <f>IF(AND(B740="",C740=""),"",ROUND(H740*O740,2))</f>
        <v/>
      </c>
      <c r="Q740" s="401" t="inlineStr">
        <is>
          <t>元件</t>
        </is>
      </c>
      <c r="R740" s="168" t="inlineStr"/>
      <c r="S740" s="168" t="inlineStr"/>
      <c r="T740" s="168" t="inlineStr">
        <is>
          <t>0</t>
        </is>
      </c>
      <c r="U740" s="168" t="inlineStr">
        <is>
          <t>C16F32D160</t>
        </is>
      </c>
      <c r="V740" s="402" t="n"/>
      <c r="W740" s="402" t="n"/>
      <c r="X740" s="170" t="inlineStr">
        <is>
          <t>NSX630N Mic2.3 630A 3P3D F→NSX630F MIC2.3 630 3P F→NSX630F MIC 2.3 630 3P F</t>
        </is>
      </c>
    </row>
    <row r="741" s="308">
      <c r="A741" s="64">
        <f>ROW()-ROW(A$739)</f>
        <v/>
      </c>
      <c r="B741" s="22" t="inlineStr">
        <is>
          <t>塑壳断路器</t>
        </is>
      </c>
      <c r="C741" s="22" t="inlineStr">
        <is>
          <t>NSX160H TM160D 3P3D P</t>
        </is>
      </c>
      <c r="D741" s="22" t="inlineStr">
        <is>
          <t>甲供/施耐德电气</t>
        </is>
      </c>
      <c r="E741" s="23" t="inlineStr">
        <is>
          <t>只</t>
        </is>
      </c>
      <c r="F741" s="23" t="n">
        <v>5</v>
      </c>
      <c r="G741" s="349">
        <f>IF(AND(B741="",C741=""),"",ROUND(M741*L741*N741,2))</f>
        <v/>
      </c>
      <c r="H741" s="349">
        <f>IF(AND(B741="",C741=""),"",ROUND(F741*G741,2))</f>
        <v/>
      </c>
      <c r="I741" s="45" t="inlineStr"/>
      <c r="J741" s="397">
        <f>IF(AND(B741="",C741=""),"",ROUND(M741*N741,2))</f>
        <v/>
      </c>
      <c r="K741" s="398">
        <f>IF(AND(B741="",C741=""),"",ROUND(J741*F741,2))</f>
        <v/>
      </c>
      <c r="L741" s="200" t="n">
        <v>1</v>
      </c>
      <c r="M741" s="399" t="n">
        <v>1e-07</v>
      </c>
      <c r="N741" s="154" t="n">
        <v>1</v>
      </c>
      <c r="O741" s="155">
        <f>IF(AND(B741="",C741=""),"",IF(G741&gt;=20000,0.05,IF(G741&gt;=10000,0.1,IF(G741&gt;=5000,0.2,IF(G741&gt;=1000,0.3,IF(G741&gt;=0,0.4,{0}))))))</f>
        <v/>
      </c>
      <c r="P741" s="400">
        <f>IF(AND(B741="",C741=""),"",ROUND(H741*O741,2))</f>
        <v/>
      </c>
      <c r="Q741" s="401" t="inlineStr">
        <is>
          <t>元件</t>
        </is>
      </c>
      <c r="R741" s="168" t="inlineStr"/>
      <c r="S741" s="168" t="inlineStr"/>
      <c r="T741" s="168" t="inlineStr">
        <is>
          <t>0</t>
        </is>
      </c>
      <c r="U741" s="168" t="inlineStr">
        <is>
          <t>C16F32D160</t>
        </is>
      </c>
      <c r="V741" s="402" t="n"/>
      <c r="W741" s="402" t="n"/>
      <c r="X741" s="170" t="inlineStr">
        <is>
          <t>NSX630N Mic2.3 630A 3P3D F→NSX630F MIC2.3 630 3P F→NSX630F MIC 2.3 630 3P F</t>
        </is>
      </c>
    </row>
    <row r="742" s="308">
      <c r="A742" s="64">
        <f>ROW()-ROW(A$739)</f>
        <v/>
      </c>
      <c r="B742" s="22" t="inlineStr">
        <is>
          <t>塑壳断路器</t>
        </is>
      </c>
      <c r="C742" s="22" t="inlineStr">
        <is>
          <t>NSX250H TM250D 3P3D P</t>
        </is>
      </c>
      <c r="D742" s="22" t="inlineStr">
        <is>
          <t>甲供/施耐德电气</t>
        </is>
      </c>
      <c r="E742" s="23" t="inlineStr">
        <is>
          <t>只</t>
        </is>
      </c>
      <c r="F742" s="23" t="n">
        <v>1</v>
      </c>
      <c r="G742" s="349">
        <f>IF(AND(B742="",C742=""),"",ROUND(M742*L742*N742,2))</f>
        <v/>
      </c>
      <c r="H742" s="349">
        <f>IF(AND(B742="",C742=""),"",ROUND(F742*G742,2))</f>
        <v/>
      </c>
      <c r="I742" s="45" t="inlineStr"/>
      <c r="J742" s="397">
        <f>IF(AND(B742="",C742=""),"",ROUND(M742*N742,2))</f>
        <v/>
      </c>
      <c r="K742" s="398">
        <f>IF(AND(B742="",C742=""),"",ROUND(J742*F742,2))</f>
        <v/>
      </c>
      <c r="L742" s="200" t="n">
        <v>1</v>
      </c>
      <c r="M742" s="399" t="n">
        <v>1e-07</v>
      </c>
      <c r="N742" s="154" t="n">
        <v>1</v>
      </c>
      <c r="O742" s="155">
        <f>IF(AND(B742="",C742=""),"",IF(G742&gt;=20000,0.05,IF(G742&gt;=10000,0.1,IF(G742&gt;=5000,0.2,IF(G742&gt;=1000,0.3,IF(G742&gt;=0,0.4,{0}))))))</f>
        <v/>
      </c>
      <c r="P742" s="400">
        <f>IF(AND(B742="",C742=""),"",ROUND(H742*O742,2))</f>
        <v/>
      </c>
      <c r="Q742" s="401" t="inlineStr">
        <is>
          <t>元件</t>
        </is>
      </c>
      <c r="R742" s="168" t="inlineStr"/>
      <c r="S742" s="168" t="inlineStr"/>
      <c r="T742" s="168" t="inlineStr">
        <is>
          <t>0</t>
        </is>
      </c>
      <c r="U742" s="168" t="inlineStr">
        <is>
          <t>C16F32D160</t>
        </is>
      </c>
      <c r="V742" s="402" t="n"/>
      <c r="W742" s="402" t="n"/>
      <c r="X742" s="170" t="inlineStr">
        <is>
          <t>NSX630N Mic2.3 630A 3P3D F→NSX630F MIC2.3 630 3P F→NSX630F MIC 2.3 630 3P F</t>
        </is>
      </c>
    </row>
    <row r="743" s="308">
      <c r="A743" s="64">
        <f>ROW()-ROW(A$739)</f>
        <v/>
      </c>
      <c r="B743" s="22" t="inlineStr">
        <is>
          <t>塑壳断路器</t>
        </is>
      </c>
      <c r="C743" s="22" t="inlineStr">
        <is>
          <t>NSX400H Mic2.3 400A 3P3D P</t>
        </is>
      </c>
      <c r="D743" s="22" t="inlineStr">
        <is>
          <t>甲供/施耐德电气</t>
        </is>
      </c>
      <c r="E743" s="23" t="inlineStr">
        <is>
          <t>只</t>
        </is>
      </c>
      <c r="F743" s="23" t="n">
        <v>1</v>
      </c>
      <c r="G743" s="349">
        <f>IF(AND(B743="",C743=""),"",ROUND(M743*L743*N743,2))</f>
        <v/>
      </c>
      <c r="H743" s="349">
        <f>IF(AND(B743="",C743=""),"",ROUND(F743*G743,2))</f>
        <v/>
      </c>
      <c r="I743" s="45" t="inlineStr"/>
      <c r="J743" s="397">
        <f>IF(AND(B743="",C743=""),"",ROUND(M743*N743,2))</f>
        <v/>
      </c>
      <c r="K743" s="398">
        <f>IF(AND(B743="",C743=""),"",ROUND(J743*F743,2))</f>
        <v/>
      </c>
      <c r="L743" s="200" t="n">
        <v>1</v>
      </c>
      <c r="M743" s="399" t="n">
        <v>1e-07</v>
      </c>
      <c r="N743" s="154" t="n">
        <v>1</v>
      </c>
      <c r="O743" s="155">
        <f>IF(AND(B743="",C743=""),"",IF(G743&gt;=20000,0.05,IF(G743&gt;=10000,0.1,IF(G743&gt;=5000,0.2,IF(G743&gt;=1000,0.3,IF(G743&gt;=0,0.4,{0}))))))</f>
        <v/>
      </c>
      <c r="P743" s="400">
        <f>IF(AND(B743="",C743=""),"",ROUND(H743*O743,2))</f>
        <v/>
      </c>
      <c r="Q743" s="401" t="inlineStr">
        <is>
          <t>元件</t>
        </is>
      </c>
      <c r="R743" s="168" t="inlineStr"/>
      <c r="S743" s="168" t="inlineStr"/>
      <c r="T743" s="168" t="inlineStr">
        <is>
          <t>0</t>
        </is>
      </c>
      <c r="U743" s="168" t="inlineStr"/>
      <c r="V743" s="402" t="n"/>
      <c r="W743" s="402" t="n"/>
      <c r="X743" s="170" t="inlineStr"/>
    </row>
    <row r="744" s="308">
      <c r="A744" s="64">
        <f>ROW()-ROW(A$739)</f>
        <v/>
      </c>
      <c r="B744" s="22" t="inlineStr">
        <is>
          <t>电流互感器</t>
        </is>
      </c>
      <c r="C744" s="22" t="inlineStr">
        <is>
          <t>SD-0.66-30I 150/5A</t>
        </is>
      </c>
      <c r="D744" s="22" t="inlineStr">
        <is>
          <t>桑迪</t>
        </is>
      </c>
      <c r="E744" s="23" t="inlineStr">
        <is>
          <t>只</t>
        </is>
      </c>
      <c r="F744" s="23" t="n">
        <v>15</v>
      </c>
      <c r="G744" s="349">
        <f>IF(AND(B744="",C744=""),"",ROUND(M744*L744*N744,2))</f>
        <v/>
      </c>
      <c r="H744" s="396">
        <f>IF(AND(B744="",C744=""),"",ROUND(F744*G744,2))</f>
        <v/>
      </c>
      <c r="I744" s="219" t="inlineStr"/>
      <c r="J744" s="397">
        <f>IF(AND(B744="",C744=""),"",ROUND(M744*N744,2))</f>
        <v/>
      </c>
      <c r="K744" s="398">
        <f>IF(AND(B744="",C744=""),"",ROUND(J744*F744,2))</f>
        <v/>
      </c>
      <c r="L744" s="200" t="n">
        <v>1</v>
      </c>
      <c r="M744" s="399" t="n">
        <v>29.95</v>
      </c>
      <c r="N744" s="154" t="n">
        <v>1</v>
      </c>
      <c r="O744" s="155">
        <f>IF(AND(B744="",C744=""),"",IF(G744&gt;=20000,0.05,IF(G744&gt;=10000,0.1,IF(G744&gt;=5000,0.2,IF(G744&gt;=1000,0.3,IF(G744&gt;=0,0.4,{0}))))))</f>
        <v/>
      </c>
      <c r="P744" s="400">
        <f>IF(AND(B744="",C744=""),"",ROUND(H744*O744,2))</f>
        <v/>
      </c>
      <c r="Q744" s="401" t="inlineStr">
        <is>
          <t>元件</t>
        </is>
      </c>
      <c r="R744" s="168" t="inlineStr"/>
      <c r="S744" s="168" t="inlineStr"/>
      <c r="T744" s="168" t="inlineStr">
        <is>
          <t>0</t>
        </is>
      </c>
      <c r="U744" s="168" t="inlineStr">
        <is>
          <t>710140200000049</t>
        </is>
      </c>
      <c r="V744" s="402" t="n"/>
      <c r="W744" s="402" t="n"/>
      <c r="X744" s="170" t="inlineStr">
        <is>
          <t>SD→SD-0.66-40II-C 400/5A→SD-0.66-30I 250/5A→SD-0.66-30I 150/5A→SD-0.66-60II-C 750/5A→SD-0.66-60II-C 600/5A→SD-0.66-30I 150/5A→SD-0.66-40II-C 400/5A→SD-0.66-100II-C 1600/5A→SD-0.66-80II-V 1000/5A</t>
        </is>
      </c>
    </row>
    <row r="745" s="308">
      <c r="A745" s="64">
        <f>ROW()-ROW(A$739)</f>
        <v/>
      </c>
      <c r="B745" s="22" t="inlineStr">
        <is>
          <t>电流互感器</t>
        </is>
      </c>
      <c r="C745" s="22" t="inlineStr">
        <is>
          <t>SD-0.66-30I 250/5A</t>
        </is>
      </c>
      <c r="D745" s="22" t="inlineStr">
        <is>
          <t>桑迪</t>
        </is>
      </c>
      <c r="E745" s="23" t="inlineStr">
        <is>
          <t>只</t>
        </is>
      </c>
      <c r="F745" s="23" t="n">
        <v>3</v>
      </c>
      <c r="G745" s="349">
        <f>IF(AND(B745="",C745=""),"",ROUND(M745*L745*N745,2))</f>
        <v/>
      </c>
      <c r="H745" s="396">
        <f>IF(AND(B745="",C745=""),"",ROUND(F745*G745,2))</f>
        <v/>
      </c>
      <c r="I745" s="219" t="inlineStr"/>
      <c r="J745" s="397">
        <f>IF(AND(B745="",C745=""),"",ROUND(M745*N745,2))</f>
        <v/>
      </c>
      <c r="K745" s="398">
        <f>IF(AND(B745="",C745=""),"",ROUND(J745*F745,2))</f>
        <v/>
      </c>
      <c r="L745" s="200" t="n">
        <v>1</v>
      </c>
      <c r="M745" s="399" t="n">
        <v>26.65</v>
      </c>
      <c r="N745" s="154" t="n">
        <v>1</v>
      </c>
      <c r="O745" s="155">
        <f>IF(AND(B745="",C745=""),"",IF(G745&gt;=20000,0.05,IF(G745&gt;=10000,0.1,IF(G745&gt;=5000,0.2,IF(G745&gt;=1000,0.3,IF(G745&gt;=0,0.4,{0}))))))</f>
        <v/>
      </c>
      <c r="P745" s="400">
        <f>IF(AND(B745="",C745=""),"",ROUND(H745*O745,2))</f>
        <v/>
      </c>
      <c r="Q745" s="401" t="inlineStr">
        <is>
          <t>元件</t>
        </is>
      </c>
      <c r="R745" s="168" t="inlineStr"/>
      <c r="S745" s="168" t="inlineStr"/>
      <c r="T745" s="168" t="inlineStr">
        <is>
          <t>0</t>
        </is>
      </c>
      <c r="U745" s="168" t="inlineStr">
        <is>
          <t>710140200000049</t>
        </is>
      </c>
      <c r="V745" s="402" t="n"/>
      <c r="W745" s="402" t="n"/>
      <c r="X745" s="170" t="inlineStr">
        <is>
          <t>SD→SD-0.66-40II-C 400/5A→SD-0.66-30I 250/5A→SD-0.66-30I 150/5A→SD-0.66-60II-C 750/5A→SD-0.66-60II-C 600/5A→SD-0.66-30I 150/5A→SD-0.66-40II-C 400/5A→SD-0.66-100II-C 1600/5A→SD-0.66-80II-V 1000/5A</t>
        </is>
      </c>
    </row>
    <row r="746" s="308">
      <c r="A746" s="64">
        <f>ROW()-ROW(A$739)</f>
        <v/>
      </c>
      <c r="B746" s="22" t="inlineStr">
        <is>
          <t>电流互感器</t>
        </is>
      </c>
      <c r="C746" s="22" t="inlineStr">
        <is>
          <t>SD-0.66-40II-C 400/5A</t>
        </is>
      </c>
      <c r="D746" s="22" t="inlineStr">
        <is>
          <t>桑迪</t>
        </is>
      </c>
      <c r="E746" s="23" t="inlineStr">
        <is>
          <t>只</t>
        </is>
      </c>
      <c r="F746" s="23" t="n">
        <v>3</v>
      </c>
      <c r="G746" s="349">
        <f>IF(AND(B746="",C746=""),"",ROUND(M746*L746*N746,2))</f>
        <v/>
      </c>
      <c r="H746" s="396">
        <f>IF(AND(B746="",C746=""),"",ROUND(F746*G746,2))</f>
        <v/>
      </c>
      <c r="I746" s="219" t="inlineStr"/>
      <c r="J746" s="397">
        <f>IF(AND(B746="",C746=""),"",ROUND(M746*N746,2))</f>
        <v/>
      </c>
      <c r="K746" s="398">
        <f>IF(AND(B746="",C746=""),"",ROUND(J746*F746,2))</f>
        <v/>
      </c>
      <c r="L746" s="200" t="n">
        <v>1</v>
      </c>
      <c r="M746" s="399" t="n">
        <v>52</v>
      </c>
      <c r="N746" s="154" t="n">
        <v>1</v>
      </c>
      <c r="O746" s="155">
        <f>IF(AND(B746="",C746=""),"",IF(G746&gt;=20000,0.05,IF(G746&gt;=10000,0.1,IF(G746&gt;=5000,0.2,IF(G746&gt;=1000,0.3,IF(G746&gt;=0,0.4,{0}))))))</f>
        <v/>
      </c>
      <c r="P746" s="400">
        <f>IF(AND(B746="",C746=""),"",ROUND(H746*O746,2))</f>
        <v/>
      </c>
      <c r="Q746" s="401" t="inlineStr">
        <is>
          <t>元件</t>
        </is>
      </c>
      <c r="R746" s="168" t="inlineStr"/>
      <c r="S746" s="168" t="inlineStr"/>
      <c r="T746" s="168" t="inlineStr">
        <is>
          <t>0</t>
        </is>
      </c>
      <c r="U746" s="168" t="inlineStr">
        <is>
          <t>710140200000049</t>
        </is>
      </c>
      <c r="V746" s="402" t="n"/>
      <c r="W746" s="402" t="n"/>
      <c r="X746" s="170" t="inlineStr">
        <is>
          <t>SD→SD-0.66-40II-C 400/5A→SD-0.66-30I 250/5A→SD-0.66-30I 150/5A→SD-0.66-60II-C 750/5A→SD-0.66-60II-C 600/5A→SD-0.66-30I 150/5A→SD-0.66-40II-C 400/5A→SD-0.66-100II-C 1600/5A→SD-0.66-80II-V 1000/5A</t>
        </is>
      </c>
    </row>
    <row r="747" s="308">
      <c r="A747" s="64">
        <f>ROW()-ROW(A$739)</f>
        <v/>
      </c>
      <c r="B747" s="22" t="inlineStr">
        <is>
          <t>电流互感器</t>
        </is>
      </c>
      <c r="C747" s="22" t="inlineStr">
        <is>
          <t>SD-0.66-M8 100/5A</t>
        </is>
      </c>
      <c r="D747" s="22" t="inlineStr">
        <is>
          <t>桑迪</t>
        </is>
      </c>
      <c r="E747" s="23" t="inlineStr">
        <is>
          <t>只</t>
        </is>
      </c>
      <c r="F747" s="23" t="n">
        <v>3</v>
      </c>
      <c r="G747" s="349">
        <f>IF(AND(B747="",C747=""),"",ROUND(M747*L747*N747,2))</f>
        <v/>
      </c>
      <c r="H747" s="396">
        <f>IF(AND(B747="",C747=""),"",ROUND(F747*G747,2))</f>
        <v/>
      </c>
      <c r="I747" s="219" t="inlineStr"/>
      <c r="J747" s="397">
        <f>IF(AND(B747="",C747=""),"",ROUND(M747*N747,2))</f>
        <v/>
      </c>
      <c r="K747" s="398">
        <f>IF(AND(B747="",C747=""),"",ROUND(J747*F747,2))</f>
        <v/>
      </c>
      <c r="L747" s="200" t="n">
        <v>1</v>
      </c>
      <c r="M747" s="399" t="n">
        <v>61.75</v>
      </c>
      <c r="N747" s="154" t="n">
        <v>1</v>
      </c>
      <c r="O747" s="155">
        <f>IF(AND(B747="",C747=""),"",IF(G747&gt;=20000,0.05,IF(G747&gt;=10000,0.1,IF(G747&gt;=5000,0.2,IF(G747&gt;=1000,0.3,IF(G747&gt;=0,0.4,{0}))))))</f>
        <v/>
      </c>
      <c r="P747" s="400">
        <f>IF(AND(B747="",C747=""),"",ROUND(H747*O747,2))</f>
        <v/>
      </c>
      <c r="Q747" s="401" t="inlineStr">
        <is>
          <t>元件</t>
        </is>
      </c>
      <c r="R747" s="168" t="inlineStr"/>
      <c r="S747" s="168" t="inlineStr"/>
      <c r="T747" s="168" t="inlineStr">
        <is>
          <t>0</t>
        </is>
      </c>
      <c r="U747" s="168" t="inlineStr">
        <is>
          <t>710140200000049</t>
        </is>
      </c>
      <c r="V747" s="402" t="n"/>
      <c r="W747" s="402" t="n"/>
      <c r="X747" s="170" t="inlineStr">
        <is>
          <t>SD→SD-0.66-40II-C 400/5A→SD-0.66-30I 250/5A→SD-0.66-30I 150/5A→SD-0.66-60II-C 750/5A→SD-0.66-60II-C 600/5A→SD-0.66-30I 150/5A→SD-0.66-40II-C 400/5A→SD-0.66-100II-C 1600/5A→SD-0.66-80II-V 1000/5A→SD-0.66-40II-C 400/5A→SD-0.66-60II-C 600/5A</t>
        </is>
      </c>
    </row>
    <row r="748" s="308">
      <c r="A748" s="64">
        <f>ROW()-ROW(A$739)</f>
        <v/>
      </c>
      <c r="B748" s="112" t="inlineStr">
        <is>
          <t>多功能表</t>
        </is>
      </c>
      <c r="C748" s="112" t="inlineStr">
        <is>
          <t>PM4101</t>
        </is>
      </c>
      <c r="D748" s="112" t="inlineStr">
        <is>
          <t>甲供/施耐德电气</t>
        </is>
      </c>
      <c r="E748" s="114" t="inlineStr">
        <is>
          <t>只</t>
        </is>
      </c>
      <c r="F748" s="114" t="n">
        <v>8</v>
      </c>
      <c r="G748" s="396">
        <f>IF(AND(B748="",C748=""),"",ROUND(M748*L748*N748,2))</f>
        <v/>
      </c>
      <c r="H748" s="349">
        <f>IF(AND(B748="",C748=""),"",ROUND(F748*G748,2))</f>
        <v/>
      </c>
      <c r="I748" s="45" t="inlineStr"/>
      <c r="J748" s="397">
        <f>IF(AND(B748="",C748=""),"",ROUND(M748*N748,2))</f>
        <v/>
      </c>
      <c r="K748" s="398">
        <f>IF(AND(B748="",C748=""),"",ROUND(J748*F748,2))</f>
        <v/>
      </c>
      <c r="L748" s="200" t="n">
        <v>1</v>
      </c>
      <c r="M748" s="399" t="n">
        <v>1e-07</v>
      </c>
      <c r="N748" s="154" t="n">
        <v>1</v>
      </c>
      <c r="O748" s="155">
        <f>IF(AND(B748="",C748=""),"",IF(J748&gt;=20000,0.05,IF(J748&gt;=10000,0.1,IF(J748&gt;=5000,0.2,IF(J748&gt;=1000,0.3,IF(J748&gt;=0,0.4,{0}))))))</f>
        <v/>
      </c>
      <c r="P748" s="400">
        <f>IF(AND(B748="",C748=""),"",ROUND(H748*O748,2))</f>
        <v/>
      </c>
      <c r="Q748" s="401" t="inlineStr">
        <is>
          <t>元件</t>
        </is>
      </c>
      <c r="R748" s="168" t="inlineStr"/>
      <c r="S748" s="168" t="inlineStr"/>
      <c r="T748" s="168" t="inlineStr">
        <is>
          <t>0</t>
        </is>
      </c>
      <c r="U748" s="168" t="inlineStr"/>
      <c r="V748" s="402" t="n"/>
      <c r="W748" s="402" t="n"/>
      <c r="X748" s="170" t="inlineStr"/>
    </row>
    <row r="749" customFormat="1" s="3">
      <c r="A749" s="64">
        <f>ROW()-ROW(A$739)</f>
        <v/>
      </c>
      <c r="B749" s="22" t="inlineStr">
        <is>
          <t>指示灯</t>
        </is>
      </c>
      <c r="C749" s="22" t="inlineStr">
        <is>
          <t>XB2BVM3LC</t>
        </is>
      </c>
      <c r="D749" s="22" t="inlineStr">
        <is>
          <t>甲供/施耐德电气</t>
        </is>
      </c>
      <c r="E749" s="23" t="inlineStr">
        <is>
          <t>只</t>
        </is>
      </c>
      <c r="F749" s="23" t="n">
        <v>8</v>
      </c>
      <c r="G749" s="349">
        <f>IF(AND(B749="",C749=""),"",ROUND(M749*L749*N749,2))</f>
        <v/>
      </c>
      <c r="H749" s="353">
        <f>IF(AND(B749="",C749=""),"",ROUND(F749*G749,2))</f>
        <v/>
      </c>
      <c r="I749" s="180" t="inlineStr"/>
      <c r="J749" s="392">
        <f>IF(AND(B749="",C749=""),"",ROUND(M749*N749,2))</f>
        <v/>
      </c>
      <c r="K749" s="393">
        <f>IF(AND(B749="",C749=""),"",ROUND(J749*F749,2))</f>
        <v/>
      </c>
      <c r="L749" s="141" t="n">
        <v>1</v>
      </c>
      <c r="M749" s="394" t="n">
        <v>1e-07</v>
      </c>
      <c r="N749" s="220" t="n">
        <v>1</v>
      </c>
      <c r="O749" s="221">
        <f>IF(AND(B749="",C749=""),"",IF(G749&gt;=20000,0.05,IF(G749&gt;=10000,0.1,IF(G749&gt;=5000,0.2,IF(G749&gt;=1000,0.3,IF(G749&gt;=0,0.4,{0}))))))</f>
        <v/>
      </c>
      <c r="P749" s="419">
        <f>IF(AND(B749="",C749=""),"",ROUND(H749*O749,2))</f>
        <v/>
      </c>
      <c r="Q749" s="420" t="inlineStr">
        <is>
          <t>元件</t>
        </is>
      </c>
      <c r="R749" s="231" t="inlineStr"/>
      <c r="S749" s="231" t="inlineStr"/>
      <c r="T749" s="231" t="inlineStr">
        <is>
          <t>0</t>
        </is>
      </c>
      <c r="U749" s="231" t="inlineStr">
        <is>
          <t>XB2BVM3LC</t>
        </is>
      </c>
      <c r="V749" s="421" t="n"/>
      <c r="W749" s="421" t="n"/>
      <c r="X749" s="166" t="inlineStr">
        <is>
          <t>XA2EVM3LC</t>
        </is>
      </c>
    </row>
    <row r="750" customFormat="1" s="3">
      <c r="A750" s="64">
        <f>ROW()-ROW(A$739)</f>
        <v/>
      </c>
      <c r="B750" s="22" t="inlineStr">
        <is>
          <t>指示灯</t>
        </is>
      </c>
      <c r="C750" s="22" t="inlineStr">
        <is>
          <t>XB2BVM4LC</t>
        </is>
      </c>
      <c r="D750" s="22" t="inlineStr">
        <is>
          <t>甲供/施耐德电气</t>
        </is>
      </c>
      <c r="E750" s="23" t="inlineStr">
        <is>
          <t>只</t>
        </is>
      </c>
      <c r="F750" s="23" t="n">
        <v>8</v>
      </c>
      <c r="G750" s="349">
        <f>IF(AND(B750="",C750=""),"",ROUND(M750*L750*N750,2))</f>
        <v/>
      </c>
      <c r="H750" s="353">
        <f>IF(AND(B750="",C750=""),"",ROUND(F750*G750,2))</f>
        <v/>
      </c>
      <c r="I750" s="180" t="inlineStr"/>
      <c r="J750" s="392">
        <f>IF(AND(B750="",C750=""),"",ROUND(M750*N750,2))</f>
        <v/>
      </c>
      <c r="K750" s="393">
        <f>IF(AND(B750="",C750=""),"",ROUND(J750*F750,2))</f>
        <v/>
      </c>
      <c r="L750" s="141" t="n">
        <v>1</v>
      </c>
      <c r="M750" s="394" t="n">
        <v>1e-07</v>
      </c>
      <c r="N750" s="220" t="n">
        <v>1</v>
      </c>
      <c r="O750" s="221">
        <f>IF(AND(B750="",C750=""),"",IF(G750&gt;=20000,0.05,IF(G750&gt;=10000,0.1,IF(G750&gt;=5000,0.2,IF(G750&gt;=1000,0.3,IF(G750&gt;=0,0.4,{0}))))))</f>
        <v/>
      </c>
      <c r="P750" s="419">
        <f>IF(AND(B750="",C750=""),"",ROUND(H750*O750,2))</f>
        <v/>
      </c>
      <c r="Q750" s="420" t="inlineStr">
        <is>
          <t>元件</t>
        </is>
      </c>
      <c r="R750" s="231" t="inlineStr"/>
      <c r="S750" s="231" t="inlineStr"/>
      <c r="T750" s="231" t="inlineStr">
        <is>
          <t>0</t>
        </is>
      </c>
      <c r="U750" s="231" t="inlineStr">
        <is>
          <t>XB2BVM4LC</t>
        </is>
      </c>
      <c r="V750" s="421" t="n"/>
      <c r="W750" s="421" t="n"/>
      <c r="X750" s="166" t="inlineStr">
        <is>
          <t>XA2EVM4LC</t>
        </is>
      </c>
    </row>
    <row r="751" s="308">
      <c r="A751" s="64">
        <f>ROW()-ROW(A$739)</f>
        <v/>
      </c>
      <c r="B751" s="112" t="inlineStr">
        <is>
          <t>温湿度控制器</t>
        </is>
      </c>
      <c r="C751" s="112" t="inlineStr">
        <is>
          <t>ATH48G-11</t>
        </is>
      </c>
      <c r="D751" s="22" t="inlineStr">
        <is>
          <t>杭州安廷</t>
        </is>
      </c>
      <c r="E751" s="23" t="inlineStr">
        <is>
          <t>套</t>
        </is>
      </c>
      <c r="F751" s="23" t="n">
        <v>1</v>
      </c>
      <c r="G751" s="349">
        <f>IF(AND(B751="",C751=""),"",ROUND(M751*L751*N751,2))</f>
        <v/>
      </c>
      <c r="H751" s="396">
        <f>IF(AND(B751="",C751=""),"",ROUND(F751*G751,2))</f>
        <v/>
      </c>
      <c r="I751" s="150" t="inlineStr"/>
      <c r="J751" s="397">
        <f>IF(AND(B751="",C751=""),"",ROUND(M751*N751,2))</f>
        <v/>
      </c>
      <c r="K751" s="398">
        <f>IF(AND(B751="",C751=""),"",ROUND(J751*F751,2))</f>
        <v/>
      </c>
      <c r="L751" s="141" t="n">
        <v>1</v>
      </c>
      <c r="M751" s="399" t="n">
        <v>450</v>
      </c>
      <c r="N751" s="154" t="n">
        <v>1</v>
      </c>
      <c r="O751" s="155">
        <f>IF(AND(B751="",C751=""),"",IF(G751&gt;=20000,0.05,IF(G751&gt;=10000,0.1,IF(G751&gt;=5000,0.2,IF(G751&gt;=1000,0.3,IF(G751&gt;=0,0.4,{0}))))))</f>
        <v/>
      </c>
      <c r="P751" s="400">
        <f>IF(AND(B751="",C751=""),"",ROUND(H751*O751,2))</f>
        <v/>
      </c>
      <c r="Q751" s="401" t="inlineStr">
        <is>
          <t>元件</t>
        </is>
      </c>
      <c r="R751" s="168" t="inlineStr"/>
      <c r="S751" s="168" t="inlineStr"/>
      <c r="T751" s="168" t="inlineStr">
        <is>
          <t>0</t>
        </is>
      </c>
      <c r="U751" s="168" t="inlineStr"/>
      <c r="V751" s="402" t="n"/>
      <c r="W751" s="402" t="n"/>
      <c r="X751" s="170" t="inlineStr"/>
    </row>
    <row r="752" s="308">
      <c r="A752" s="64">
        <f>ROW()-ROW(A$739)</f>
        <v/>
      </c>
      <c r="B752" s="22" t="inlineStr">
        <is>
          <t>中间继电器</t>
        </is>
      </c>
      <c r="C752" s="22" t="inlineStr">
        <is>
          <t>RXM4AB2P7+RXZE2S114M+RXZ400</t>
        </is>
      </c>
      <c r="D752" s="22" t="inlineStr">
        <is>
          <t>甲供/施耐德电气</t>
        </is>
      </c>
      <c r="E752" s="23" t="inlineStr">
        <is>
          <t>只</t>
        </is>
      </c>
      <c r="F752" s="23" t="n">
        <v>16</v>
      </c>
      <c r="G752" s="349">
        <f>IF(AND(B752="",C752=""),"",ROUND(M752*L752*N752,2))</f>
        <v/>
      </c>
      <c r="H752" s="349">
        <f>IF(AND(B752="",C752=""),"",ROUND(F752*G752,2))</f>
        <v/>
      </c>
      <c r="I752" s="45" t="inlineStr"/>
      <c r="J752" s="397">
        <f>IF(AND(B752="",C752=""),"",ROUND(M752*N752,2))</f>
        <v/>
      </c>
      <c r="K752" s="398">
        <f>IF(AND(B752="",C752=""),"",ROUND(J752*F752,2))</f>
        <v/>
      </c>
      <c r="L752" s="141" t="n">
        <v>1</v>
      </c>
      <c r="M752" s="399" t="n">
        <v>1e-07</v>
      </c>
      <c r="N752" s="154" t="n">
        <v>1</v>
      </c>
      <c r="O752" s="155">
        <f>IF(AND(B752="",C752=""),"",IF(G752&gt;=20000,0.05,IF(G752&gt;=10000,0.1,IF(G752&gt;=5000,0.2,IF(G752&gt;=1000,0.3,IF(G752&gt;=0,0.4,{0}))))))</f>
        <v/>
      </c>
      <c r="P752" s="400">
        <f>IF(AND(B752="",C752=""),"",ROUND(H752*O752,2))</f>
        <v/>
      </c>
      <c r="Q752" s="401" t="inlineStr">
        <is>
          <t>元件</t>
        </is>
      </c>
      <c r="R752" s="168" t="inlineStr"/>
      <c r="S752" s="168" t="inlineStr"/>
      <c r="T752" s="168" t="inlineStr">
        <is>
          <t>0</t>
        </is>
      </c>
      <c r="U752" s="168" t="inlineStr">
        <is>
          <t>RXM4AB2P7+RXZE2S114M+RXZ400</t>
        </is>
      </c>
      <c r="V752" s="402" t="n"/>
      <c r="W752" s="402" t="n"/>
      <c r="X752" s="170" t="inlineStr">
        <is>
          <t>REL-IR-BL/L-230AC/4X21，含底座→RXM4AB2P7+RXZE2S114M+RXZ400→REL-IR-BL/L-230AC/4X21，含底座</t>
        </is>
      </c>
    </row>
    <row r="753" customFormat="1" s="3">
      <c r="A753" s="64">
        <f>ROW()-ROW(A$739)</f>
        <v/>
      </c>
      <c r="B753" s="22" t="inlineStr">
        <is>
          <t>带熔丝端子</t>
        </is>
      </c>
      <c r="C753" s="22" t="inlineStr">
        <is>
          <t>UK 5-HESI</t>
        </is>
      </c>
      <c r="D753" s="22" t="inlineStr">
        <is>
          <t>菲尼克斯</t>
        </is>
      </c>
      <c r="E753" s="23" t="inlineStr">
        <is>
          <t>只</t>
        </is>
      </c>
      <c r="F753" s="23" t="n">
        <v>32</v>
      </c>
      <c r="G753" s="349">
        <f>IF(AND(B753="",C753=""),"",ROUND(M753*L753*N753,2))</f>
        <v/>
      </c>
      <c r="H753" s="349">
        <f>IF(AND(B753="",C753=""),"",ROUND(F753*G753,2))</f>
        <v/>
      </c>
      <c r="I753" s="45" t="inlineStr"/>
      <c r="J753" s="392">
        <f>IF(AND(B753="",C753=""),"",ROUND(M753*N753,2))</f>
        <v/>
      </c>
      <c r="K753" s="393">
        <f>IF(AND(B753="",C753=""),"",ROUND(J753*F753,2))</f>
        <v/>
      </c>
      <c r="L753" s="141" t="n">
        <v>1</v>
      </c>
      <c r="M753" s="394" t="n">
        <v>7</v>
      </c>
      <c r="N753" s="220" t="n">
        <v>1</v>
      </c>
      <c r="O753" s="221">
        <f>IF(AND(B753="",C753=""),"",IF(G753&gt;=20000,0.05,IF(G753&gt;=10000,0.1,IF(G753&gt;=5000,0.2,IF(G753&gt;=1000,0.3,IF(G753&gt;=0,0.4,{0}))))))</f>
        <v/>
      </c>
      <c r="P753" s="419">
        <f>IF(AND(B753="",C753=""),"",ROUND(H753*O753,2))</f>
        <v/>
      </c>
      <c r="Q753" s="420" t="inlineStr">
        <is>
          <t>元件</t>
        </is>
      </c>
      <c r="R753" s="231" t="inlineStr"/>
      <c r="S753" s="231" t="inlineStr"/>
      <c r="T753" s="231" t="inlineStr">
        <is>
          <t>0</t>
        </is>
      </c>
      <c r="U753" s="231" t="inlineStr">
        <is>
          <t>True</t>
        </is>
      </c>
      <c r="V753" s="421" t="n"/>
      <c r="W753" s="421" t="n"/>
      <c r="X753" s="166" t="inlineStr"/>
    </row>
    <row r="754" s="308">
      <c r="A754" s="64">
        <f>ROW()-ROW(A$739)</f>
        <v/>
      </c>
      <c r="B754" s="22" t="inlineStr">
        <is>
          <t>水平母排</t>
        </is>
      </c>
      <c r="C754" s="22" t="inlineStr">
        <is>
          <t>TMY 4*(4*150*5)+2*50*5</t>
        </is>
      </c>
      <c r="D754" s="22" t="inlineStr">
        <is>
          <t>国产优质</t>
        </is>
      </c>
      <c r="E754" s="23" t="inlineStr">
        <is>
          <t>米</t>
        </is>
      </c>
      <c r="F754" s="23" t="n">
        <v>0.7</v>
      </c>
      <c r="G754" s="349">
        <f>IF(AND(B754="",C754=""),"",ROUND(M754*L754*N754,2))</f>
        <v/>
      </c>
      <c r="H754" s="349">
        <f>IF(AND(B754="",C754=""),"",ROUND(F754*G754,2))</f>
        <v/>
      </c>
      <c r="I754" s="45" t="inlineStr"/>
      <c r="J754" s="397">
        <f>IF(AND(B754="",C754=""),"",ROUND(M754*N754,2))</f>
        <v/>
      </c>
      <c r="K754" s="398">
        <f>IF(AND(B754="",C754=""),"",ROUND(J754*F754,2))</f>
        <v/>
      </c>
      <c r="L754" s="200" t="n">
        <v>1</v>
      </c>
      <c r="M754" s="399" t="n">
        <v>12026.68125</v>
      </c>
      <c r="N754" s="154">
        <f>(6317.932*1*1+2684.8*1*1)/9002.732</f>
        <v/>
      </c>
      <c r="O754" s="155">
        <f>IF(AND(B754="",C754=""),"",IF(J754&gt;=20000,0.05,IF(J754&gt;=10000,0.1,IF(J754&gt;=5000,0.2,IF(J754&gt;=1000,0.3,IF(J754&gt;=0,0.4,{0}))))))</f>
        <v/>
      </c>
      <c r="P754" s="400">
        <f>IF(AND(B754="",C754=""),"",ROUND(H754*O754,2))</f>
        <v/>
      </c>
      <c r="Q754" s="401" t="inlineStr">
        <is>
          <t>母排</t>
        </is>
      </c>
      <c r="R754" s="168" t="inlineStr"/>
      <c r="S754" s="168" t="inlineStr"/>
      <c r="T754" s="168" t="inlineStr">
        <is>
          <t>0</t>
        </is>
      </c>
      <c r="U754" s="168" t="inlineStr"/>
      <c r="V754" s="402" t="n"/>
      <c r="W754" s="402" t="n"/>
      <c r="X754" s="170" t="inlineStr"/>
    </row>
    <row r="755" customFormat="1" s="5">
      <c r="A755" s="64">
        <f>ROW()-ROW(A$739)</f>
        <v/>
      </c>
      <c r="B755" s="22" t="inlineStr">
        <is>
          <t>垂直排</t>
        </is>
      </c>
      <c r="C755" s="22" t="inlineStr">
        <is>
          <t>TMY 3*2*60*5</t>
        </is>
      </c>
      <c r="D755" s="22" t="inlineStr">
        <is>
          <t>国产优质</t>
        </is>
      </c>
      <c r="E755" s="23" t="inlineStr">
        <is>
          <t>米</t>
        </is>
      </c>
      <c r="F755" s="23" t="n">
        <v>2</v>
      </c>
      <c r="G755" s="349">
        <f>IF(AND(B755="",C755=""),"",ROUND(M755*L755*N755,2))</f>
        <v/>
      </c>
      <c r="H755" s="349">
        <f>IF(AND(B755="",C755=""),"",ROUND(F755*G755,2))</f>
        <v/>
      </c>
      <c r="I755" s="45" t="inlineStr"/>
      <c r="J755" s="422">
        <f>IF(AND(B755="",C755=""),"",ROUND(M755*N755,2))</f>
        <v/>
      </c>
      <c r="K755" s="423">
        <f>IF(AND(B755="",C755=""),"",ROUND(J755*F755,2))</f>
        <v/>
      </c>
      <c r="L755" s="225" t="n">
        <v>1</v>
      </c>
      <c r="M755" s="424" t="n">
        <v>1731.8421</v>
      </c>
      <c r="N755" s="227" t="n">
        <v>1</v>
      </c>
      <c r="O755" s="228">
        <f>IF(AND(B755="",C755=""),"",IF(G755&gt;=20000,0.05,IF(G755&gt;=10000,0.1,IF(G755&gt;=5000,0.2,IF(G755&gt;=1000,0.3,IF(G755&gt;=0,0.4,{0}))))))</f>
        <v/>
      </c>
      <c r="P755" s="425">
        <f>IF(AND(B755="",C755=""),"",ROUND(H755*O755,2))</f>
        <v/>
      </c>
      <c r="Q755" s="426" t="inlineStr">
        <is>
          <t>母排</t>
        </is>
      </c>
      <c r="R755" s="234" t="inlineStr"/>
      <c r="S755" s="234" t="inlineStr"/>
      <c r="T755" s="235" t="inlineStr">
        <is>
          <t>0</t>
        </is>
      </c>
      <c r="U755" s="235" t="inlineStr"/>
      <c r="V755" s="427" t="n"/>
      <c r="W755" s="427" t="n"/>
      <c r="X755" s="237" t="inlineStr">
        <is>
          <t>TMY 2*30*5→TMY 30*8</t>
        </is>
      </c>
    </row>
    <row r="756" customFormat="1" s="5">
      <c r="A756" s="64">
        <f>ROW()-ROW(A$739)</f>
        <v/>
      </c>
      <c r="B756" s="22" t="inlineStr">
        <is>
          <t>N排</t>
        </is>
      </c>
      <c r="C756" s="22" t="inlineStr">
        <is>
          <t>TMY 60*10</t>
        </is>
      </c>
      <c r="D756" s="22" t="inlineStr">
        <is>
          <t>国产优质</t>
        </is>
      </c>
      <c r="E756" s="23" t="inlineStr">
        <is>
          <t>米</t>
        </is>
      </c>
      <c r="F756" s="23" t="n">
        <v>3</v>
      </c>
      <c r="G756" s="349">
        <f>IF(AND(B756="",C756=""),"",ROUND(M756*L756*N756,2))</f>
        <v/>
      </c>
      <c r="H756" s="349">
        <f>IF(AND(B756="",C756=""),"",ROUND(F756*G756,2))</f>
        <v/>
      </c>
      <c r="I756" s="45" t="inlineStr"/>
      <c r="J756" s="422">
        <f>IF(AND(B756="",C756=""),"",ROUND(M756*N756,2))</f>
        <v/>
      </c>
      <c r="K756" s="423">
        <f>IF(AND(B756="",C756=""),"",ROUND(J756*F756,2))</f>
        <v/>
      </c>
      <c r="L756" s="225" t="n">
        <v>1</v>
      </c>
      <c r="M756" s="424" t="n">
        <v>577.2807</v>
      </c>
      <c r="N756" s="227" t="n">
        <v>1</v>
      </c>
      <c r="O756" s="228">
        <f>IF(AND(B756="",C756=""),"",IF(G756&gt;=20000,0.05,IF(G756&gt;=10000,0.1,IF(G756&gt;=5000,0.2,IF(G756&gt;=1000,0.3,IF(G756&gt;=0,0.4,{0}))))))</f>
        <v/>
      </c>
      <c r="P756" s="425">
        <f>IF(AND(B756="",C756=""),"",ROUND(H756*O756,2))</f>
        <v/>
      </c>
      <c r="Q756" s="426" t="inlineStr">
        <is>
          <t>母排</t>
        </is>
      </c>
      <c r="R756" s="234" t="inlineStr"/>
      <c r="S756" s="234" t="inlineStr"/>
      <c r="T756" s="235" t="inlineStr">
        <is>
          <t>0</t>
        </is>
      </c>
      <c r="U756" s="235" t="inlineStr"/>
      <c r="V756" s="427" t="n"/>
      <c r="W756" s="427" t="n"/>
      <c r="X756" s="237" t="inlineStr">
        <is>
          <t>TMY 2*30*5→TMY 30*8</t>
        </is>
      </c>
    </row>
    <row r="757" customFormat="1" s="5">
      <c r="A757" s="64">
        <f>ROW()-ROW(A$739)</f>
        <v/>
      </c>
      <c r="B757" s="22" t="inlineStr">
        <is>
          <t>PE排</t>
        </is>
      </c>
      <c r="C757" s="22" t="inlineStr">
        <is>
          <t>TMY 2*50*5</t>
        </is>
      </c>
      <c r="D757" s="22" t="inlineStr">
        <is>
          <t>国产优质</t>
        </is>
      </c>
      <c r="E757" s="23" t="inlineStr">
        <is>
          <t>米</t>
        </is>
      </c>
      <c r="F757" s="23" t="n">
        <v>2</v>
      </c>
      <c r="G757" s="349">
        <f>IF(AND(B757="",C757=""),"",ROUND(M757*L757*N757,2))</f>
        <v/>
      </c>
      <c r="H757" s="349">
        <f>IF(AND(B757="",C757=""),"",ROUND(F757*G757,2))</f>
        <v/>
      </c>
      <c r="I757" s="45" t="inlineStr"/>
      <c r="J757" s="422">
        <f>IF(AND(B757="",C757=""),"",ROUND(M757*N757,2))</f>
        <v/>
      </c>
      <c r="K757" s="423">
        <f>IF(AND(B757="",C757=""),"",ROUND(J757*F757,2))</f>
        <v/>
      </c>
      <c r="L757" s="225" t="n">
        <v>1</v>
      </c>
      <c r="M757" s="424" t="n">
        <v>481.06725</v>
      </c>
      <c r="N757" s="227" t="n">
        <v>1</v>
      </c>
      <c r="O757" s="228">
        <f>IF(AND(B757="",C757=""),"",IF(G757&gt;=20000,0.05,IF(G757&gt;=10000,0.1,IF(G757&gt;=5000,0.2,IF(G757&gt;=1000,0.3,IF(G757&gt;=0,0.4,{0}))))))</f>
        <v/>
      </c>
      <c r="P757" s="425">
        <f>IF(AND(B757="",C757=""),"",ROUND(H757*O757,2))</f>
        <v/>
      </c>
      <c r="Q757" s="426" t="inlineStr">
        <is>
          <t>母排</t>
        </is>
      </c>
      <c r="R757" s="234" t="inlineStr"/>
      <c r="S757" s="234" t="inlineStr"/>
      <c r="T757" s="235" t="inlineStr">
        <is>
          <t>0</t>
        </is>
      </c>
      <c r="U757" s="235" t="inlineStr"/>
      <c r="V757" s="427" t="n"/>
      <c r="W757" s="427" t="n"/>
      <c r="X757" s="237" t="inlineStr">
        <is>
          <t>TMY 2*30*5→TMY 30*8</t>
        </is>
      </c>
    </row>
    <row r="758" customFormat="1" s="5">
      <c r="A758" s="64">
        <f>ROW()-ROW(A$739)</f>
        <v/>
      </c>
      <c r="B758" s="22" t="inlineStr">
        <is>
          <t>400A铜排</t>
        </is>
      </c>
      <c r="C758" s="22" t="inlineStr">
        <is>
          <t>TMY 30*5</t>
        </is>
      </c>
      <c r="D758" s="22" t="inlineStr">
        <is>
          <t>国产优质</t>
        </is>
      </c>
      <c r="E758" s="23" t="inlineStr">
        <is>
          <t>米</t>
        </is>
      </c>
      <c r="F758" s="23" t="n">
        <v>3.2</v>
      </c>
      <c r="G758" s="349">
        <f>IF(AND(B758="",C758=""),"",ROUND(M758*L758*N758,2))</f>
        <v/>
      </c>
      <c r="H758" s="349">
        <f>IF(AND(B758="",C758=""),"",ROUND(F758*G758,2))</f>
        <v/>
      </c>
      <c r="I758" s="45" t="inlineStr"/>
      <c r="J758" s="422">
        <f>IF(AND(B758="",C758=""),"",ROUND(M758*N758,2))</f>
        <v/>
      </c>
      <c r="K758" s="423">
        <f>IF(AND(B758="",C758=""),"",ROUND(J758*F758,2))</f>
        <v/>
      </c>
      <c r="L758" s="225" t="n">
        <v>1</v>
      </c>
      <c r="M758" s="424" t="n">
        <v>144.320175</v>
      </c>
      <c r="N758" s="227" t="n">
        <v>1</v>
      </c>
      <c r="O758" s="228">
        <f>IF(AND(B758="",C758=""),"",IF(G758&gt;=20000,0.05,IF(G758&gt;=10000,0.1,IF(G758&gt;=5000,0.2,IF(G758&gt;=1000,0.3,IF(G758&gt;=0,0.4,{0}))))))</f>
        <v/>
      </c>
      <c r="P758" s="425">
        <f>IF(AND(B758="",C758=""),"",ROUND(H758*O758,2))</f>
        <v/>
      </c>
      <c r="Q758" s="426" t="inlineStr">
        <is>
          <t>母排</t>
        </is>
      </c>
      <c r="R758" s="234" t="inlineStr"/>
      <c r="S758" s="234" t="inlineStr"/>
      <c r="T758" s="235" t="inlineStr">
        <is>
          <t>0</t>
        </is>
      </c>
      <c r="U758" s="235" t="inlineStr"/>
      <c r="V758" s="427" t="n"/>
      <c r="W758" s="427" t="n"/>
      <c r="X758" s="237" t="inlineStr">
        <is>
          <t>TMY 2*30*5→TMY 30*8</t>
        </is>
      </c>
    </row>
    <row r="759" s="308">
      <c r="A759" s="64">
        <f>ROW()-ROW(A$739)</f>
        <v/>
      </c>
      <c r="B759" s="112" t="inlineStr">
        <is>
          <t>辅料</t>
        </is>
      </c>
      <c r="C759" s="112" t="inlineStr"/>
      <c r="D759" s="112" t="inlineStr"/>
      <c r="E759" s="114" t="inlineStr">
        <is>
          <t>套</t>
        </is>
      </c>
      <c r="F759" s="114" t="n">
        <v>1</v>
      </c>
      <c r="G759" s="396">
        <f>IF(AND(B759="",C759=""),"",ROUND(M759*L759*N759,2))</f>
        <v/>
      </c>
      <c r="H759" s="396">
        <f>IF(AND(B759="",C759=""),"",ROUND(F759*G759,2))</f>
        <v/>
      </c>
      <c r="I759" s="219" t="inlineStr"/>
      <c r="J759" s="397">
        <f>IF(AND(B759="",C759=""),"",ROUND(M759*N759,2))</f>
        <v/>
      </c>
      <c r="K759" s="398">
        <f>IF(AND(B759="",C759=""),"",ROUND(J759*F759,2))</f>
        <v/>
      </c>
      <c r="L759" s="200" t="n">
        <v>1</v>
      </c>
      <c r="M759" s="399" t="n">
        <v>2069.13</v>
      </c>
      <c r="N759" s="154" t="n">
        <v>1</v>
      </c>
      <c r="O759" s="155">
        <f>IF(AND(B759="",C759=""),"",IF(G759&gt;=20000,0.05,IF(G759&gt;=10000,0.1,IF(G759&gt;=5000,0.2,IF(G759&gt;=1000,0.3,IF(G759&gt;=0,0.4,{0}))))))</f>
        <v/>
      </c>
      <c r="P759" s="400">
        <f>IF(AND(B759="",C759=""),"",ROUND(H759*O759,2))</f>
        <v/>
      </c>
      <c r="Q759" s="401" t="inlineStr">
        <is>
          <t>辅料</t>
        </is>
      </c>
      <c r="R759" s="168" t="inlineStr"/>
      <c r="S759" s="168" t="inlineStr"/>
      <c r="T759" s="168" t="inlineStr">
        <is>
          <t>0</t>
        </is>
      </c>
      <c r="U759" s="168" t="inlineStr"/>
      <c r="V759" s="402" t="n"/>
      <c r="W759" s="402" t="n"/>
      <c r="X759" s="170" t="inlineStr"/>
    </row>
    <row r="760" s="308">
      <c r="A760" s="64">
        <f>ROW()-ROW(A$739)</f>
        <v/>
      </c>
      <c r="B760" s="112" t="inlineStr">
        <is>
          <t>柜体Blokset</t>
        </is>
      </c>
      <c r="C760" s="22" t="inlineStr">
        <is>
          <t>600W*1200D*2200H</t>
        </is>
      </c>
      <c r="D760" s="112" t="inlineStr">
        <is>
          <t>清科</t>
        </is>
      </c>
      <c r="E760" s="114" t="inlineStr">
        <is>
          <t>台</t>
        </is>
      </c>
      <c r="F760" s="114" t="n">
        <v>1</v>
      </c>
      <c r="G760" s="396">
        <f>IF(AND(B760="",C760=""),"",ROUND(M760*L760*N760,2))</f>
        <v/>
      </c>
      <c r="H760" s="396">
        <f>IF(AND(B760="",C760=""),"",ROUND(F760*G760,2))</f>
        <v/>
      </c>
      <c r="I760" s="219" t="inlineStr"/>
      <c r="J760" s="397">
        <f>IF(AND(B760="",C760=""),"",ROUND(M760*N760,2))</f>
        <v/>
      </c>
      <c r="K760" s="398">
        <f>IF(AND(B760="",C760=""),"",ROUND(J760*F760,2))</f>
        <v/>
      </c>
      <c r="L760" s="200" t="n">
        <v>1</v>
      </c>
      <c r="M760" s="399" t="n">
        <v>5719</v>
      </c>
      <c r="N760" s="154" t="n">
        <v>1</v>
      </c>
      <c r="O760" s="155">
        <f>IF(AND(B760="",C760=""),"",IF(G760&gt;=20000,0.05,IF(G760&gt;=10000,0.1,IF(G760&gt;=5000,0.2,IF(G760&gt;=1000,0.3,IF(G760&gt;=0,0.4,{0}))))))</f>
        <v/>
      </c>
      <c r="P760" s="400">
        <f>IF(AND(B760="",C760=""),"",ROUND(H760*O760,2))</f>
        <v/>
      </c>
      <c r="Q760" s="401" t="inlineStr">
        <is>
          <t>箱体</t>
        </is>
      </c>
      <c r="R760" s="168" t="inlineStr"/>
      <c r="S760" s="168" t="inlineStr"/>
      <c r="T760" s="168" t="inlineStr">
        <is>
          <t>0</t>
        </is>
      </c>
      <c r="U760" s="168" t="inlineStr"/>
      <c r="V760" s="402" t="n"/>
      <c r="W760" s="402" t="n"/>
      <c r="X760" s="170" t="inlineStr">
        <is>
          <t>BlokSeT</t>
        </is>
      </c>
    </row>
    <row r="761" s="308">
      <c r="A761" s="64">
        <f>ROW()-ROW(A$739)</f>
        <v/>
      </c>
      <c r="B761" s="22" t="inlineStr"/>
      <c r="C761" s="22" t="inlineStr"/>
      <c r="D761" s="22" t="inlineStr"/>
      <c r="E761" s="23" t="n"/>
      <c r="F761" s="23">
        <f>IF(AND(B761="",C761=""),"",1)</f>
        <v/>
      </c>
      <c r="G761" s="349">
        <f>IF(AND(B761="",C761=""),"",ROUND(M761*L761*N761,2))</f>
        <v/>
      </c>
      <c r="H761" s="349">
        <f>IF(AND(B761="",C761=""),"",ROUND(F761*G761,2))</f>
        <v/>
      </c>
      <c r="I761" s="45" t="inlineStr"/>
      <c r="J761" s="397">
        <f>IF(AND(B761="",C761=""),"",ROUND(M761*N761,2))</f>
        <v/>
      </c>
      <c r="K761" s="398">
        <f>IF(AND(B761="",C761=""),"",ROUND(J761*F761,2))</f>
        <v/>
      </c>
      <c r="L761" s="200">
        <f>IF(AND(B761="",C761=""),"",1)</f>
        <v/>
      </c>
      <c r="M761" s="399" t="n"/>
      <c r="N761" s="154">
        <f>IF(AND(B761="",C761=""),"",1)</f>
        <v/>
      </c>
      <c r="O761" s="155">
        <f>IF(AND(B761="",C761=""),"",IF(J761&gt;=20000,0.05,IF(J761&gt;=10000,0.1,IF(J761&gt;=5000,0.2,IF(J761&gt;=1000,0.3,IF(J761&gt;=0,0.4,{0}))))))</f>
        <v/>
      </c>
      <c r="P761" s="400">
        <f>IF(AND(B761="",C761=""),"",ROUND(H761*O761,2))</f>
        <v/>
      </c>
      <c r="Q761" s="401">
        <f>IF(AND(B761="",C761=""),"","元件")</f>
        <v/>
      </c>
      <c r="R761" s="168" t="inlineStr"/>
      <c r="S761" s="168" t="inlineStr"/>
      <c r="T761" s="168" t="inlineStr"/>
      <c r="U761" s="168" t="inlineStr"/>
      <c r="V761" s="402" t="n"/>
      <c r="W761" s="402" t="n"/>
      <c r="X761" s="170" t="inlineStr"/>
    </row>
    <row r="762" s="308">
      <c r="A762" s="64">
        <f>ROW()-ROW(A$739)</f>
        <v/>
      </c>
      <c r="B762" s="171" t="inlineStr">
        <is>
          <t>小计</t>
        </is>
      </c>
      <c r="C762" s="172" t="n"/>
      <c r="D762" s="204" t="n"/>
      <c r="E762" s="114" t="n"/>
      <c r="F762" s="114" t="n"/>
      <c r="G762" s="396" t="n"/>
      <c r="H762" s="396">
        <f>ROUND(SUM(H739:INDEX(H:H,ROW()-1)),2)</f>
        <v/>
      </c>
      <c r="I762" s="45" t="inlineStr"/>
      <c r="J762" s="397" t="n"/>
      <c r="K762" s="398">
        <f>ROUND(SUM(K739:INDEX(K:K,ROW()-1)),2)</f>
        <v/>
      </c>
      <c r="L762" s="200" t="n"/>
      <c r="M762" s="399" t="n"/>
      <c r="N762" s="154" t="n"/>
      <c r="O762" s="155" t="n"/>
      <c r="P762" s="400" t="n"/>
      <c r="Q762" s="401" t="n"/>
      <c r="R762" s="168" t="inlineStr"/>
      <c r="S762" s="168" t="inlineStr"/>
      <c r="T762" s="168" t="inlineStr"/>
      <c r="U762" s="168" t="inlineStr"/>
      <c r="V762" s="402">
        <f>ROUND(SUMPRODUCT(F739:INDEX(F:F,ROW()-1),V739:INDEX(V:V,ROW()-1)),2)</f>
        <v/>
      </c>
      <c r="W762" s="402">
        <f>ROUND(SUMPRODUCT(F739:INDEX(F:F,ROW()-1),W739:INDEX(W:W,ROW()-1)),2)</f>
        <v/>
      </c>
      <c r="X762" s="170" t="inlineStr"/>
    </row>
    <row r="763" s="308">
      <c r="A763" s="64">
        <f>ROW()-ROW(A$739)</f>
        <v/>
      </c>
      <c r="B763" s="171" t="inlineStr">
        <is>
          <t>综合费(人工、管理、税金、利润等)</t>
        </is>
      </c>
      <c r="C763" s="172" t="n"/>
      <c r="D763" s="204" t="n"/>
      <c r="E763" s="114" t="n"/>
      <c r="F763" s="114" t="n"/>
      <c r="G763" s="396" t="n"/>
      <c r="H763" s="396">
        <f>2500</f>
        <v/>
      </c>
      <c r="I763" s="45" t="inlineStr"/>
      <c r="J763" s="397" t="n"/>
      <c r="K763" s="398" t="n"/>
      <c r="L763" s="200" t="n"/>
      <c r="M763" s="399" t="n"/>
      <c r="N763" s="154" t="n"/>
      <c r="O763" s="155" t="n"/>
      <c r="P763" s="400" t="n"/>
      <c r="Q763" s="401" t="inlineStr">
        <is>
          <t>费用</t>
        </is>
      </c>
      <c r="R763" s="168" t="inlineStr"/>
      <c r="S763" s="168" t="inlineStr"/>
      <c r="T763" s="168" t="inlineStr"/>
      <c r="U763" s="168" t="inlineStr"/>
      <c r="V763" s="402" t="n"/>
      <c r="W763" s="402" t="n"/>
      <c r="X763" s="170" t="inlineStr"/>
    </row>
    <row r="764" s="308">
      <c r="A764" s="64">
        <f>ROW()-ROW(A$739)</f>
        <v/>
      </c>
      <c r="B764" s="204" t="inlineStr">
        <is>
          <t>单台合计</t>
        </is>
      </c>
      <c r="C764" s="172" t="n"/>
      <c r="D764" s="204" t="n"/>
      <c r="E764" s="114" t="n"/>
      <c r="F764" s="114" t="n"/>
      <c r="G764" s="396" t="n"/>
      <c r="H764" s="396">
        <f>ROUND(SUM(H762:H763),2)</f>
        <v/>
      </c>
      <c r="I764" s="181" t="n"/>
      <c r="J764" s="397" t="n"/>
      <c r="K764" s="398">
        <f>ROUND(SUM(K762:K763),2)</f>
        <v/>
      </c>
      <c r="L764" s="209" t="n"/>
      <c r="M764" s="399" t="n"/>
      <c r="N764" s="210" t="n"/>
      <c r="O764" s="211" t="n"/>
      <c r="P764" s="400" t="n"/>
      <c r="Q764" s="401" t="n"/>
      <c r="R764" s="168" t="inlineStr"/>
      <c r="S764" s="168" t="inlineStr"/>
      <c r="T764" s="168" t="inlineStr"/>
      <c r="U764" s="168" t="inlineStr"/>
      <c r="V764" s="402" t="n"/>
      <c r="W764" s="402" t="n"/>
      <c r="X764" s="170" t="inlineStr"/>
    </row>
    <row r="765" s="308">
      <c r="A765" s="173" t="inlineStr">
        <is>
          <t>总计</t>
        </is>
      </c>
      <c r="B765" s="205" t="n"/>
      <c r="C765" s="175" t="n"/>
      <c r="D765" s="206" t="n"/>
      <c r="E765" s="206" t="inlineStr">
        <is>
          <t>台</t>
        </is>
      </c>
      <c r="F765" s="206" t="n">
        <v>1</v>
      </c>
      <c r="G765" s="414">
        <f>ROUND(H764,2)</f>
        <v/>
      </c>
      <c r="H765" s="414">
        <f>ROUND(F765*G765,2)</f>
        <v/>
      </c>
      <c r="I765" s="185" t="n"/>
      <c r="J765" s="415" t="n"/>
      <c r="K765" s="416">
        <f>ROUND(K764*F765,2)</f>
        <v/>
      </c>
      <c r="L765" s="214" t="n"/>
      <c r="M765" s="417" t="n"/>
      <c r="N765" s="216" t="n"/>
      <c r="O765" s="217" t="n"/>
      <c r="P765" s="418" t="n"/>
      <c r="Q765" s="401" t="n"/>
      <c r="R765" s="168" t="inlineStr"/>
      <c r="S765" s="168" t="inlineStr"/>
      <c r="T765" s="168" t="inlineStr"/>
      <c r="U765" s="168" t="inlineStr"/>
      <c r="V765" s="402" t="n"/>
      <c r="W765" s="402" t="n"/>
      <c r="X765" s="170" t="inlineStr"/>
    </row>
    <row r="766" customFormat="1" s="4">
      <c r="A766" s="6" t="n"/>
      <c r="B766" s="195" t="inlineStr"/>
      <c r="C766" s="195" t="inlineStr"/>
      <c r="D766" s="195" t="inlineStr"/>
      <c r="Q766" s="159" t="n"/>
      <c r="R766" s="159" t="n"/>
      <c r="S766" s="159" t="n"/>
      <c r="T766" s="159" t="n"/>
      <c r="U766" s="159" t="n"/>
      <c r="X766" s="195" t="inlineStr"/>
    </row>
    <row r="767" customFormat="1" s="4">
      <c r="A767" s="6" t="n"/>
      <c r="B767" s="195" t="inlineStr"/>
      <c r="C767" s="195" t="inlineStr"/>
      <c r="D767" s="195" t="inlineStr"/>
      <c r="Q767" s="159" t="n"/>
      <c r="R767" s="159" t="n"/>
      <c r="S767" s="159" t="n"/>
      <c r="T767" s="159" t="n"/>
      <c r="U767" s="159" t="n"/>
      <c r="X767" s="195" t="inlineStr"/>
    </row>
    <row r="768" s="308">
      <c r="A768" s="208">
        <f>CONCATENATE("报价人：",项目信息!$B$8)</f>
        <v/>
      </c>
      <c r="B768" s="208" t="n"/>
      <c r="C768" s="4" t="n"/>
      <c r="D768" s="4" t="n"/>
      <c r="E768" s="4" t="n"/>
      <c r="F768" s="4" t="n"/>
      <c r="G768" s="4" t="n"/>
      <c r="H768" s="178">
        <f>项目信息!$B$9</f>
        <v/>
      </c>
      <c r="Q768" s="159" t="n"/>
      <c r="R768" s="159" t="n"/>
      <c r="S768" s="159" t="n"/>
      <c r="T768" s="159" t="n"/>
      <c r="U768" s="159" t="n"/>
      <c r="X768" s="203" t="inlineStr"/>
    </row>
    <row r="769" s="308">
      <c r="A769" s="8">
        <f>T(项目信息!$B$22)</f>
        <v/>
      </c>
      <c r="Q769" s="159" t="n"/>
      <c r="R769" s="159" t="n"/>
      <c r="S769" s="159" t="n"/>
      <c r="T769" s="159" t="n"/>
      <c r="U769" s="159" t="n"/>
    </row>
    <row r="770" s="308">
      <c r="A770" s="9">
        <f>T(项目信息!$B$23)</f>
        <v/>
      </c>
      <c r="Q770" s="159" t="n"/>
      <c r="R770" s="159" t="n"/>
      <c r="S770" s="159" t="n"/>
      <c r="T770" s="159" t="n"/>
      <c r="U770" s="159" t="n"/>
    </row>
    <row r="771" s="308">
      <c r="A771" s="97" t="inlineStr">
        <is>
          <t>成套产品报价明细表</t>
        </is>
      </c>
      <c r="B771" s="378" t="n"/>
      <c r="C771" s="378" t="n"/>
      <c r="D771" s="378" t="n"/>
      <c r="E771" s="378" t="n"/>
      <c r="F771" s="378" t="n"/>
      <c r="G771" s="378" t="n"/>
      <c r="H771" s="378" t="n"/>
      <c r="I771" s="378" t="n"/>
      <c r="Q771" s="159" t="n"/>
      <c r="R771" s="159" t="n"/>
      <c r="S771" s="159" t="n"/>
      <c r="T771" s="159" t="n"/>
      <c r="U771" s="159" t="n"/>
    </row>
    <row r="772" customFormat="1" s="4">
      <c r="A772" s="98" t="inlineStr">
        <is>
          <t>柜号:</t>
        </is>
      </c>
      <c r="B772" s="99" t="inlineStr">
        <is>
          <t>BAN4-04</t>
        </is>
      </c>
      <c r="C772" s="100" t="inlineStr">
        <is>
          <t>型号:</t>
        </is>
      </c>
      <c r="D772" s="99" t="inlineStr">
        <is>
          <t>BlokSeT</t>
        </is>
      </c>
      <c r="E772" s="379" t="n"/>
      <c r="F772" s="101" t="inlineStr">
        <is>
          <t>名称:</t>
        </is>
      </c>
      <c r="G772" s="99" t="inlineStr">
        <is>
          <t>馈线柜</t>
        </is>
      </c>
      <c r="H772" s="379" t="n"/>
      <c r="I772" s="408" t="inlineStr"/>
      <c r="J772" s="194" t="inlineStr">
        <is>
          <t>箱柜尺寸:</t>
        </is>
      </c>
      <c r="K772" s="195" t="inlineStr">
        <is>
          <t>600W*1200D*2200H</t>
        </is>
      </c>
      <c r="L772" s="194" t="inlineStr">
        <is>
          <t>类别:</t>
        </is>
      </c>
      <c r="M772" s="195" t="inlineStr">
        <is>
          <t>低压固定柜</t>
        </is>
      </c>
      <c r="N772" s="409" t="inlineStr"/>
      <c r="Q772" s="159" t="n"/>
      <c r="R772" s="159" t="n"/>
      <c r="S772" s="159" t="n"/>
      <c r="T772" s="159" t="n"/>
      <c r="U772" s="159" t="n"/>
    </row>
    <row r="773" ht="20.1" customHeight="1" s="308">
      <c r="A773" s="102" t="inlineStr">
        <is>
          <t>序号</t>
        </is>
      </c>
      <c r="B773" s="103" t="inlineStr">
        <is>
          <t>元件名称</t>
        </is>
      </c>
      <c r="C773" s="103" t="inlineStr">
        <is>
          <t>型号规格</t>
        </is>
      </c>
      <c r="D773" s="104" t="inlineStr">
        <is>
          <t>生产厂家</t>
        </is>
      </c>
      <c r="E773" s="105" t="inlineStr">
        <is>
          <t>单位</t>
        </is>
      </c>
      <c r="F773" s="105" t="inlineStr">
        <is>
          <t>数量</t>
        </is>
      </c>
      <c r="G773" s="382" t="inlineStr">
        <is>
          <t>单   价</t>
        </is>
      </c>
      <c r="H773" s="383" t="inlineStr">
        <is>
          <t>总   价</t>
        </is>
      </c>
      <c r="I773" s="134" t="inlineStr">
        <is>
          <t>备注</t>
        </is>
      </c>
      <c r="J773" s="384" t="inlineStr">
        <is>
          <t>成本单价</t>
        </is>
      </c>
      <c r="K773" s="384" t="inlineStr">
        <is>
          <t>成本总价</t>
        </is>
      </c>
      <c r="L773" s="136" t="inlineStr">
        <is>
          <t>报出
系数</t>
        </is>
      </c>
      <c r="M773" s="384" t="inlineStr">
        <is>
          <t>表价</t>
        </is>
      </c>
      <c r="N773" s="136" t="inlineStr">
        <is>
          <t>折扣
系数</t>
        </is>
      </c>
      <c r="O773" s="137" t="inlineStr">
        <is>
          <t>取费
系数</t>
        </is>
      </c>
      <c r="P773" s="384" t="inlineStr">
        <is>
          <t>成套费</t>
        </is>
      </c>
      <c r="Q773" s="161" t="inlineStr">
        <is>
          <t>类别</t>
        </is>
      </c>
      <c r="R773" s="161" t="inlineStr">
        <is>
          <t>物料编码</t>
        </is>
      </c>
      <c r="S773" s="161" t="inlineStr">
        <is>
          <t>产地</t>
        </is>
      </c>
      <c r="T773" s="161" t="inlineStr">
        <is>
          <t>加工费</t>
        </is>
      </c>
      <c r="U773" s="161" t="inlineStr">
        <is>
          <t>订货号</t>
        </is>
      </c>
      <c r="V773" s="161" t="inlineStr">
        <is>
          <t>人工</t>
        </is>
      </c>
      <c r="W773" s="161" t="inlineStr">
        <is>
          <t>辅料</t>
        </is>
      </c>
      <c r="X773" s="203" t="inlineStr"/>
    </row>
    <row r="774" s="308">
      <c r="A774" s="64">
        <f>ROW()-ROW(A$773)</f>
        <v/>
      </c>
      <c r="B774" s="22" t="inlineStr">
        <is>
          <t>框架断路器</t>
        </is>
      </c>
      <c r="C774" s="22" t="inlineStr">
        <is>
          <t>MT10 N1a SG 3P MIC5.0 E</t>
        </is>
      </c>
      <c r="D774" s="22" t="inlineStr">
        <is>
          <t>甲供/施耐德电气</t>
        </is>
      </c>
      <c r="E774" s="23" t="inlineStr">
        <is>
          <t>只</t>
        </is>
      </c>
      <c r="F774" s="23" t="n">
        <v>1</v>
      </c>
      <c r="G774" s="349">
        <f>IF(AND(B774="",C774=""),"",ROUND(M774*L774*N774,2))</f>
        <v/>
      </c>
      <c r="H774" s="349">
        <f>IF(AND(B774="",C774=""),"",ROUND(F774*G774,2))</f>
        <v/>
      </c>
      <c r="I774" s="45" t="inlineStr"/>
      <c r="J774" s="397">
        <f>IF(AND(B774="",C774=""),"",ROUND(M774*N774,2))</f>
        <v/>
      </c>
      <c r="K774" s="398">
        <f>IF(AND(B774="",C774=""),"",ROUND(J774*F774,2))</f>
        <v/>
      </c>
      <c r="L774" s="200" t="n">
        <v>1</v>
      </c>
      <c r="M774" s="399" t="n">
        <v>1e-07</v>
      </c>
      <c r="N774" s="154" t="n">
        <v>1</v>
      </c>
      <c r="O774" s="155">
        <f>IF(AND(B774="",C774=""),"",IF(G774&gt;=20000,0.05,IF(G774&gt;=10000,0.1,IF(G774&gt;=5000,0.2,IF(G774&gt;=1000,0.3,IF(G774&gt;=0,0.4,{0}))))))</f>
        <v/>
      </c>
      <c r="P774" s="400">
        <f>IF(AND(B774="",C774=""),"",ROUND(H774*O774,2))</f>
        <v/>
      </c>
      <c r="Q774" s="401" t="inlineStr">
        <is>
          <t>元件</t>
        </is>
      </c>
      <c r="R774" s="168" t="inlineStr"/>
      <c r="S774" s="168" t="inlineStr"/>
      <c r="T774" s="168" t="inlineStr">
        <is>
          <t>0</t>
        </is>
      </c>
      <c r="U774" s="168" t="inlineStr">
        <is>
          <t>C16F32D160</t>
        </is>
      </c>
      <c r="V774" s="402" t="n"/>
      <c r="W774" s="402" t="n"/>
      <c r="X774" s="170" t="inlineStr">
        <is>
          <t>NSX630N Mic2.3 630A 3P3D F→NSX630F MIC2.3 630 3P F→NSX630F MIC 2.3 630 3P F</t>
        </is>
      </c>
    </row>
    <row r="775" s="308">
      <c r="A775" s="64">
        <f>ROW()-ROW(A$773)</f>
        <v/>
      </c>
      <c r="B775" s="22" t="inlineStr">
        <is>
          <t>塑壳断路器</t>
        </is>
      </c>
      <c r="C775" s="22" t="inlineStr">
        <is>
          <t>NSX160H TM160D 3P3D P</t>
        </is>
      </c>
      <c r="D775" s="22" t="inlineStr">
        <is>
          <t>甲供/施耐德电气</t>
        </is>
      </c>
      <c r="E775" s="23" t="inlineStr">
        <is>
          <t>只</t>
        </is>
      </c>
      <c r="F775" s="23" t="n">
        <v>2</v>
      </c>
      <c r="G775" s="349">
        <f>IF(AND(B775="",C775=""),"",ROUND(M775*L775*N775,2))</f>
        <v/>
      </c>
      <c r="H775" s="349">
        <f>IF(AND(B775="",C775=""),"",ROUND(F775*G775,2))</f>
        <v/>
      </c>
      <c r="I775" s="45" t="inlineStr"/>
      <c r="J775" s="397">
        <f>IF(AND(B775="",C775=""),"",ROUND(M775*N775,2))</f>
        <v/>
      </c>
      <c r="K775" s="398">
        <f>IF(AND(B775="",C775=""),"",ROUND(J775*F775,2))</f>
        <v/>
      </c>
      <c r="L775" s="200" t="n">
        <v>1</v>
      </c>
      <c r="M775" s="399" t="n">
        <v>1e-07</v>
      </c>
      <c r="N775" s="154" t="n">
        <v>1</v>
      </c>
      <c r="O775" s="155">
        <f>IF(AND(B775="",C775=""),"",IF(G775&gt;=20000,0.05,IF(G775&gt;=10000,0.1,IF(G775&gt;=5000,0.2,IF(G775&gt;=1000,0.3,IF(G775&gt;=0,0.4,{0}))))))</f>
        <v/>
      </c>
      <c r="P775" s="400">
        <f>IF(AND(B775="",C775=""),"",ROUND(H775*O775,2))</f>
        <v/>
      </c>
      <c r="Q775" s="401" t="inlineStr">
        <is>
          <t>元件</t>
        </is>
      </c>
      <c r="R775" s="168" t="inlineStr"/>
      <c r="S775" s="168" t="inlineStr"/>
      <c r="T775" s="168" t="inlineStr">
        <is>
          <t>0</t>
        </is>
      </c>
      <c r="U775" s="168" t="inlineStr">
        <is>
          <t>C16F32D160</t>
        </is>
      </c>
      <c r="V775" s="402" t="n"/>
      <c r="W775" s="402" t="n"/>
      <c r="X775" s="170" t="inlineStr">
        <is>
          <t>NSX630N Mic2.3 630A 3P3D F→NSX630F MIC2.3 630 3P F→NSX630F MIC 2.3 630 3P F</t>
        </is>
      </c>
    </row>
    <row r="776" s="308">
      <c r="A776" s="64">
        <f>ROW()-ROW(A$773)</f>
        <v/>
      </c>
      <c r="B776" s="22" t="inlineStr">
        <is>
          <t>塑壳断路器</t>
        </is>
      </c>
      <c r="C776" s="22" t="inlineStr">
        <is>
          <t>NSX400H Mic2.3 400A 3P3D P</t>
        </is>
      </c>
      <c r="D776" s="22" t="inlineStr">
        <is>
          <t>甲供/施耐德电气</t>
        </is>
      </c>
      <c r="E776" s="23" t="inlineStr">
        <is>
          <t>只</t>
        </is>
      </c>
      <c r="F776" s="23" t="n">
        <v>1</v>
      </c>
      <c r="G776" s="349">
        <f>IF(AND(B776="",C776=""),"",ROUND(M776*L776*N776,2))</f>
        <v/>
      </c>
      <c r="H776" s="349">
        <f>IF(AND(B776="",C776=""),"",ROUND(F776*G776,2))</f>
        <v/>
      </c>
      <c r="I776" s="45" t="inlineStr"/>
      <c r="J776" s="397">
        <f>IF(AND(B776="",C776=""),"",ROUND(M776*N776,2))</f>
        <v/>
      </c>
      <c r="K776" s="398">
        <f>IF(AND(B776="",C776=""),"",ROUND(J776*F776,2))</f>
        <v/>
      </c>
      <c r="L776" s="200" t="n">
        <v>1</v>
      </c>
      <c r="M776" s="399" t="n">
        <v>1e-07</v>
      </c>
      <c r="N776" s="154" t="n">
        <v>1</v>
      </c>
      <c r="O776" s="155">
        <f>IF(AND(B776="",C776=""),"",IF(G776&gt;=20000,0.05,IF(G776&gt;=10000,0.1,IF(G776&gt;=5000,0.2,IF(G776&gt;=1000,0.3,IF(G776&gt;=0,0.4,{0}))))))</f>
        <v/>
      </c>
      <c r="P776" s="400">
        <f>IF(AND(B776="",C776=""),"",ROUND(H776*O776,2))</f>
        <v/>
      </c>
      <c r="Q776" s="401" t="inlineStr">
        <is>
          <t>元件</t>
        </is>
      </c>
      <c r="R776" s="168" t="inlineStr"/>
      <c r="S776" s="168" t="inlineStr"/>
      <c r="T776" s="168" t="inlineStr">
        <is>
          <t>0</t>
        </is>
      </c>
      <c r="U776" s="168" t="inlineStr"/>
      <c r="V776" s="402" t="n"/>
      <c r="W776" s="402" t="n"/>
      <c r="X776" s="170" t="inlineStr"/>
    </row>
    <row r="777" s="308">
      <c r="A777" s="64">
        <f>ROW()-ROW(A$773)</f>
        <v/>
      </c>
      <c r="B777" s="22" t="inlineStr">
        <is>
          <t>电流互感器</t>
        </is>
      </c>
      <c r="C777" s="22" t="inlineStr">
        <is>
          <t>SD-0.66-30I 150/5A</t>
        </is>
      </c>
      <c r="D777" s="22" t="inlineStr">
        <is>
          <t>桑迪</t>
        </is>
      </c>
      <c r="E777" s="23" t="inlineStr">
        <is>
          <t>只</t>
        </is>
      </c>
      <c r="F777" s="23" t="n">
        <v>6</v>
      </c>
      <c r="G777" s="349">
        <f>IF(AND(B777="",C777=""),"",ROUND(M777*L777*N777,2))</f>
        <v/>
      </c>
      <c r="H777" s="396">
        <f>IF(AND(B777="",C777=""),"",ROUND(F777*G777,2))</f>
        <v/>
      </c>
      <c r="I777" s="219" t="inlineStr"/>
      <c r="J777" s="397">
        <f>IF(AND(B777="",C777=""),"",ROUND(M777*N777,2))</f>
        <v/>
      </c>
      <c r="K777" s="398">
        <f>IF(AND(B777="",C777=""),"",ROUND(J777*F777,2))</f>
        <v/>
      </c>
      <c r="L777" s="200" t="n">
        <v>1</v>
      </c>
      <c r="M777" s="399" t="n">
        <v>29.95</v>
      </c>
      <c r="N777" s="154" t="n">
        <v>1</v>
      </c>
      <c r="O777" s="155">
        <f>IF(AND(B777="",C777=""),"",IF(G777&gt;=20000,0.05,IF(G777&gt;=10000,0.1,IF(G777&gt;=5000,0.2,IF(G777&gt;=1000,0.3,IF(G777&gt;=0,0.4,{0}))))))</f>
        <v/>
      </c>
      <c r="P777" s="400">
        <f>IF(AND(B777="",C777=""),"",ROUND(H777*O777,2))</f>
        <v/>
      </c>
      <c r="Q777" s="401" t="inlineStr">
        <is>
          <t>元件</t>
        </is>
      </c>
      <c r="R777" s="168" t="inlineStr"/>
      <c r="S777" s="168" t="inlineStr"/>
      <c r="T777" s="168" t="inlineStr">
        <is>
          <t>0</t>
        </is>
      </c>
      <c r="U777" s="168" t="inlineStr">
        <is>
          <t>710140200000049</t>
        </is>
      </c>
      <c r="V777" s="402" t="n"/>
      <c r="W777" s="402" t="n"/>
      <c r="X777" s="170" t="inlineStr">
        <is>
          <t>SD→SD-0.66-40II-C 400/5A→SD-0.66-30I 250/5A→SD-0.66-30I 150/5A→SD-0.66-60II-C 750/5A→SD-0.66-60II-C 600/5A→SD-0.66-30I 150/5A→SD-0.66-40II-C 400/5A→SD-0.66-100II-C 1600/5A→SD-0.66-80II-V 1000/5A</t>
        </is>
      </c>
    </row>
    <row r="778" s="308">
      <c r="A778" s="64">
        <f>ROW()-ROW(A$773)</f>
        <v/>
      </c>
      <c r="B778" s="22" t="inlineStr">
        <is>
          <t>电流互感器</t>
        </is>
      </c>
      <c r="C778" s="22" t="inlineStr">
        <is>
          <t>SD-0.66-40II-C 400/5A</t>
        </is>
      </c>
      <c r="D778" s="22" t="inlineStr">
        <is>
          <t>桑迪</t>
        </is>
      </c>
      <c r="E778" s="23" t="inlineStr">
        <is>
          <t>只</t>
        </is>
      </c>
      <c r="F778" s="23" t="n">
        <v>3</v>
      </c>
      <c r="G778" s="349">
        <f>IF(AND(B778="",C778=""),"",ROUND(M778*L778*N778,2))</f>
        <v/>
      </c>
      <c r="H778" s="396">
        <f>IF(AND(B778="",C778=""),"",ROUND(F778*G778,2))</f>
        <v/>
      </c>
      <c r="I778" s="219" t="inlineStr"/>
      <c r="J778" s="397">
        <f>IF(AND(B778="",C778=""),"",ROUND(M778*N778,2))</f>
        <v/>
      </c>
      <c r="K778" s="398">
        <f>IF(AND(B778="",C778=""),"",ROUND(J778*F778,2))</f>
        <v/>
      </c>
      <c r="L778" s="200" t="n">
        <v>1</v>
      </c>
      <c r="M778" s="399" t="n">
        <v>52</v>
      </c>
      <c r="N778" s="154" t="n">
        <v>1</v>
      </c>
      <c r="O778" s="155">
        <f>IF(AND(B778="",C778=""),"",IF(G778&gt;=20000,0.05,IF(G778&gt;=10000,0.1,IF(G778&gt;=5000,0.2,IF(G778&gt;=1000,0.3,IF(G778&gt;=0,0.4,{0}))))))</f>
        <v/>
      </c>
      <c r="P778" s="400">
        <f>IF(AND(B778="",C778=""),"",ROUND(H778*O778,2))</f>
        <v/>
      </c>
      <c r="Q778" s="401" t="inlineStr">
        <is>
          <t>元件</t>
        </is>
      </c>
      <c r="R778" s="168" t="inlineStr"/>
      <c r="S778" s="168" t="inlineStr"/>
      <c r="T778" s="168" t="inlineStr">
        <is>
          <t>0</t>
        </is>
      </c>
      <c r="U778" s="168" t="inlineStr">
        <is>
          <t>710140200000049</t>
        </is>
      </c>
      <c r="V778" s="402" t="n"/>
      <c r="W778" s="402" t="n"/>
      <c r="X778" s="170" t="inlineStr">
        <is>
          <t>SD→SD-0.66-40II-C 400/5A→SD-0.66-30I 250/5A→SD-0.66-30I 150/5A→SD-0.66-60II-C 750/5A→SD-0.66-60II-C 600/5A→SD-0.66-30I 150/5A→SD-0.66-40II-C 400/5A→SD-0.66-100II-C 1600/5A→SD-0.66-80II-V 1000/5A</t>
        </is>
      </c>
    </row>
    <row r="779" s="308">
      <c r="A779" s="64">
        <f>ROW()-ROW(A$773)</f>
        <v/>
      </c>
      <c r="B779" s="22" t="inlineStr">
        <is>
          <t>电流互感器</t>
        </is>
      </c>
      <c r="C779" s="22" t="inlineStr">
        <is>
          <t>SD-0.66-80II-V 1000/5A</t>
        </is>
      </c>
      <c r="D779" s="22" t="inlineStr">
        <is>
          <t>桑迪</t>
        </is>
      </c>
      <c r="E779" s="23" t="inlineStr">
        <is>
          <t>只</t>
        </is>
      </c>
      <c r="F779" s="23" t="n">
        <v>3</v>
      </c>
      <c r="G779" s="349">
        <f>IF(AND(B779="",C779=""),"",ROUND(M779*L779*N779,2))</f>
        <v/>
      </c>
      <c r="H779" s="396">
        <f>IF(AND(B779="",C779=""),"",ROUND(F779*G779,2))</f>
        <v/>
      </c>
      <c r="I779" s="219" t="inlineStr"/>
      <c r="J779" s="397">
        <f>IF(AND(B779="",C779=""),"",ROUND(M779*N779,2))</f>
        <v/>
      </c>
      <c r="K779" s="398">
        <f>IF(AND(B779="",C779=""),"",ROUND(J779*F779,2))</f>
        <v/>
      </c>
      <c r="L779" s="200" t="n">
        <v>1</v>
      </c>
      <c r="M779" s="399" t="n">
        <v>91.65000000000001</v>
      </c>
      <c r="N779" s="154" t="n">
        <v>1</v>
      </c>
      <c r="O779" s="155">
        <f>IF(AND(B779="",C779=""),"",IF(G779&gt;=20000,0.05,IF(G779&gt;=10000,0.1,IF(G779&gt;=5000,0.2,IF(G779&gt;=1000,0.3,IF(G779&gt;=0,0.4,{0}))))))</f>
        <v/>
      </c>
      <c r="P779" s="400">
        <f>IF(AND(B779="",C779=""),"",ROUND(H779*O779,2))</f>
        <v/>
      </c>
      <c r="Q779" s="401" t="inlineStr">
        <is>
          <t>元件</t>
        </is>
      </c>
      <c r="R779" s="168" t="inlineStr"/>
      <c r="S779" s="168" t="inlineStr"/>
      <c r="T779" s="168" t="inlineStr">
        <is>
          <t>0</t>
        </is>
      </c>
      <c r="U779" s="168" t="inlineStr">
        <is>
          <t>710141426552500</t>
        </is>
      </c>
      <c r="V779" s="402" t="n"/>
      <c r="W779" s="402" t="n"/>
      <c r="X779" s="170" t="inlineStr">
        <is>
          <t>SD→SD-0.66-40II-C 400/5A→SD-0.66-30I 250/5A→SD-0.66-30I 150/5A→SD-0.66-60II-C 750/5A→SD-0.66-60II-C 600/5A→SD-0.66-30I 150/5A→SD-0.66-40II-C 400/5A→SD-0.66-100II-C 1600/5A→SD-0.66-80II-V 1000/5A→SD-0.66-40II-C 400/5A→SD-0.66-60II-C 600/5A→SD-0.66-M8 100/5A</t>
        </is>
      </c>
    </row>
    <row r="780" s="308">
      <c r="A780" s="64">
        <f>ROW()-ROW(A$773)</f>
        <v/>
      </c>
      <c r="B780" s="112" t="inlineStr">
        <is>
          <t>多功能表</t>
        </is>
      </c>
      <c r="C780" s="112" t="inlineStr">
        <is>
          <t>PM4101</t>
        </is>
      </c>
      <c r="D780" s="112" t="inlineStr">
        <is>
          <t>甲供/施耐德电气</t>
        </is>
      </c>
      <c r="E780" s="114" t="inlineStr">
        <is>
          <t>只</t>
        </is>
      </c>
      <c r="F780" s="114" t="n">
        <v>3</v>
      </c>
      <c r="G780" s="396">
        <f>IF(AND(B780="",C780=""),"",ROUND(M780*L780*N780,2))</f>
        <v/>
      </c>
      <c r="H780" s="349">
        <f>IF(AND(B780="",C780=""),"",ROUND(F780*G780,2))</f>
        <v/>
      </c>
      <c r="I780" s="45" t="inlineStr"/>
      <c r="J780" s="397">
        <f>IF(AND(B780="",C780=""),"",ROUND(M780*N780,2))</f>
        <v/>
      </c>
      <c r="K780" s="398">
        <f>IF(AND(B780="",C780=""),"",ROUND(J780*F780,2))</f>
        <v/>
      </c>
      <c r="L780" s="200" t="n">
        <v>1</v>
      </c>
      <c r="M780" s="399" t="n">
        <v>1e-07</v>
      </c>
      <c r="N780" s="154" t="n">
        <v>1</v>
      </c>
      <c r="O780" s="155">
        <f>IF(AND(B780="",C780=""),"",IF(J780&gt;=20000,0.05,IF(J780&gt;=10000,0.1,IF(J780&gt;=5000,0.2,IF(J780&gt;=1000,0.3,IF(J780&gt;=0,0.4,{0}))))))</f>
        <v/>
      </c>
      <c r="P780" s="400">
        <f>IF(AND(B780="",C780=""),"",ROUND(H780*O780,2))</f>
        <v/>
      </c>
      <c r="Q780" s="401" t="inlineStr">
        <is>
          <t>元件</t>
        </is>
      </c>
      <c r="R780" s="168" t="inlineStr"/>
      <c r="S780" s="168" t="inlineStr"/>
      <c r="T780" s="168" t="inlineStr">
        <is>
          <t>0</t>
        </is>
      </c>
      <c r="U780" s="168" t="inlineStr"/>
      <c r="V780" s="402" t="n"/>
      <c r="W780" s="402" t="n"/>
      <c r="X780" s="170" t="inlineStr"/>
    </row>
    <row r="781" customFormat="1" s="3">
      <c r="A781" s="64">
        <f>ROW()-ROW(A$773)</f>
        <v/>
      </c>
      <c r="B781" s="22" t="inlineStr">
        <is>
          <t>指示灯</t>
        </is>
      </c>
      <c r="C781" s="22" t="inlineStr">
        <is>
          <t>XB2BVM3LC</t>
        </is>
      </c>
      <c r="D781" s="22" t="inlineStr">
        <is>
          <t>甲供/施耐德电气</t>
        </is>
      </c>
      <c r="E781" s="23" t="inlineStr">
        <is>
          <t>只</t>
        </is>
      </c>
      <c r="F781" s="23" t="n">
        <v>3</v>
      </c>
      <c r="G781" s="349">
        <f>IF(AND(B781="",C781=""),"",ROUND(M781*L781*N781,2))</f>
        <v/>
      </c>
      <c r="H781" s="353">
        <f>IF(AND(B781="",C781=""),"",ROUND(F781*G781,2))</f>
        <v/>
      </c>
      <c r="I781" s="180" t="inlineStr"/>
      <c r="J781" s="392">
        <f>IF(AND(B781="",C781=""),"",ROUND(M781*N781,2))</f>
        <v/>
      </c>
      <c r="K781" s="393">
        <f>IF(AND(B781="",C781=""),"",ROUND(J781*F781,2))</f>
        <v/>
      </c>
      <c r="L781" s="141" t="n">
        <v>1</v>
      </c>
      <c r="M781" s="394" t="n">
        <v>1e-07</v>
      </c>
      <c r="N781" s="220" t="n">
        <v>1</v>
      </c>
      <c r="O781" s="221">
        <f>IF(AND(B781="",C781=""),"",IF(G781&gt;=20000,0.05,IF(G781&gt;=10000,0.1,IF(G781&gt;=5000,0.2,IF(G781&gt;=1000,0.3,IF(G781&gt;=0,0.4,{0}))))))</f>
        <v/>
      </c>
      <c r="P781" s="419">
        <f>IF(AND(B781="",C781=""),"",ROUND(H781*O781,2))</f>
        <v/>
      </c>
      <c r="Q781" s="420" t="inlineStr">
        <is>
          <t>元件</t>
        </is>
      </c>
      <c r="R781" s="231" t="inlineStr"/>
      <c r="S781" s="231" t="inlineStr"/>
      <c r="T781" s="231" t="inlineStr">
        <is>
          <t>0</t>
        </is>
      </c>
      <c r="U781" s="231" t="inlineStr">
        <is>
          <t>XB2BVM3LC</t>
        </is>
      </c>
      <c r="V781" s="421" t="n"/>
      <c r="W781" s="421" t="n"/>
      <c r="X781" s="166" t="inlineStr">
        <is>
          <t>XA2EVM3LC</t>
        </is>
      </c>
    </row>
    <row r="782" customFormat="1" s="3">
      <c r="A782" s="64">
        <f>ROW()-ROW(A$773)</f>
        <v/>
      </c>
      <c r="B782" s="22" t="inlineStr">
        <is>
          <t>指示灯</t>
        </is>
      </c>
      <c r="C782" s="22" t="inlineStr">
        <is>
          <t>XB2BVM4LC</t>
        </is>
      </c>
      <c r="D782" s="22" t="inlineStr">
        <is>
          <t>甲供/施耐德电气</t>
        </is>
      </c>
      <c r="E782" s="23" t="inlineStr">
        <is>
          <t>只</t>
        </is>
      </c>
      <c r="F782" s="23" t="n">
        <v>3</v>
      </c>
      <c r="G782" s="349">
        <f>IF(AND(B782="",C782=""),"",ROUND(M782*L782*N782,2))</f>
        <v/>
      </c>
      <c r="H782" s="353">
        <f>IF(AND(B782="",C782=""),"",ROUND(F782*G782,2))</f>
        <v/>
      </c>
      <c r="I782" s="180" t="inlineStr"/>
      <c r="J782" s="392">
        <f>IF(AND(B782="",C782=""),"",ROUND(M782*N782,2))</f>
        <v/>
      </c>
      <c r="K782" s="393">
        <f>IF(AND(B782="",C782=""),"",ROUND(J782*F782,2))</f>
        <v/>
      </c>
      <c r="L782" s="141" t="n">
        <v>1</v>
      </c>
      <c r="M782" s="394" t="n">
        <v>1e-07</v>
      </c>
      <c r="N782" s="220" t="n">
        <v>1</v>
      </c>
      <c r="O782" s="221">
        <f>IF(AND(B782="",C782=""),"",IF(G782&gt;=20000,0.05,IF(G782&gt;=10000,0.1,IF(G782&gt;=5000,0.2,IF(G782&gt;=1000,0.3,IF(G782&gt;=0,0.4,{0}))))))</f>
        <v/>
      </c>
      <c r="P782" s="419">
        <f>IF(AND(B782="",C782=""),"",ROUND(H782*O782,2))</f>
        <v/>
      </c>
      <c r="Q782" s="420" t="inlineStr">
        <is>
          <t>元件</t>
        </is>
      </c>
      <c r="R782" s="231" t="inlineStr"/>
      <c r="S782" s="231" t="inlineStr"/>
      <c r="T782" s="231" t="inlineStr">
        <is>
          <t>0</t>
        </is>
      </c>
      <c r="U782" s="231" t="inlineStr">
        <is>
          <t>XB2BVM4LC</t>
        </is>
      </c>
      <c r="V782" s="421" t="n"/>
      <c r="W782" s="421" t="n"/>
      <c r="X782" s="166" t="inlineStr">
        <is>
          <t>XA2EVM4LC</t>
        </is>
      </c>
    </row>
    <row r="783" s="308">
      <c r="A783" s="64">
        <f>ROW()-ROW(A$773)</f>
        <v/>
      </c>
      <c r="B783" s="112" t="inlineStr">
        <is>
          <t>指示灯</t>
        </is>
      </c>
      <c r="C783" s="112" t="inlineStr">
        <is>
          <t>XB2BVM5LC</t>
        </is>
      </c>
      <c r="D783" s="112" t="inlineStr">
        <is>
          <t>甲供/施耐德电气</t>
        </is>
      </c>
      <c r="E783" s="114" t="inlineStr">
        <is>
          <t>只</t>
        </is>
      </c>
      <c r="F783" s="114" t="n">
        <v>1</v>
      </c>
      <c r="G783" s="396">
        <f>IF(AND(B783="",C783=""),"",ROUND(M783*L783*N783,2))</f>
        <v/>
      </c>
      <c r="H783" s="396">
        <f>IF(AND(B783="",C783=""),"",ROUND(F783*G783,2))</f>
        <v/>
      </c>
      <c r="I783" s="150" t="inlineStr"/>
      <c r="J783" s="397">
        <f>IF(AND(B783="",C783=""),"",ROUND(M783*N783,2))</f>
        <v/>
      </c>
      <c r="K783" s="398">
        <f>IF(AND(B783="",C783=""),"",ROUND(J783*F783,2))</f>
        <v/>
      </c>
      <c r="L783" s="141" t="n">
        <v>1</v>
      </c>
      <c r="M783" s="399" t="n">
        <v>1e-07</v>
      </c>
      <c r="N783" s="154" t="n">
        <v>1</v>
      </c>
      <c r="O783" s="155">
        <f>IF(AND(B783="",C783=""),"",IF(G783&gt;=20000,0.05,IF(G783&gt;=10000,0.1,IF(G783&gt;=5000,0.2,IF(G783&gt;=1000,0.3,IF(G783&gt;=0,0.4,{0}))))))</f>
        <v/>
      </c>
      <c r="P783" s="400">
        <f>IF(AND(B783="",C783=""),"",ROUND(H783*O783,2))</f>
        <v/>
      </c>
      <c r="Q783" s="401" t="inlineStr">
        <is>
          <t>元件</t>
        </is>
      </c>
      <c r="R783" s="168" t="inlineStr"/>
      <c r="S783" s="168" t="inlineStr"/>
      <c r="T783" s="168" t="inlineStr">
        <is>
          <t>0</t>
        </is>
      </c>
      <c r="U783" s="168" t="inlineStr">
        <is>
          <t>XA2EVM5LC</t>
        </is>
      </c>
      <c r="V783" s="402" t="n"/>
      <c r="W783" s="402" t="n"/>
      <c r="X783" s="170" t="inlineStr"/>
    </row>
    <row r="784" s="308">
      <c r="A784" s="64">
        <f>ROW()-ROW(A$773)</f>
        <v/>
      </c>
      <c r="B784" s="112" t="inlineStr">
        <is>
          <t>按钮</t>
        </is>
      </c>
      <c r="C784" s="112" t="inlineStr">
        <is>
          <t>XB2BA31C</t>
        </is>
      </c>
      <c r="D784" s="112" t="inlineStr">
        <is>
          <t>甲供/施耐德电气</t>
        </is>
      </c>
      <c r="E784" s="114" t="inlineStr">
        <is>
          <t>只</t>
        </is>
      </c>
      <c r="F784" s="114" t="n">
        <v>1</v>
      </c>
      <c r="G784" s="396">
        <f>IF(AND(B784="",C784=""),"",ROUND(M784*L784*N784,2))</f>
        <v/>
      </c>
      <c r="H784" s="396">
        <f>IF(AND(B784="",C784=""),"",ROUND(F784*G784,2))</f>
        <v/>
      </c>
      <c r="I784" s="150" t="inlineStr"/>
      <c r="J784" s="397">
        <f>IF(AND(B784="",C784=""),"",ROUND(M784*N784,2))</f>
        <v/>
      </c>
      <c r="K784" s="398">
        <f>IF(AND(B784="",C784=""),"",ROUND(J784*F784,2))</f>
        <v/>
      </c>
      <c r="L784" s="141" t="n">
        <v>1</v>
      </c>
      <c r="M784" s="399" t="n">
        <v>1e-07</v>
      </c>
      <c r="N784" s="154" t="n">
        <v>1</v>
      </c>
      <c r="O784" s="155">
        <f>IF(AND(B784="",C784=""),"",IF(G784&gt;=20000,0.05,IF(G784&gt;=10000,0.1,IF(G784&gt;=5000,0.2,IF(G784&gt;=1000,0.3,IF(G784&gt;=0,0.4,{0}))))))</f>
        <v/>
      </c>
      <c r="P784" s="400">
        <f>IF(AND(B784="",C784=""),"",ROUND(H784*O784,2))</f>
        <v/>
      </c>
      <c r="Q784" s="401" t="inlineStr">
        <is>
          <t>元件</t>
        </is>
      </c>
      <c r="R784" s="168" t="inlineStr"/>
      <c r="S784" s="168" t="inlineStr"/>
      <c r="T784" s="168" t="inlineStr">
        <is>
          <t>0</t>
        </is>
      </c>
      <c r="U784" s="168" t="inlineStr">
        <is>
          <t>XB2BA31C</t>
        </is>
      </c>
      <c r="V784" s="402" t="n"/>
      <c r="W784" s="402" t="n"/>
      <c r="X784" s="170" t="inlineStr">
        <is>
          <t>XA2EA31</t>
        </is>
      </c>
    </row>
    <row r="785" s="308">
      <c r="A785" s="64">
        <f>ROW()-ROW(A$773)</f>
        <v/>
      </c>
      <c r="B785" s="22" t="inlineStr">
        <is>
          <t>按钮</t>
        </is>
      </c>
      <c r="C785" s="22" t="inlineStr">
        <is>
          <t>XB2BA42C</t>
        </is>
      </c>
      <c r="D785" s="22" t="inlineStr">
        <is>
          <t>甲供/施耐德电气</t>
        </is>
      </c>
      <c r="E785" s="23" t="inlineStr">
        <is>
          <t>只</t>
        </is>
      </c>
      <c r="F785" s="23" t="n">
        <v>1</v>
      </c>
      <c r="G785" s="349">
        <f>IF(AND(B785="",C785=""),"",ROUND(M785*L785*N785,2))</f>
        <v/>
      </c>
      <c r="H785" s="396">
        <f>IF(AND(B785="",C785=""),"",ROUND(F785*G785,2))</f>
        <v/>
      </c>
      <c r="I785" s="150" t="inlineStr"/>
      <c r="J785" s="397">
        <f>IF(AND(B785="",C785=""),"",ROUND(M785*N785,2))</f>
        <v/>
      </c>
      <c r="K785" s="398">
        <f>IF(AND(B785="",C785=""),"",ROUND(J785*F785,2))</f>
        <v/>
      </c>
      <c r="L785" s="141" t="n">
        <v>1</v>
      </c>
      <c r="M785" s="399" t="n">
        <v>1e-07</v>
      </c>
      <c r="N785" s="154" t="n">
        <v>1</v>
      </c>
      <c r="O785" s="155">
        <f>IF(AND(B785="",C785=""),"",IF(G785&gt;=20000,0.05,IF(G785&gt;=10000,0.1,IF(G785&gt;=5000,0.2,IF(G785&gt;=1000,0.3,IF(G785&gt;=0,0.4,{0}))))))</f>
        <v/>
      </c>
      <c r="P785" s="400">
        <f>IF(AND(B785="",C785=""),"",ROUND(H785*O785,2))</f>
        <v/>
      </c>
      <c r="Q785" s="401" t="inlineStr">
        <is>
          <t>元件</t>
        </is>
      </c>
      <c r="R785" s="168" t="inlineStr"/>
      <c r="S785" s="168" t="inlineStr"/>
      <c r="T785" s="168" t="inlineStr">
        <is>
          <t>0</t>
        </is>
      </c>
      <c r="U785" s="168" t="inlineStr">
        <is>
          <t>XB2BA42C</t>
        </is>
      </c>
      <c r="V785" s="402" t="n"/>
      <c r="W785" s="402" t="n"/>
      <c r="X785" s="170" t="inlineStr">
        <is>
          <t>XA2EA41</t>
        </is>
      </c>
    </row>
    <row r="786" s="308">
      <c r="A786" s="64">
        <f>ROW()-ROW(A$773)</f>
        <v/>
      </c>
      <c r="B786" s="112" t="inlineStr">
        <is>
          <t>温湿度控制器</t>
        </is>
      </c>
      <c r="C786" s="112" t="inlineStr">
        <is>
          <t>ATH48G-11</t>
        </is>
      </c>
      <c r="D786" s="22" t="inlineStr">
        <is>
          <t>杭州安廷</t>
        </is>
      </c>
      <c r="E786" s="23" t="inlineStr">
        <is>
          <t>套</t>
        </is>
      </c>
      <c r="F786" s="23" t="n">
        <v>1</v>
      </c>
      <c r="G786" s="349">
        <f>IF(AND(B786="",C786=""),"",ROUND(M786*L786*N786,2))</f>
        <v/>
      </c>
      <c r="H786" s="396">
        <f>IF(AND(B786="",C786=""),"",ROUND(F786*G786,2))</f>
        <v/>
      </c>
      <c r="I786" s="150" t="inlineStr"/>
      <c r="J786" s="397">
        <f>IF(AND(B786="",C786=""),"",ROUND(M786*N786,2))</f>
        <v/>
      </c>
      <c r="K786" s="398">
        <f>IF(AND(B786="",C786=""),"",ROUND(J786*F786,2))</f>
        <v/>
      </c>
      <c r="L786" s="141" t="n">
        <v>1</v>
      </c>
      <c r="M786" s="399" t="n">
        <v>450</v>
      </c>
      <c r="N786" s="154" t="n">
        <v>1</v>
      </c>
      <c r="O786" s="155">
        <f>IF(AND(B786="",C786=""),"",IF(G786&gt;=20000,0.05,IF(G786&gt;=10000,0.1,IF(G786&gt;=5000,0.2,IF(G786&gt;=1000,0.3,IF(G786&gt;=0,0.4,{0}))))))</f>
        <v/>
      </c>
      <c r="P786" s="400">
        <f>IF(AND(B786="",C786=""),"",ROUND(H786*O786,2))</f>
        <v/>
      </c>
      <c r="Q786" s="401" t="inlineStr">
        <is>
          <t>元件</t>
        </is>
      </c>
      <c r="R786" s="168" t="inlineStr"/>
      <c r="S786" s="168" t="inlineStr"/>
      <c r="T786" s="168" t="inlineStr">
        <is>
          <t>0</t>
        </is>
      </c>
      <c r="U786" s="168" t="inlineStr"/>
      <c r="V786" s="402" t="n"/>
      <c r="W786" s="402" t="n"/>
      <c r="X786" s="170" t="inlineStr"/>
    </row>
    <row r="787" s="308">
      <c r="A787" s="64">
        <f>ROW()-ROW(A$773)</f>
        <v/>
      </c>
      <c r="B787" s="22" t="inlineStr">
        <is>
          <t>中间继电器</t>
        </is>
      </c>
      <c r="C787" s="22" t="inlineStr">
        <is>
          <t>RXM4AB2P7+RXZE2S114M+RXZ400</t>
        </is>
      </c>
      <c r="D787" s="22" t="inlineStr">
        <is>
          <t>甲供/施耐德电气</t>
        </is>
      </c>
      <c r="E787" s="23" t="inlineStr">
        <is>
          <t>只</t>
        </is>
      </c>
      <c r="F787" s="23" t="n">
        <v>8</v>
      </c>
      <c r="G787" s="349">
        <f>IF(AND(B787="",C787=""),"",ROUND(M787*L787*N787,2))</f>
        <v/>
      </c>
      <c r="H787" s="349">
        <f>IF(AND(B787="",C787=""),"",ROUND(F787*G787,2))</f>
        <v/>
      </c>
      <c r="I787" s="45" t="inlineStr"/>
      <c r="J787" s="397">
        <f>IF(AND(B787="",C787=""),"",ROUND(M787*N787,2))</f>
        <v/>
      </c>
      <c r="K787" s="398">
        <f>IF(AND(B787="",C787=""),"",ROUND(J787*F787,2))</f>
        <v/>
      </c>
      <c r="L787" s="141" t="n">
        <v>1</v>
      </c>
      <c r="M787" s="399" t="n">
        <v>1e-07</v>
      </c>
      <c r="N787" s="154" t="n">
        <v>1</v>
      </c>
      <c r="O787" s="155">
        <f>IF(AND(B787="",C787=""),"",IF(G787&gt;=20000,0.05,IF(G787&gt;=10000,0.1,IF(G787&gt;=5000,0.2,IF(G787&gt;=1000,0.3,IF(G787&gt;=0,0.4,{0}))))))</f>
        <v/>
      </c>
      <c r="P787" s="400">
        <f>IF(AND(B787="",C787=""),"",ROUND(H787*O787,2))</f>
        <v/>
      </c>
      <c r="Q787" s="401" t="inlineStr">
        <is>
          <t>元件</t>
        </is>
      </c>
      <c r="R787" s="168" t="inlineStr"/>
      <c r="S787" s="168" t="inlineStr"/>
      <c r="T787" s="168" t="inlineStr">
        <is>
          <t>0</t>
        </is>
      </c>
      <c r="U787" s="168" t="inlineStr">
        <is>
          <t>RXM4AB2P7+RXZE2S114M+RXZ400</t>
        </is>
      </c>
      <c r="V787" s="402" t="n"/>
      <c r="W787" s="402" t="n"/>
      <c r="X787" s="170" t="inlineStr">
        <is>
          <t>REL-IR-BL/L-230AC/4X21，含底座→RXM4AB2P7+RXZE2S114M+RXZ400→REL-IR-BL/L-230AC/4X21，含底座</t>
        </is>
      </c>
    </row>
    <row r="788" customFormat="1" s="3">
      <c r="A788" s="64">
        <f>ROW()-ROW(A$773)</f>
        <v/>
      </c>
      <c r="B788" s="22" t="inlineStr">
        <is>
          <t>带熔丝端子</t>
        </is>
      </c>
      <c r="C788" s="22" t="inlineStr">
        <is>
          <t>UK 5-HESI</t>
        </is>
      </c>
      <c r="D788" s="22" t="inlineStr">
        <is>
          <t>菲尼克斯</t>
        </is>
      </c>
      <c r="E788" s="23" t="inlineStr">
        <is>
          <t>只</t>
        </is>
      </c>
      <c r="F788" s="23" t="n">
        <v>16</v>
      </c>
      <c r="G788" s="349">
        <f>IF(AND(B788="",C788=""),"",ROUND(M788*L788*N788,2))</f>
        <v/>
      </c>
      <c r="H788" s="349">
        <f>IF(AND(B788="",C788=""),"",ROUND(F788*G788,2))</f>
        <v/>
      </c>
      <c r="I788" s="45" t="inlineStr"/>
      <c r="J788" s="392">
        <f>IF(AND(B788="",C788=""),"",ROUND(M788*N788,2))</f>
        <v/>
      </c>
      <c r="K788" s="393">
        <f>IF(AND(B788="",C788=""),"",ROUND(J788*F788,2))</f>
        <v/>
      </c>
      <c r="L788" s="141" t="n">
        <v>1</v>
      </c>
      <c r="M788" s="394" t="n">
        <v>7</v>
      </c>
      <c r="N788" s="220" t="n">
        <v>1</v>
      </c>
      <c r="O788" s="221">
        <f>IF(AND(B788="",C788=""),"",IF(G788&gt;=20000,0.05,IF(G788&gt;=10000,0.1,IF(G788&gt;=5000,0.2,IF(G788&gt;=1000,0.3,IF(G788&gt;=0,0.4,{0}))))))</f>
        <v/>
      </c>
      <c r="P788" s="419">
        <f>IF(AND(B788="",C788=""),"",ROUND(H788*O788,2))</f>
        <v/>
      </c>
      <c r="Q788" s="420" t="inlineStr">
        <is>
          <t>元件</t>
        </is>
      </c>
      <c r="R788" s="231" t="inlineStr"/>
      <c r="S788" s="231" t="inlineStr"/>
      <c r="T788" s="231" t="inlineStr">
        <is>
          <t>0</t>
        </is>
      </c>
      <c r="U788" s="231" t="inlineStr">
        <is>
          <t>True</t>
        </is>
      </c>
      <c r="V788" s="421" t="n"/>
      <c r="W788" s="421" t="n"/>
      <c r="X788" s="166" t="inlineStr"/>
    </row>
    <row r="789" s="308">
      <c r="A789" s="64">
        <f>ROW()-ROW(A$773)</f>
        <v/>
      </c>
      <c r="B789" s="22" t="inlineStr">
        <is>
          <t>水平母排</t>
        </is>
      </c>
      <c r="C789" s="22" t="inlineStr">
        <is>
          <t>TMY 4*(4*150*5)+2*50*5</t>
        </is>
      </c>
      <c r="D789" s="22" t="inlineStr">
        <is>
          <t>国产优质</t>
        </is>
      </c>
      <c r="E789" s="23" t="inlineStr">
        <is>
          <t>米</t>
        </is>
      </c>
      <c r="F789" s="23" t="n">
        <v>0.7</v>
      </c>
      <c r="G789" s="349">
        <f>IF(AND(B789="",C789=""),"",ROUND(M789*L789*N789,2))</f>
        <v/>
      </c>
      <c r="H789" s="349">
        <f>IF(AND(B789="",C789=""),"",ROUND(F789*G789,2))</f>
        <v/>
      </c>
      <c r="I789" s="45" t="inlineStr"/>
      <c r="J789" s="397">
        <f>IF(AND(B789="",C789=""),"",ROUND(M789*N789,2))</f>
        <v/>
      </c>
      <c r="K789" s="398">
        <f>IF(AND(B789="",C789=""),"",ROUND(J789*F789,2))</f>
        <v/>
      </c>
      <c r="L789" s="200" t="n">
        <v>1</v>
      </c>
      <c r="M789" s="399" t="n">
        <v>12026.68125</v>
      </c>
      <c r="N789" s="154">
        <f>(6317.932*1*1+2684.8*1*1)/9002.732</f>
        <v/>
      </c>
      <c r="O789" s="155">
        <f>IF(AND(B789="",C789=""),"",IF(J789&gt;=20000,0.05,IF(J789&gt;=10000,0.1,IF(J789&gt;=5000,0.2,IF(J789&gt;=1000,0.3,IF(J789&gt;=0,0.4,{0}))))))</f>
        <v/>
      </c>
      <c r="P789" s="400">
        <f>IF(AND(B789="",C789=""),"",ROUND(H789*O789,2))</f>
        <v/>
      </c>
      <c r="Q789" s="401" t="inlineStr">
        <is>
          <t>母排</t>
        </is>
      </c>
      <c r="R789" s="168" t="inlineStr"/>
      <c r="S789" s="168" t="inlineStr"/>
      <c r="T789" s="168" t="inlineStr">
        <is>
          <t>0</t>
        </is>
      </c>
      <c r="U789" s="168" t="inlineStr"/>
      <c r="V789" s="402" t="n"/>
      <c r="W789" s="402" t="n"/>
      <c r="X789" s="170" t="inlineStr"/>
    </row>
    <row r="790" customFormat="1" s="5">
      <c r="A790" s="64">
        <f>ROW()-ROW(A$773)</f>
        <v/>
      </c>
      <c r="B790" s="22" t="inlineStr">
        <is>
          <t>桩头排</t>
        </is>
      </c>
      <c r="C790" s="22" t="inlineStr">
        <is>
          <t>TMY 3*2*60*5</t>
        </is>
      </c>
      <c r="D790" s="22" t="inlineStr">
        <is>
          <t>国产优质</t>
        </is>
      </c>
      <c r="E790" s="23" t="inlineStr">
        <is>
          <t>米</t>
        </is>
      </c>
      <c r="F790" s="23" t="n">
        <v>1.5</v>
      </c>
      <c r="G790" s="349">
        <f>IF(AND(B790="",C790=""),"",ROUND(M790*L790*N790,2))</f>
        <v/>
      </c>
      <c r="H790" s="349">
        <f>IF(AND(B790="",C790=""),"",ROUND(F790*G790,2))</f>
        <v/>
      </c>
      <c r="I790" s="45" t="inlineStr"/>
      <c r="J790" s="422">
        <f>IF(AND(B790="",C790=""),"",ROUND(M790*N790,2))</f>
        <v/>
      </c>
      <c r="K790" s="423">
        <f>IF(AND(B790="",C790=""),"",ROUND(J790*F790,2))</f>
        <v/>
      </c>
      <c r="L790" s="225" t="n">
        <v>1</v>
      </c>
      <c r="M790" s="424" t="n">
        <v>1731.8421</v>
      </c>
      <c r="N790" s="227" t="n">
        <v>1</v>
      </c>
      <c r="O790" s="228">
        <f>IF(AND(B790="",C790=""),"",IF(G790&gt;=20000,0.05,IF(G790&gt;=10000,0.1,IF(G790&gt;=5000,0.2,IF(G790&gt;=1000,0.3,IF(G790&gt;=0,0.4,{0}))))))</f>
        <v/>
      </c>
      <c r="P790" s="425">
        <f>IF(AND(B790="",C790=""),"",ROUND(H790*O790,2))</f>
        <v/>
      </c>
      <c r="Q790" s="426" t="inlineStr">
        <is>
          <t>母排</t>
        </is>
      </c>
      <c r="R790" s="234" t="inlineStr"/>
      <c r="S790" s="234" t="inlineStr"/>
      <c r="T790" s="235" t="inlineStr">
        <is>
          <t>0</t>
        </is>
      </c>
      <c r="U790" s="235" t="inlineStr"/>
      <c r="V790" s="427" t="n"/>
      <c r="W790" s="427" t="n"/>
      <c r="X790" s="237" t="inlineStr">
        <is>
          <t>TMY 2*30*5→TMY 30*8</t>
        </is>
      </c>
    </row>
    <row r="791" customFormat="1" s="5">
      <c r="A791" s="64">
        <f>ROW()-ROW(A$773)</f>
        <v/>
      </c>
      <c r="B791" s="22" t="inlineStr">
        <is>
          <t>垂直排</t>
        </is>
      </c>
      <c r="C791" s="22" t="inlineStr">
        <is>
          <t>TMY 3*2*60*5</t>
        </is>
      </c>
      <c r="D791" s="22" t="inlineStr">
        <is>
          <t>国产优质</t>
        </is>
      </c>
      <c r="E791" s="23" t="inlineStr">
        <is>
          <t>米</t>
        </is>
      </c>
      <c r="F791" s="23" t="n">
        <v>2</v>
      </c>
      <c r="G791" s="349">
        <f>IF(AND(B791="",C791=""),"",ROUND(M791*L791*N791,2))</f>
        <v/>
      </c>
      <c r="H791" s="349">
        <f>IF(AND(B791="",C791=""),"",ROUND(F791*G791,2))</f>
        <v/>
      </c>
      <c r="I791" s="45" t="inlineStr"/>
      <c r="J791" s="422">
        <f>IF(AND(B791="",C791=""),"",ROUND(M791*N791,2))</f>
        <v/>
      </c>
      <c r="K791" s="423">
        <f>IF(AND(B791="",C791=""),"",ROUND(J791*F791,2))</f>
        <v/>
      </c>
      <c r="L791" s="225" t="n">
        <v>1</v>
      </c>
      <c r="M791" s="424" t="n">
        <v>1731.8421</v>
      </c>
      <c r="N791" s="227" t="n">
        <v>1</v>
      </c>
      <c r="O791" s="228">
        <f>IF(AND(B791="",C791=""),"",IF(G791&gt;=20000,0.05,IF(G791&gt;=10000,0.1,IF(G791&gt;=5000,0.2,IF(G791&gt;=1000,0.3,IF(G791&gt;=0,0.4,{0}))))))</f>
        <v/>
      </c>
      <c r="P791" s="425">
        <f>IF(AND(B791="",C791=""),"",ROUND(H791*O791,2))</f>
        <v/>
      </c>
      <c r="Q791" s="426" t="inlineStr">
        <is>
          <t>母排</t>
        </is>
      </c>
      <c r="R791" s="234" t="inlineStr"/>
      <c r="S791" s="234" t="inlineStr"/>
      <c r="T791" s="235" t="inlineStr">
        <is>
          <t>0</t>
        </is>
      </c>
      <c r="U791" s="235" t="inlineStr"/>
      <c r="V791" s="427" t="n"/>
      <c r="W791" s="427" t="n"/>
      <c r="X791" s="237" t="inlineStr">
        <is>
          <t>TMY 2*30*5→TMY 30*8</t>
        </is>
      </c>
    </row>
    <row r="792" customFormat="1" s="5">
      <c r="A792" s="64">
        <f>ROW()-ROW(A$773)</f>
        <v/>
      </c>
      <c r="B792" s="22" t="inlineStr">
        <is>
          <t>N排</t>
        </is>
      </c>
      <c r="C792" s="22" t="inlineStr">
        <is>
          <t>TMY 80*10</t>
        </is>
      </c>
      <c r="D792" s="22" t="inlineStr">
        <is>
          <t>国产优质</t>
        </is>
      </c>
      <c r="E792" s="23" t="inlineStr">
        <is>
          <t>米</t>
        </is>
      </c>
      <c r="F792" s="23" t="n">
        <v>3</v>
      </c>
      <c r="G792" s="349">
        <f>IF(AND(B792="",C792=""),"",ROUND(M792*L792*N792,2))</f>
        <v/>
      </c>
      <c r="H792" s="349">
        <f>IF(AND(B792="",C792=""),"",ROUND(F792*G792,2))</f>
        <v/>
      </c>
      <c r="I792" s="45" t="inlineStr"/>
      <c r="J792" s="422">
        <f>IF(AND(B792="",C792=""),"",ROUND(M792*N792,2))</f>
        <v/>
      </c>
      <c r="K792" s="423">
        <f>IF(AND(B792="",C792=""),"",ROUND(J792*F792,2))</f>
        <v/>
      </c>
      <c r="L792" s="225" t="n">
        <v>1</v>
      </c>
      <c r="M792" s="424" t="n">
        <v>769.7076</v>
      </c>
      <c r="N792" s="227" t="n">
        <v>1</v>
      </c>
      <c r="O792" s="228">
        <f>IF(AND(B792="",C792=""),"",IF(G792&gt;=20000,0.05,IF(G792&gt;=10000,0.1,IF(G792&gt;=5000,0.2,IF(G792&gt;=1000,0.3,IF(G792&gt;=0,0.4,{0}))))))</f>
        <v/>
      </c>
      <c r="P792" s="425">
        <f>IF(AND(B792="",C792=""),"",ROUND(H792*O792,2))</f>
        <v/>
      </c>
      <c r="Q792" s="426" t="inlineStr">
        <is>
          <t>母排</t>
        </is>
      </c>
      <c r="R792" s="234" t="inlineStr"/>
      <c r="S792" s="234" t="inlineStr"/>
      <c r="T792" s="235" t="inlineStr">
        <is>
          <t>0</t>
        </is>
      </c>
      <c r="U792" s="235" t="inlineStr"/>
      <c r="V792" s="427" t="n"/>
      <c r="W792" s="427" t="n"/>
      <c r="X792" s="237" t="inlineStr">
        <is>
          <t>TMY 2*30*5→TMY 30*8</t>
        </is>
      </c>
    </row>
    <row r="793" customFormat="1" s="5">
      <c r="A793" s="64">
        <f>ROW()-ROW(A$773)</f>
        <v/>
      </c>
      <c r="B793" s="22" t="inlineStr">
        <is>
          <t>PE排</t>
        </is>
      </c>
      <c r="C793" s="22" t="inlineStr">
        <is>
          <t>TMY 2*50*5</t>
        </is>
      </c>
      <c r="D793" s="22" t="inlineStr">
        <is>
          <t>国产优质</t>
        </is>
      </c>
      <c r="E793" s="23" t="inlineStr">
        <is>
          <t>米</t>
        </is>
      </c>
      <c r="F793" s="23" t="n">
        <v>2</v>
      </c>
      <c r="G793" s="349">
        <f>IF(AND(B793="",C793=""),"",ROUND(M793*L793*N793,2))</f>
        <v/>
      </c>
      <c r="H793" s="349">
        <f>IF(AND(B793="",C793=""),"",ROUND(F793*G793,2))</f>
        <v/>
      </c>
      <c r="I793" s="45" t="inlineStr"/>
      <c r="J793" s="422">
        <f>IF(AND(B793="",C793=""),"",ROUND(M793*N793,2))</f>
        <v/>
      </c>
      <c r="K793" s="423">
        <f>IF(AND(B793="",C793=""),"",ROUND(J793*F793,2))</f>
        <v/>
      </c>
      <c r="L793" s="225" t="n">
        <v>1</v>
      </c>
      <c r="M793" s="424" t="n">
        <v>481.06725</v>
      </c>
      <c r="N793" s="227" t="n">
        <v>1</v>
      </c>
      <c r="O793" s="228">
        <f>IF(AND(B793="",C793=""),"",IF(G793&gt;=20000,0.05,IF(G793&gt;=10000,0.1,IF(G793&gt;=5000,0.2,IF(G793&gt;=1000,0.3,IF(G793&gt;=0,0.4,{0}))))))</f>
        <v/>
      </c>
      <c r="P793" s="425">
        <f>IF(AND(B793="",C793=""),"",ROUND(H793*O793,2))</f>
        <v/>
      </c>
      <c r="Q793" s="426" t="inlineStr">
        <is>
          <t>母排</t>
        </is>
      </c>
      <c r="R793" s="234" t="inlineStr"/>
      <c r="S793" s="234" t="inlineStr"/>
      <c r="T793" s="235" t="inlineStr">
        <is>
          <t>0</t>
        </is>
      </c>
      <c r="U793" s="235" t="inlineStr"/>
      <c r="V793" s="427" t="n"/>
      <c r="W793" s="427" t="n"/>
      <c r="X793" s="237" t="inlineStr">
        <is>
          <t>TMY 2*30*5→TMY 30*8</t>
        </is>
      </c>
    </row>
    <row r="794" customFormat="1" s="5">
      <c r="A794" s="64">
        <f>ROW()-ROW(A$773)</f>
        <v/>
      </c>
      <c r="B794" s="22" t="inlineStr">
        <is>
          <t>400A铜排</t>
        </is>
      </c>
      <c r="C794" s="22" t="inlineStr">
        <is>
          <t>TMY 30*5</t>
        </is>
      </c>
      <c r="D794" s="22" t="inlineStr">
        <is>
          <t>国产优质</t>
        </is>
      </c>
      <c r="E794" s="23" t="inlineStr">
        <is>
          <t>米</t>
        </is>
      </c>
      <c r="F794" s="23" t="n">
        <v>3.2</v>
      </c>
      <c r="G794" s="349">
        <f>IF(AND(B794="",C794=""),"",ROUND(M794*L794*N794,2))</f>
        <v/>
      </c>
      <c r="H794" s="349">
        <f>IF(AND(B794="",C794=""),"",ROUND(F794*G794,2))</f>
        <v/>
      </c>
      <c r="I794" s="45" t="inlineStr"/>
      <c r="J794" s="422">
        <f>IF(AND(B794="",C794=""),"",ROUND(M794*N794,2))</f>
        <v/>
      </c>
      <c r="K794" s="423">
        <f>IF(AND(B794="",C794=""),"",ROUND(J794*F794,2))</f>
        <v/>
      </c>
      <c r="L794" s="225" t="n">
        <v>1</v>
      </c>
      <c r="M794" s="424" t="n">
        <v>144.320175</v>
      </c>
      <c r="N794" s="227" t="n">
        <v>1</v>
      </c>
      <c r="O794" s="228">
        <f>IF(AND(B794="",C794=""),"",IF(G794&gt;=20000,0.05,IF(G794&gt;=10000,0.1,IF(G794&gt;=5000,0.2,IF(G794&gt;=1000,0.3,IF(G794&gt;=0,0.4,{0}))))))</f>
        <v/>
      </c>
      <c r="P794" s="425">
        <f>IF(AND(B794="",C794=""),"",ROUND(H794*O794,2))</f>
        <v/>
      </c>
      <c r="Q794" s="426" t="inlineStr">
        <is>
          <t>母排</t>
        </is>
      </c>
      <c r="R794" s="234" t="inlineStr"/>
      <c r="S794" s="234" t="inlineStr"/>
      <c r="T794" s="235" t="inlineStr">
        <is>
          <t>0</t>
        </is>
      </c>
      <c r="U794" s="235" t="inlineStr"/>
      <c r="V794" s="427" t="n"/>
      <c r="W794" s="427" t="n"/>
      <c r="X794" s="237" t="inlineStr">
        <is>
          <t>TMY 2*30*5→TMY 30*8</t>
        </is>
      </c>
    </row>
    <row r="795" s="308">
      <c r="A795" s="64">
        <f>ROW()-ROW(A$773)</f>
        <v/>
      </c>
      <c r="B795" s="112" t="inlineStr">
        <is>
          <t>辅料</t>
        </is>
      </c>
      <c r="C795" s="112" t="inlineStr"/>
      <c r="D795" s="112" t="inlineStr"/>
      <c r="E795" s="114" t="inlineStr">
        <is>
          <t>套</t>
        </is>
      </c>
      <c r="F795" s="114" t="n">
        <v>1</v>
      </c>
      <c r="G795" s="396">
        <f>IF(AND(B795="",C795=""),"",ROUND(M795*L795*N795,2))</f>
        <v/>
      </c>
      <c r="H795" s="396">
        <f>IF(AND(B795="",C795=""),"",ROUND(F795*G795,2))</f>
        <v/>
      </c>
      <c r="I795" s="219" t="inlineStr"/>
      <c r="J795" s="397">
        <f>IF(AND(B795="",C795=""),"",ROUND(M795*N795,2))</f>
        <v/>
      </c>
      <c r="K795" s="398">
        <f>IF(AND(B795="",C795=""),"",ROUND(J795*F795,2))</f>
        <v/>
      </c>
      <c r="L795" s="200" t="n">
        <v>1</v>
      </c>
      <c r="M795" s="399" t="n">
        <v>1075.94</v>
      </c>
      <c r="N795" s="154" t="n">
        <v>1</v>
      </c>
      <c r="O795" s="155">
        <f>IF(AND(B795="",C795=""),"",IF(G795&gt;=20000,0.05,IF(G795&gt;=10000,0.1,IF(G795&gt;=5000,0.2,IF(G795&gt;=1000,0.3,IF(G795&gt;=0,0.4,{0}))))))</f>
        <v/>
      </c>
      <c r="P795" s="400">
        <f>IF(AND(B795="",C795=""),"",ROUND(H795*O795,2))</f>
        <v/>
      </c>
      <c r="Q795" s="401" t="inlineStr">
        <is>
          <t>辅料</t>
        </is>
      </c>
      <c r="R795" s="168" t="inlineStr"/>
      <c r="S795" s="168" t="inlineStr"/>
      <c r="T795" s="168" t="inlineStr">
        <is>
          <t>0</t>
        </is>
      </c>
      <c r="U795" s="168" t="inlineStr"/>
      <c r="V795" s="402" t="n"/>
      <c r="W795" s="402" t="n"/>
      <c r="X795" s="170" t="inlineStr"/>
    </row>
    <row r="796" s="308">
      <c r="A796" s="64">
        <f>ROW()-ROW(A$773)</f>
        <v/>
      </c>
      <c r="B796" s="112" t="inlineStr">
        <is>
          <t>柜体Blokset</t>
        </is>
      </c>
      <c r="C796" s="22" t="inlineStr">
        <is>
          <t>600W*1200D*2200H</t>
        </is>
      </c>
      <c r="D796" s="112" t="inlineStr">
        <is>
          <t>清科</t>
        </is>
      </c>
      <c r="E796" s="114" t="inlineStr">
        <is>
          <t>台</t>
        </is>
      </c>
      <c r="F796" s="114" t="n">
        <v>1</v>
      </c>
      <c r="G796" s="396">
        <f>IF(AND(B796="",C796=""),"",ROUND(M796*L796*N796,2))</f>
        <v/>
      </c>
      <c r="H796" s="396">
        <f>IF(AND(B796="",C796=""),"",ROUND(F796*G796,2))</f>
        <v/>
      </c>
      <c r="I796" s="219" t="inlineStr"/>
      <c r="J796" s="397">
        <f>IF(AND(B796="",C796=""),"",ROUND(M796*N796,2))</f>
        <v/>
      </c>
      <c r="K796" s="398">
        <f>IF(AND(B796="",C796=""),"",ROUND(J796*F796,2))</f>
        <v/>
      </c>
      <c r="L796" s="200" t="n">
        <v>1</v>
      </c>
      <c r="M796" s="399" t="n">
        <v>5069</v>
      </c>
      <c r="N796" s="154" t="n">
        <v>1</v>
      </c>
      <c r="O796" s="155">
        <f>IF(AND(B796="",C796=""),"",IF(G796&gt;=20000,0.05,IF(G796&gt;=10000,0.1,IF(G796&gt;=5000,0.2,IF(G796&gt;=1000,0.3,IF(G796&gt;=0,0.4,{0}))))))</f>
        <v/>
      </c>
      <c r="P796" s="400">
        <f>IF(AND(B796="",C796=""),"",ROUND(H796*O796,2))</f>
        <v/>
      </c>
      <c r="Q796" s="401" t="inlineStr">
        <is>
          <t>箱体</t>
        </is>
      </c>
      <c r="R796" s="168" t="inlineStr"/>
      <c r="S796" s="168" t="inlineStr"/>
      <c r="T796" s="168" t="inlineStr">
        <is>
          <t>0</t>
        </is>
      </c>
      <c r="U796" s="168" t="inlineStr"/>
      <c r="V796" s="402" t="n"/>
      <c r="W796" s="402" t="n"/>
      <c r="X796" s="170" t="inlineStr">
        <is>
          <t>BlokSeT</t>
        </is>
      </c>
    </row>
    <row r="797" s="308">
      <c r="A797" s="64">
        <f>ROW()-ROW(A$773)</f>
        <v/>
      </c>
      <c r="B797" s="22" t="inlineStr"/>
      <c r="C797" s="22" t="inlineStr"/>
      <c r="D797" s="22" t="inlineStr"/>
      <c r="E797" s="23" t="n"/>
      <c r="F797" s="23">
        <f>IF(AND(B797="",C797=""),"",1)</f>
        <v/>
      </c>
      <c r="G797" s="349">
        <f>IF(AND(B797="",C797=""),"",ROUND(M797*L797*N797,2))</f>
        <v/>
      </c>
      <c r="H797" s="349">
        <f>IF(AND(B797="",C797=""),"",ROUND(F797*G797,2))</f>
        <v/>
      </c>
      <c r="I797" s="45" t="inlineStr"/>
      <c r="J797" s="397">
        <f>IF(AND(B797="",C797=""),"",ROUND(M797*N797,2))</f>
        <v/>
      </c>
      <c r="K797" s="398">
        <f>IF(AND(B797="",C797=""),"",ROUND(J797*F797,2))</f>
        <v/>
      </c>
      <c r="L797" s="200">
        <f>IF(AND(B797="",C797=""),"",1)</f>
        <v/>
      </c>
      <c r="M797" s="399" t="n"/>
      <c r="N797" s="154">
        <f>IF(AND(B797="",C797=""),"",1)</f>
        <v/>
      </c>
      <c r="O797" s="155">
        <f>IF(AND(B797="",C797=""),"",IF(J797&gt;=20000,0.05,IF(J797&gt;=10000,0.1,IF(J797&gt;=5000,0.2,IF(J797&gt;=1000,0.3,IF(J797&gt;=0,0.4,{0}))))))</f>
        <v/>
      </c>
      <c r="P797" s="400">
        <f>IF(AND(B797="",C797=""),"",ROUND(H797*O797,2))</f>
        <v/>
      </c>
      <c r="Q797" s="401">
        <f>IF(AND(B797="",C797=""),"","元件")</f>
        <v/>
      </c>
      <c r="R797" s="168" t="inlineStr"/>
      <c r="S797" s="168" t="inlineStr"/>
      <c r="T797" s="168" t="inlineStr"/>
      <c r="U797" s="168" t="inlineStr"/>
      <c r="V797" s="402" t="n"/>
      <c r="W797" s="402" t="n"/>
      <c r="X797" s="170" t="inlineStr"/>
    </row>
    <row r="798" s="308">
      <c r="A798" s="64">
        <f>ROW()-ROW(A$773)</f>
        <v/>
      </c>
      <c r="B798" s="171" t="inlineStr">
        <is>
          <t>小计</t>
        </is>
      </c>
      <c r="C798" s="172" t="n"/>
      <c r="D798" s="204" t="n"/>
      <c r="E798" s="114" t="n"/>
      <c r="F798" s="114" t="n"/>
      <c r="G798" s="396" t="n"/>
      <c r="H798" s="396">
        <f>ROUND(SUM(H773:INDEX(H:H,ROW()-1)),2)</f>
        <v/>
      </c>
      <c r="I798" s="45" t="inlineStr"/>
      <c r="J798" s="397" t="n"/>
      <c r="K798" s="398">
        <f>ROUND(SUM(K773:INDEX(K:K,ROW()-1)),2)</f>
        <v/>
      </c>
      <c r="L798" s="200" t="n"/>
      <c r="M798" s="399" t="n"/>
      <c r="N798" s="154" t="n"/>
      <c r="O798" s="155" t="n"/>
      <c r="P798" s="400" t="n"/>
      <c r="Q798" s="401" t="n"/>
      <c r="R798" s="168" t="inlineStr"/>
      <c r="S798" s="168" t="inlineStr"/>
      <c r="T798" s="168" t="inlineStr"/>
      <c r="U798" s="168" t="inlineStr"/>
      <c r="V798" s="402">
        <f>ROUND(SUMPRODUCT(F773:INDEX(F:F,ROW()-1),V773:INDEX(V:V,ROW()-1)),2)</f>
        <v/>
      </c>
      <c r="W798" s="402">
        <f>ROUND(SUMPRODUCT(F773:INDEX(F:F,ROW()-1),W773:INDEX(W:W,ROW()-1)),2)</f>
        <v/>
      </c>
      <c r="X798" s="170" t="inlineStr"/>
    </row>
    <row r="799" s="308">
      <c r="A799" s="64">
        <f>ROW()-ROW(A$773)</f>
        <v/>
      </c>
      <c r="B799" s="171" t="inlineStr">
        <is>
          <t>综合费(人工、管理、税金、利润等)</t>
        </is>
      </c>
      <c r="C799" s="172" t="n"/>
      <c r="D799" s="204" t="n"/>
      <c r="E799" s="114" t="n"/>
      <c r="F799" s="114" t="n"/>
      <c r="G799" s="396" t="n"/>
      <c r="H799" s="396">
        <f>2500</f>
        <v/>
      </c>
      <c r="I799" s="45" t="inlineStr"/>
      <c r="J799" s="397" t="n"/>
      <c r="K799" s="398" t="n"/>
      <c r="L799" s="200" t="n"/>
      <c r="M799" s="399" t="n"/>
      <c r="N799" s="154" t="n"/>
      <c r="O799" s="155" t="n"/>
      <c r="P799" s="400" t="n"/>
      <c r="Q799" s="401" t="inlineStr">
        <is>
          <t>费用</t>
        </is>
      </c>
      <c r="R799" s="168" t="inlineStr"/>
      <c r="S799" s="168" t="inlineStr"/>
      <c r="T799" s="168" t="inlineStr"/>
      <c r="U799" s="168" t="inlineStr"/>
      <c r="V799" s="402" t="n"/>
      <c r="W799" s="402" t="n"/>
      <c r="X799" s="170" t="inlineStr"/>
    </row>
    <row r="800" s="308">
      <c r="A800" s="64">
        <f>ROW()-ROW(A$773)</f>
        <v/>
      </c>
      <c r="B800" s="204" t="inlineStr">
        <is>
          <t>单台合计</t>
        </is>
      </c>
      <c r="C800" s="172" t="n"/>
      <c r="D800" s="204" t="n"/>
      <c r="E800" s="114" t="n"/>
      <c r="F800" s="114" t="n"/>
      <c r="G800" s="396" t="n"/>
      <c r="H800" s="396">
        <f>ROUND(SUM(H798:H799),2)</f>
        <v/>
      </c>
      <c r="I800" s="181" t="n"/>
      <c r="J800" s="397" t="n"/>
      <c r="K800" s="398">
        <f>ROUND(SUM(K798:K799),2)</f>
        <v/>
      </c>
      <c r="L800" s="209" t="n"/>
      <c r="M800" s="399" t="n"/>
      <c r="N800" s="210" t="n"/>
      <c r="O800" s="211" t="n"/>
      <c r="P800" s="400" t="n"/>
      <c r="Q800" s="401" t="n"/>
      <c r="R800" s="168" t="inlineStr"/>
      <c r="S800" s="168" t="inlineStr"/>
      <c r="T800" s="168" t="inlineStr"/>
      <c r="U800" s="168" t="inlineStr"/>
      <c r="V800" s="402" t="n"/>
      <c r="W800" s="402" t="n"/>
      <c r="X800" s="170" t="inlineStr"/>
    </row>
    <row r="801" s="308">
      <c r="A801" s="173" t="inlineStr">
        <is>
          <t>总计</t>
        </is>
      </c>
      <c r="B801" s="205" t="n"/>
      <c r="C801" s="175" t="n"/>
      <c r="D801" s="206" t="n"/>
      <c r="E801" s="206" t="inlineStr">
        <is>
          <t>台</t>
        </is>
      </c>
      <c r="F801" s="206" t="n">
        <v>1</v>
      </c>
      <c r="G801" s="414">
        <f>ROUND(H800,2)</f>
        <v/>
      </c>
      <c r="H801" s="414">
        <f>ROUND(F801*G801,2)</f>
        <v/>
      </c>
      <c r="I801" s="185" t="n"/>
      <c r="J801" s="415" t="n"/>
      <c r="K801" s="416">
        <f>ROUND(K800*F801,2)</f>
        <v/>
      </c>
      <c r="L801" s="214" t="n"/>
      <c r="M801" s="417" t="n"/>
      <c r="N801" s="216" t="n"/>
      <c r="O801" s="217" t="n"/>
      <c r="P801" s="418" t="n"/>
      <c r="Q801" s="401" t="n"/>
      <c r="R801" s="168" t="inlineStr"/>
      <c r="S801" s="168" t="inlineStr"/>
      <c r="T801" s="168" t="inlineStr"/>
      <c r="U801" s="168" t="inlineStr"/>
      <c r="V801" s="402" t="n"/>
      <c r="W801" s="402" t="n"/>
      <c r="X801" s="170" t="inlineStr"/>
    </row>
    <row r="802" customFormat="1" s="4">
      <c r="A802" s="6" t="n"/>
      <c r="B802" s="195" t="inlineStr"/>
      <c r="C802" s="195" t="inlineStr"/>
      <c r="D802" s="195" t="inlineStr"/>
      <c r="Q802" s="159" t="n"/>
      <c r="R802" s="159" t="n"/>
      <c r="S802" s="159" t="n"/>
      <c r="T802" s="159" t="n"/>
      <c r="U802" s="159" t="n"/>
      <c r="X802" s="195" t="inlineStr"/>
    </row>
    <row r="803" customFormat="1" s="4">
      <c r="A803" s="6" t="n"/>
      <c r="B803" s="195" t="inlineStr"/>
      <c r="C803" s="195" t="inlineStr"/>
      <c r="D803" s="195" t="inlineStr"/>
      <c r="Q803" s="159" t="n"/>
      <c r="R803" s="159" t="n"/>
      <c r="S803" s="159" t="n"/>
      <c r="T803" s="159" t="n"/>
      <c r="U803" s="159" t="n"/>
      <c r="X803" s="195" t="inlineStr"/>
    </row>
    <row r="804" s="308">
      <c r="A804" s="208">
        <f>CONCATENATE("报价人：",项目信息!$B$8)</f>
        <v/>
      </c>
      <c r="B804" s="208" t="n"/>
      <c r="C804" s="4" t="n"/>
      <c r="D804" s="4" t="n"/>
      <c r="E804" s="4" t="n"/>
      <c r="F804" s="4" t="n"/>
      <c r="G804" s="4" t="n"/>
      <c r="H804" s="178">
        <f>项目信息!$B$9</f>
        <v/>
      </c>
      <c r="Q804" s="159" t="n"/>
      <c r="R804" s="159" t="n"/>
      <c r="S804" s="159" t="n"/>
      <c r="T804" s="159" t="n"/>
      <c r="U804" s="159" t="n"/>
      <c r="X804" s="203" t="inlineStr"/>
    </row>
    <row r="805" s="308">
      <c r="A805" s="8">
        <f>T(项目信息!$B$22)</f>
        <v/>
      </c>
      <c r="Q805" s="159" t="n"/>
      <c r="R805" s="159" t="n"/>
      <c r="S805" s="159" t="n"/>
      <c r="T805" s="159" t="n"/>
      <c r="U805" s="159" t="n"/>
    </row>
    <row r="806" s="308">
      <c r="A806" s="9">
        <f>T(项目信息!$B$23)</f>
        <v/>
      </c>
      <c r="Q806" s="159" t="n"/>
      <c r="R806" s="159" t="n"/>
      <c r="S806" s="159" t="n"/>
      <c r="T806" s="159" t="n"/>
      <c r="U806" s="159" t="n"/>
    </row>
    <row r="807" s="308">
      <c r="A807" s="97" t="inlineStr">
        <is>
          <t>成套产品报价明细表</t>
        </is>
      </c>
      <c r="B807" s="378" t="n"/>
      <c r="C807" s="378" t="n"/>
      <c r="D807" s="378" t="n"/>
      <c r="E807" s="378" t="n"/>
      <c r="F807" s="378" t="n"/>
      <c r="G807" s="378" t="n"/>
      <c r="H807" s="378" t="n"/>
      <c r="I807" s="378" t="n"/>
      <c r="Q807" s="159" t="n"/>
      <c r="R807" s="159" t="n"/>
      <c r="S807" s="159" t="n"/>
      <c r="T807" s="159" t="n"/>
      <c r="U807" s="159" t="n"/>
    </row>
    <row r="808" customFormat="1" s="2">
      <c r="A808" s="98" t="inlineStr">
        <is>
          <t>柜号:</t>
        </is>
      </c>
      <c r="B808" s="99" t="inlineStr">
        <is>
          <t>AAN5-01、BAN6-01、AAN7-01、BAN8-01</t>
        </is>
      </c>
      <c r="C808" s="100" t="inlineStr">
        <is>
          <t>型号:</t>
        </is>
      </c>
      <c r="D808" s="99" t="inlineStr">
        <is>
          <t>BlokSeT</t>
        </is>
      </c>
      <c r="E808" s="379" t="n"/>
      <c r="F808" s="101" t="inlineStr">
        <is>
          <t>名称:</t>
        </is>
      </c>
      <c r="G808" s="99" t="inlineStr">
        <is>
          <t>进线柜</t>
        </is>
      </c>
      <c r="H808" s="379" t="n"/>
      <c r="I808" s="380" t="inlineStr"/>
      <c r="J808" s="131" t="inlineStr">
        <is>
          <t>箱柜尺寸:</t>
        </is>
      </c>
      <c r="K808" s="132" t="inlineStr">
        <is>
          <t>1200W*1200D*2200H</t>
        </is>
      </c>
      <c r="L808" s="131" t="inlineStr">
        <is>
          <t>类别:</t>
        </is>
      </c>
      <c r="M808" s="132" t="inlineStr">
        <is>
          <t>低压固定柜</t>
        </is>
      </c>
      <c r="N808" s="381" t="inlineStr"/>
      <c r="Q808" s="160" t="n"/>
      <c r="R808" s="160" t="n"/>
      <c r="S808" s="160" t="n"/>
      <c r="T808" s="160" t="n"/>
      <c r="U808" s="160" t="n"/>
    </row>
    <row r="809" ht="20.1" customFormat="1" customHeight="1" s="3">
      <c r="A809" s="102" t="inlineStr">
        <is>
          <t>序号</t>
        </is>
      </c>
      <c r="B809" s="103" t="inlineStr">
        <is>
          <t>元件名称</t>
        </is>
      </c>
      <c r="C809" s="103" t="inlineStr">
        <is>
          <t>型号规格</t>
        </is>
      </c>
      <c r="D809" s="104" t="inlineStr">
        <is>
          <t>生产厂家</t>
        </is>
      </c>
      <c r="E809" s="105" t="inlineStr">
        <is>
          <t>单位</t>
        </is>
      </c>
      <c r="F809" s="105" t="inlineStr">
        <is>
          <t>数量</t>
        </is>
      </c>
      <c r="G809" s="382" t="inlineStr">
        <is>
          <t>单   价</t>
        </is>
      </c>
      <c r="H809" s="383" t="inlineStr">
        <is>
          <t>总   价</t>
        </is>
      </c>
      <c r="I809" s="134" t="inlineStr">
        <is>
          <t>备注</t>
        </is>
      </c>
      <c r="J809" s="384" t="inlineStr">
        <is>
          <t>成本单价</t>
        </is>
      </c>
      <c r="K809" s="384" t="inlineStr">
        <is>
          <t>成本总价</t>
        </is>
      </c>
      <c r="L809" s="136" t="inlineStr">
        <is>
          <t>报出
系数</t>
        </is>
      </c>
      <c r="M809" s="384" t="inlineStr">
        <is>
          <t>表价</t>
        </is>
      </c>
      <c r="N809" s="136" t="inlineStr">
        <is>
          <t>折扣
系数</t>
        </is>
      </c>
      <c r="O809" s="137" t="inlineStr">
        <is>
          <t>取费
系数</t>
        </is>
      </c>
      <c r="P809" s="384" t="inlineStr">
        <is>
          <t>成套费</t>
        </is>
      </c>
      <c r="Q809" s="161" t="inlineStr">
        <is>
          <t>类别</t>
        </is>
      </c>
      <c r="R809" s="161" t="inlineStr">
        <is>
          <t>物料编码</t>
        </is>
      </c>
      <c r="S809" s="161" t="inlineStr">
        <is>
          <t>产地</t>
        </is>
      </c>
      <c r="T809" s="161" t="inlineStr">
        <is>
          <t>加工费</t>
        </is>
      </c>
      <c r="U809" s="161" t="inlineStr">
        <is>
          <t>订货号</t>
        </is>
      </c>
      <c r="V809" s="161" t="inlineStr">
        <is>
          <t>人工</t>
        </is>
      </c>
      <c r="W809" s="161" t="inlineStr">
        <is>
          <t>辅料</t>
        </is>
      </c>
      <c r="X809" s="162" t="inlineStr"/>
    </row>
    <row r="810" customFormat="1" s="3">
      <c r="A810" s="108">
        <f>ROW()-ROW(A$809)</f>
        <v/>
      </c>
      <c r="B810" s="109" t="inlineStr">
        <is>
          <t>双电源</t>
        </is>
      </c>
      <c r="C810" s="109" t="inlineStr">
        <is>
          <t>MT50 H1 3P MIC 6.0 D</t>
        </is>
      </c>
      <c r="D810" s="22" t="inlineStr">
        <is>
          <t>甲供/施耐德电气</t>
        </is>
      </c>
      <c r="E810" s="110" t="inlineStr">
        <is>
          <t>只</t>
        </is>
      </c>
      <c r="F810" s="110" t="n">
        <v>1</v>
      </c>
      <c r="G810" s="385">
        <f>IF(AND(B810="",C810=""),"",ROUND(M810*L810*N810,2))</f>
        <v/>
      </c>
      <c r="H810" s="385">
        <f>IF(AND(B810="",C810=""),"",ROUND(F810*G810,2))</f>
        <v/>
      </c>
      <c r="I810" s="138" t="inlineStr"/>
      <c r="J810" s="386">
        <f>IF(AND(B810="",C810=""),"",ROUND(M810*N810,2))</f>
        <v/>
      </c>
      <c r="K810" s="387">
        <f>IF(AND(B810="",C810=""),"",ROUND(J810*F810,2))</f>
        <v/>
      </c>
      <c r="L810" s="141" t="n">
        <v>1</v>
      </c>
      <c r="M810" s="388" t="n">
        <v>1e-07</v>
      </c>
      <c r="N810" s="143" t="n">
        <v>1</v>
      </c>
      <c r="O810" s="144">
        <f>IF(AND(B810="",C810=""),"",IF(G810&gt;=20000,0.05,IF(G810&gt;=10000,0.1,IF(G810&gt;=5000,0.2,IF(G810&gt;=1000,0.3,IF(G810&gt;=0,0.4,{0}))))))</f>
        <v/>
      </c>
      <c r="P810" s="389">
        <f>IF(AND(B810="",C810=""),"",ROUND(H810*O810,2))</f>
        <v/>
      </c>
      <c r="Q810" s="390" t="inlineStr">
        <is>
          <t>元件</t>
        </is>
      </c>
      <c r="R810" s="164" t="inlineStr"/>
      <c r="S810" s="164" t="inlineStr"/>
      <c r="T810" s="164" t="inlineStr">
        <is>
          <t>0</t>
        </is>
      </c>
      <c r="U810" s="164" t="inlineStr">
        <is>
          <t>48327+48500+33542+48527+48494+48484+48408+48603+48170+48175+48384</t>
        </is>
      </c>
      <c r="V810" s="391" t="n"/>
      <c r="W810" s="391" t="n"/>
      <c r="X810"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811" customFormat="1" s="3">
      <c r="A811" s="64">
        <f>ROW()-ROW(A$809)</f>
        <v/>
      </c>
      <c r="B811" s="27" t="inlineStr">
        <is>
          <t>多功能表</t>
        </is>
      </c>
      <c r="C811" s="22" t="inlineStr">
        <is>
          <t>PM5350P</t>
        </is>
      </c>
      <c r="D811" s="22" t="inlineStr">
        <is>
          <t>甲供/施耐德电气</t>
        </is>
      </c>
      <c r="E811" s="110" t="inlineStr">
        <is>
          <t>只</t>
        </is>
      </c>
      <c r="F811" s="23" t="n">
        <v>1</v>
      </c>
      <c r="G811" s="353">
        <f>IF(AND(B811="",C811=""),"",ROUND(M811*L811*N811,2))</f>
        <v/>
      </c>
      <c r="H811" s="349">
        <f>IF(AND(B811="",C811=""),"",ROUND(F811*G811,2))</f>
        <v/>
      </c>
      <c r="I811" s="45" t="inlineStr"/>
      <c r="J811" s="392">
        <f>IF(AND(B811="",C811=""),"",ROUND(M811*N811,2))</f>
        <v/>
      </c>
      <c r="K811" s="393">
        <f>IF(AND(B811="",C811=""),"",ROUND(J811*F811,2))</f>
        <v/>
      </c>
      <c r="L811" s="141" t="n">
        <v>1</v>
      </c>
      <c r="M811" s="394" t="n">
        <v>1e-07</v>
      </c>
      <c r="N811" s="143" t="n">
        <v>1</v>
      </c>
      <c r="O811" s="144">
        <f>IF(AND(B811="",C811=""),"",IF(G811&gt;=20000,0.05,IF(G811&gt;=10000,0.1,IF(G811&gt;=5000,0.2,IF(G811&gt;=1000,0.3,IF(G811&gt;=0,0.4,{0}))))))</f>
        <v/>
      </c>
      <c r="P811" s="395">
        <f>IF(AND(B811="",C811=""),"",ROUND(H811*O811,2))</f>
        <v/>
      </c>
      <c r="Q811" s="390" t="inlineStr">
        <is>
          <t>元件</t>
        </is>
      </c>
      <c r="R811" s="164" t="inlineStr"/>
      <c r="S811" s="164" t="inlineStr"/>
      <c r="T811" s="164" t="inlineStr">
        <is>
          <t>0</t>
        </is>
      </c>
      <c r="U811" s="164" t="inlineStr">
        <is>
          <t>True</t>
        </is>
      </c>
      <c r="V811" s="391" t="n"/>
      <c r="W811" s="391" t="n"/>
      <c r="X811" s="166" t="inlineStr">
        <is>
          <t>PM→PM4633→PM4201</t>
        </is>
      </c>
    </row>
    <row r="812" customFormat="1" s="3">
      <c r="A812" s="64">
        <f>ROW()-ROW(A$809)</f>
        <v/>
      </c>
      <c r="B812" s="27" t="inlineStr">
        <is>
          <t>电流互感器</t>
        </is>
      </c>
      <c r="C812" s="22" t="inlineStr">
        <is>
          <t>SD-0.66-160III-C 5000/5A</t>
        </is>
      </c>
      <c r="D812" s="27" t="inlineStr">
        <is>
          <t>桑迪</t>
        </is>
      </c>
      <c r="E812" s="110" t="inlineStr">
        <is>
          <t>只</t>
        </is>
      </c>
      <c r="F812" s="23" t="n">
        <v>6</v>
      </c>
      <c r="G812" s="349">
        <f>IF(AND(B812="",C812=""),"",ROUND(M812*L812*N812,2))</f>
        <v/>
      </c>
      <c r="H812" s="349">
        <f>IF(AND(B812="",C812=""),"",ROUND(F812*G812,2))</f>
        <v/>
      </c>
      <c r="I812" s="45" t="inlineStr"/>
      <c r="J812" s="392">
        <f>IF(AND(B812="",C812=""),"",ROUND(M812*N812,2))</f>
        <v/>
      </c>
      <c r="K812" s="393">
        <f>IF(AND(B812="",C812=""),"",ROUND(J812*F812,2))</f>
        <v/>
      </c>
      <c r="L812" s="141" t="n">
        <v>1</v>
      </c>
      <c r="M812" s="394" t="n">
        <v>510.25</v>
      </c>
      <c r="N812" s="143" t="n">
        <v>1</v>
      </c>
      <c r="O812" s="144">
        <f>IF(AND(B812="",C812=""),"",IF(G812&gt;=20000,0.05,IF(G812&gt;=10000,0.1,IF(G812&gt;=5000,0.2,IF(G812&gt;=1000,0.3,IF(G812&gt;=0,0.4,{0}))))))</f>
        <v/>
      </c>
      <c r="P812" s="395">
        <f>IF(AND(B812="",C812=""),"",ROUND(H812*O812,2))</f>
        <v/>
      </c>
      <c r="Q812" s="390" t="inlineStr">
        <is>
          <t>元件</t>
        </is>
      </c>
      <c r="R812" s="164" t="inlineStr"/>
      <c r="S812" s="164" t="inlineStr"/>
      <c r="T812" s="164" t="inlineStr">
        <is>
          <t>0</t>
        </is>
      </c>
      <c r="U812" s="164" t="inlineStr"/>
      <c r="V812" s="391" t="n"/>
      <c r="W812" s="391" t="n"/>
      <c r="X812"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t>
        </is>
      </c>
    </row>
    <row r="813" customFormat="1" s="3">
      <c r="A813" s="64">
        <f>ROW()-ROW(A$809)</f>
        <v/>
      </c>
      <c r="B813" s="27" t="inlineStr">
        <is>
          <t>后备保护器</t>
        </is>
      </c>
      <c r="C813" s="22" t="inlineStr">
        <is>
          <t>iSCB1 25L2 4P</t>
        </is>
      </c>
      <c r="D813" s="22" t="inlineStr">
        <is>
          <t>甲供/施耐德万高</t>
        </is>
      </c>
      <c r="E813" s="110" t="inlineStr">
        <is>
          <t>只</t>
        </is>
      </c>
      <c r="F813" s="23" t="n">
        <v>1</v>
      </c>
      <c r="G813" s="349">
        <f>IF(AND(B813="",C813=""),"",ROUND(M813*L813*N813,2))</f>
        <v/>
      </c>
      <c r="H813" s="349">
        <f>IF(AND(B813="",C813=""),"",ROUND(F813*G813,2))</f>
        <v/>
      </c>
      <c r="I813" s="45" t="inlineStr"/>
      <c r="J813" s="392">
        <f>IF(AND(B813="",C813=""),"",ROUND(M813*N813,2))</f>
        <v/>
      </c>
      <c r="K813" s="393">
        <f>IF(AND(B813="",C813=""),"",ROUND(J813*F813,2))</f>
        <v/>
      </c>
      <c r="L813" s="141" t="n">
        <v>1</v>
      </c>
      <c r="M813" s="394" t="n">
        <v>1e-07</v>
      </c>
      <c r="N813" s="143" t="n">
        <v>1</v>
      </c>
      <c r="O813" s="144">
        <f>IF(AND(B813="",C813=""),"",IF(G813&gt;=20000,0.05,IF(G813&gt;=10000,0.1,IF(G813&gt;=5000,0.2,IF(G813&gt;=1000,0.3,IF(G813&gt;=0,0.4,{0}))))))</f>
        <v/>
      </c>
      <c r="P813" s="395">
        <f>IF(AND(B813="",C813=""),"",ROUND(H813*O813,2))</f>
        <v/>
      </c>
      <c r="Q813" s="390" t="inlineStr">
        <is>
          <t>元件</t>
        </is>
      </c>
      <c r="R813" s="164" t="inlineStr"/>
      <c r="S813" s="164" t="inlineStr"/>
      <c r="T813" s="164" t="inlineStr">
        <is>
          <t>0</t>
        </is>
      </c>
      <c r="U813" s="164" t="inlineStr">
        <is>
          <t>A9L102554</t>
        </is>
      </c>
      <c r="V813" s="391" t="n"/>
      <c r="W813" s="391" t="n"/>
      <c r="X813" s="166" t="inlineStr">
        <is>
          <t>iSCB1 25L1 4P→iSCB2 40H2 4P</t>
        </is>
      </c>
    </row>
    <row r="814" customFormat="1" s="3">
      <c r="A814" s="64">
        <f>ROW()-ROW(A$809)</f>
        <v/>
      </c>
      <c r="B814" s="27" t="inlineStr">
        <is>
          <t>电涌保护器</t>
        </is>
      </c>
      <c r="C814" s="22" t="inlineStr">
        <is>
          <t>iPRF1 12.5r 3P+N</t>
        </is>
      </c>
      <c r="D814" s="22" t="inlineStr">
        <is>
          <t>甲供/施耐德万高</t>
        </is>
      </c>
      <c r="E814" s="110" t="inlineStr">
        <is>
          <t>只</t>
        </is>
      </c>
      <c r="F814" s="23" t="n">
        <v>1</v>
      </c>
      <c r="G814" s="349">
        <f>IF(AND(B814="",C814=""),"",ROUND(M814*L814*N814,2))</f>
        <v/>
      </c>
      <c r="H814" s="349">
        <f>IF(AND(B814="",C814=""),"",ROUND(F814*G814,2))</f>
        <v/>
      </c>
      <c r="I814" s="45" t="inlineStr"/>
      <c r="J814" s="392">
        <f>IF(AND(B814="",C814=""),"",ROUND(M814*N814,2))</f>
        <v/>
      </c>
      <c r="K814" s="393">
        <f>IF(AND(B814="",C814=""),"",ROUND(J814*F814,2))</f>
        <v/>
      </c>
      <c r="L814" s="141" t="n">
        <v>1</v>
      </c>
      <c r="M814" s="394" t="n">
        <v>1e-07</v>
      </c>
      <c r="N814" s="143" t="n">
        <v>1</v>
      </c>
      <c r="O814" s="144">
        <f>IF(AND(B814="",C814=""),"",IF(G814&gt;=20000,0.05,IF(G814&gt;=10000,0.1,IF(G814&gt;=5000,0.2,IF(G814&gt;=1000,0.3,IF(G814&gt;=0,0.4,{0}))))))</f>
        <v/>
      </c>
      <c r="P814" s="395">
        <f>IF(AND(B814="",C814=""),"",ROUND(H814*O814,2))</f>
        <v/>
      </c>
      <c r="Q814" s="390" t="inlineStr">
        <is>
          <t>元件</t>
        </is>
      </c>
      <c r="R814" s="164" t="inlineStr"/>
      <c r="S814" s="164" t="inlineStr"/>
      <c r="T814" s="164" t="inlineStr">
        <is>
          <t>0</t>
        </is>
      </c>
      <c r="U814" s="164" t="inlineStr">
        <is>
          <t>A9L620601</t>
        </is>
      </c>
      <c r="V814" s="391" t="n"/>
      <c r="W814" s="391" t="n"/>
      <c r="X814" s="166" t="inlineStr">
        <is>
          <t>iPRF1 12.5r 3P+N→iPRU 40r 3P→iPRF1 12.5r 3P+N</t>
        </is>
      </c>
    </row>
    <row r="815" customFormat="1" s="3">
      <c r="A815" s="64">
        <f>ROW()-ROW(A$809)</f>
        <v/>
      </c>
      <c r="B815" s="27" t="inlineStr">
        <is>
          <t>微型断路器</t>
        </is>
      </c>
      <c r="C815" s="22" t="inlineStr">
        <is>
          <t>iC65H 2P C16A</t>
        </is>
      </c>
      <c r="D815" s="22" t="inlineStr">
        <is>
          <t>甲供/施耐德电气</t>
        </is>
      </c>
      <c r="E815" s="110" t="inlineStr">
        <is>
          <t>只</t>
        </is>
      </c>
      <c r="F815" s="23" t="n">
        <v>2</v>
      </c>
      <c r="G815" s="349">
        <f>IF(AND(B815="",C815=""),"",ROUND(M815*L815*N815,2))</f>
        <v/>
      </c>
      <c r="H815" s="349">
        <f>IF(AND(B815="",C815=""),"",ROUND(F815*G815,2))</f>
        <v/>
      </c>
      <c r="I815" s="45" t="inlineStr"/>
      <c r="J815" s="392">
        <f>IF(AND(B815="",C815=""),"",ROUND(M815*N815,2))</f>
        <v/>
      </c>
      <c r="K815" s="393">
        <f>IF(AND(B815="",C815=""),"",ROUND(J815*F815,2))</f>
        <v/>
      </c>
      <c r="L815" s="141" t="n">
        <v>1</v>
      </c>
      <c r="M815" s="394" t="n">
        <v>1e-07</v>
      </c>
      <c r="N815" s="143" t="n">
        <v>1</v>
      </c>
      <c r="O815" s="144">
        <f>IF(AND(B815="",C815=""),"",IF(G815&gt;=20000,0.05,IF(G815&gt;=10000,0.1,IF(G815&gt;=5000,0.2,IF(G815&gt;=1000,0.3,IF(G815&gt;=0,0.4,{0}))))))</f>
        <v/>
      </c>
      <c r="P815" s="395">
        <f>IF(AND(B815="",C815=""),"",ROUND(H815*O815,2))</f>
        <v/>
      </c>
      <c r="Q815" s="390" t="inlineStr">
        <is>
          <t>元件</t>
        </is>
      </c>
      <c r="R815" s="164" t="inlineStr"/>
      <c r="S815" s="164" t="inlineStr"/>
      <c r="T815" s="164" t="n">
        <v>0</v>
      </c>
      <c r="U815" s="164" t="inlineStr"/>
      <c r="V815" s="391" t="n"/>
      <c r="W815" s="391" t="n"/>
      <c r="X815" s="166" t="inlineStr"/>
    </row>
    <row r="816" customFormat="1" s="3">
      <c r="A816" s="64">
        <f>ROW()-ROW(A$809)</f>
        <v/>
      </c>
      <c r="B816" s="27" t="inlineStr">
        <is>
          <t>微型断路器</t>
        </is>
      </c>
      <c r="C816" s="22" t="inlineStr">
        <is>
          <t>iC65H 3P C32A</t>
        </is>
      </c>
      <c r="D816" s="22" t="inlineStr">
        <is>
          <t>甲供/施耐德电气</t>
        </is>
      </c>
      <c r="E816" s="110" t="inlineStr">
        <is>
          <t>只</t>
        </is>
      </c>
      <c r="F816" s="23" t="n">
        <v>2</v>
      </c>
      <c r="G816" s="349">
        <f>IF(AND(B816="",C816=""),"",ROUND(M816*L816*N816,2))</f>
        <v/>
      </c>
      <c r="H816" s="349">
        <f>IF(AND(B816="",C816=""),"",ROUND(F816*G816,2))</f>
        <v/>
      </c>
      <c r="I816" s="45" t="inlineStr"/>
      <c r="J816" s="392">
        <f>IF(AND(B816="",C816=""),"",ROUND(M816*N816,2))</f>
        <v/>
      </c>
      <c r="K816" s="393">
        <f>IF(AND(B816="",C816=""),"",ROUND(J816*F816,2))</f>
        <v/>
      </c>
      <c r="L816" s="141" t="n">
        <v>1</v>
      </c>
      <c r="M816" s="394" t="n">
        <v>1e-07</v>
      </c>
      <c r="N816" s="143" t="n">
        <v>1</v>
      </c>
      <c r="O816" s="144">
        <f>IF(AND(B816="",C816=""),"",IF(G816&gt;=20000,0.05,IF(G816&gt;=10000,0.1,IF(G816&gt;=5000,0.2,IF(G816&gt;=1000,0.3,IF(G816&gt;=0,0.4,{0}))))))</f>
        <v/>
      </c>
      <c r="P816" s="395">
        <f>IF(AND(B816="",C816=""),"",ROUND(H816*O816,2))</f>
        <v/>
      </c>
      <c r="Q816" s="390" t="inlineStr">
        <is>
          <t>元件</t>
        </is>
      </c>
      <c r="R816" s="164" t="inlineStr"/>
      <c r="S816" s="164" t="inlineStr"/>
      <c r="T816" s="164" t="n">
        <v>0</v>
      </c>
      <c r="U816" s="164" t="inlineStr"/>
      <c r="V816" s="391" t="n"/>
      <c r="W816" s="391" t="n"/>
      <c r="X816" s="166" t="inlineStr"/>
    </row>
    <row r="817" customFormat="1" s="3">
      <c r="A817" s="64">
        <f>ROW()-ROW(A$809)</f>
        <v/>
      </c>
      <c r="B817" s="27" t="inlineStr">
        <is>
          <t>熔断器+底座</t>
        </is>
      </c>
      <c r="C817" s="22" t="inlineStr">
        <is>
          <t>NT00 gG 690V/160A、NT00（新底座）</t>
        </is>
      </c>
      <c r="D817" s="22" t="inlineStr">
        <is>
          <t>茗熔</t>
        </is>
      </c>
      <c r="E817" s="110" t="inlineStr">
        <is>
          <t>只</t>
        </is>
      </c>
      <c r="F817" s="23" t="n">
        <v>12</v>
      </c>
      <c r="G817" s="349">
        <f>IF(AND(B817="",C817=""),"",ROUND(M817*L817*N817,2))</f>
        <v/>
      </c>
      <c r="H817" s="349">
        <f>IF(AND(B817="",C817=""),"",ROUND(F817*G817,2))</f>
        <v/>
      </c>
      <c r="I817" s="45" t="inlineStr"/>
      <c r="J817" s="392">
        <f>IF(AND(B817="",C817=""),"",ROUND(M817*N817,2))</f>
        <v/>
      </c>
      <c r="K817" s="393">
        <f>IF(AND(B817="",C817=""),"",ROUND(J817*F817,2))</f>
        <v/>
      </c>
      <c r="L817" s="141" t="n">
        <v>1</v>
      </c>
      <c r="M817" s="394" t="n">
        <v>23.8</v>
      </c>
      <c r="N817" s="143" t="n">
        <v>1</v>
      </c>
      <c r="O817" s="144">
        <f>IF(AND(B817="",C817=""),"",IF(G817&gt;=20000,0.05,IF(G817&gt;=10000,0.1,IF(G817&gt;=5000,0.2,IF(G817&gt;=1000,0.3,IF(G817&gt;=0,0.4,{0}))))))</f>
        <v/>
      </c>
      <c r="P817" s="395">
        <f>IF(AND(B817="",C817=""),"",ROUND(H817*O817,2))</f>
        <v/>
      </c>
      <c r="Q817" s="390" t="inlineStr">
        <is>
          <t>元件</t>
        </is>
      </c>
      <c r="R817" s="164" t="inlineStr"/>
      <c r="S817" s="164" t="inlineStr"/>
      <c r="T817" s="164" t="inlineStr">
        <is>
          <t>0</t>
        </is>
      </c>
      <c r="U817" s="164" t="inlineStr">
        <is>
          <t>0</t>
        </is>
      </c>
      <c r="V817" s="391" t="n"/>
      <c r="W817" s="391" t="n"/>
      <c r="X817" s="166" t="inlineStr"/>
    </row>
    <row r="818" s="308">
      <c r="A818" s="64">
        <f>ROW()-ROW(A$809)</f>
        <v/>
      </c>
      <c r="B818" s="112" t="inlineStr">
        <is>
          <t>温湿度控制器</t>
        </is>
      </c>
      <c r="C818" s="112" t="inlineStr">
        <is>
          <t>ATH48G-11</t>
        </is>
      </c>
      <c r="D818" s="22" t="inlineStr">
        <is>
          <t>杭州安廷</t>
        </is>
      </c>
      <c r="E818" s="23" t="inlineStr">
        <is>
          <t>套</t>
        </is>
      </c>
      <c r="F818" s="23" t="n">
        <v>1</v>
      </c>
      <c r="G818" s="349">
        <f>IF(AND(B818="",C818=""),"",ROUND(M818*L818*N818,2))</f>
        <v/>
      </c>
      <c r="H818" s="396">
        <f>IF(AND(B818="",C818=""),"",ROUND(F818*G818,2))</f>
        <v/>
      </c>
      <c r="I818" s="150" t="inlineStr"/>
      <c r="J818" s="397">
        <f>IF(AND(B818="",C818=""),"",ROUND(M818*N818,2))</f>
        <v/>
      </c>
      <c r="K818" s="398">
        <f>IF(AND(B818="",C818=""),"",ROUND(J818*F818,2))</f>
        <v/>
      </c>
      <c r="L818" s="141" t="n">
        <v>1</v>
      </c>
      <c r="M818" s="399" t="n">
        <v>450</v>
      </c>
      <c r="N818" s="154" t="n">
        <v>1</v>
      </c>
      <c r="O818" s="155">
        <f>IF(AND(B818="",C818=""),"",IF(G818&gt;=20000,0.05,IF(G818&gt;=10000,0.1,IF(G818&gt;=5000,0.2,IF(G818&gt;=1000,0.3,IF(G818&gt;=0,0.4,{0}))))))</f>
        <v/>
      </c>
      <c r="P818" s="400">
        <f>IF(AND(B818="",C818=""),"",ROUND(H818*O818,2))</f>
        <v/>
      </c>
      <c r="Q818" s="401" t="inlineStr">
        <is>
          <t>元件</t>
        </is>
      </c>
      <c r="R818" s="168" t="inlineStr"/>
      <c r="S818" s="168" t="inlineStr"/>
      <c r="T818" s="168" t="inlineStr">
        <is>
          <t>0</t>
        </is>
      </c>
      <c r="U818" s="168" t="inlineStr"/>
      <c r="V818" s="402" t="n"/>
      <c r="W818" s="402" t="n"/>
      <c r="X818" s="170" t="inlineStr"/>
    </row>
    <row r="819" s="308">
      <c r="A819" s="64">
        <f>ROW()-ROW(A$809)</f>
        <v/>
      </c>
      <c r="B819" s="112" t="inlineStr">
        <is>
          <t>指示灯</t>
        </is>
      </c>
      <c r="C819" s="112" t="inlineStr">
        <is>
          <t>XB2BVM3LC</t>
        </is>
      </c>
      <c r="D819" s="112" t="inlineStr">
        <is>
          <t>甲供/施耐德电气</t>
        </is>
      </c>
      <c r="E819" s="114" t="inlineStr">
        <is>
          <t>只</t>
        </is>
      </c>
      <c r="F819" s="114" t="n">
        <v>1</v>
      </c>
      <c r="G819" s="396">
        <f>IF(AND(B819="",C819=""),"",ROUND(M819*L819*N819,2))</f>
        <v/>
      </c>
      <c r="H819" s="396">
        <f>IF(AND(B819="",C819=""),"",ROUND(F819*G819,2))</f>
        <v/>
      </c>
      <c r="I819" s="150" t="inlineStr"/>
      <c r="J819" s="397">
        <f>IF(AND(B819="",C819=""),"",ROUND(M819*N819,2))</f>
        <v/>
      </c>
      <c r="K819" s="398">
        <f>IF(AND(B819="",C819=""),"",ROUND(J819*F819,2))</f>
        <v/>
      </c>
      <c r="L819" s="141" t="n">
        <v>1</v>
      </c>
      <c r="M819" s="399" t="n">
        <v>1e-07</v>
      </c>
      <c r="N819" s="154" t="n">
        <v>1</v>
      </c>
      <c r="O819" s="155">
        <f>IF(AND(B819="",C819=""),"",IF(G819&gt;=20000,0.05,IF(G819&gt;=10000,0.1,IF(G819&gt;=5000,0.2,IF(G819&gt;=1000,0.3,IF(G819&gt;=0,0.4,{0}))))))</f>
        <v/>
      </c>
      <c r="P819" s="400">
        <f>IF(AND(B819="",C819=""),"",ROUND(H819*O819,2))</f>
        <v/>
      </c>
      <c r="Q819" s="401" t="inlineStr">
        <is>
          <t>元件</t>
        </is>
      </c>
      <c r="R819" s="168" t="inlineStr"/>
      <c r="S819" s="168" t="inlineStr"/>
      <c r="T819" s="168" t="inlineStr">
        <is>
          <t>0</t>
        </is>
      </c>
      <c r="U819" s="168" t="inlineStr">
        <is>
          <t>XA2EVM3LC</t>
        </is>
      </c>
      <c r="V819" s="402" t="n"/>
      <c r="W819" s="402" t="n"/>
      <c r="X819" s="170" t="inlineStr"/>
    </row>
    <row r="820" s="308">
      <c r="A820" s="64">
        <f>ROW()-ROW(A$809)</f>
        <v/>
      </c>
      <c r="B820" s="112" t="inlineStr">
        <is>
          <t>指示灯</t>
        </is>
      </c>
      <c r="C820" s="22" t="inlineStr">
        <is>
          <t>XB2BVM4LC</t>
        </is>
      </c>
      <c r="D820" s="112" t="inlineStr">
        <is>
          <t>甲供/施耐德电气</t>
        </is>
      </c>
      <c r="E820" s="114" t="inlineStr">
        <is>
          <t>只</t>
        </is>
      </c>
      <c r="F820" s="114" t="n">
        <v>1</v>
      </c>
      <c r="G820" s="396">
        <f>IF(AND(B820="",C820=""),"",ROUND(M820*L820*N820,2))</f>
        <v/>
      </c>
      <c r="H820" s="396">
        <f>IF(AND(B820="",C820=""),"",ROUND(F820*G820,2))</f>
        <v/>
      </c>
      <c r="I820" s="150" t="inlineStr"/>
      <c r="J820" s="397">
        <f>IF(AND(B820="",C820=""),"",ROUND(M820*N820,2))</f>
        <v/>
      </c>
      <c r="K820" s="398">
        <f>IF(AND(B820="",C820=""),"",ROUND(J820*F820,2))</f>
        <v/>
      </c>
      <c r="L820" s="141" t="n">
        <v>1</v>
      </c>
      <c r="M820" s="399" t="n">
        <v>1e-07</v>
      </c>
      <c r="N820" s="154" t="n">
        <v>1</v>
      </c>
      <c r="O820" s="155">
        <f>IF(AND(B820="",C820=""),"",IF(G820&gt;=20000,0.05,IF(G820&gt;=10000,0.1,IF(G820&gt;=5000,0.2,IF(G820&gt;=1000,0.3,IF(G820&gt;=0,0.4,{0}))))))</f>
        <v/>
      </c>
      <c r="P820" s="400">
        <f>IF(AND(B820="",C820=""),"",ROUND(H820*O820,2))</f>
        <v/>
      </c>
      <c r="Q820" s="401" t="inlineStr">
        <is>
          <t>元件</t>
        </is>
      </c>
      <c r="R820" s="168" t="inlineStr"/>
      <c r="S820" s="168" t="inlineStr"/>
      <c r="T820" s="168" t="inlineStr">
        <is>
          <t>0</t>
        </is>
      </c>
      <c r="U820" s="168" t="inlineStr">
        <is>
          <t>XA2EVM4LC</t>
        </is>
      </c>
      <c r="V820" s="402" t="n"/>
      <c r="W820" s="402" t="n"/>
      <c r="X820" s="170" t="inlineStr"/>
    </row>
    <row r="821" s="308">
      <c r="A821" s="64">
        <f>ROW()-ROW(A$809)</f>
        <v/>
      </c>
      <c r="B821" s="112" t="inlineStr">
        <is>
          <t>指示灯</t>
        </is>
      </c>
      <c r="C821" s="112" t="inlineStr">
        <is>
          <t>XB2BVM5LC</t>
        </is>
      </c>
      <c r="D821" s="112" t="inlineStr">
        <is>
          <t>甲供/施耐德电气</t>
        </is>
      </c>
      <c r="E821" s="114" t="inlineStr">
        <is>
          <t>只</t>
        </is>
      </c>
      <c r="F821" s="114" t="n">
        <v>1</v>
      </c>
      <c r="G821" s="396">
        <f>IF(AND(B821="",C821=""),"",ROUND(M821*L821*N821,2))</f>
        <v/>
      </c>
      <c r="H821" s="396">
        <f>IF(AND(B821="",C821=""),"",ROUND(F821*G821,2))</f>
        <v/>
      </c>
      <c r="I821" s="150" t="inlineStr"/>
      <c r="J821" s="397">
        <f>IF(AND(B821="",C821=""),"",ROUND(M821*N821,2))</f>
        <v/>
      </c>
      <c r="K821" s="398">
        <f>IF(AND(B821="",C821=""),"",ROUND(J821*F821,2))</f>
        <v/>
      </c>
      <c r="L821" s="141" t="n">
        <v>1</v>
      </c>
      <c r="M821" s="399" t="n">
        <v>1e-07</v>
      </c>
      <c r="N821" s="154" t="n">
        <v>1</v>
      </c>
      <c r="O821" s="155">
        <f>IF(AND(B821="",C821=""),"",IF(G821&gt;=20000,0.05,IF(G821&gt;=10000,0.1,IF(G821&gt;=5000,0.2,IF(G821&gt;=1000,0.3,IF(G821&gt;=0,0.4,{0}))))))</f>
        <v/>
      </c>
      <c r="P821" s="400">
        <f>IF(AND(B821="",C821=""),"",ROUND(H821*O821,2))</f>
        <v/>
      </c>
      <c r="Q821" s="401" t="inlineStr">
        <is>
          <t>元件</t>
        </is>
      </c>
      <c r="R821" s="168" t="inlineStr"/>
      <c r="S821" s="168" t="inlineStr"/>
      <c r="T821" s="168" t="inlineStr">
        <is>
          <t>0</t>
        </is>
      </c>
      <c r="U821" s="168" t="inlineStr">
        <is>
          <t>XA2EVM5LC</t>
        </is>
      </c>
      <c r="V821" s="402" t="n"/>
      <c r="W821" s="402" t="n"/>
      <c r="X821" s="170" t="inlineStr"/>
    </row>
    <row r="822" s="308">
      <c r="A822" s="64">
        <f>ROW()-ROW(A$809)</f>
        <v/>
      </c>
      <c r="B822" s="112" t="inlineStr">
        <is>
          <t>按钮</t>
        </is>
      </c>
      <c r="C822" s="112" t="inlineStr">
        <is>
          <t>XB2BA31C</t>
        </is>
      </c>
      <c r="D822" s="112" t="inlineStr">
        <is>
          <t>甲供/施耐德电气</t>
        </is>
      </c>
      <c r="E822" s="114" t="inlineStr">
        <is>
          <t>只</t>
        </is>
      </c>
      <c r="F822" s="114" t="n">
        <v>1</v>
      </c>
      <c r="G822" s="396">
        <f>IF(AND(B822="",C822=""),"",ROUND(M822*L822*N822,2))</f>
        <v/>
      </c>
      <c r="H822" s="396">
        <f>IF(AND(B822="",C822=""),"",ROUND(F822*G822,2))</f>
        <v/>
      </c>
      <c r="I822" s="150" t="inlineStr"/>
      <c r="J822" s="397">
        <f>IF(AND(B822="",C822=""),"",ROUND(M822*N822,2))</f>
        <v/>
      </c>
      <c r="K822" s="398">
        <f>IF(AND(B822="",C822=""),"",ROUND(J822*F822,2))</f>
        <v/>
      </c>
      <c r="L822" s="141" t="n">
        <v>1</v>
      </c>
      <c r="M822" s="399" t="n">
        <v>1e-07</v>
      </c>
      <c r="N822" s="154" t="n">
        <v>1</v>
      </c>
      <c r="O822" s="155">
        <f>IF(AND(B822="",C822=""),"",IF(G822&gt;=20000,0.05,IF(G822&gt;=10000,0.1,IF(G822&gt;=5000,0.2,IF(G822&gt;=1000,0.3,IF(G822&gt;=0,0.4,{0}))))))</f>
        <v/>
      </c>
      <c r="P822" s="400">
        <f>IF(AND(B822="",C822=""),"",ROUND(H822*O822,2))</f>
        <v/>
      </c>
      <c r="Q822" s="401" t="inlineStr">
        <is>
          <t>元件</t>
        </is>
      </c>
      <c r="R822" s="168" t="inlineStr"/>
      <c r="S822" s="168" t="inlineStr"/>
      <c r="T822" s="168" t="inlineStr">
        <is>
          <t>0</t>
        </is>
      </c>
      <c r="U822" s="168" t="inlineStr">
        <is>
          <t>XB2BA31C</t>
        </is>
      </c>
      <c r="V822" s="402" t="n"/>
      <c r="W822" s="402" t="n"/>
      <c r="X822" s="170" t="inlineStr">
        <is>
          <t>XA2EA31</t>
        </is>
      </c>
    </row>
    <row r="823" s="308">
      <c r="A823" s="64">
        <f>ROW()-ROW(A$809)</f>
        <v/>
      </c>
      <c r="B823" s="22" t="inlineStr">
        <is>
          <t>按钮</t>
        </is>
      </c>
      <c r="C823" s="22" t="inlineStr">
        <is>
          <t>XB2BA42C</t>
        </is>
      </c>
      <c r="D823" s="22" t="inlineStr">
        <is>
          <t>甲供/施耐德电气</t>
        </is>
      </c>
      <c r="E823" s="23" t="inlineStr">
        <is>
          <t>只</t>
        </is>
      </c>
      <c r="F823" s="23" t="n">
        <v>1</v>
      </c>
      <c r="G823" s="349">
        <f>IF(AND(B823="",C823=""),"",ROUND(M823*L823*N823,2))</f>
        <v/>
      </c>
      <c r="H823" s="396">
        <f>IF(AND(B823="",C823=""),"",ROUND(F823*G823,2))</f>
        <v/>
      </c>
      <c r="I823" s="150" t="inlineStr"/>
      <c r="J823" s="397">
        <f>IF(AND(B823="",C823=""),"",ROUND(M823*N823,2))</f>
        <v/>
      </c>
      <c r="K823" s="398">
        <f>IF(AND(B823="",C823=""),"",ROUND(J823*F823,2))</f>
        <v/>
      </c>
      <c r="L823" s="141" t="n">
        <v>1</v>
      </c>
      <c r="M823" s="399" t="n">
        <v>1e-07</v>
      </c>
      <c r="N823" s="154" t="n">
        <v>1</v>
      </c>
      <c r="O823" s="155">
        <f>IF(AND(B823="",C823=""),"",IF(G823&gt;=20000,0.05,IF(G823&gt;=10000,0.1,IF(G823&gt;=5000,0.2,IF(G823&gt;=1000,0.3,IF(G823&gt;=0,0.4,{0}))))))</f>
        <v/>
      </c>
      <c r="P823" s="400">
        <f>IF(AND(B823="",C823=""),"",ROUND(H823*O823,2))</f>
        <v/>
      </c>
      <c r="Q823" s="401" t="inlineStr">
        <is>
          <t>元件</t>
        </is>
      </c>
      <c r="R823" s="168" t="inlineStr"/>
      <c r="S823" s="168" t="inlineStr"/>
      <c r="T823" s="168" t="inlineStr">
        <is>
          <t>0</t>
        </is>
      </c>
      <c r="U823" s="168" t="inlineStr">
        <is>
          <t>XB2BA42C</t>
        </is>
      </c>
      <c r="V823" s="402" t="n"/>
      <c r="W823" s="402" t="n"/>
      <c r="X823" s="170" t="inlineStr">
        <is>
          <t>XA2EA41</t>
        </is>
      </c>
    </row>
    <row r="824" s="308">
      <c r="A824" s="64">
        <f>ROW()-ROW(A$809)</f>
        <v/>
      </c>
      <c r="B824" s="112" t="inlineStr">
        <is>
          <t>带熔丝端子</t>
        </is>
      </c>
      <c r="C824" s="112" t="inlineStr">
        <is>
          <t>UK 5-HESI</t>
        </is>
      </c>
      <c r="D824" s="22" t="inlineStr">
        <is>
          <t>菲尼克斯</t>
        </is>
      </c>
      <c r="E824" s="23" t="inlineStr">
        <is>
          <t>只</t>
        </is>
      </c>
      <c r="F824" s="23" t="n">
        <v>7</v>
      </c>
      <c r="G824" s="349">
        <f>IF(AND(B824="",C824=""),"",ROUND(M824*L824*N824,2))</f>
        <v/>
      </c>
      <c r="H824" s="396">
        <f>IF(AND(B824="",C824=""),"",ROUND(F824*G824,2))</f>
        <v/>
      </c>
      <c r="I824" s="150" t="inlineStr"/>
      <c r="J824" s="397">
        <f>IF(AND(B824="",C824=""),"",ROUND(M824*N824,2))</f>
        <v/>
      </c>
      <c r="K824" s="398">
        <f>IF(AND(B824="",C824=""),"",ROUND(J824*F824,2))</f>
        <v/>
      </c>
      <c r="L824" s="141" t="n">
        <v>1</v>
      </c>
      <c r="M824" s="399" t="n">
        <v>7</v>
      </c>
      <c r="N824" s="154" t="n">
        <v>1</v>
      </c>
      <c r="O824" s="155">
        <f>IF(AND(B824="",C824=""),"",IF(G824&gt;=20000,0.05,IF(G824&gt;=10000,0.1,IF(G824&gt;=5000,0.2,IF(G824&gt;=1000,0.3,IF(G824&gt;=0,0.4,{0}))))))</f>
        <v/>
      </c>
      <c r="P824" s="400">
        <f>IF(AND(B824="",C824=""),"",ROUND(H824*O824,2))</f>
        <v/>
      </c>
      <c r="Q824" s="401" t="inlineStr">
        <is>
          <t>元件</t>
        </is>
      </c>
      <c r="R824" s="168" t="inlineStr"/>
      <c r="S824" s="168" t="inlineStr"/>
      <c r="T824" s="168" t="inlineStr">
        <is>
          <t>0</t>
        </is>
      </c>
      <c r="U824" s="168" t="inlineStr"/>
      <c r="V824" s="402" t="n"/>
      <c r="W824" s="402" t="n"/>
      <c r="X824" s="170" t="inlineStr"/>
    </row>
    <row r="825" s="308">
      <c r="A825" s="64">
        <f>ROW()-ROW(A$809)</f>
        <v/>
      </c>
      <c r="B825" s="112" t="inlineStr">
        <is>
          <t>L型端子</t>
        </is>
      </c>
      <c r="C825" s="112" t="inlineStr">
        <is>
          <t>GH100710</t>
        </is>
      </c>
      <c r="D825" s="22" t="inlineStr">
        <is>
          <t>施耐德电气</t>
        </is>
      </c>
      <c r="E825" s="23" t="inlineStr">
        <is>
          <t>只</t>
        </is>
      </c>
      <c r="F825" s="23" t="n">
        <v>6</v>
      </c>
      <c r="G825" s="349">
        <f>IF(AND(B825="",C825=""),"",ROUND(M825*L825*N825,2))</f>
        <v/>
      </c>
      <c r="H825" s="396">
        <f>IF(AND(B825="",C825=""),"",ROUND(F825*G825,2))</f>
        <v/>
      </c>
      <c r="I825" s="150" t="inlineStr"/>
      <c r="J825" s="397">
        <f>IF(AND(B825="",C825=""),"",ROUND(M825*N825,2))</f>
        <v/>
      </c>
      <c r="K825" s="398">
        <f>IF(AND(B825="",C825=""),"",ROUND(J825*F825,2))</f>
        <v/>
      </c>
      <c r="L825" s="141" t="n">
        <v>1</v>
      </c>
      <c r="M825" s="399" t="n">
        <v>1125.85</v>
      </c>
      <c r="N825" s="154" t="n">
        <v>0.45</v>
      </c>
      <c r="O825" s="155">
        <f>IF(AND(B825="",C825=""),"",IF(G825&gt;=20000,0.05,IF(G825&gt;=10000,0.1,IF(G825&gt;=5000,0.2,IF(G825&gt;=1000,0.3,IF(G825&gt;=0,0.4,{0}))))))</f>
        <v/>
      </c>
      <c r="P825" s="400">
        <f>IF(AND(B825="",C825=""),"",ROUND(H825*O825,2))</f>
        <v/>
      </c>
      <c r="Q825" s="401" t="inlineStr">
        <is>
          <t>元件</t>
        </is>
      </c>
      <c r="R825" s="168" t="inlineStr"/>
      <c r="S825" s="168" t="inlineStr"/>
      <c r="T825" s="168" t="inlineStr">
        <is>
          <t>0</t>
        </is>
      </c>
      <c r="U825" s="168" t="inlineStr"/>
      <c r="V825" s="402" t="n"/>
      <c r="W825" s="402" t="n"/>
      <c r="X825" s="170" t="inlineStr"/>
    </row>
    <row r="826" s="308">
      <c r="A826" s="64">
        <f>ROW()-ROW(A$809)</f>
        <v/>
      </c>
      <c r="B826" s="112" t="inlineStr">
        <is>
          <t>T型端子</t>
        </is>
      </c>
      <c r="C826" s="112" t="inlineStr">
        <is>
          <t>87408</t>
        </is>
      </c>
      <c r="D826" s="22" t="inlineStr">
        <is>
          <t>施耐德电气</t>
        </is>
      </c>
      <c r="E826" s="23" t="inlineStr">
        <is>
          <t>只</t>
        </is>
      </c>
      <c r="F826" s="23" t="n">
        <v>6</v>
      </c>
      <c r="G826" s="349">
        <f>IF(AND(B826="",C826=""),"",ROUND(M826*L826*N826,2))</f>
        <v/>
      </c>
      <c r="H826" s="396">
        <f>IF(AND(B826="",C826=""),"",ROUND(F826*G826,2))</f>
        <v/>
      </c>
      <c r="I826" s="150" t="inlineStr"/>
      <c r="J826" s="397">
        <f>IF(AND(B826="",C826=""),"",ROUND(M826*N826,2))</f>
        <v/>
      </c>
      <c r="K826" s="398">
        <f>IF(AND(B826="",C826=""),"",ROUND(J826*F826,2))</f>
        <v/>
      </c>
      <c r="L826" s="141" t="n">
        <v>1</v>
      </c>
      <c r="M826" s="399" t="n">
        <v>659.91</v>
      </c>
      <c r="N826" s="154" t="n">
        <v>0.45</v>
      </c>
      <c r="O826" s="155">
        <f>IF(AND(B826="",C826=""),"",IF(G826&gt;=20000,0.05,IF(G826&gt;=10000,0.1,IF(G826&gt;=5000,0.2,IF(G826&gt;=1000,0.3,IF(G826&gt;=0,0.4,{0}))))))</f>
        <v/>
      </c>
      <c r="P826" s="400">
        <f>IF(AND(B826="",C826=""),"",ROUND(H826*O826,2))</f>
        <v/>
      </c>
      <c r="Q826" s="401" t="inlineStr">
        <is>
          <t>元件</t>
        </is>
      </c>
      <c r="R826" s="168" t="inlineStr"/>
      <c r="S826" s="168" t="inlineStr"/>
      <c r="T826" s="168" t="inlineStr">
        <is>
          <t>0</t>
        </is>
      </c>
      <c r="U826" s="168" t="inlineStr"/>
      <c r="V826" s="402" t="n"/>
      <c r="W826" s="402" t="n"/>
      <c r="X826" s="170" t="inlineStr"/>
    </row>
    <row r="827" s="308">
      <c r="A827" s="64">
        <f>ROW()-ROW(A$809)</f>
        <v/>
      </c>
      <c r="B827" s="33" t="inlineStr">
        <is>
          <t>水平母排</t>
        </is>
      </c>
      <c r="C827" s="22" t="inlineStr">
        <is>
          <t>TMY 4*(4*150*5)+2*50*5</t>
        </is>
      </c>
      <c r="D827" s="22" t="inlineStr">
        <is>
          <t>国产优质</t>
        </is>
      </c>
      <c r="E827" s="23" t="inlineStr">
        <is>
          <t>米</t>
        </is>
      </c>
      <c r="F827" s="23" t="n">
        <v>1.2</v>
      </c>
      <c r="G827" s="349">
        <f>IF(AND(B827="",C827=""),"",ROUND(M827*L827*N827,2))</f>
        <v/>
      </c>
      <c r="H827" s="349">
        <f>IF(AND(B827="",C827=""),"",ROUND(F827*G827,2))</f>
        <v/>
      </c>
      <c r="I827" s="179" t="inlineStr"/>
      <c r="J827" s="397">
        <f>IF(AND(B827="",C827=""),"",ROUND(M827*N827,2))</f>
        <v/>
      </c>
      <c r="K827" s="398">
        <f>IF(AND(B827="",C827=""),"",ROUND(J827*F827,2))</f>
        <v/>
      </c>
      <c r="L827" s="141" t="n">
        <v>1</v>
      </c>
      <c r="M827" s="399" t="n">
        <v>12026.68125</v>
      </c>
      <c r="N827" s="154">
        <f>(6317.932*1*1+2684.8*1*1)/9002.732</f>
        <v/>
      </c>
      <c r="O827" s="155">
        <f>IF(AND(B827="",C827=""),"",IF(G827&gt;=20000,0.05,IF(G827&gt;=10000,0.1,IF(G827&gt;=5000,0.2,IF(G827&gt;=1000,0.3,IF(G827&gt;=0,0.4,{0}))))))</f>
        <v/>
      </c>
      <c r="P827" s="400">
        <f>IF(AND(B827="",C827=""),"",ROUND(H827*O827,2))</f>
        <v/>
      </c>
      <c r="Q827" s="401" t="inlineStr">
        <is>
          <t>母排</t>
        </is>
      </c>
      <c r="R827" s="168" t="inlineStr"/>
      <c r="S827" s="168" t="inlineStr"/>
      <c r="T827" s="168" t="inlineStr">
        <is>
          <t>0</t>
        </is>
      </c>
      <c r="U827" s="168" t="inlineStr"/>
      <c r="V827" s="402" t="n"/>
      <c r="W827" s="402" t="n"/>
      <c r="X827" s="170" t="inlineStr"/>
    </row>
    <row r="828" customFormat="1" s="3">
      <c r="A828" s="64">
        <f>ROW()-ROW(A$809)</f>
        <v/>
      </c>
      <c r="B828" s="27" t="inlineStr">
        <is>
          <t>铜排</t>
        </is>
      </c>
      <c r="C828" s="27" t="inlineStr">
        <is>
          <t>TMY</t>
        </is>
      </c>
      <c r="D828" s="22" t="inlineStr">
        <is>
          <t>国产优质</t>
        </is>
      </c>
      <c r="E828" s="23" t="inlineStr">
        <is>
          <t>kg</t>
        </is>
      </c>
      <c r="F828" s="28" t="n">
        <v>422</v>
      </c>
      <c r="G828" s="353">
        <f>IF(AND(B828="",C828=""),"",ROUND(M828*L828*N828,2))</f>
        <v/>
      </c>
      <c r="H828" s="353">
        <f>IF(AND(B828="",C828=""),"",ROUND(F828*G828,2))</f>
        <v/>
      </c>
      <c r="I828" s="180" t="inlineStr"/>
      <c r="J828" s="392">
        <f>IF(AND(B828="",C828=""),"",ROUND(M828*N828,2))</f>
        <v/>
      </c>
      <c r="K828" s="393">
        <f>IF(AND(B828="",C828=""),"",ROUND(J828*F828,2))</f>
        <v/>
      </c>
      <c r="L828" s="141" t="n">
        <v>1</v>
      </c>
      <c r="M828" s="394" t="n">
        <v>108.105</v>
      </c>
      <c r="N828" s="143" t="n">
        <v>1</v>
      </c>
      <c r="O828" s="144">
        <f>IF(AND(B828="",C828=""),"",IF(G828&gt;=20000,0.05,IF(G828&gt;=10000,0.1,IF(G828&gt;=5000,0.2,IF(G828&gt;=1000,0.3,IF(G828&gt;=0,0.4,{0}))))))</f>
        <v/>
      </c>
      <c r="P828" s="395">
        <f>IF(AND(B828="",C828=""),"",ROUND(H828*O828,2))</f>
        <v/>
      </c>
      <c r="Q828" s="390" t="inlineStr">
        <is>
          <t>母排</t>
        </is>
      </c>
      <c r="R828" s="164" t="inlineStr"/>
      <c r="S828" s="164" t="inlineStr"/>
      <c r="T828" s="164" t="inlineStr">
        <is>
          <t>0</t>
        </is>
      </c>
      <c r="U828" s="164" t="inlineStr"/>
      <c r="V828" s="391" t="n"/>
      <c r="W828" s="391" t="n"/>
      <c r="X828" s="166" t="inlineStr"/>
    </row>
    <row r="829" s="308">
      <c r="A829" s="64">
        <f>ROW()-ROW(A$809)</f>
        <v/>
      </c>
      <c r="B829" s="22" t="inlineStr">
        <is>
          <t>辅料</t>
        </is>
      </c>
      <c r="C829" s="22" t="inlineStr"/>
      <c r="D829" s="22" t="inlineStr"/>
      <c r="E829" s="23" t="inlineStr">
        <is>
          <t>套</t>
        </is>
      </c>
      <c r="F829" s="23" t="n">
        <v>1</v>
      </c>
      <c r="G829" s="349">
        <f>IF(AND(B829="",C829=""),"",ROUND(M829*L829*N829,2))</f>
        <v/>
      </c>
      <c r="H829" s="349">
        <f>IF(AND(B829="",C829=""),"",ROUND(F829*G829,2))</f>
        <v/>
      </c>
      <c r="I829" s="179" t="inlineStr"/>
      <c r="J829" s="397">
        <f>IF(AND(B829="",C829=""),"",ROUND(M829*N829,2))</f>
        <v/>
      </c>
      <c r="K829" s="398">
        <f>IF(AND(B829="",C829=""),"",ROUND(J829*F829,2))</f>
        <v/>
      </c>
      <c r="L829" s="141" t="n">
        <v>1</v>
      </c>
      <c r="M829" s="399" t="n">
        <v>550</v>
      </c>
      <c r="N829" s="154" t="n">
        <v>1</v>
      </c>
      <c r="O829" s="155">
        <f>IF(AND(B829="",C829=""),"",IF(G829&gt;=20000,0.05,IF(G829&gt;=10000,0.1,IF(G829&gt;=5000,0.2,IF(G829&gt;=1000,0.3,IF(G829&gt;=0,0.4,{0}))))))</f>
        <v/>
      </c>
      <c r="P829" s="400">
        <f>IF(AND(B829="",C829=""),"",ROUND(H829*O829,2))</f>
        <v/>
      </c>
      <c r="Q829" s="401" t="inlineStr">
        <is>
          <t>辅料</t>
        </is>
      </c>
      <c r="R829" s="168" t="inlineStr"/>
      <c r="S829" s="168" t="inlineStr"/>
      <c r="T829" s="168" t="inlineStr">
        <is>
          <t>0</t>
        </is>
      </c>
      <c r="U829" s="168" t="inlineStr"/>
      <c r="V829" s="402" t="n"/>
      <c r="W829" s="402" t="n"/>
      <c r="X829" s="170" t="inlineStr"/>
    </row>
    <row r="830" s="308">
      <c r="A830" s="64">
        <f>ROW()-ROW(A$809)</f>
        <v/>
      </c>
      <c r="B830" s="22" t="inlineStr">
        <is>
          <t>柜体Blokset</t>
        </is>
      </c>
      <c r="C830" s="33" t="inlineStr">
        <is>
          <t>1200W*1200D*2200H</t>
        </is>
      </c>
      <c r="D830" s="22" t="inlineStr">
        <is>
          <t>清科</t>
        </is>
      </c>
      <c r="E830" s="23" t="inlineStr">
        <is>
          <t>台</t>
        </is>
      </c>
      <c r="F830" s="23" t="n">
        <v>1</v>
      </c>
      <c r="G830" s="349">
        <f>IF(AND(B830="",C830=""),"",ROUND(M830*L830*N830,2))</f>
        <v/>
      </c>
      <c r="H830" s="349">
        <f>IF(AND(B830="",C830=""),"",ROUND(F830*G830,2))</f>
        <v/>
      </c>
      <c r="I830" s="179" t="inlineStr"/>
      <c r="J830" s="397">
        <f>IF(AND(B830="",C830=""),"",ROUND(M830*N830,2))</f>
        <v/>
      </c>
      <c r="K830" s="398">
        <f>IF(AND(B830="",C830=""),"",ROUND(J830*F830,2))</f>
        <v/>
      </c>
      <c r="L830" s="141" t="n">
        <v>1</v>
      </c>
      <c r="M830" s="399" t="n">
        <v>5676</v>
      </c>
      <c r="N830" s="154" t="n">
        <v>1</v>
      </c>
      <c r="O830" s="155">
        <f>IF(AND(B830="",C830=""),"",IF(G830&gt;=20000,0.05,IF(G830&gt;=10000,0.1,IF(G830&gt;=5000,0.2,IF(G830&gt;=1000,0.3,IF(G830&gt;=0,0.4,{0}))))))</f>
        <v/>
      </c>
      <c r="P830" s="400">
        <f>IF(AND(B830="",C830=""),"",ROUND(H830*O830,2))</f>
        <v/>
      </c>
      <c r="Q830" s="401" t="inlineStr">
        <is>
          <t>箱体</t>
        </is>
      </c>
      <c r="R830" s="168" t="inlineStr"/>
      <c r="S830" s="168" t="inlineStr"/>
      <c r="T830" s="168" t="inlineStr">
        <is>
          <t>0</t>
        </is>
      </c>
      <c r="U830" s="168" t="inlineStr"/>
      <c r="V830" s="402" t="n"/>
      <c r="W830" s="402" t="n"/>
      <c r="X830" s="170" t="inlineStr"/>
    </row>
    <row r="831" customFormat="1" s="3">
      <c r="A831" s="64">
        <f>ROW()-ROW(A$809)</f>
        <v/>
      </c>
      <c r="B831" s="27" t="inlineStr"/>
      <c r="C831" s="27" t="inlineStr"/>
      <c r="D831" s="27" t="inlineStr"/>
      <c r="E831" s="28" t="n"/>
      <c r="F831" s="28">
        <f>IF(AND(B831="",C831=""),"",1)</f>
        <v/>
      </c>
      <c r="G831" s="353">
        <f>IF(AND(B831="",C831=""),"",ROUND(M831*L831*N831,2))</f>
        <v/>
      </c>
      <c r="H831" s="353">
        <f>IF(AND(B831="",C831=""),"",ROUND(F831*G831,2))</f>
        <v/>
      </c>
      <c r="I831" s="180" t="inlineStr"/>
      <c r="J831" s="392">
        <f>IF(AND(B831="",C831=""),"",ROUND(M831*N831,2))</f>
        <v/>
      </c>
      <c r="K831" s="393">
        <f>IF(AND(B831="",C831=""),"",ROUND(J831*F831,2))</f>
        <v/>
      </c>
      <c r="L831" s="141">
        <f>IF(AND(B831="",C831=""),"",1)</f>
        <v/>
      </c>
      <c r="M831" s="394" t="n"/>
      <c r="N831" s="143">
        <f>IF(AND(B831="",C831=""),"",1)</f>
        <v/>
      </c>
      <c r="O831" s="144">
        <f>IF(AND(B831="",C831=""),"",IF(J831&gt;=20000,0.05,IF(J831&gt;=10000,0.1,IF(J831&gt;=5000,0.2,IF(J831&gt;=1000,0.3,IF(J831&gt;=0,0.4,{0}))))))</f>
        <v/>
      </c>
      <c r="P831" s="395">
        <f>IF(AND(B831="",C831=""),"",ROUND(H831*O831,2))</f>
        <v/>
      </c>
      <c r="Q831" s="390">
        <f>IF(AND(B831="",C831=""),"","元件")</f>
        <v/>
      </c>
      <c r="R831" s="164" t="inlineStr"/>
      <c r="S831" s="164" t="inlineStr"/>
      <c r="T831" s="164" t="inlineStr"/>
      <c r="U831" s="164" t="inlineStr"/>
      <c r="V831" s="391" t="n"/>
      <c r="W831" s="391" t="n"/>
      <c r="X831" s="166" t="inlineStr"/>
    </row>
    <row r="832" customFormat="1" s="3">
      <c r="A832" s="64">
        <f>ROW()-ROW(A$809)</f>
        <v/>
      </c>
      <c r="B832" s="27" t="inlineStr"/>
      <c r="C832" s="27" t="inlineStr"/>
      <c r="D832" s="27" t="inlineStr"/>
      <c r="E832" s="28" t="n"/>
      <c r="F832" s="28">
        <f>IF(AND(B832="",C832=""),"",1)</f>
        <v/>
      </c>
      <c r="G832" s="353">
        <f>IF(AND(B832="",C832=""),"",ROUND(M832*L832*N832,2))</f>
        <v/>
      </c>
      <c r="H832" s="353">
        <f>IF(AND(B832="",C832=""),"",ROUND(F832*G832,2))</f>
        <v/>
      </c>
      <c r="I832" s="180" t="inlineStr"/>
      <c r="J832" s="392">
        <f>IF(AND(B832="",C832=""),"",ROUND(M832*N832,2))</f>
        <v/>
      </c>
      <c r="K832" s="393">
        <f>IF(AND(B832="",C832=""),"",ROUND(J832*F832,2))</f>
        <v/>
      </c>
      <c r="L832" s="141">
        <f>IF(AND(B832="",C832=""),"",1)</f>
        <v/>
      </c>
      <c r="M832" s="394" t="n"/>
      <c r="N832" s="143">
        <f>IF(AND(B832="",C832=""),"",1)</f>
        <v/>
      </c>
      <c r="O832" s="144">
        <f>IF(AND(B832="",C832=""),"",IF(J832&gt;=20000,0.05,IF(J832&gt;=10000,0.1,IF(J832&gt;=5000,0.2,IF(J832&gt;=1000,0.3,IF(J832&gt;=0,0.4,{0}))))))</f>
        <v/>
      </c>
      <c r="P832" s="395">
        <f>IF(AND(B832="",C832=""),"",ROUND(H832*O832,2))</f>
        <v/>
      </c>
      <c r="Q832" s="390">
        <f>IF(AND(B832="",C832=""),"","元件")</f>
        <v/>
      </c>
      <c r="R832" s="164" t="inlineStr"/>
      <c r="S832" s="164" t="inlineStr"/>
      <c r="T832" s="164" t="inlineStr"/>
      <c r="U832" s="164" t="inlineStr"/>
      <c r="V832" s="391" t="n"/>
      <c r="W832" s="391" t="n"/>
      <c r="X832" s="166" t="inlineStr"/>
    </row>
    <row r="833" customFormat="1" s="3">
      <c r="A833" s="64">
        <f>ROW()-ROW(A$809)</f>
        <v/>
      </c>
      <c r="B833" s="171" t="inlineStr">
        <is>
          <t>小计</t>
        </is>
      </c>
      <c r="C833" s="172" t="n"/>
      <c r="D833" s="82" t="n"/>
      <c r="E833" s="28" t="n"/>
      <c r="F833" s="28" t="n"/>
      <c r="G833" s="353" t="n"/>
      <c r="H833" s="353">
        <f>ROUND(SUM(H809:INDEX(H:H,ROW()-1)),2)</f>
        <v/>
      </c>
      <c r="I833" s="45" t="inlineStr"/>
      <c r="J833" s="392" t="n"/>
      <c r="K833" s="393">
        <f>ROUND(SUM(K809:INDEX(K:K,ROW()-1)),2)</f>
        <v/>
      </c>
      <c r="L833" s="141" t="n"/>
      <c r="M833" s="394" t="n"/>
      <c r="N833" s="143" t="n"/>
      <c r="O833" s="144" t="n"/>
      <c r="P833" s="395" t="n"/>
      <c r="Q833" s="390" t="n"/>
      <c r="R833" s="164" t="inlineStr"/>
      <c r="S833" s="164" t="inlineStr"/>
      <c r="T833" s="164" t="inlineStr"/>
      <c r="U833" s="164" t="inlineStr"/>
      <c r="V833" s="391">
        <f>ROUND(SUMPRODUCT(F809:INDEX(F:F,ROW()-1),V809:INDEX(V:V,ROW()-1)),2)</f>
        <v/>
      </c>
      <c r="W833" s="391">
        <f>ROUND(SUMPRODUCT(F809:INDEX(F:F,ROW()-1),W809:INDEX(W:W,ROW()-1)),2)</f>
        <v/>
      </c>
      <c r="X833" s="166" t="inlineStr"/>
    </row>
    <row r="834" customFormat="1" s="3">
      <c r="A834" s="64">
        <f>ROW()-ROW(A$809)</f>
        <v/>
      </c>
      <c r="B834" s="171" t="inlineStr">
        <is>
          <t>综合费(人工、管理、税金、利润等)</t>
        </is>
      </c>
      <c r="C834" s="172" t="n"/>
      <c r="D834" s="82" t="n"/>
      <c r="E834" s="28" t="n"/>
      <c r="F834" s="28" t="n"/>
      <c r="G834" s="353" t="n"/>
      <c r="H834" s="353">
        <f>2500</f>
        <v/>
      </c>
      <c r="I834" s="45" t="inlineStr"/>
      <c r="J834" s="392" t="n"/>
      <c r="K834" s="393" t="n"/>
      <c r="L834" s="141" t="n"/>
      <c r="M834" s="394" t="n"/>
      <c r="N834" s="143" t="n"/>
      <c r="O834" s="144" t="n"/>
      <c r="P834" s="395" t="n"/>
      <c r="Q834" s="390" t="inlineStr">
        <is>
          <t>费用</t>
        </is>
      </c>
      <c r="R834" s="164" t="inlineStr"/>
      <c r="S834" s="164" t="inlineStr"/>
      <c r="T834" s="164" t="inlineStr"/>
      <c r="U834" s="164" t="inlineStr"/>
      <c r="V834" s="391" t="n"/>
      <c r="W834" s="391" t="n"/>
      <c r="X834" s="166" t="inlineStr"/>
    </row>
    <row r="835" customFormat="1" s="3">
      <c r="A835" s="64">
        <f>ROW()-ROW(A$809)</f>
        <v/>
      </c>
      <c r="B835" s="82" t="inlineStr">
        <is>
          <t>单台合计</t>
        </is>
      </c>
      <c r="C835" s="172" t="n"/>
      <c r="D835" s="82" t="n"/>
      <c r="E835" s="28" t="n"/>
      <c r="F835" s="28" t="n"/>
      <c r="G835" s="353" t="n"/>
      <c r="H835" s="353">
        <f>ROUND(SUM(H833:H834),2)</f>
        <v/>
      </c>
      <c r="I835" s="181" t="n"/>
      <c r="J835" s="392" t="n"/>
      <c r="K835" s="393">
        <f>ROUND(SUM(K833:K834),2)</f>
        <v/>
      </c>
      <c r="L835" s="182" t="n"/>
      <c r="M835" s="394" t="n"/>
      <c r="N835" s="183" t="n"/>
      <c r="O835" s="184" t="n"/>
      <c r="P835" s="395" t="n"/>
      <c r="Q835" s="390" t="n"/>
      <c r="R835" s="164" t="inlineStr"/>
      <c r="S835" s="164" t="inlineStr"/>
      <c r="T835" s="164" t="inlineStr"/>
      <c r="U835" s="164" t="inlineStr"/>
      <c r="V835" s="391" t="n"/>
      <c r="W835" s="391" t="n"/>
      <c r="X835" s="166" t="inlineStr"/>
    </row>
    <row r="836" customFormat="1" s="3">
      <c r="A836" s="173" t="inlineStr">
        <is>
          <t>总计</t>
        </is>
      </c>
      <c r="B836" s="174" t="n"/>
      <c r="C836" s="175" t="n"/>
      <c r="D836" s="176" t="n"/>
      <c r="E836" s="176" t="inlineStr">
        <is>
          <t>台</t>
        </is>
      </c>
      <c r="F836" s="176" t="n">
        <v>4</v>
      </c>
      <c r="G836" s="403">
        <f>ROUND(H835,2)</f>
        <v/>
      </c>
      <c r="H836" s="403">
        <f>ROUND(F836*G836,2)</f>
        <v/>
      </c>
      <c r="I836" s="185" t="n"/>
      <c r="J836" s="404" t="n"/>
      <c r="K836" s="405">
        <f>ROUND(K835*F836,2)</f>
        <v/>
      </c>
      <c r="L836" s="188" t="n"/>
      <c r="M836" s="406" t="n"/>
      <c r="N836" s="190" t="n"/>
      <c r="O836" s="191" t="n"/>
      <c r="P836" s="407" t="n"/>
      <c r="Q836" s="390" t="n"/>
      <c r="R836" s="164" t="inlineStr"/>
      <c r="S836" s="164" t="inlineStr"/>
      <c r="T836" s="164" t="inlineStr"/>
      <c r="U836" s="164" t="inlineStr"/>
      <c r="V836" s="391" t="n"/>
      <c r="W836" s="391" t="n"/>
      <c r="X836" s="166" t="inlineStr"/>
    </row>
    <row r="837" customFormat="1" s="2">
      <c r="A837" s="89" t="n"/>
      <c r="B837" s="132" t="inlineStr"/>
      <c r="C837" s="132" t="inlineStr"/>
      <c r="D837" s="132" t="inlineStr"/>
      <c r="Q837" s="160" t="n"/>
      <c r="R837" s="160" t="n"/>
      <c r="S837" s="160" t="n"/>
      <c r="T837" s="160" t="n"/>
      <c r="U837" s="160" t="n"/>
      <c r="X837" s="132" t="inlineStr"/>
    </row>
    <row r="838" customFormat="1" s="2">
      <c r="A838" s="89" t="n"/>
      <c r="B838" s="132" t="inlineStr"/>
      <c r="C838" s="132" t="inlineStr"/>
      <c r="D838" s="132" t="inlineStr"/>
      <c r="Q838" s="160" t="n"/>
      <c r="R838" s="160" t="n"/>
      <c r="S838" s="160" t="n"/>
      <c r="T838" s="160" t="n"/>
      <c r="U838" s="160" t="n"/>
      <c r="X838" s="132" t="inlineStr"/>
    </row>
    <row r="839" customFormat="1" s="3">
      <c r="A839" s="92">
        <f>CONCATENATE("报价人：",项目信息!$B$8)</f>
        <v/>
      </c>
      <c r="B839" s="92" t="n"/>
      <c r="C839" s="2" t="n"/>
      <c r="D839" s="2" t="n"/>
      <c r="E839" s="2" t="n"/>
      <c r="F839" s="2" t="n"/>
      <c r="G839" s="2" t="n"/>
      <c r="H839" s="178">
        <f>项目信息!$B$9</f>
        <v/>
      </c>
      <c r="Q839" s="160" t="n"/>
      <c r="R839" s="160" t="n"/>
      <c r="S839" s="160" t="n"/>
      <c r="T839" s="160" t="n"/>
      <c r="U839" s="160" t="n"/>
      <c r="X839" s="162" t="inlineStr"/>
    </row>
    <row r="840" s="308">
      <c r="A840" s="8">
        <f>T(项目信息!$B$22)</f>
        <v/>
      </c>
      <c r="Q840" s="159" t="n"/>
      <c r="R840" s="159" t="n"/>
      <c r="S840" s="159" t="n"/>
      <c r="T840" s="159" t="n"/>
      <c r="U840" s="159" t="n"/>
    </row>
    <row r="841" s="308">
      <c r="A841" s="9">
        <f>T(项目信息!$B$23)</f>
        <v/>
      </c>
      <c r="Q841" s="159" t="n"/>
      <c r="R841" s="159" t="n"/>
      <c r="S841" s="159" t="n"/>
      <c r="T841" s="159" t="n"/>
      <c r="U841" s="159" t="n"/>
    </row>
    <row r="842" s="308">
      <c r="A842" s="97" t="inlineStr">
        <is>
          <t>成套产品报价明细表</t>
        </is>
      </c>
      <c r="B842" s="378" t="n"/>
      <c r="C842" s="378" t="n"/>
      <c r="D842" s="378" t="n"/>
      <c r="E842" s="378" t="n"/>
      <c r="F842" s="378" t="n"/>
      <c r="G842" s="378" t="n"/>
      <c r="H842" s="378" t="n"/>
      <c r="I842" s="378" t="n"/>
      <c r="Q842" s="159" t="n"/>
      <c r="R842" s="159" t="n"/>
      <c r="S842" s="159" t="n"/>
      <c r="T842" s="159" t="n"/>
      <c r="U842" s="159" t="n"/>
    </row>
    <row r="843" customFormat="1" s="4">
      <c r="A843" s="98" t="inlineStr">
        <is>
          <t>柜号:</t>
        </is>
      </c>
      <c r="B843" s="99" t="inlineStr">
        <is>
          <t>AAN5-02、BAN6-02、AAN7-03、BAN8-03</t>
        </is>
      </c>
      <c r="C843" s="100" t="inlineStr">
        <is>
          <t>型号:</t>
        </is>
      </c>
      <c r="D843" s="99" t="inlineStr">
        <is>
          <t>BlokSeT</t>
        </is>
      </c>
      <c r="E843" s="379" t="n"/>
      <c r="F843" s="101" t="inlineStr">
        <is>
          <t>名称:</t>
        </is>
      </c>
      <c r="G843" s="99" t="inlineStr">
        <is>
          <t>电容柜</t>
        </is>
      </c>
      <c r="H843" s="379" t="n"/>
      <c r="I843" s="408" t="inlineStr"/>
      <c r="J843" s="194" t="inlineStr">
        <is>
          <t>箱柜尺寸:</t>
        </is>
      </c>
      <c r="K843" s="195" t="inlineStr">
        <is>
          <t>800W*1200D*2200H</t>
        </is>
      </c>
      <c r="L843" s="194" t="inlineStr">
        <is>
          <t>类别:</t>
        </is>
      </c>
      <c r="M843" s="195" t="inlineStr">
        <is>
          <t>低压固定柜</t>
        </is>
      </c>
      <c r="N843" s="409" t="inlineStr"/>
      <c r="Q843" s="159" t="n"/>
      <c r="R843" s="159" t="n"/>
      <c r="S843" s="159" t="n"/>
      <c r="T843" s="159" t="n"/>
      <c r="U843" s="159" t="n"/>
    </row>
    <row r="844" ht="20.1" customHeight="1" s="308">
      <c r="A844" s="102" t="inlineStr">
        <is>
          <t>序号</t>
        </is>
      </c>
      <c r="B844" s="103" t="inlineStr">
        <is>
          <t>元件名称</t>
        </is>
      </c>
      <c r="C844" s="103" t="inlineStr">
        <is>
          <t>型号规格</t>
        </is>
      </c>
      <c r="D844" s="104" t="inlineStr">
        <is>
          <t>生产厂家</t>
        </is>
      </c>
      <c r="E844" s="105" t="inlineStr">
        <is>
          <t>单位</t>
        </is>
      </c>
      <c r="F844" s="105" t="inlineStr">
        <is>
          <t>数量</t>
        </is>
      </c>
      <c r="G844" s="382" t="inlineStr">
        <is>
          <t>单   价</t>
        </is>
      </c>
      <c r="H844" s="383" t="inlineStr">
        <is>
          <t>总   价</t>
        </is>
      </c>
      <c r="I844" s="134" t="inlineStr">
        <is>
          <t>备注</t>
        </is>
      </c>
      <c r="J844" s="384" t="inlineStr">
        <is>
          <t>成本单价</t>
        </is>
      </c>
      <c r="K844" s="384" t="inlineStr">
        <is>
          <t>成本总价</t>
        </is>
      </c>
      <c r="L844" s="136" t="inlineStr">
        <is>
          <t>报出
系数</t>
        </is>
      </c>
      <c r="M844" s="384" t="inlineStr">
        <is>
          <t>表价</t>
        </is>
      </c>
      <c r="N844" s="136" t="inlineStr">
        <is>
          <t>折扣
系数</t>
        </is>
      </c>
      <c r="O844" s="137" t="inlineStr">
        <is>
          <t>取费
系数</t>
        </is>
      </c>
      <c r="P844" s="384" t="inlineStr">
        <is>
          <t>成套费</t>
        </is>
      </c>
      <c r="Q844" s="161" t="inlineStr">
        <is>
          <t>类别</t>
        </is>
      </c>
      <c r="R844" s="161" t="inlineStr">
        <is>
          <t>物料编码</t>
        </is>
      </c>
      <c r="S844" s="161" t="inlineStr">
        <is>
          <t>产地</t>
        </is>
      </c>
      <c r="T844" s="161" t="inlineStr">
        <is>
          <t>加工费</t>
        </is>
      </c>
      <c r="U844" s="161" t="inlineStr">
        <is>
          <t>订货号</t>
        </is>
      </c>
      <c r="V844" s="161" t="inlineStr">
        <is>
          <t>人工</t>
        </is>
      </c>
      <c r="W844" s="161" t="inlineStr">
        <is>
          <t>辅料</t>
        </is>
      </c>
      <c r="X844" s="203" t="inlineStr"/>
    </row>
    <row r="845" s="308">
      <c r="A845" s="108">
        <f>ROW()-ROW(A$844)</f>
        <v/>
      </c>
      <c r="B845" s="112" t="inlineStr">
        <is>
          <t>隔离开关熔断器组</t>
        </is>
      </c>
      <c r="C845" s="109" t="inlineStr">
        <is>
          <t>GS630/3P3F+正面延伸旋转手柄 黑色+旋转手柄轴200mm/630-1250A</t>
        </is>
      </c>
      <c r="D845" s="109" t="inlineStr">
        <is>
          <t>甲供/施耐德电气</t>
        </is>
      </c>
      <c r="E845" s="110" t="inlineStr">
        <is>
          <t>只</t>
        </is>
      </c>
      <c r="F845" s="110" t="n">
        <v>1</v>
      </c>
      <c r="G845" s="385">
        <f>IF(AND(B845="",C845=""),"",ROUND(M845*L845*N845,2))</f>
        <v/>
      </c>
      <c r="H845" s="385">
        <f>IF(AND(B845="",C845=""),"",ROUND(F845*G845,2))</f>
        <v/>
      </c>
      <c r="I845" s="197" t="inlineStr"/>
      <c r="J845" s="410">
        <f>IF(AND(B845="",C845=""),"",ROUND(M845*N845,2))</f>
        <v/>
      </c>
      <c r="K845" s="411">
        <f>IF(AND(B845="",C845=""),"",ROUND(J845*F845,2))</f>
        <v/>
      </c>
      <c r="L845" s="200" t="n">
        <v>1</v>
      </c>
      <c r="M845" s="412" t="n">
        <v>1e-07</v>
      </c>
      <c r="N845" s="154" t="n">
        <v>1</v>
      </c>
      <c r="O845" s="155">
        <f>IF(AND(B845="",C845=""),"",IF(G845&gt;=20000,0.05,IF(G845&gt;=10000,0.1,IF(G845&gt;=5000,0.2,IF(G845&gt;=1000,0.3,IF(G845&gt;=0,0.4,{0}))))))</f>
        <v/>
      </c>
      <c r="P845" s="413">
        <f>IF(AND(B845="",C845=""),"",ROUND(H845*O845,2))</f>
        <v/>
      </c>
      <c r="Q845" s="401" t="inlineStr">
        <is>
          <t>元件</t>
        </is>
      </c>
      <c r="R845" s="168" t="inlineStr"/>
      <c r="S845" s="168" t="inlineStr"/>
      <c r="T845" s="168" t="n">
        <v>0</v>
      </c>
      <c r="U845" s="168" t="inlineStr">
        <is>
          <t>LV481453+GS2AH550+GS2AE52</t>
        </is>
      </c>
      <c r="V845" s="402" t="n"/>
      <c r="W845" s="402" t="n"/>
      <c r="X845" s="170" t="inlineStr">
        <is>
          <t>GS800/3P3F 正面延伸旋转手柄 黑色+旋转手柄轴200mm/630-1250A→GS630/3P3F+正面延伸旋转手柄 黑色+旋转手柄轴200mm/630-1250A→WGR-500/3-FW→NSX630N Mic2.3 630A 3P3D P→NSX630N Mic5.3B 630A 3P3D P→GS800/3P3F+正面延伸旋转手柄 黑色+旋转手柄轴200mm/630-1250A</t>
        </is>
      </c>
    </row>
    <row r="846" s="308">
      <c r="A846" s="108">
        <f>ROW()-ROW(A$844)</f>
        <v/>
      </c>
      <c r="B846" s="112" t="inlineStr">
        <is>
          <t>熔断器</t>
        </is>
      </c>
      <c r="C846" s="109" t="inlineStr">
        <is>
          <t>NH3 gG 690V/630A</t>
        </is>
      </c>
      <c r="D846" s="109" t="inlineStr">
        <is>
          <t>茗熔</t>
        </is>
      </c>
      <c r="E846" s="110" t="inlineStr">
        <is>
          <t>只</t>
        </is>
      </c>
      <c r="F846" s="110" t="n">
        <v>3</v>
      </c>
      <c r="G846" s="385">
        <f>IF(AND(B846="",C846=""),"",ROUND(M846*L846*N846,2))</f>
        <v/>
      </c>
      <c r="H846" s="385">
        <f>IF(AND(B846="",C846=""),"",ROUND(F846*G846,2))</f>
        <v/>
      </c>
      <c r="I846" s="197" t="inlineStr"/>
      <c r="J846" s="410">
        <f>IF(AND(B846="",C846=""),"",ROUND(M846*N846,2))</f>
        <v/>
      </c>
      <c r="K846" s="411">
        <f>IF(AND(B846="",C846=""),"",ROUND(J846*F846,2))</f>
        <v/>
      </c>
      <c r="L846" s="200" t="n">
        <v>1</v>
      </c>
      <c r="M846" s="412" t="n">
        <v>62</v>
      </c>
      <c r="N846" s="154" t="n">
        <v>1</v>
      </c>
      <c r="O846" s="155">
        <f>IF(AND(B846="",C846=""),"",IF(G846&gt;=20000,0.05,IF(G846&gt;=10000,0.1,IF(G846&gt;=5000,0.2,IF(G846&gt;=1000,0.3,IF(G846&gt;=0,0.4,{0}))))))</f>
        <v/>
      </c>
      <c r="P846" s="413">
        <f>IF(AND(B846="",C846=""),"",ROUND(H846*O846,2))</f>
        <v/>
      </c>
      <c r="Q846" s="401" t="inlineStr">
        <is>
          <t>元件</t>
        </is>
      </c>
      <c r="R846" s="168" t="inlineStr"/>
      <c r="S846" s="168" t="inlineStr"/>
      <c r="T846" s="168" t="inlineStr">
        <is>
          <t>0</t>
        </is>
      </c>
      <c r="U846" s="168" t="inlineStr">
        <is>
          <t>0</t>
        </is>
      </c>
      <c r="V846" s="402" t="n"/>
      <c r="W846" s="402" t="n"/>
      <c r="X846" s="170" t="inlineStr">
        <is>
          <t>RT17(NT4) gG 400/690V 800A 3C</t>
        </is>
      </c>
    </row>
    <row r="847" s="308">
      <c r="A847" s="64">
        <f>ROW()-ROW(A$844)</f>
        <v/>
      </c>
      <c r="B847" s="22" t="inlineStr">
        <is>
          <t>多功能表</t>
        </is>
      </c>
      <c r="C847" s="22" t="inlineStr">
        <is>
          <t>PM4101</t>
        </is>
      </c>
      <c r="D847" s="109" t="inlineStr">
        <is>
          <t>甲供/施耐德电气</t>
        </is>
      </c>
      <c r="E847" s="23" t="inlineStr">
        <is>
          <t>只</t>
        </is>
      </c>
      <c r="F847" s="23" t="n">
        <v>1</v>
      </c>
      <c r="G847" s="349">
        <f>IF(AND(B847="",C847=""),"",ROUND(M847*L847*N847,2))</f>
        <v/>
      </c>
      <c r="H847" s="349">
        <f>IF(AND(B847="",C847=""),"",ROUND(F847*G847,2))</f>
        <v/>
      </c>
      <c r="I847" s="45" t="inlineStr"/>
      <c r="J847" s="397">
        <f>IF(AND(B847="",C847=""),"",ROUND(M847*N847,2))</f>
        <v/>
      </c>
      <c r="K847" s="398">
        <f>IF(AND(B847="",C847=""),"",ROUND(J847*F847,2))</f>
        <v/>
      </c>
      <c r="L847" s="200" t="n">
        <v>1</v>
      </c>
      <c r="M847" s="399" t="n">
        <v>1e-07</v>
      </c>
      <c r="N847" s="154" t="n">
        <v>1</v>
      </c>
      <c r="O847" s="155">
        <f>IF(AND(B847="",C847=""),"",IF(G847&gt;=20000,0.05,IF(G847&gt;=10000,0.1,IF(G847&gt;=5000,0.2,IF(G847&gt;=1000,0.3,IF(G847&gt;=0,0.4,{0}))))))</f>
        <v/>
      </c>
      <c r="P847" s="400">
        <f>IF(AND(B847="",C847=""),"",ROUND(H847*O847,2))</f>
        <v/>
      </c>
      <c r="Q847" s="401" t="inlineStr">
        <is>
          <t>元件</t>
        </is>
      </c>
      <c r="R847" s="168" t="inlineStr"/>
      <c r="S847" s="168" t="inlineStr"/>
      <c r="T847" s="168" t="inlineStr">
        <is>
          <t>0</t>
        </is>
      </c>
      <c r="U847" s="168" t="inlineStr"/>
      <c r="V847" s="402" t="n"/>
      <c r="W847" s="402" t="n"/>
      <c r="X847" s="170" t="inlineStr">
        <is>
          <t>PM→PM5350P</t>
        </is>
      </c>
    </row>
    <row r="848" s="308">
      <c r="A848" s="64">
        <f>ROW()-ROW(A$844)</f>
        <v/>
      </c>
      <c r="B848" s="112" t="inlineStr">
        <is>
          <t>电流互感器</t>
        </is>
      </c>
      <c r="C848" s="22" t="inlineStr">
        <is>
          <t>SD-0.66-285III-C 5000/5A</t>
        </is>
      </c>
      <c r="D848" s="112" t="inlineStr">
        <is>
          <t>桑迪</t>
        </is>
      </c>
      <c r="E848" s="114" t="inlineStr">
        <is>
          <t>只</t>
        </is>
      </c>
      <c r="F848" s="23" t="n">
        <v>3</v>
      </c>
      <c r="G848" s="396">
        <f>IF(AND(B848="",C848=""),"",ROUND(M848*L848*N848,2))</f>
        <v/>
      </c>
      <c r="H848" s="349">
        <f>IF(AND(B848="",C848=""),"",ROUND(F848*G848,2))</f>
        <v/>
      </c>
      <c r="I848" s="45" t="inlineStr"/>
      <c r="J848" s="397">
        <f>IF(AND(B848="",C848=""),"",ROUND(M848*N848,2))</f>
        <v/>
      </c>
      <c r="K848" s="398">
        <f>IF(AND(B848="",C848=""),"",ROUND(J848*F848,2))</f>
        <v/>
      </c>
      <c r="L848" s="200" t="n">
        <v>1</v>
      </c>
      <c r="M848" s="399" t="n">
        <v>1026.31</v>
      </c>
      <c r="N848" s="154" t="n">
        <v>1</v>
      </c>
      <c r="O848" s="155">
        <f>IF(AND(B848="",C848=""),"",IF(G848&gt;=20000,0.05,IF(G848&gt;=10000,0.1,IF(G848&gt;=5000,0.2,IF(G848&gt;=1000,0.3,IF(G848&gt;=0,0.4,{0}))))))</f>
        <v/>
      </c>
      <c r="P848" s="400">
        <f>IF(AND(B848="",C848=""),"",ROUND(H848*O848,2))</f>
        <v/>
      </c>
      <c r="Q848" s="401" t="inlineStr">
        <is>
          <t>元件</t>
        </is>
      </c>
      <c r="R848" s="168" t="inlineStr"/>
      <c r="S848" s="168" t="inlineStr"/>
      <c r="T848" s="168" t="inlineStr">
        <is>
          <t>0</t>
        </is>
      </c>
      <c r="U848" s="168" t="inlineStr"/>
      <c r="V848" s="402" t="n"/>
      <c r="W848" s="402" t="n"/>
      <c r="X848" s="170" t="inlineStr">
        <is>
          <t>BH-0.66/80C(P) 800/5A→SD-0.66-80II-V 800/5A→SD-0.66-40II-C 400/5A→SD-0.66-60II-C 600/5A→SD-0.66-60II-C 750/5A→SD-0.66-80II-V 800/5A→SD-0.66-60II-C 600/5A</t>
        </is>
      </c>
    </row>
    <row r="849" s="308">
      <c r="A849" s="64">
        <f>ROW()-ROW(A$844)</f>
        <v/>
      </c>
      <c r="B849" s="112" t="inlineStr">
        <is>
          <t>电流互感器</t>
        </is>
      </c>
      <c r="C849" s="22" t="inlineStr">
        <is>
          <t>SD-0.66-60II-C 600/5A</t>
        </is>
      </c>
      <c r="D849" s="112" t="inlineStr">
        <is>
          <t>桑迪</t>
        </is>
      </c>
      <c r="E849" s="114" t="inlineStr">
        <is>
          <t>只</t>
        </is>
      </c>
      <c r="F849" s="23" t="n">
        <v>3</v>
      </c>
      <c r="G849" s="396">
        <f>IF(AND(B849="",C849=""),"",ROUND(M849*L849*N849,2))</f>
        <v/>
      </c>
      <c r="H849" s="349">
        <f>IF(AND(B849="",C849=""),"",ROUND(F849*G849,2))</f>
        <v/>
      </c>
      <c r="I849" s="45" t="inlineStr"/>
      <c r="J849" s="397">
        <f>IF(AND(B849="",C849=""),"",ROUND(M849*N849,2))</f>
        <v/>
      </c>
      <c r="K849" s="398">
        <f>IF(AND(B849="",C849=""),"",ROUND(J849*F849,2))</f>
        <v/>
      </c>
      <c r="L849" s="200" t="n">
        <v>1</v>
      </c>
      <c r="M849" s="399" t="n">
        <v>63.7</v>
      </c>
      <c r="N849" s="154" t="n">
        <v>1</v>
      </c>
      <c r="O849" s="155">
        <f>IF(AND(B849="",C849=""),"",IF(G849&gt;=20000,0.05,IF(G849&gt;=10000,0.1,IF(G849&gt;=5000,0.2,IF(G849&gt;=1000,0.3,IF(G849&gt;=0,0.4,{0}))))))</f>
        <v/>
      </c>
      <c r="P849" s="400">
        <f>IF(AND(B849="",C849=""),"",ROUND(H849*O849,2))</f>
        <v/>
      </c>
      <c r="Q849" s="401" t="inlineStr">
        <is>
          <t>元件</t>
        </is>
      </c>
      <c r="R849" s="168" t="inlineStr"/>
      <c r="S849" s="168" t="inlineStr"/>
      <c r="T849" s="168" t="inlineStr">
        <is>
          <t>0</t>
        </is>
      </c>
      <c r="U849" s="168" t="inlineStr"/>
      <c r="V849" s="402" t="n"/>
      <c r="W849" s="402" t="n"/>
      <c r="X849" s="170" t="inlineStr">
        <is>
          <t>BH-0.66/80C(P) 800/5A→SD-0.66-80II-V 800/5A→SD-0.66-40II-C 400/5A→SD-0.66-60II-C 600/5A→SD-0.66-60II-C 750/5A→SD-0.66-80II-V 800/5A→SD-0.66-60II-C 600/5A→SD-0.66-60II-C 800/5A</t>
        </is>
      </c>
    </row>
    <row r="850" s="308">
      <c r="A850" s="64">
        <f>ROW()-ROW(A$844)</f>
        <v/>
      </c>
      <c r="B850" s="22" t="inlineStr">
        <is>
          <t>SVG</t>
        </is>
      </c>
      <c r="C850" s="22" t="inlineStr">
        <is>
          <t>250kvar</t>
        </is>
      </c>
      <c r="D850" s="27" t="inlineStr">
        <is>
          <t>甲供</t>
        </is>
      </c>
      <c r="E850" s="23" t="inlineStr">
        <is>
          <t>套</t>
        </is>
      </c>
      <c r="F850" s="23">
        <f>IF(AND(B850="",C850=""),"",1)</f>
        <v/>
      </c>
      <c r="G850" s="349">
        <f>IF(AND(B850="",C850=""),"",ROUND(M850*L850*N850,2))</f>
        <v/>
      </c>
      <c r="H850" s="349">
        <f>IF(AND(B850="",C850=""),"",ROUND(F850*G850,2))</f>
        <v/>
      </c>
      <c r="I850" s="45" t="inlineStr"/>
      <c r="J850" s="397">
        <f>IF(AND(B850="",C850=""),"",ROUND(M850*N850,2))</f>
        <v/>
      </c>
      <c r="K850" s="398">
        <f>IF(AND(B850="",C850=""),"",ROUND(J850*F850,2))</f>
        <v/>
      </c>
      <c r="L850" s="200" t="n">
        <v>1</v>
      </c>
      <c r="M850" s="399" t="n">
        <v>1e-07</v>
      </c>
      <c r="N850" s="154" t="n">
        <v>1</v>
      </c>
      <c r="O850" s="155">
        <f>IF(AND(B850="",C850=""),"",IF(G850&gt;=20000,0.05,IF(G850&gt;=10000,0.1,IF(G850&gt;=5000,0.2,IF(G850&gt;=1000,0.3,IF(G850&gt;=0,0.4,{0}))))))</f>
        <v/>
      </c>
      <c r="P850" s="400">
        <f>IF(AND(B850="",C850=""),"",ROUND(H850*O850,2))</f>
        <v/>
      </c>
      <c r="Q850" s="401" t="inlineStr">
        <is>
          <t>元件</t>
        </is>
      </c>
      <c r="R850" s="168" t="inlineStr"/>
      <c r="S850" s="168" t="inlineStr"/>
      <c r="T850" s="168" t="inlineStr">
        <is>
          <t>0</t>
        </is>
      </c>
      <c r="U850" s="168" t="inlineStr"/>
      <c r="V850" s="402" t="n"/>
      <c r="W850" s="402" t="n"/>
      <c r="X850" s="170" t="inlineStr"/>
    </row>
    <row r="851" s="308">
      <c r="A851" s="64">
        <f>ROW()-ROW(A$844)</f>
        <v/>
      </c>
      <c r="B851" s="112" t="inlineStr">
        <is>
          <t>避雷器</t>
        </is>
      </c>
      <c r="C851" s="22" t="inlineStr">
        <is>
          <t>YH3W2-0.28/1.3</t>
        </is>
      </c>
      <c r="D851" s="22" t="inlineStr">
        <is>
          <t>国产优质</t>
        </is>
      </c>
      <c r="E851" s="114" t="inlineStr">
        <is>
          <t>只</t>
        </is>
      </c>
      <c r="F851" s="23" t="n">
        <v>3</v>
      </c>
      <c r="G851" s="396">
        <f>IF(AND(B851="",C851=""),"",ROUND(M851*L851*N851,2))</f>
        <v/>
      </c>
      <c r="H851" s="349">
        <f>IF(AND(B851="",C851=""),"",ROUND(F851*G851,2))</f>
        <v/>
      </c>
      <c r="I851" s="45" t="inlineStr"/>
      <c r="J851" s="397">
        <f>IF(AND(B851="",C851=""),"",ROUND(M851*N851,2))</f>
        <v/>
      </c>
      <c r="K851" s="398">
        <f>IF(AND(B851="",C851=""),"",ROUND(J851*F851,2))</f>
        <v/>
      </c>
      <c r="L851" s="200" t="n">
        <v>1</v>
      </c>
      <c r="M851" s="399" t="n">
        <v>25</v>
      </c>
      <c r="N851" s="154" t="n">
        <v>1</v>
      </c>
      <c r="O851" s="155">
        <f>IF(AND(B851="",C851=""),"",IF(G851&gt;=20000,0.05,IF(G851&gt;=10000,0.1,IF(G851&gt;=5000,0.2,IF(G851&gt;=1000,0.3,IF(G851&gt;=0,0.4,{0}))))))</f>
        <v/>
      </c>
      <c r="P851" s="400">
        <f>IF(AND(B851="",C851=""),"",ROUND(H851*O851,2))</f>
        <v/>
      </c>
      <c r="Q851" s="401" t="inlineStr">
        <is>
          <t>元件</t>
        </is>
      </c>
      <c r="R851" s="168" t="inlineStr"/>
      <c r="S851" s="168" t="inlineStr"/>
      <c r="T851" s="168" t="inlineStr">
        <is>
          <t>0</t>
        </is>
      </c>
      <c r="U851" s="168" t="inlineStr">
        <is>
          <t>A9L208044</t>
        </is>
      </c>
      <c r="V851" s="402" t="n"/>
      <c r="W851" s="402" t="n"/>
      <c r="X851" s="170" t="inlineStr"/>
    </row>
    <row r="852" s="308">
      <c r="A852" s="64">
        <f>ROW()-ROW(A$844)</f>
        <v/>
      </c>
      <c r="B852" s="112" t="inlineStr">
        <is>
          <t>温湿度控制器</t>
        </is>
      </c>
      <c r="C852" s="112" t="inlineStr">
        <is>
          <t>ATH48G-11</t>
        </is>
      </c>
      <c r="D852" s="22" t="inlineStr">
        <is>
          <t>杭州安廷</t>
        </is>
      </c>
      <c r="E852" s="23" t="inlineStr">
        <is>
          <t>套</t>
        </is>
      </c>
      <c r="F852" s="23" t="n">
        <v>1</v>
      </c>
      <c r="G852" s="349">
        <f>IF(AND(B852="",C852=""),"",ROUND(M852*L852*N852,2))</f>
        <v/>
      </c>
      <c r="H852" s="396">
        <f>IF(AND(B852="",C852=""),"",ROUND(F852*G852,2))</f>
        <v/>
      </c>
      <c r="I852" s="150" t="inlineStr"/>
      <c r="J852" s="397">
        <f>IF(AND(B852="",C852=""),"",ROUND(M852*N852,2))</f>
        <v/>
      </c>
      <c r="K852" s="398">
        <f>IF(AND(B852="",C852=""),"",ROUND(J852*F852,2))</f>
        <v/>
      </c>
      <c r="L852" s="141" t="n">
        <v>1</v>
      </c>
      <c r="M852" s="399" t="n">
        <v>450</v>
      </c>
      <c r="N852" s="154" t="n">
        <v>1</v>
      </c>
      <c r="O852" s="155">
        <f>IF(AND(B852="",C852=""),"",IF(G852&gt;=20000,0.05,IF(G852&gt;=10000,0.1,IF(G852&gt;=5000,0.2,IF(G852&gt;=1000,0.3,IF(G852&gt;=0,0.4,{0}))))))</f>
        <v/>
      </c>
      <c r="P852" s="400">
        <f>IF(AND(B852="",C852=""),"",ROUND(H852*O852,2))</f>
        <v/>
      </c>
      <c r="Q852" s="401" t="inlineStr">
        <is>
          <t>元件</t>
        </is>
      </c>
      <c r="R852" s="168" t="inlineStr"/>
      <c r="S852" s="168" t="inlineStr"/>
      <c r="T852" s="168" t="inlineStr">
        <is>
          <t>0</t>
        </is>
      </c>
      <c r="U852" s="168" t="inlineStr"/>
      <c r="V852" s="402" t="n"/>
      <c r="W852" s="402" t="n"/>
      <c r="X852" s="170" t="inlineStr"/>
    </row>
    <row r="853" s="308">
      <c r="A853" s="64">
        <f>ROW()-ROW(A$844)</f>
        <v/>
      </c>
      <c r="B853" s="22" t="inlineStr">
        <is>
          <t>电容柜散热风扇</t>
        </is>
      </c>
      <c r="C853" s="22" t="inlineStr">
        <is>
          <t>SF2208HA2BMT+SVF105SND</t>
        </is>
      </c>
      <c r="D853" s="22" t="inlineStr">
        <is>
          <t>源顶</t>
        </is>
      </c>
      <c r="E853" s="23" t="inlineStr">
        <is>
          <t>只</t>
        </is>
      </c>
      <c r="F853" s="23" t="n">
        <v>2</v>
      </c>
      <c r="G853" s="349">
        <f>IF(AND(B853="",C853=""),"",ROUND(M853*L853*N853,2))</f>
        <v/>
      </c>
      <c r="H853" s="349">
        <f>IF(AND(B853="",C853=""),"",ROUND(F853*G853,2))</f>
        <v/>
      </c>
      <c r="I853" s="45" t="inlineStr"/>
      <c r="J853" s="397">
        <f>IF(AND(B853="",C853=""),"",ROUND(M853*N853,2))</f>
        <v/>
      </c>
      <c r="K853" s="398">
        <f>IF(AND(B853="",C853=""),"",ROUND(J853*F853,2))</f>
        <v/>
      </c>
      <c r="L853" s="200" t="n">
        <v>1</v>
      </c>
      <c r="M853" s="399" t="n">
        <v>241</v>
      </c>
      <c r="N853" s="154" t="n">
        <v>1</v>
      </c>
      <c r="O853" s="155">
        <f>IF(AND(B853="",C853=""),"",IF(G853&gt;=20000,0.05,IF(G853&gt;=10000,0.1,IF(G853&gt;=5000,0.2,IF(G853&gt;=1000,0.3,IF(G853&gt;=0,0.4,{0}))))))</f>
        <v/>
      </c>
      <c r="P853" s="400">
        <f>IF(AND(B853="",C853=""),"",ROUND(H853*O853,2))</f>
        <v/>
      </c>
      <c r="Q853" s="401" t="inlineStr">
        <is>
          <t>元件</t>
        </is>
      </c>
      <c r="R853" s="168" t="inlineStr"/>
      <c r="S853" s="168" t="inlineStr"/>
      <c r="T853" s="168" t="inlineStr">
        <is>
          <t>0</t>
        </is>
      </c>
      <c r="U853" s="168" t="inlineStr">
        <is>
          <t>0</t>
        </is>
      </c>
      <c r="V853" s="402" t="n"/>
      <c r="W853" s="402" t="n"/>
      <c r="X853" s="170" t="inlineStr">
        <is>
          <t>SF2208HA2BMT+SVF105SND</t>
        </is>
      </c>
    </row>
    <row r="854" s="308">
      <c r="A854" s="64">
        <f>ROW()-ROW(A$844)</f>
        <v/>
      </c>
      <c r="B854" s="22" t="inlineStr">
        <is>
          <t>带熔丝端子</t>
        </is>
      </c>
      <c r="C854" s="22" t="inlineStr">
        <is>
          <t>UK 5-HESI</t>
        </is>
      </c>
      <c r="D854" s="22" t="inlineStr">
        <is>
          <t>菲尼克斯</t>
        </is>
      </c>
      <c r="E854" s="23" t="inlineStr">
        <is>
          <t>只</t>
        </is>
      </c>
      <c r="F854" s="23" t="n">
        <v>10</v>
      </c>
      <c r="G854" s="349">
        <f>IF(AND(B854="",C854=""),"",ROUND(M854*L854*N854,2))</f>
        <v/>
      </c>
      <c r="H854" s="349">
        <f>IF(AND(B854="",C854=""),"",ROUND(F854*G854,2))</f>
        <v/>
      </c>
      <c r="I854" s="45" t="inlineStr"/>
      <c r="J854" s="397">
        <f>IF(AND(B854="",C854=""),"",ROUND(M854*N854,2))</f>
        <v/>
      </c>
      <c r="K854" s="398">
        <f>IF(AND(B854="",C854=""),"",ROUND(J854*F854,2))</f>
        <v/>
      </c>
      <c r="L854" s="200" t="n">
        <v>1</v>
      </c>
      <c r="M854" s="399" t="n">
        <v>7</v>
      </c>
      <c r="N854" s="154" t="n">
        <v>1</v>
      </c>
      <c r="O854" s="155">
        <f>IF(AND(B854="",C854=""),"",IF(G854&gt;=20000,0.05,IF(G854&gt;=10000,0.1,IF(G854&gt;=5000,0.2,IF(G854&gt;=1000,0.3,IF(G854&gt;=0,0.4,{0}))))))</f>
        <v/>
      </c>
      <c r="P854" s="400">
        <f>IF(AND(B854="",C854=""),"",ROUND(H854*O854,2))</f>
        <v/>
      </c>
      <c r="Q854" s="401" t="inlineStr">
        <is>
          <t>元件</t>
        </is>
      </c>
      <c r="R854" s="168" t="inlineStr"/>
      <c r="S854" s="168" t="inlineStr"/>
      <c r="T854" s="168" t="inlineStr">
        <is>
          <t>0</t>
        </is>
      </c>
      <c r="U854" s="168" t="inlineStr">
        <is>
          <t>3004100</t>
        </is>
      </c>
      <c r="V854" s="402" t="n"/>
      <c r="W854" s="402" t="n"/>
      <c r="X854" s="170" t="inlineStr"/>
    </row>
    <row r="855" s="308">
      <c r="A855" s="64">
        <f>ROW()-ROW(A$844)</f>
        <v/>
      </c>
      <c r="B855" s="22" t="inlineStr">
        <is>
          <t>水平母排</t>
        </is>
      </c>
      <c r="C855" s="22" t="inlineStr">
        <is>
          <t>TMY 4*(4*150*5)+2*50*5</t>
        </is>
      </c>
      <c r="D855" s="22" t="inlineStr">
        <is>
          <t>国产优质</t>
        </is>
      </c>
      <c r="E855" s="23" t="inlineStr">
        <is>
          <t>米</t>
        </is>
      </c>
      <c r="F855" s="23" t="n">
        <v>0.9</v>
      </c>
      <c r="G855" s="349">
        <f>IF(AND(B855="",C855=""),"",ROUND(M855*L855*N855,2))</f>
        <v/>
      </c>
      <c r="H855" s="349">
        <f>IF(AND(B855="",C855=""),"",ROUND(F855*G855,2))</f>
        <v/>
      </c>
      <c r="I855" s="45" t="inlineStr"/>
      <c r="J855" s="397">
        <f>IF(AND(B855="",C855=""),"",ROUND(M855*N855,2))</f>
        <v/>
      </c>
      <c r="K855" s="398">
        <f>IF(AND(B855="",C855=""),"",ROUND(J855*F855,2))</f>
        <v/>
      </c>
      <c r="L855" s="200" t="n">
        <v>1</v>
      </c>
      <c r="M855" s="399" t="n">
        <v>12026.68125</v>
      </c>
      <c r="N855" s="154">
        <f>(6317.932*1*1+2684.8*1*1)/9002.732</f>
        <v/>
      </c>
      <c r="O855" s="155">
        <f>IF(AND(B855="",C855=""),"",IF(G855&gt;=20000,0.05,IF(G855&gt;=10000,0.1,IF(G855&gt;=5000,0.2,IF(G855&gt;=1000,0.3,IF(G855&gt;=0,0.4,{0}))))))</f>
        <v/>
      </c>
      <c r="P855" s="400">
        <f>IF(AND(B855="",C855=""),"",ROUND(H855*O855,2))</f>
        <v/>
      </c>
      <c r="Q855" s="401" t="inlineStr">
        <is>
          <t>母排</t>
        </is>
      </c>
      <c r="R855" s="168" t="inlineStr"/>
      <c r="S855" s="168" t="inlineStr"/>
      <c r="T855" s="168" t="inlineStr">
        <is>
          <t>0</t>
        </is>
      </c>
      <c r="U855" s="168" t="inlineStr">
        <is>
          <t>0</t>
        </is>
      </c>
      <c r="V855" s="402" t="n"/>
      <c r="W855" s="402" t="n"/>
      <c r="X855" s="170" t="inlineStr"/>
    </row>
    <row r="856" s="308">
      <c r="A856" s="64">
        <f>ROW()-ROW(A$844)</f>
        <v/>
      </c>
      <c r="B856" s="22" t="inlineStr">
        <is>
          <t>铜排</t>
        </is>
      </c>
      <c r="C856" s="27" t="inlineStr">
        <is>
          <t>TMY 30*8</t>
        </is>
      </c>
      <c r="D856" s="22" t="inlineStr">
        <is>
          <t>国产优质</t>
        </is>
      </c>
      <c r="E856" s="23" t="inlineStr">
        <is>
          <t>米</t>
        </is>
      </c>
      <c r="F856" s="23" t="n">
        <v>3</v>
      </c>
      <c r="G856" s="349">
        <f>IF(AND(B856="",C856=""),"",ROUND(M856*L856*N856,2))</f>
        <v/>
      </c>
      <c r="H856" s="349">
        <f>IF(AND(B856="",C856=""),"",ROUND(F856*G856,2))</f>
        <v/>
      </c>
      <c r="I856" s="45" t="inlineStr"/>
      <c r="J856" s="397">
        <f>IF(AND(B856="",C856=""),"",ROUND(M856*N856,2))</f>
        <v/>
      </c>
      <c r="K856" s="398">
        <f>IF(AND(B856="",C856=""),"",ROUND(J856*F856,2))</f>
        <v/>
      </c>
      <c r="L856" s="200" t="n">
        <v>1</v>
      </c>
      <c r="M856" s="399" t="n">
        <v>230.91228</v>
      </c>
      <c r="N856" s="154" t="n">
        <v>1</v>
      </c>
      <c r="O856" s="155">
        <f>IF(AND(B856="",C856=""),"",IF(G856&gt;=20000,0.05,IF(G856&gt;=10000,0.1,IF(G856&gt;=5000,0.2,IF(G856&gt;=1000,0.3,IF(G856&gt;=0,0.4,{0}))))))</f>
        <v/>
      </c>
      <c r="P856" s="400">
        <f>IF(AND(B856="",C856=""),"",ROUND(H856*O856,2))</f>
        <v/>
      </c>
      <c r="Q856" s="401" t="inlineStr">
        <is>
          <t>母排</t>
        </is>
      </c>
      <c r="R856" s="168" t="inlineStr"/>
      <c r="S856" s="168" t="inlineStr"/>
      <c r="T856" s="168" t="inlineStr">
        <is>
          <t>0</t>
        </is>
      </c>
      <c r="U856" s="168" t="inlineStr">
        <is>
          <t>0</t>
        </is>
      </c>
      <c r="V856" s="402" t="n"/>
      <c r="W856" s="402" t="n"/>
      <c r="X856" s="170" t="inlineStr"/>
    </row>
    <row r="857" s="308">
      <c r="A857" s="64">
        <f>ROW()-ROW(A$844)</f>
        <v/>
      </c>
      <c r="B857" s="22" t="inlineStr">
        <is>
          <t>线缆</t>
        </is>
      </c>
      <c r="C857" s="27" t="inlineStr">
        <is>
          <t>95mm²</t>
        </is>
      </c>
      <c r="D857" s="22" t="inlineStr">
        <is>
          <t>凯布斯</t>
        </is>
      </c>
      <c r="E857" s="23" t="inlineStr">
        <is>
          <t>米</t>
        </is>
      </c>
      <c r="F857" s="23" t="n">
        <v>9</v>
      </c>
      <c r="G857" s="349">
        <f>IF(AND(B857="",C857=""),"",ROUND(M857*L857*N857,2))</f>
        <v/>
      </c>
      <c r="H857" s="349">
        <f>IF(AND(B857="",C857=""),"",ROUND(F857*G857,2))</f>
        <v/>
      </c>
      <c r="I857" s="45" t="inlineStr"/>
      <c r="J857" s="397">
        <f>IF(AND(B857="",C857=""),"",ROUND(M857*N857,2))</f>
        <v/>
      </c>
      <c r="K857" s="398">
        <f>IF(AND(B857="",C857=""),"",ROUND(J857*F857,2))</f>
        <v/>
      </c>
      <c r="L857" s="200" t="n">
        <v>1</v>
      </c>
      <c r="M857" s="399" t="n">
        <v>86.45</v>
      </c>
      <c r="N857" s="154" t="n">
        <v>1</v>
      </c>
      <c r="O857" s="155">
        <f>IF(AND(B857="",C857=""),"",IF(G857&gt;=20000,0.05,IF(G857&gt;=10000,0.1,IF(G857&gt;=5000,0.2,IF(G857&gt;=1000,0.3,IF(G857&gt;=0,0.4,{0}))))))</f>
        <v/>
      </c>
      <c r="P857" s="400">
        <f>IF(AND(B857="",C857=""),"",ROUND(H857*O857,2))</f>
        <v/>
      </c>
      <c r="Q857" s="401" t="inlineStr">
        <is>
          <t>元件</t>
        </is>
      </c>
      <c r="R857" s="168" t="inlineStr"/>
      <c r="S857" s="168" t="inlineStr"/>
      <c r="T857" s="168" t="inlineStr">
        <is>
          <t>0</t>
        </is>
      </c>
      <c r="U857" s="168" t="inlineStr"/>
      <c r="V857" s="402" t="n"/>
      <c r="W857" s="402" t="n"/>
      <c r="X857" s="170" t="inlineStr">
        <is>
          <t>TMY 60*5</t>
        </is>
      </c>
    </row>
    <row r="858" s="308">
      <c r="A858" s="64">
        <f>ROW()-ROW(A$844)</f>
        <v/>
      </c>
      <c r="B858" s="22" t="inlineStr">
        <is>
          <t>辅料</t>
        </is>
      </c>
      <c r="C858" s="22" t="inlineStr"/>
      <c r="D858" s="22" t="inlineStr"/>
      <c r="E858" s="23" t="inlineStr">
        <is>
          <t>套</t>
        </is>
      </c>
      <c r="F858" s="23" t="n">
        <v>1</v>
      </c>
      <c r="G858" s="349">
        <f>IF(AND(B858="",C858=""),"",ROUND(M858*L858*N858,2))</f>
        <v/>
      </c>
      <c r="H858" s="349">
        <f>IF(AND(B858="",C858=""),"",ROUND(F858*G858,2))</f>
        <v/>
      </c>
      <c r="I858" s="45" t="inlineStr"/>
      <c r="J858" s="397">
        <f>IF(AND(B858="",C858=""),"",ROUND(M858*N858,2))</f>
        <v/>
      </c>
      <c r="K858" s="398">
        <f>IF(AND(B858="",C858=""),"",ROUND(J858*F858,2))</f>
        <v/>
      </c>
      <c r="L858" s="200" t="n">
        <v>1</v>
      </c>
      <c r="M858" s="399" t="n">
        <v>1000</v>
      </c>
      <c r="N858" s="154" t="n">
        <v>1</v>
      </c>
      <c r="O858" s="155">
        <f>IF(AND(B858="",C858=""),"",IF(G858&gt;=20000,0.05,IF(G858&gt;=10000,0.1,IF(G858&gt;=5000,0.2,IF(G858&gt;=1000,0.3,IF(G858&gt;=0,0.4,{0}))))))</f>
        <v/>
      </c>
      <c r="P858" s="400">
        <f>IF(AND(B858="",C858=""),"",ROUND(H858*O858,2))</f>
        <v/>
      </c>
      <c r="Q858" s="401" t="inlineStr">
        <is>
          <t>辅料</t>
        </is>
      </c>
      <c r="R858" s="168" t="inlineStr"/>
      <c r="S858" s="168" t="inlineStr"/>
      <c r="T858" s="168" t="inlineStr">
        <is>
          <t>0</t>
        </is>
      </c>
      <c r="U858" s="168" t="inlineStr">
        <is>
          <t>0</t>
        </is>
      </c>
      <c r="V858" s="402" t="n"/>
      <c r="W858" s="402" t="n"/>
      <c r="X858" s="170" t="inlineStr"/>
    </row>
    <row r="859" s="308">
      <c r="A859" s="64">
        <f>ROW()-ROW(A$844)</f>
        <v/>
      </c>
      <c r="B859" s="22" t="inlineStr">
        <is>
          <t>柜体Blokset</t>
        </is>
      </c>
      <c r="C859" s="22" t="inlineStr">
        <is>
          <t>800W*1200D*2200H</t>
        </is>
      </c>
      <c r="D859" s="22" t="inlineStr">
        <is>
          <t>清科</t>
        </is>
      </c>
      <c r="E859" s="23" t="inlineStr">
        <is>
          <t>台</t>
        </is>
      </c>
      <c r="F859" s="23" t="n">
        <v>1</v>
      </c>
      <c r="G859" s="349">
        <f>IF(AND(B859="",C859=""),"",ROUND(M859*L859*N859,2))</f>
        <v/>
      </c>
      <c r="H859" s="349">
        <f>IF(AND(B859="",C859=""),"",ROUND(F859*G859,2))</f>
        <v/>
      </c>
      <c r="I859" s="45" t="inlineStr"/>
      <c r="J859" s="397">
        <f>IF(AND(B859="",C859=""),"",ROUND(M859*N859,2))</f>
        <v/>
      </c>
      <c r="K859" s="398">
        <f>IF(AND(B859="",C859=""),"",ROUND(J859*F859,2))</f>
        <v/>
      </c>
      <c r="L859" s="200" t="n">
        <v>1</v>
      </c>
      <c r="M859" s="399" t="n">
        <v>4346</v>
      </c>
      <c r="N859" s="154" t="n">
        <v>1</v>
      </c>
      <c r="O859" s="155">
        <f>IF(AND(B859="",C859=""),"",IF(G859&gt;=20000,0.05,IF(G859&gt;=10000,0.1,IF(G859&gt;=5000,0.2,IF(G859&gt;=1000,0.3,IF(G859&gt;=0,0.4,{0}))))))</f>
        <v/>
      </c>
      <c r="P859" s="400">
        <f>IF(AND(B859="",C859=""),"",ROUND(H859*O859,2))</f>
        <v/>
      </c>
      <c r="Q859" s="401" t="inlineStr">
        <is>
          <t>箱体</t>
        </is>
      </c>
      <c r="R859" s="168" t="inlineStr"/>
      <c r="S859" s="168" t="inlineStr"/>
      <c r="T859" s="168" t="inlineStr">
        <is>
          <t>0</t>
        </is>
      </c>
      <c r="U859" s="168" t="inlineStr"/>
      <c r="V859" s="402" t="n"/>
      <c r="W859" s="402" t="n"/>
      <c r="X859" s="170" t="inlineStr">
        <is>
          <t>1300W*1000D*2200H→800W*1000D*2200H BC</t>
        </is>
      </c>
    </row>
    <row r="860" s="308">
      <c r="A860" s="64">
        <f>ROW()-ROW(A$844)</f>
        <v/>
      </c>
      <c r="B860" s="22" t="inlineStr"/>
      <c r="C860" s="22" t="inlineStr"/>
      <c r="D860" s="22" t="inlineStr"/>
      <c r="E860" s="23" t="n"/>
      <c r="F860" s="23">
        <f>IF(AND(B860="",C860=""),"",1)</f>
        <v/>
      </c>
      <c r="G860" s="349">
        <f>IF(AND(B860="",C860=""),"",ROUND(M860*L860*N860,2))</f>
        <v/>
      </c>
      <c r="H860" s="349">
        <f>IF(AND(B860="",C860=""),"",ROUND(F860*G860,2))</f>
        <v/>
      </c>
      <c r="I860" s="45" t="inlineStr"/>
      <c r="J860" s="397">
        <f>IF(AND(B860="",C860=""),"",ROUND(M860*N860,2))</f>
        <v/>
      </c>
      <c r="K860" s="398">
        <f>IF(AND(B860="",C860=""),"",ROUND(J860*F860,2))</f>
        <v/>
      </c>
      <c r="L860" s="200">
        <f>IF(AND(B860="",C860=""),"",1)</f>
        <v/>
      </c>
      <c r="M860" s="399" t="n"/>
      <c r="N860" s="154">
        <f>IF(AND(B860="",C860=""),"",1)</f>
        <v/>
      </c>
      <c r="O860" s="155">
        <f>IF(AND(B860="",C860=""),"",IF(J860&gt;=20000,0.05,IF(J860&gt;=10000,0.1,IF(J860&gt;=5000,0.2,IF(J860&gt;=1000,0.3,IF(J860&gt;=0,0.4,{0}))))))</f>
        <v/>
      </c>
      <c r="P860" s="400">
        <f>IF(AND(B860="",C860=""),"",ROUND(H860*O860,2))</f>
        <v/>
      </c>
      <c r="Q860" s="401">
        <f>IF(AND(B860="",C860=""),"","元件")</f>
        <v/>
      </c>
      <c r="R860" s="168" t="inlineStr"/>
      <c r="S860" s="168" t="inlineStr"/>
      <c r="T860" s="168" t="inlineStr"/>
      <c r="U860" s="168" t="inlineStr"/>
      <c r="V860" s="402" t="n"/>
      <c r="W860" s="402" t="n"/>
      <c r="X860" s="170" t="inlineStr"/>
    </row>
    <row r="861" s="308">
      <c r="A861" s="64">
        <f>ROW()-ROW(A$844)</f>
        <v/>
      </c>
      <c r="B861" s="171" t="inlineStr">
        <is>
          <t>小计</t>
        </is>
      </c>
      <c r="C861" s="172" t="n"/>
      <c r="D861" s="204" t="n"/>
      <c r="E861" s="114" t="n"/>
      <c r="F861" s="114" t="n"/>
      <c r="G861" s="396" t="n"/>
      <c r="H861" s="396">
        <f>ROUND(SUM(H844:INDEX(H:H,ROW()-1)),2)</f>
        <v/>
      </c>
      <c r="I861" s="45" t="inlineStr"/>
      <c r="J861" s="397" t="n"/>
      <c r="K861" s="398">
        <f>ROUND(SUM(K844:INDEX(K:K,ROW()-1)),2)</f>
        <v/>
      </c>
      <c r="L861" s="200" t="n"/>
      <c r="M861" s="399" t="n"/>
      <c r="N861" s="154" t="n"/>
      <c r="O861" s="155" t="n"/>
      <c r="P861" s="400" t="n"/>
      <c r="Q861" s="401" t="n"/>
      <c r="R861" s="168" t="inlineStr"/>
      <c r="S861" s="168" t="inlineStr"/>
      <c r="T861" s="168" t="inlineStr"/>
      <c r="U861" s="168" t="inlineStr"/>
      <c r="V861" s="402">
        <f>ROUND(SUMPRODUCT(F844:INDEX(F:F,ROW()-1),V844:INDEX(V:V,ROW()-1)),2)</f>
        <v/>
      </c>
      <c r="W861" s="402">
        <f>ROUND(SUMPRODUCT(F844:INDEX(F:F,ROW()-1),W844:INDEX(W:W,ROW()-1)),2)</f>
        <v/>
      </c>
      <c r="X861" s="170" t="inlineStr"/>
    </row>
    <row r="862" s="308">
      <c r="A862" s="64">
        <f>ROW()-ROW(A$844)</f>
        <v/>
      </c>
      <c r="B862" s="171" t="inlineStr">
        <is>
          <t>综合费(人工、管理、税金、利润等)</t>
        </is>
      </c>
      <c r="C862" s="172" t="n"/>
      <c r="D862" s="204" t="n"/>
      <c r="E862" s="114" t="n"/>
      <c r="F862" s="114" t="n"/>
      <c r="G862" s="396" t="n"/>
      <c r="H862" s="396">
        <f>2500</f>
        <v/>
      </c>
      <c r="I862" s="45" t="inlineStr"/>
      <c r="J862" s="397" t="n"/>
      <c r="K862" s="398" t="n"/>
      <c r="L862" s="200" t="n"/>
      <c r="M862" s="399" t="n"/>
      <c r="N862" s="154" t="n"/>
      <c r="O862" s="155" t="n"/>
      <c r="P862" s="400" t="n"/>
      <c r="Q862" s="401" t="inlineStr">
        <is>
          <t>费用</t>
        </is>
      </c>
      <c r="R862" s="168" t="inlineStr"/>
      <c r="S862" s="168" t="inlineStr"/>
      <c r="T862" s="168" t="inlineStr"/>
      <c r="U862" s="168" t="inlineStr"/>
      <c r="V862" s="402" t="n"/>
      <c r="W862" s="402" t="n"/>
      <c r="X862" s="170" t="inlineStr"/>
    </row>
    <row r="863" s="308">
      <c r="A863" s="64">
        <f>ROW()-ROW(A$844)</f>
        <v/>
      </c>
      <c r="B863" s="204" t="inlineStr">
        <is>
          <t>单台合计</t>
        </is>
      </c>
      <c r="C863" s="172" t="n"/>
      <c r="D863" s="204" t="n"/>
      <c r="E863" s="114" t="n"/>
      <c r="F863" s="114" t="n"/>
      <c r="G863" s="396" t="n"/>
      <c r="H863" s="396">
        <f>ROUND(SUM(H861:H862),2)</f>
        <v/>
      </c>
      <c r="I863" s="181" t="n"/>
      <c r="J863" s="397" t="n"/>
      <c r="K863" s="398">
        <f>ROUND(SUM(K861:K862),2)</f>
        <v/>
      </c>
      <c r="L863" s="209" t="n"/>
      <c r="M863" s="399" t="n"/>
      <c r="N863" s="210" t="n"/>
      <c r="O863" s="211" t="n"/>
      <c r="P863" s="400" t="n"/>
      <c r="Q863" s="401" t="n"/>
      <c r="R863" s="168" t="inlineStr"/>
      <c r="S863" s="168" t="inlineStr"/>
      <c r="T863" s="168" t="inlineStr"/>
      <c r="U863" s="168" t="inlineStr"/>
      <c r="V863" s="402" t="n"/>
      <c r="W863" s="402" t="n"/>
      <c r="X863" s="170" t="inlineStr"/>
    </row>
    <row r="864" s="308">
      <c r="A864" s="173" t="inlineStr">
        <is>
          <t>总计</t>
        </is>
      </c>
      <c r="B864" s="205" t="n"/>
      <c r="C864" s="175" t="n"/>
      <c r="D864" s="206" t="n"/>
      <c r="E864" s="206" t="inlineStr">
        <is>
          <t>台</t>
        </is>
      </c>
      <c r="F864" s="206" t="n">
        <v>4</v>
      </c>
      <c r="G864" s="414">
        <f>ROUND(H863,2)</f>
        <v/>
      </c>
      <c r="H864" s="414">
        <f>ROUND(F864*G864,2)</f>
        <v/>
      </c>
      <c r="I864" s="185" t="n"/>
      <c r="J864" s="415" t="n"/>
      <c r="K864" s="416">
        <f>ROUND(K863*F864,2)</f>
        <v/>
      </c>
      <c r="L864" s="214" t="n"/>
      <c r="M864" s="417" t="n"/>
      <c r="N864" s="216" t="n"/>
      <c r="O864" s="217" t="n"/>
      <c r="P864" s="418" t="n"/>
      <c r="Q864" s="401" t="n"/>
      <c r="R864" s="168" t="inlineStr"/>
      <c r="S864" s="168" t="inlineStr"/>
      <c r="T864" s="168" t="inlineStr"/>
      <c r="U864" s="168" t="inlineStr"/>
      <c r="V864" s="402" t="n"/>
      <c r="W864" s="402" t="n"/>
      <c r="X864" s="170" t="inlineStr"/>
    </row>
    <row r="865" customFormat="1" s="4">
      <c r="A865" s="6" t="n"/>
      <c r="B865" s="195" t="inlineStr"/>
      <c r="C865" s="195" t="inlineStr"/>
      <c r="D865" s="195" t="inlineStr"/>
      <c r="Q865" s="159" t="n"/>
      <c r="R865" s="159" t="n"/>
      <c r="S865" s="159" t="n"/>
      <c r="T865" s="159" t="n"/>
      <c r="U865" s="159" t="n"/>
      <c r="X865" s="195" t="inlineStr"/>
    </row>
    <row r="866" customFormat="1" s="4">
      <c r="A866" s="6" t="n"/>
      <c r="B866" s="195" t="inlineStr"/>
      <c r="C866" s="195" t="inlineStr"/>
      <c r="D866" s="195" t="inlineStr"/>
      <c r="Q866" s="159" t="n"/>
      <c r="R866" s="159" t="n"/>
      <c r="S866" s="159" t="n"/>
      <c r="T866" s="159" t="n"/>
      <c r="U866" s="159" t="n"/>
      <c r="X866" s="195" t="inlineStr"/>
    </row>
    <row r="867" s="308">
      <c r="A867" s="208">
        <f>CONCATENATE("报价人：",项目信息!$B$8)</f>
        <v/>
      </c>
      <c r="B867" s="208" t="n"/>
      <c r="C867" s="4" t="n"/>
      <c r="D867" s="4" t="n"/>
      <c r="E867" s="4" t="n"/>
      <c r="F867" s="4" t="n"/>
      <c r="G867" s="4" t="n"/>
      <c r="H867" s="178">
        <f>项目信息!$B$9</f>
        <v/>
      </c>
      <c r="Q867" s="159" t="n"/>
      <c r="R867" s="159" t="n"/>
      <c r="S867" s="159" t="n"/>
      <c r="T867" s="159" t="n"/>
      <c r="U867" s="159" t="n"/>
      <c r="X867" s="203" t="inlineStr"/>
    </row>
    <row r="868" s="308">
      <c r="A868" s="8">
        <f>T(项目信息!$B$22)</f>
        <v/>
      </c>
      <c r="Q868" s="159" t="n"/>
      <c r="R868" s="159" t="n"/>
      <c r="S868" s="159" t="n"/>
      <c r="T868" s="159" t="n"/>
      <c r="U868" s="159" t="n"/>
    </row>
    <row r="869" s="308">
      <c r="A869" s="9">
        <f>T(项目信息!$B$23)</f>
        <v/>
      </c>
      <c r="Q869" s="159" t="n"/>
      <c r="R869" s="159" t="n"/>
      <c r="S869" s="159" t="n"/>
      <c r="T869" s="159" t="n"/>
      <c r="U869" s="159" t="n"/>
    </row>
    <row r="870" s="308">
      <c r="A870" s="97" t="inlineStr">
        <is>
          <t>成套产品报价明细表</t>
        </is>
      </c>
      <c r="B870" s="378" t="n"/>
      <c r="C870" s="378" t="n"/>
      <c r="D870" s="378" t="n"/>
      <c r="E870" s="378" t="n"/>
      <c r="F870" s="378" t="n"/>
      <c r="G870" s="378" t="n"/>
      <c r="H870" s="378" t="n"/>
      <c r="I870" s="378" t="n"/>
      <c r="Q870" s="159" t="n"/>
      <c r="R870" s="159" t="n"/>
      <c r="S870" s="159" t="n"/>
      <c r="T870" s="159" t="n"/>
      <c r="U870" s="159" t="n"/>
    </row>
    <row r="871" customFormat="1" s="4">
      <c r="A871" s="98" t="inlineStr">
        <is>
          <t>柜号:</t>
        </is>
      </c>
      <c r="B871" s="99" t="inlineStr">
        <is>
          <t>AAN5-03</t>
        </is>
      </c>
      <c r="C871" s="100" t="inlineStr">
        <is>
          <t>型号:</t>
        </is>
      </c>
      <c r="D871" s="99" t="inlineStr">
        <is>
          <t>BlokSeT</t>
        </is>
      </c>
      <c r="E871" s="379" t="n"/>
      <c r="F871" s="101" t="inlineStr">
        <is>
          <t>名称:</t>
        </is>
      </c>
      <c r="G871" s="99" t="inlineStr">
        <is>
          <t>馈线柜</t>
        </is>
      </c>
      <c r="H871" s="379" t="n"/>
      <c r="I871" s="408" t="inlineStr"/>
      <c r="J871" s="194" t="inlineStr">
        <is>
          <t>箱柜尺寸:</t>
        </is>
      </c>
      <c r="K871" s="195" t="inlineStr">
        <is>
          <t>600W*1200D*2200H</t>
        </is>
      </c>
      <c r="L871" s="194" t="inlineStr">
        <is>
          <t>类别:</t>
        </is>
      </c>
      <c r="M871" s="195" t="inlineStr">
        <is>
          <t>低压固定柜</t>
        </is>
      </c>
      <c r="N871" s="409" t="inlineStr"/>
      <c r="Q871" s="159" t="n"/>
      <c r="R871" s="159" t="n"/>
      <c r="S871" s="159" t="n"/>
      <c r="T871" s="159" t="n"/>
      <c r="U871" s="159" t="n"/>
    </row>
    <row r="872" ht="20.1" customHeight="1" s="308">
      <c r="A872" s="102" t="inlineStr">
        <is>
          <t>序号</t>
        </is>
      </c>
      <c r="B872" s="103" t="inlineStr">
        <is>
          <t>元件名称</t>
        </is>
      </c>
      <c r="C872" s="103" t="inlineStr">
        <is>
          <t>型号规格</t>
        </is>
      </c>
      <c r="D872" s="104" t="inlineStr">
        <is>
          <t>生产厂家</t>
        </is>
      </c>
      <c r="E872" s="105" t="inlineStr">
        <is>
          <t>单位</t>
        </is>
      </c>
      <c r="F872" s="105" t="inlineStr">
        <is>
          <t>数量</t>
        </is>
      </c>
      <c r="G872" s="382" t="inlineStr">
        <is>
          <t>单   价</t>
        </is>
      </c>
      <c r="H872" s="383" t="inlineStr">
        <is>
          <t>总   价</t>
        </is>
      </c>
      <c r="I872" s="134" t="inlineStr">
        <is>
          <t>备注</t>
        </is>
      </c>
      <c r="J872" s="384" t="inlineStr">
        <is>
          <t>成本单价</t>
        </is>
      </c>
      <c r="K872" s="384" t="inlineStr">
        <is>
          <t>成本总价</t>
        </is>
      </c>
      <c r="L872" s="136" t="inlineStr">
        <is>
          <t>报出
系数</t>
        </is>
      </c>
      <c r="M872" s="384" t="inlineStr">
        <is>
          <t>表价</t>
        </is>
      </c>
      <c r="N872" s="136" t="inlineStr">
        <is>
          <t>折扣
系数</t>
        </is>
      </c>
      <c r="O872" s="137" t="inlineStr">
        <is>
          <t>取费
系数</t>
        </is>
      </c>
      <c r="P872" s="384" t="inlineStr">
        <is>
          <t>成套费</t>
        </is>
      </c>
      <c r="Q872" s="161" t="inlineStr">
        <is>
          <t>类别</t>
        </is>
      </c>
      <c r="R872" s="161" t="inlineStr">
        <is>
          <t>物料编码</t>
        </is>
      </c>
      <c r="S872" s="161" t="inlineStr">
        <is>
          <t>产地</t>
        </is>
      </c>
      <c r="T872" s="161" t="inlineStr">
        <is>
          <t>加工费</t>
        </is>
      </c>
      <c r="U872" s="161" t="inlineStr">
        <is>
          <t>订货号</t>
        </is>
      </c>
      <c r="V872" s="161" t="inlineStr">
        <is>
          <t>人工</t>
        </is>
      </c>
      <c r="W872" s="161" t="inlineStr">
        <is>
          <t>辅料</t>
        </is>
      </c>
      <c r="X872" s="203" t="inlineStr"/>
    </row>
    <row r="873" s="308">
      <c r="A873" s="64">
        <f>ROW()-ROW(A$872)</f>
        <v/>
      </c>
      <c r="B873" s="22" t="inlineStr">
        <is>
          <t>塑壳断路器</t>
        </is>
      </c>
      <c r="C873" s="22" t="inlineStr">
        <is>
          <t>NSX160H TM160D 3P3D P</t>
        </is>
      </c>
      <c r="D873" s="22" t="inlineStr">
        <is>
          <t>甲供/施耐德电气</t>
        </is>
      </c>
      <c r="E873" s="23" t="inlineStr">
        <is>
          <t>只</t>
        </is>
      </c>
      <c r="F873" s="23" t="n">
        <v>1</v>
      </c>
      <c r="G873" s="349">
        <f>IF(AND(B873="",C873=""),"",ROUND(M873*L873*N873,2))</f>
        <v/>
      </c>
      <c r="H873" s="349">
        <f>IF(AND(B873="",C873=""),"",ROUND(F873*G873,2))</f>
        <v/>
      </c>
      <c r="I873" s="45" t="inlineStr"/>
      <c r="J873" s="397">
        <f>IF(AND(B873="",C873=""),"",ROUND(M873*N873,2))</f>
        <v/>
      </c>
      <c r="K873" s="398">
        <f>IF(AND(B873="",C873=""),"",ROUND(J873*F873,2))</f>
        <v/>
      </c>
      <c r="L873" s="200" t="n">
        <v>1</v>
      </c>
      <c r="M873" s="399" t="n">
        <v>1e-07</v>
      </c>
      <c r="N873" s="154" t="n">
        <v>1</v>
      </c>
      <c r="O873" s="155">
        <f>IF(AND(B873="",C873=""),"",IF(G873&gt;=20000,0.05,IF(G873&gt;=10000,0.1,IF(G873&gt;=5000,0.2,IF(G873&gt;=1000,0.3,IF(G873&gt;=0,0.4,{0}))))))</f>
        <v/>
      </c>
      <c r="P873" s="400">
        <f>IF(AND(B873="",C873=""),"",ROUND(H873*O873,2))</f>
        <v/>
      </c>
      <c r="Q873" s="401" t="inlineStr">
        <is>
          <t>元件</t>
        </is>
      </c>
      <c r="R873" s="168" t="inlineStr"/>
      <c r="S873" s="168" t="inlineStr"/>
      <c r="T873" s="168" t="inlineStr">
        <is>
          <t>0</t>
        </is>
      </c>
      <c r="U873" s="168" t="inlineStr">
        <is>
          <t>C16F32D160</t>
        </is>
      </c>
      <c r="V873" s="402" t="n"/>
      <c r="W873" s="402" t="n"/>
      <c r="X873" s="170" t="inlineStr">
        <is>
          <t>NSX630N Mic2.3 630A 3P3D F→NSX630F MIC2.3 630 3P F→NSX630F MIC 2.3 630 3P F</t>
        </is>
      </c>
    </row>
    <row r="874" s="308">
      <c r="A874" s="64">
        <f>ROW()-ROW(A$872)</f>
        <v/>
      </c>
      <c r="B874" s="22" t="inlineStr">
        <is>
          <t>塑壳断路器</t>
        </is>
      </c>
      <c r="C874" s="22" t="inlineStr">
        <is>
          <t>NSX250H TM250D 3P3D P</t>
        </is>
      </c>
      <c r="D874" s="22" t="inlineStr">
        <is>
          <t>甲供/施耐德电气</t>
        </is>
      </c>
      <c r="E874" s="23" t="inlineStr">
        <is>
          <t>只</t>
        </is>
      </c>
      <c r="F874" s="23" t="n">
        <v>2</v>
      </c>
      <c r="G874" s="349">
        <f>IF(AND(B874="",C874=""),"",ROUND(M874*L874*N874,2))</f>
        <v/>
      </c>
      <c r="H874" s="349">
        <f>IF(AND(B874="",C874=""),"",ROUND(F874*G874,2))</f>
        <v/>
      </c>
      <c r="I874" s="45" t="inlineStr"/>
      <c r="J874" s="397">
        <f>IF(AND(B874="",C874=""),"",ROUND(M874*N874,2))</f>
        <v/>
      </c>
      <c r="K874" s="398">
        <f>IF(AND(B874="",C874=""),"",ROUND(J874*F874,2))</f>
        <v/>
      </c>
      <c r="L874" s="200" t="n">
        <v>1</v>
      </c>
      <c r="M874" s="399" t="n">
        <v>1e-07</v>
      </c>
      <c r="N874" s="154" t="n">
        <v>1</v>
      </c>
      <c r="O874" s="155">
        <f>IF(AND(B874="",C874=""),"",IF(G874&gt;=20000,0.05,IF(G874&gt;=10000,0.1,IF(G874&gt;=5000,0.2,IF(G874&gt;=1000,0.3,IF(G874&gt;=0,0.4,{0}))))))</f>
        <v/>
      </c>
      <c r="P874" s="400">
        <f>IF(AND(B874="",C874=""),"",ROUND(H874*O874,2))</f>
        <v/>
      </c>
      <c r="Q874" s="401" t="inlineStr">
        <is>
          <t>元件</t>
        </is>
      </c>
      <c r="R874" s="168" t="inlineStr"/>
      <c r="S874" s="168" t="inlineStr"/>
      <c r="T874" s="168" t="inlineStr">
        <is>
          <t>0</t>
        </is>
      </c>
      <c r="U874" s="168" t="inlineStr">
        <is>
          <t>C16F32D160</t>
        </is>
      </c>
      <c r="V874" s="402" t="n"/>
      <c r="W874" s="402" t="n"/>
      <c r="X874" s="170" t="inlineStr">
        <is>
          <t>NSX630N Mic2.3 630A 3P3D F→NSX630F MIC2.3 630 3P F→NSX630F MIC 2.3 630 3P F</t>
        </is>
      </c>
    </row>
    <row r="875" s="308">
      <c r="A875" s="64">
        <f>ROW()-ROW(A$872)</f>
        <v/>
      </c>
      <c r="B875" s="22" t="inlineStr">
        <is>
          <t>塑壳断路器</t>
        </is>
      </c>
      <c r="C875" s="22" t="inlineStr">
        <is>
          <t>NSX400H Mic2.3 400A 3P3D P</t>
        </is>
      </c>
      <c r="D875" s="22" t="inlineStr">
        <is>
          <t>甲供/施耐德电气</t>
        </is>
      </c>
      <c r="E875" s="23" t="inlineStr">
        <is>
          <t>只</t>
        </is>
      </c>
      <c r="F875" s="23" t="n">
        <v>3</v>
      </c>
      <c r="G875" s="349">
        <f>IF(AND(B875="",C875=""),"",ROUND(M875*L875*N875,2))</f>
        <v/>
      </c>
      <c r="H875" s="349">
        <f>IF(AND(B875="",C875=""),"",ROUND(F875*G875,2))</f>
        <v/>
      </c>
      <c r="I875" s="45" t="inlineStr"/>
      <c r="J875" s="397">
        <f>IF(AND(B875="",C875=""),"",ROUND(M875*N875,2))</f>
        <v/>
      </c>
      <c r="K875" s="398">
        <f>IF(AND(B875="",C875=""),"",ROUND(J875*F875,2))</f>
        <v/>
      </c>
      <c r="L875" s="200" t="n">
        <v>1</v>
      </c>
      <c r="M875" s="399" t="n">
        <v>1e-07</v>
      </c>
      <c r="N875" s="154" t="n">
        <v>1</v>
      </c>
      <c r="O875" s="155">
        <f>IF(AND(B875="",C875=""),"",IF(G875&gt;=20000,0.05,IF(G875&gt;=10000,0.1,IF(G875&gt;=5000,0.2,IF(G875&gt;=1000,0.3,IF(G875&gt;=0,0.4,{0}))))))</f>
        <v/>
      </c>
      <c r="P875" s="400">
        <f>IF(AND(B875="",C875=""),"",ROUND(H875*O875,2))</f>
        <v/>
      </c>
      <c r="Q875" s="401" t="inlineStr">
        <is>
          <t>元件</t>
        </is>
      </c>
      <c r="R875" s="168" t="inlineStr"/>
      <c r="S875" s="168" t="inlineStr"/>
      <c r="T875" s="168" t="inlineStr">
        <is>
          <t>0</t>
        </is>
      </c>
      <c r="U875" s="168" t="inlineStr"/>
      <c r="V875" s="402" t="n"/>
      <c r="W875" s="402" t="n"/>
      <c r="X875" s="170" t="inlineStr"/>
    </row>
    <row r="876" s="308">
      <c r="A876" s="64">
        <f>ROW()-ROW(A$872)</f>
        <v/>
      </c>
      <c r="B876" s="22" t="inlineStr">
        <is>
          <t>电流互感器</t>
        </is>
      </c>
      <c r="C876" s="22" t="inlineStr">
        <is>
          <t>SD-0.66-30I 150/5A</t>
        </is>
      </c>
      <c r="D876" s="22" t="inlineStr">
        <is>
          <t>桑迪</t>
        </is>
      </c>
      <c r="E876" s="23" t="inlineStr">
        <is>
          <t>只</t>
        </is>
      </c>
      <c r="F876" s="23" t="n">
        <v>3</v>
      </c>
      <c r="G876" s="349">
        <f>IF(AND(B876="",C876=""),"",ROUND(M876*L876*N876,2))</f>
        <v/>
      </c>
      <c r="H876" s="396">
        <f>IF(AND(B876="",C876=""),"",ROUND(F876*G876,2))</f>
        <v/>
      </c>
      <c r="I876" s="219" t="inlineStr"/>
      <c r="J876" s="397">
        <f>IF(AND(B876="",C876=""),"",ROUND(M876*N876,2))</f>
        <v/>
      </c>
      <c r="K876" s="398">
        <f>IF(AND(B876="",C876=""),"",ROUND(J876*F876,2))</f>
        <v/>
      </c>
      <c r="L876" s="200" t="n">
        <v>1</v>
      </c>
      <c r="M876" s="399" t="n">
        <v>29.95</v>
      </c>
      <c r="N876" s="154" t="n">
        <v>1</v>
      </c>
      <c r="O876" s="155">
        <f>IF(AND(B876="",C876=""),"",IF(G876&gt;=20000,0.05,IF(G876&gt;=10000,0.1,IF(G876&gt;=5000,0.2,IF(G876&gt;=1000,0.3,IF(G876&gt;=0,0.4,{0}))))))</f>
        <v/>
      </c>
      <c r="P876" s="400">
        <f>IF(AND(B876="",C876=""),"",ROUND(H876*O876,2))</f>
        <v/>
      </c>
      <c r="Q876" s="401" t="inlineStr">
        <is>
          <t>元件</t>
        </is>
      </c>
      <c r="R876" s="168" t="inlineStr"/>
      <c r="S876" s="168" t="inlineStr"/>
      <c r="T876" s="168" t="inlineStr">
        <is>
          <t>0</t>
        </is>
      </c>
      <c r="U876" s="168" t="inlineStr">
        <is>
          <t>710140200000049</t>
        </is>
      </c>
      <c r="V876" s="402" t="n"/>
      <c r="W876" s="402" t="n"/>
      <c r="X876" s="170" t="inlineStr">
        <is>
          <t>SD→SD-0.66-40II-C 400/5A→SD-0.66-30I 250/5A→SD-0.66-30I 150/5A→SD-0.66-60II-C 750/5A→SD-0.66-60II-C 600/5A→SD-0.66-30I 150/5A→SD-0.66-40II-C 400/5A→SD-0.66-100II-C 1600/5A→SD-0.66-80II-V 1000/5A</t>
        </is>
      </c>
    </row>
    <row r="877" s="308">
      <c r="A877" s="64">
        <f>ROW()-ROW(A$872)</f>
        <v/>
      </c>
      <c r="B877" s="22" t="inlineStr">
        <is>
          <t>电流互感器</t>
        </is>
      </c>
      <c r="C877" s="22" t="inlineStr">
        <is>
          <t>SD-0.66-30I 250/5A</t>
        </is>
      </c>
      <c r="D877" s="22" t="inlineStr">
        <is>
          <t>桑迪</t>
        </is>
      </c>
      <c r="E877" s="23" t="inlineStr">
        <is>
          <t>只</t>
        </is>
      </c>
      <c r="F877" s="23" t="n">
        <v>6</v>
      </c>
      <c r="G877" s="349">
        <f>IF(AND(B877="",C877=""),"",ROUND(M877*L877*N877,2))</f>
        <v/>
      </c>
      <c r="H877" s="396">
        <f>IF(AND(B877="",C877=""),"",ROUND(F877*G877,2))</f>
        <v/>
      </c>
      <c r="I877" s="219" t="inlineStr"/>
      <c r="J877" s="397">
        <f>IF(AND(B877="",C877=""),"",ROUND(M877*N877,2))</f>
        <v/>
      </c>
      <c r="K877" s="398">
        <f>IF(AND(B877="",C877=""),"",ROUND(J877*F877,2))</f>
        <v/>
      </c>
      <c r="L877" s="200" t="n">
        <v>1</v>
      </c>
      <c r="M877" s="399" t="n">
        <v>26.65</v>
      </c>
      <c r="N877" s="154" t="n">
        <v>1</v>
      </c>
      <c r="O877" s="155">
        <f>IF(AND(B877="",C877=""),"",IF(G877&gt;=20000,0.05,IF(G877&gt;=10000,0.1,IF(G877&gt;=5000,0.2,IF(G877&gt;=1000,0.3,IF(G877&gt;=0,0.4,{0}))))))</f>
        <v/>
      </c>
      <c r="P877" s="400">
        <f>IF(AND(B877="",C877=""),"",ROUND(H877*O877,2))</f>
        <v/>
      </c>
      <c r="Q877" s="401" t="inlineStr">
        <is>
          <t>元件</t>
        </is>
      </c>
      <c r="R877" s="168" t="inlineStr"/>
      <c r="S877" s="168" t="inlineStr"/>
      <c r="T877" s="168" t="inlineStr">
        <is>
          <t>0</t>
        </is>
      </c>
      <c r="U877" s="168" t="inlineStr">
        <is>
          <t>710140200000049</t>
        </is>
      </c>
      <c r="V877" s="402" t="n"/>
      <c r="W877" s="402" t="n"/>
      <c r="X877" s="170" t="inlineStr">
        <is>
          <t>SD→SD-0.66-40II-C 400/5A→SD-0.66-30I 250/5A→SD-0.66-30I 150/5A→SD-0.66-60II-C 750/5A→SD-0.66-60II-C 600/5A→SD-0.66-30I 150/5A→SD-0.66-40II-C 400/5A→SD-0.66-100II-C 1600/5A→SD-0.66-80II-V 1000/5A</t>
        </is>
      </c>
    </row>
    <row r="878" s="308">
      <c r="A878" s="64">
        <f>ROW()-ROW(A$872)</f>
        <v/>
      </c>
      <c r="B878" s="22" t="inlineStr">
        <is>
          <t>电流互感器</t>
        </is>
      </c>
      <c r="C878" s="22" t="inlineStr">
        <is>
          <t>SD-0.66-40II-C 400/5A</t>
        </is>
      </c>
      <c r="D878" s="22" t="inlineStr">
        <is>
          <t>桑迪</t>
        </is>
      </c>
      <c r="E878" s="23" t="inlineStr">
        <is>
          <t>只</t>
        </is>
      </c>
      <c r="F878" s="23" t="n">
        <v>9</v>
      </c>
      <c r="G878" s="349">
        <f>IF(AND(B878="",C878=""),"",ROUND(M878*L878*N878,2))</f>
        <v/>
      </c>
      <c r="H878" s="396">
        <f>IF(AND(B878="",C878=""),"",ROUND(F878*G878,2))</f>
        <v/>
      </c>
      <c r="I878" s="219" t="inlineStr"/>
      <c r="J878" s="397">
        <f>IF(AND(B878="",C878=""),"",ROUND(M878*N878,2))</f>
        <v/>
      </c>
      <c r="K878" s="398">
        <f>IF(AND(B878="",C878=""),"",ROUND(J878*F878,2))</f>
        <v/>
      </c>
      <c r="L878" s="200" t="n">
        <v>1</v>
      </c>
      <c r="M878" s="399" t="n">
        <v>52</v>
      </c>
      <c r="N878" s="154" t="n">
        <v>1</v>
      </c>
      <c r="O878" s="155">
        <f>IF(AND(B878="",C878=""),"",IF(G878&gt;=20000,0.05,IF(G878&gt;=10000,0.1,IF(G878&gt;=5000,0.2,IF(G878&gt;=1000,0.3,IF(G878&gt;=0,0.4,{0}))))))</f>
        <v/>
      </c>
      <c r="P878" s="400">
        <f>IF(AND(B878="",C878=""),"",ROUND(H878*O878,2))</f>
        <v/>
      </c>
      <c r="Q878" s="401" t="inlineStr">
        <is>
          <t>元件</t>
        </is>
      </c>
      <c r="R878" s="168" t="inlineStr"/>
      <c r="S878" s="168" t="inlineStr"/>
      <c r="T878" s="168" t="inlineStr">
        <is>
          <t>0</t>
        </is>
      </c>
      <c r="U878" s="168" t="inlineStr">
        <is>
          <t>710140200000049</t>
        </is>
      </c>
      <c r="V878" s="402" t="n"/>
      <c r="W878" s="402" t="n"/>
      <c r="X878" s="170" t="inlineStr">
        <is>
          <t>SD→SD-0.66-40II-C 400/5A→SD-0.66-30I 250/5A→SD-0.66-30I 150/5A→SD-0.66-60II-C 750/5A→SD-0.66-60II-C 600/5A→SD-0.66-30I 150/5A→SD-0.66-40II-C 400/5A→SD-0.66-100II-C 1600/5A→SD-0.66-80II-V 1000/5A</t>
        </is>
      </c>
    </row>
    <row r="879" s="308">
      <c r="A879" s="64">
        <f>ROW()-ROW(A$872)</f>
        <v/>
      </c>
      <c r="B879" s="112" t="inlineStr">
        <is>
          <t>多功能表</t>
        </is>
      </c>
      <c r="C879" s="112" t="inlineStr">
        <is>
          <t>PM4101</t>
        </is>
      </c>
      <c r="D879" s="112" t="inlineStr">
        <is>
          <t>甲供/施耐德电气</t>
        </is>
      </c>
      <c r="E879" s="114" t="inlineStr">
        <is>
          <t>只</t>
        </is>
      </c>
      <c r="F879" s="114" t="n">
        <v>6</v>
      </c>
      <c r="G879" s="396">
        <f>IF(AND(B879="",C879=""),"",ROUND(M879*L879*N879,2))</f>
        <v/>
      </c>
      <c r="H879" s="349">
        <f>IF(AND(B879="",C879=""),"",ROUND(F879*G879,2))</f>
        <v/>
      </c>
      <c r="I879" s="45" t="inlineStr"/>
      <c r="J879" s="397">
        <f>IF(AND(B879="",C879=""),"",ROUND(M879*N879,2))</f>
        <v/>
      </c>
      <c r="K879" s="398">
        <f>IF(AND(B879="",C879=""),"",ROUND(J879*F879,2))</f>
        <v/>
      </c>
      <c r="L879" s="200" t="n">
        <v>1</v>
      </c>
      <c r="M879" s="399" t="n">
        <v>1e-07</v>
      </c>
      <c r="N879" s="154" t="n">
        <v>1</v>
      </c>
      <c r="O879" s="155">
        <f>IF(AND(B879="",C879=""),"",IF(J879&gt;=20000,0.05,IF(J879&gt;=10000,0.1,IF(J879&gt;=5000,0.2,IF(J879&gt;=1000,0.3,IF(J879&gt;=0,0.4,{0}))))))</f>
        <v/>
      </c>
      <c r="P879" s="400">
        <f>IF(AND(B879="",C879=""),"",ROUND(H879*O879,2))</f>
        <v/>
      </c>
      <c r="Q879" s="401" t="inlineStr">
        <is>
          <t>元件</t>
        </is>
      </c>
      <c r="R879" s="168" t="inlineStr"/>
      <c r="S879" s="168" t="inlineStr"/>
      <c r="T879" s="168" t="inlineStr">
        <is>
          <t>0</t>
        </is>
      </c>
      <c r="U879" s="168" t="inlineStr"/>
      <c r="V879" s="402" t="n"/>
      <c r="W879" s="402" t="n"/>
      <c r="X879" s="170" t="inlineStr"/>
    </row>
    <row r="880" customFormat="1" s="3">
      <c r="A880" s="64">
        <f>ROW()-ROW(A$872)</f>
        <v/>
      </c>
      <c r="B880" s="22" t="inlineStr">
        <is>
          <t>指示灯</t>
        </is>
      </c>
      <c r="C880" s="22" t="inlineStr">
        <is>
          <t>XB2BVM3LC</t>
        </is>
      </c>
      <c r="D880" s="22" t="inlineStr">
        <is>
          <t>甲供/施耐德电气</t>
        </is>
      </c>
      <c r="E880" s="23" t="inlineStr">
        <is>
          <t>只</t>
        </is>
      </c>
      <c r="F880" s="23" t="n">
        <v>6</v>
      </c>
      <c r="G880" s="349">
        <f>IF(AND(B880="",C880=""),"",ROUND(M880*L880*N880,2))</f>
        <v/>
      </c>
      <c r="H880" s="353">
        <f>IF(AND(B880="",C880=""),"",ROUND(F880*G880,2))</f>
        <v/>
      </c>
      <c r="I880" s="180" t="inlineStr"/>
      <c r="J880" s="392">
        <f>IF(AND(B880="",C880=""),"",ROUND(M880*N880,2))</f>
        <v/>
      </c>
      <c r="K880" s="393">
        <f>IF(AND(B880="",C880=""),"",ROUND(J880*F880,2))</f>
        <v/>
      </c>
      <c r="L880" s="141" t="n">
        <v>1</v>
      </c>
      <c r="M880" s="394" t="n">
        <v>1e-07</v>
      </c>
      <c r="N880" s="220" t="n">
        <v>1</v>
      </c>
      <c r="O880" s="221">
        <f>IF(AND(B880="",C880=""),"",IF(G880&gt;=20000,0.05,IF(G880&gt;=10000,0.1,IF(G880&gt;=5000,0.2,IF(G880&gt;=1000,0.3,IF(G880&gt;=0,0.4,{0}))))))</f>
        <v/>
      </c>
      <c r="P880" s="419">
        <f>IF(AND(B880="",C880=""),"",ROUND(H880*O880,2))</f>
        <v/>
      </c>
      <c r="Q880" s="420" t="inlineStr">
        <is>
          <t>元件</t>
        </is>
      </c>
      <c r="R880" s="231" t="inlineStr"/>
      <c r="S880" s="231" t="inlineStr"/>
      <c r="T880" s="231" t="inlineStr">
        <is>
          <t>0</t>
        </is>
      </c>
      <c r="U880" s="231" t="inlineStr">
        <is>
          <t>XB2BVM3LC</t>
        </is>
      </c>
      <c r="V880" s="421" t="n"/>
      <c r="W880" s="421" t="n"/>
      <c r="X880" s="166" t="inlineStr">
        <is>
          <t>XA2EVM3LC</t>
        </is>
      </c>
    </row>
    <row r="881" customFormat="1" s="3">
      <c r="A881" s="64">
        <f>ROW()-ROW(A$872)</f>
        <v/>
      </c>
      <c r="B881" s="22" t="inlineStr">
        <is>
          <t>指示灯</t>
        </is>
      </c>
      <c r="C881" s="22" t="inlineStr">
        <is>
          <t>XB2BVM4LC</t>
        </is>
      </c>
      <c r="D881" s="22" t="inlineStr">
        <is>
          <t>甲供/施耐德电气</t>
        </is>
      </c>
      <c r="E881" s="23" t="inlineStr">
        <is>
          <t>只</t>
        </is>
      </c>
      <c r="F881" s="23" t="n">
        <v>6</v>
      </c>
      <c r="G881" s="349">
        <f>IF(AND(B881="",C881=""),"",ROUND(M881*L881*N881,2))</f>
        <v/>
      </c>
      <c r="H881" s="353">
        <f>IF(AND(B881="",C881=""),"",ROUND(F881*G881,2))</f>
        <v/>
      </c>
      <c r="I881" s="180" t="inlineStr"/>
      <c r="J881" s="392">
        <f>IF(AND(B881="",C881=""),"",ROUND(M881*N881,2))</f>
        <v/>
      </c>
      <c r="K881" s="393">
        <f>IF(AND(B881="",C881=""),"",ROUND(J881*F881,2))</f>
        <v/>
      </c>
      <c r="L881" s="141" t="n">
        <v>1</v>
      </c>
      <c r="M881" s="394" t="n">
        <v>1e-07</v>
      </c>
      <c r="N881" s="220" t="n">
        <v>1</v>
      </c>
      <c r="O881" s="221">
        <f>IF(AND(B881="",C881=""),"",IF(G881&gt;=20000,0.05,IF(G881&gt;=10000,0.1,IF(G881&gt;=5000,0.2,IF(G881&gt;=1000,0.3,IF(G881&gt;=0,0.4,{0}))))))</f>
        <v/>
      </c>
      <c r="P881" s="419">
        <f>IF(AND(B881="",C881=""),"",ROUND(H881*O881,2))</f>
        <v/>
      </c>
      <c r="Q881" s="420" t="inlineStr">
        <is>
          <t>元件</t>
        </is>
      </c>
      <c r="R881" s="231" t="inlineStr"/>
      <c r="S881" s="231" t="inlineStr"/>
      <c r="T881" s="231" t="inlineStr">
        <is>
          <t>0</t>
        </is>
      </c>
      <c r="U881" s="231" t="inlineStr">
        <is>
          <t>XB2BVM4LC</t>
        </is>
      </c>
      <c r="V881" s="421" t="n"/>
      <c r="W881" s="421" t="n"/>
      <c r="X881" s="166" t="inlineStr">
        <is>
          <t>XA2EVM4LC</t>
        </is>
      </c>
    </row>
    <row r="882" s="308">
      <c r="A882" s="64">
        <f>ROW()-ROW(A$872)</f>
        <v/>
      </c>
      <c r="B882" s="112" t="inlineStr">
        <is>
          <t>温湿度控制器</t>
        </is>
      </c>
      <c r="C882" s="112" t="inlineStr">
        <is>
          <t>ATH48G-11</t>
        </is>
      </c>
      <c r="D882" s="22" t="inlineStr">
        <is>
          <t>杭州安廷</t>
        </is>
      </c>
      <c r="E882" s="23" t="inlineStr">
        <is>
          <t>套</t>
        </is>
      </c>
      <c r="F882" s="23" t="n">
        <v>1</v>
      </c>
      <c r="G882" s="349">
        <f>IF(AND(B882="",C882=""),"",ROUND(M882*L882*N882,2))</f>
        <v/>
      </c>
      <c r="H882" s="396">
        <f>IF(AND(B882="",C882=""),"",ROUND(F882*G882,2))</f>
        <v/>
      </c>
      <c r="I882" s="150" t="inlineStr"/>
      <c r="J882" s="397">
        <f>IF(AND(B882="",C882=""),"",ROUND(M882*N882,2))</f>
        <v/>
      </c>
      <c r="K882" s="398">
        <f>IF(AND(B882="",C882=""),"",ROUND(J882*F882,2))</f>
        <v/>
      </c>
      <c r="L882" s="141" t="n">
        <v>1</v>
      </c>
      <c r="M882" s="399" t="n">
        <v>450</v>
      </c>
      <c r="N882" s="154" t="n">
        <v>1</v>
      </c>
      <c r="O882" s="155">
        <f>IF(AND(B882="",C882=""),"",IF(G882&gt;=20000,0.05,IF(G882&gt;=10000,0.1,IF(G882&gt;=5000,0.2,IF(G882&gt;=1000,0.3,IF(G882&gt;=0,0.4,{0}))))))</f>
        <v/>
      </c>
      <c r="P882" s="400">
        <f>IF(AND(B882="",C882=""),"",ROUND(H882*O882,2))</f>
        <v/>
      </c>
      <c r="Q882" s="401" t="inlineStr">
        <is>
          <t>元件</t>
        </is>
      </c>
      <c r="R882" s="168" t="inlineStr"/>
      <c r="S882" s="168" t="inlineStr"/>
      <c r="T882" s="168" t="inlineStr">
        <is>
          <t>0</t>
        </is>
      </c>
      <c r="U882" s="168" t="inlineStr"/>
      <c r="V882" s="402" t="n"/>
      <c r="W882" s="402" t="n"/>
      <c r="X882" s="170" t="inlineStr"/>
    </row>
    <row r="883" s="308">
      <c r="A883" s="64">
        <f>ROW()-ROW(A$872)</f>
        <v/>
      </c>
      <c r="B883" s="22" t="inlineStr">
        <is>
          <t>中间继电器</t>
        </is>
      </c>
      <c r="C883" s="22" t="inlineStr">
        <is>
          <t>RXM4AB2P7+RXZE2S114M+RXZ400</t>
        </is>
      </c>
      <c r="D883" s="22" t="inlineStr">
        <is>
          <t>甲供/施耐德电气</t>
        </is>
      </c>
      <c r="E883" s="23" t="inlineStr">
        <is>
          <t>只</t>
        </is>
      </c>
      <c r="F883" s="23" t="n">
        <v>12</v>
      </c>
      <c r="G883" s="349">
        <f>IF(AND(B883="",C883=""),"",ROUND(M883*L883*N883,2))</f>
        <v/>
      </c>
      <c r="H883" s="349">
        <f>IF(AND(B883="",C883=""),"",ROUND(F883*G883,2))</f>
        <v/>
      </c>
      <c r="I883" s="45" t="inlineStr"/>
      <c r="J883" s="397">
        <f>IF(AND(B883="",C883=""),"",ROUND(M883*N883,2))</f>
        <v/>
      </c>
      <c r="K883" s="398">
        <f>IF(AND(B883="",C883=""),"",ROUND(J883*F883,2))</f>
        <v/>
      </c>
      <c r="L883" s="141" t="n">
        <v>1</v>
      </c>
      <c r="M883" s="399" t="n">
        <v>1e-07</v>
      </c>
      <c r="N883" s="154" t="n">
        <v>1</v>
      </c>
      <c r="O883" s="155">
        <f>IF(AND(B883="",C883=""),"",IF(G883&gt;=20000,0.05,IF(G883&gt;=10000,0.1,IF(G883&gt;=5000,0.2,IF(G883&gt;=1000,0.3,IF(G883&gt;=0,0.4,{0}))))))</f>
        <v/>
      </c>
      <c r="P883" s="400">
        <f>IF(AND(B883="",C883=""),"",ROUND(H883*O883,2))</f>
        <v/>
      </c>
      <c r="Q883" s="401" t="inlineStr">
        <is>
          <t>元件</t>
        </is>
      </c>
      <c r="R883" s="168" t="inlineStr"/>
      <c r="S883" s="168" t="inlineStr"/>
      <c r="T883" s="168" t="inlineStr">
        <is>
          <t>0</t>
        </is>
      </c>
      <c r="U883" s="168" t="inlineStr">
        <is>
          <t>RXM4AB2P7+RXZE2S114M+RXZ400</t>
        </is>
      </c>
      <c r="V883" s="402" t="n"/>
      <c r="W883" s="402" t="n"/>
      <c r="X883" s="170" t="inlineStr">
        <is>
          <t>REL-IR-BL/L-230AC/4X21，含底座→RXM4AB2P7+RXZE2S114M+RXZ400→REL-IR-BL/L-230AC/4X21，含底座</t>
        </is>
      </c>
    </row>
    <row r="884" customFormat="1" s="3">
      <c r="A884" s="64">
        <f>ROW()-ROW(A$872)</f>
        <v/>
      </c>
      <c r="B884" s="22" t="inlineStr">
        <is>
          <t>带熔丝端子</t>
        </is>
      </c>
      <c r="C884" s="22" t="inlineStr">
        <is>
          <t>UK 5-HESI</t>
        </is>
      </c>
      <c r="D884" s="22" t="inlineStr">
        <is>
          <t>菲尼克斯</t>
        </is>
      </c>
      <c r="E884" s="23" t="inlineStr">
        <is>
          <t>只</t>
        </is>
      </c>
      <c r="F884" s="23" t="n">
        <v>24</v>
      </c>
      <c r="G884" s="349">
        <f>IF(AND(B884="",C884=""),"",ROUND(M884*L884*N884,2))</f>
        <v/>
      </c>
      <c r="H884" s="349">
        <f>IF(AND(B884="",C884=""),"",ROUND(F884*G884,2))</f>
        <v/>
      </c>
      <c r="I884" s="45" t="inlineStr"/>
      <c r="J884" s="392">
        <f>IF(AND(B884="",C884=""),"",ROUND(M884*N884,2))</f>
        <v/>
      </c>
      <c r="K884" s="393">
        <f>IF(AND(B884="",C884=""),"",ROUND(J884*F884,2))</f>
        <v/>
      </c>
      <c r="L884" s="141" t="n">
        <v>1</v>
      </c>
      <c r="M884" s="394" t="n">
        <v>7</v>
      </c>
      <c r="N884" s="220" t="n">
        <v>1</v>
      </c>
      <c r="O884" s="221">
        <f>IF(AND(B884="",C884=""),"",IF(G884&gt;=20000,0.05,IF(G884&gt;=10000,0.1,IF(G884&gt;=5000,0.2,IF(G884&gt;=1000,0.3,IF(G884&gt;=0,0.4,{0}))))))</f>
        <v/>
      </c>
      <c r="P884" s="419">
        <f>IF(AND(B884="",C884=""),"",ROUND(H884*O884,2))</f>
        <v/>
      </c>
      <c r="Q884" s="420" t="inlineStr">
        <is>
          <t>元件</t>
        </is>
      </c>
      <c r="R884" s="231" t="inlineStr"/>
      <c r="S884" s="231" t="inlineStr"/>
      <c r="T884" s="231" t="inlineStr">
        <is>
          <t>0</t>
        </is>
      </c>
      <c r="U884" s="231" t="inlineStr">
        <is>
          <t>True</t>
        </is>
      </c>
      <c r="V884" s="421" t="n"/>
      <c r="W884" s="421" t="n"/>
      <c r="X884" s="166" t="inlineStr"/>
    </row>
    <row r="885" s="308">
      <c r="A885" s="64">
        <f>ROW()-ROW(A$872)</f>
        <v/>
      </c>
      <c r="B885" s="22" t="inlineStr">
        <is>
          <t>水平母排</t>
        </is>
      </c>
      <c r="C885" s="22" t="inlineStr">
        <is>
          <t>TMY 4*(4*150*5)+2*50*5</t>
        </is>
      </c>
      <c r="D885" s="22" t="inlineStr">
        <is>
          <t>国产优质</t>
        </is>
      </c>
      <c r="E885" s="23" t="inlineStr">
        <is>
          <t>米</t>
        </is>
      </c>
      <c r="F885" s="23" t="n">
        <v>0.7</v>
      </c>
      <c r="G885" s="349">
        <f>IF(AND(B885="",C885=""),"",ROUND(M885*L885*N885,2))</f>
        <v/>
      </c>
      <c r="H885" s="349">
        <f>IF(AND(B885="",C885=""),"",ROUND(F885*G885,2))</f>
        <v/>
      </c>
      <c r="I885" s="45" t="inlineStr"/>
      <c r="J885" s="397">
        <f>IF(AND(B885="",C885=""),"",ROUND(M885*N885,2))</f>
        <v/>
      </c>
      <c r="K885" s="398">
        <f>IF(AND(B885="",C885=""),"",ROUND(J885*F885,2))</f>
        <v/>
      </c>
      <c r="L885" s="200" t="n">
        <v>1</v>
      </c>
      <c r="M885" s="399" t="n">
        <v>12026.68125</v>
      </c>
      <c r="N885" s="154">
        <f>(6317.932*1*1+2684.8*1*1)/9002.732</f>
        <v/>
      </c>
      <c r="O885" s="155">
        <f>IF(AND(B885="",C885=""),"",IF(J885&gt;=20000,0.05,IF(J885&gt;=10000,0.1,IF(J885&gt;=5000,0.2,IF(J885&gt;=1000,0.3,IF(J885&gt;=0,0.4,{0}))))))</f>
        <v/>
      </c>
      <c r="P885" s="400">
        <f>IF(AND(B885="",C885=""),"",ROUND(H885*O885,2))</f>
        <v/>
      </c>
      <c r="Q885" s="401" t="inlineStr">
        <is>
          <t>母排</t>
        </is>
      </c>
      <c r="R885" s="168" t="inlineStr"/>
      <c r="S885" s="168" t="inlineStr"/>
      <c r="T885" s="168" t="inlineStr">
        <is>
          <t>0</t>
        </is>
      </c>
      <c r="U885" s="168" t="inlineStr"/>
      <c r="V885" s="402" t="n"/>
      <c r="W885" s="402" t="n"/>
      <c r="X885" s="170" t="inlineStr"/>
    </row>
    <row r="886" customFormat="1" s="5">
      <c r="A886" s="64">
        <f>ROW()-ROW(A$872)</f>
        <v/>
      </c>
      <c r="B886" s="22" t="inlineStr">
        <is>
          <t>垂直排</t>
        </is>
      </c>
      <c r="C886" s="22" t="inlineStr">
        <is>
          <t>TMY 3*2*60*5</t>
        </is>
      </c>
      <c r="D886" s="22" t="inlineStr">
        <is>
          <t>国产优质</t>
        </is>
      </c>
      <c r="E886" s="23" t="inlineStr">
        <is>
          <t>米</t>
        </is>
      </c>
      <c r="F886" s="23" t="n">
        <v>2</v>
      </c>
      <c r="G886" s="349">
        <f>IF(AND(B886="",C886=""),"",ROUND(M886*L886*N886,2))</f>
        <v/>
      </c>
      <c r="H886" s="349">
        <f>IF(AND(B886="",C886=""),"",ROUND(F886*G886,2))</f>
        <v/>
      </c>
      <c r="I886" s="45" t="inlineStr"/>
      <c r="J886" s="422">
        <f>IF(AND(B886="",C886=""),"",ROUND(M886*N886,2))</f>
        <v/>
      </c>
      <c r="K886" s="423">
        <f>IF(AND(B886="",C886=""),"",ROUND(J886*F886,2))</f>
        <v/>
      </c>
      <c r="L886" s="225" t="n">
        <v>1</v>
      </c>
      <c r="M886" s="424" t="n">
        <v>1731.8421</v>
      </c>
      <c r="N886" s="227" t="n">
        <v>1</v>
      </c>
      <c r="O886" s="228">
        <f>IF(AND(B886="",C886=""),"",IF(G886&gt;=20000,0.05,IF(G886&gt;=10000,0.1,IF(G886&gt;=5000,0.2,IF(G886&gt;=1000,0.3,IF(G886&gt;=0,0.4,{0}))))))</f>
        <v/>
      </c>
      <c r="P886" s="425">
        <f>IF(AND(B886="",C886=""),"",ROUND(H886*O886,2))</f>
        <v/>
      </c>
      <c r="Q886" s="426" t="inlineStr">
        <is>
          <t>母排</t>
        </is>
      </c>
      <c r="R886" s="234" t="inlineStr"/>
      <c r="S886" s="234" t="inlineStr"/>
      <c r="T886" s="235" t="inlineStr">
        <is>
          <t>0</t>
        </is>
      </c>
      <c r="U886" s="235" t="inlineStr"/>
      <c r="V886" s="427" t="n"/>
      <c r="W886" s="427" t="n"/>
      <c r="X886" s="237" t="inlineStr">
        <is>
          <t>TMY 2*30*5→TMY 30*8</t>
        </is>
      </c>
    </row>
    <row r="887" customFormat="1" s="5">
      <c r="A887" s="64">
        <f>ROW()-ROW(A$872)</f>
        <v/>
      </c>
      <c r="B887" s="22" t="inlineStr">
        <is>
          <t>N排</t>
        </is>
      </c>
      <c r="C887" s="22" t="inlineStr">
        <is>
          <t>TMY 60*10</t>
        </is>
      </c>
      <c r="D887" s="22" t="inlineStr">
        <is>
          <t>国产优质</t>
        </is>
      </c>
      <c r="E887" s="23" t="inlineStr">
        <is>
          <t>米</t>
        </is>
      </c>
      <c r="F887" s="23" t="n">
        <v>3</v>
      </c>
      <c r="G887" s="349">
        <f>IF(AND(B887="",C887=""),"",ROUND(M887*L887*N887,2))</f>
        <v/>
      </c>
      <c r="H887" s="349">
        <f>IF(AND(B887="",C887=""),"",ROUND(F887*G887,2))</f>
        <v/>
      </c>
      <c r="I887" s="45" t="inlineStr"/>
      <c r="J887" s="422">
        <f>IF(AND(B887="",C887=""),"",ROUND(M887*N887,2))</f>
        <v/>
      </c>
      <c r="K887" s="423">
        <f>IF(AND(B887="",C887=""),"",ROUND(J887*F887,2))</f>
        <v/>
      </c>
      <c r="L887" s="225" t="n">
        <v>1</v>
      </c>
      <c r="M887" s="424" t="n">
        <v>577.2807</v>
      </c>
      <c r="N887" s="227" t="n">
        <v>1</v>
      </c>
      <c r="O887" s="228">
        <f>IF(AND(B887="",C887=""),"",IF(G887&gt;=20000,0.05,IF(G887&gt;=10000,0.1,IF(G887&gt;=5000,0.2,IF(G887&gt;=1000,0.3,IF(G887&gt;=0,0.4,{0}))))))</f>
        <v/>
      </c>
      <c r="P887" s="425">
        <f>IF(AND(B887="",C887=""),"",ROUND(H887*O887,2))</f>
        <v/>
      </c>
      <c r="Q887" s="426" t="inlineStr">
        <is>
          <t>母排</t>
        </is>
      </c>
      <c r="R887" s="234" t="inlineStr"/>
      <c r="S887" s="234" t="inlineStr"/>
      <c r="T887" s="235" t="inlineStr">
        <is>
          <t>0</t>
        </is>
      </c>
      <c r="U887" s="235" t="inlineStr"/>
      <c r="V887" s="427" t="n"/>
      <c r="W887" s="427" t="n"/>
      <c r="X887" s="237" t="inlineStr">
        <is>
          <t>TMY 2*30*5→TMY 30*8</t>
        </is>
      </c>
    </row>
    <row r="888" customFormat="1" s="5">
      <c r="A888" s="64">
        <f>ROW()-ROW(A$872)</f>
        <v/>
      </c>
      <c r="B888" s="22" t="inlineStr">
        <is>
          <t>PE排</t>
        </is>
      </c>
      <c r="C888" s="22" t="inlineStr">
        <is>
          <t>TMY 2*50*5</t>
        </is>
      </c>
      <c r="D888" s="22" t="inlineStr">
        <is>
          <t>国产优质</t>
        </is>
      </c>
      <c r="E888" s="23" t="inlineStr">
        <is>
          <t>米</t>
        </is>
      </c>
      <c r="F888" s="23" t="n">
        <v>2</v>
      </c>
      <c r="G888" s="349">
        <f>IF(AND(B888="",C888=""),"",ROUND(M888*L888*N888,2))</f>
        <v/>
      </c>
      <c r="H888" s="349">
        <f>IF(AND(B888="",C888=""),"",ROUND(F888*G888,2))</f>
        <v/>
      </c>
      <c r="I888" s="45" t="inlineStr"/>
      <c r="J888" s="422">
        <f>IF(AND(B888="",C888=""),"",ROUND(M888*N888,2))</f>
        <v/>
      </c>
      <c r="K888" s="423">
        <f>IF(AND(B888="",C888=""),"",ROUND(J888*F888,2))</f>
        <v/>
      </c>
      <c r="L888" s="225" t="n">
        <v>1</v>
      </c>
      <c r="M888" s="424" t="n">
        <v>481.06725</v>
      </c>
      <c r="N888" s="227" t="n">
        <v>1</v>
      </c>
      <c r="O888" s="228">
        <f>IF(AND(B888="",C888=""),"",IF(G888&gt;=20000,0.05,IF(G888&gt;=10000,0.1,IF(G888&gt;=5000,0.2,IF(G888&gt;=1000,0.3,IF(G888&gt;=0,0.4,{0}))))))</f>
        <v/>
      </c>
      <c r="P888" s="425">
        <f>IF(AND(B888="",C888=""),"",ROUND(H888*O888,2))</f>
        <v/>
      </c>
      <c r="Q888" s="426" t="inlineStr">
        <is>
          <t>母排</t>
        </is>
      </c>
      <c r="R888" s="234" t="inlineStr"/>
      <c r="S888" s="234" t="inlineStr"/>
      <c r="T888" s="235" t="inlineStr">
        <is>
          <t>0</t>
        </is>
      </c>
      <c r="U888" s="235" t="inlineStr"/>
      <c r="V888" s="427" t="n"/>
      <c r="W888" s="427" t="n"/>
      <c r="X888" s="237" t="inlineStr">
        <is>
          <t>TMY 2*30*5→TMY 30*8</t>
        </is>
      </c>
    </row>
    <row r="889" customFormat="1" s="5">
      <c r="A889" s="64">
        <f>ROW()-ROW(A$872)</f>
        <v/>
      </c>
      <c r="B889" s="22" t="inlineStr">
        <is>
          <t>400A铜排</t>
        </is>
      </c>
      <c r="C889" s="22" t="inlineStr">
        <is>
          <t>TMY 30*5</t>
        </is>
      </c>
      <c r="D889" s="22" t="inlineStr">
        <is>
          <t>国产优质</t>
        </is>
      </c>
      <c r="E889" s="23" t="inlineStr">
        <is>
          <t>米</t>
        </is>
      </c>
      <c r="F889" s="23" t="n">
        <v>9.6</v>
      </c>
      <c r="G889" s="349">
        <f>IF(AND(B889="",C889=""),"",ROUND(M889*L889*N889,2))</f>
        <v/>
      </c>
      <c r="H889" s="349">
        <f>IF(AND(B889="",C889=""),"",ROUND(F889*G889,2))</f>
        <v/>
      </c>
      <c r="I889" s="45" t="inlineStr"/>
      <c r="J889" s="422">
        <f>IF(AND(B889="",C889=""),"",ROUND(M889*N889,2))</f>
        <v/>
      </c>
      <c r="K889" s="423">
        <f>IF(AND(B889="",C889=""),"",ROUND(J889*F889,2))</f>
        <v/>
      </c>
      <c r="L889" s="225" t="n">
        <v>1</v>
      </c>
      <c r="M889" s="424" t="n">
        <v>144.320175</v>
      </c>
      <c r="N889" s="227" t="n">
        <v>1</v>
      </c>
      <c r="O889" s="228">
        <f>IF(AND(B889="",C889=""),"",IF(G889&gt;=20000,0.05,IF(G889&gt;=10000,0.1,IF(G889&gt;=5000,0.2,IF(G889&gt;=1000,0.3,IF(G889&gt;=0,0.4,{0}))))))</f>
        <v/>
      </c>
      <c r="P889" s="425">
        <f>IF(AND(B889="",C889=""),"",ROUND(H889*O889,2))</f>
        <v/>
      </c>
      <c r="Q889" s="426" t="inlineStr">
        <is>
          <t>母排</t>
        </is>
      </c>
      <c r="R889" s="234" t="inlineStr"/>
      <c r="S889" s="234" t="inlineStr"/>
      <c r="T889" s="235" t="inlineStr">
        <is>
          <t>0</t>
        </is>
      </c>
      <c r="U889" s="235" t="inlineStr"/>
      <c r="V889" s="427" t="n"/>
      <c r="W889" s="427" t="n"/>
      <c r="X889" s="237" t="inlineStr">
        <is>
          <t>TMY 2*30*5→TMY 30*8</t>
        </is>
      </c>
    </row>
    <row r="890" s="308">
      <c r="A890" s="64">
        <f>ROW()-ROW(A$872)</f>
        <v/>
      </c>
      <c r="B890" s="112" t="inlineStr">
        <is>
          <t>辅料</t>
        </is>
      </c>
      <c r="C890" s="112" t="inlineStr"/>
      <c r="D890" s="112" t="inlineStr"/>
      <c r="E890" s="114" t="inlineStr">
        <is>
          <t>套</t>
        </is>
      </c>
      <c r="F890" s="114" t="n">
        <v>1</v>
      </c>
      <c r="G890" s="396">
        <f>IF(AND(B890="",C890=""),"",ROUND(M890*L890*N890,2))</f>
        <v/>
      </c>
      <c r="H890" s="396">
        <f>IF(AND(B890="",C890=""),"",ROUND(F890*G890,2))</f>
        <v/>
      </c>
      <c r="I890" s="219" t="inlineStr"/>
      <c r="J890" s="397">
        <f>IF(AND(B890="",C890=""),"",ROUND(M890*N890,2))</f>
        <v/>
      </c>
      <c r="K890" s="398">
        <f>IF(AND(B890="",C890=""),"",ROUND(J890*F890,2))</f>
        <v/>
      </c>
      <c r="L890" s="200" t="n">
        <v>1</v>
      </c>
      <c r="M890" s="399" t="n">
        <v>1283.74</v>
      </c>
      <c r="N890" s="154" t="n">
        <v>1</v>
      </c>
      <c r="O890" s="155">
        <f>IF(AND(B890="",C890=""),"",IF(G890&gt;=20000,0.05,IF(G890&gt;=10000,0.1,IF(G890&gt;=5000,0.2,IF(G890&gt;=1000,0.3,IF(G890&gt;=0,0.4,{0}))))))</f>
        <v/>
      </c>
      <c r="P890" s="400">
        <f>IF(AND(B890="",C890=""),"",ROUND(H890*O890,2))</f>
        <v/>
      </c>
      <c r="Q890" s="401" t="inlineStr">
        <is>
          <t>辅料</t>
        </is>
      </c>
      <c r="R890" s="168" t="inlineStr"/>
      <c r="S890" s="168" t="inlineStr"/>
      <c r="T890" s="168" t="inlineStr">
        <is>
          <t>0</t>
        </is>
      </c>
      <c r="U890" s="168" t="inlineStr"/>
      <c r="V890" s="402" t="n"/>
      <c r="W890" s="402" t="n"/>
      <c r="X890" s="170" t="inlineStr"/>
    </row>
    <row r="891" s="308">
      <c r="A891" s="64">
        <f>ROW()-ROW(A$872)</f>
        <v/>
      </c>
      <c r="B891" s="112" t="inlineStr">
        <is>
          <t>柜体Blokset</t>
        </is>
      </c>
      <c r="C891" s="22" t="inlineStr">
        <is>
          <t>600W*1200D*2200H</t>
        </is>
      </c>
      <c r="D891" s="112" t="inlineStr">
        <is>
          <t>清科</t>
        </is>
      </c>
      <c r="E891" s="114" t="inlineStr">
        <is>
          <t>台</t>
        </is>
      </c>
      <c r="F891" s="114" t="n">
        <v>1</v>
      </c>
      <c r="G891" s="396">
        <f>IF(AND(B891="",C891=""),"",ROUND(M891*L891*N891,2))</f>
        <v/>
      </c>
      <c r="H891" s="396">
        <f>IF(AND(B891="",C891=""),"",ROUND(F891*G891,2))</f>
        <v/>
      </c>
      <c r="I891" s="219" t="inlineStr"/>
      <c r="J891" s="397">
        <f>IF(AND(B891="",C891=""),"",ROUND(M891*N891,2))</f>
        <v/>
      </c>
      <c r="K891" s="398">
        <f>IF(AND(B891="",C891=""),"",ROUND(J891*F891,2))</f>
        <v/>
      </c>
      <c r="L891" s="200" t="n">
        <v>1</v>
      </c>
      <c r="M891" s="399" t="n">
        <v>5449</v>
      </c>
      <c r="N891" s="154" t="n">
        <v>1</v>
      </c>
      <c r="O891" s="155">
        <f>IF(AND(B891="",C891=""),"",IF(G891&gt;=20000,0.05,IF(G891&gt;=10000,0.1,IF(G891&gt;=5000,0.2,IF(G891&gt;=1000,0.3,IF(G891&gt;=0,0.4,{0}))))))</f>
        <v/>
      </c>
      <c r="P891" s="400">
        <f>IF(AND(B891="",C891=""),"",ROUND(H891*O891,2))</f>
        <v/>
      </c>
      <c r="Q891" s="401" t="inlineStr">
        <is>
          <t>箱体</t>
        </is>
      </c>
      <c r="R891" s="168" t="inlineStr"/>
      <c r="S891" s="168" t="inlineStr"/>
      <c r="T891" s="168" t="inlineStr">
        <is>
          <t>0</t>
        </is>
      </c>
      <c r="U891" s="168" t="inlineStr"/>
      <c r="V891" s="402" t="n"/>
      <c r="W891" s="402" t="n"/>
      <c r="X891" s="170" t="inlineStr">
        <is>
          <t>BlokSeT</t>
        </is>
      </c>
    </row>
    <row r="892" s="308">
      <c r="A892" s="64">
        <f>ROW()-ROW(A$872)</f>
        <v/>
      </c>
      <c r="B892" s="22" t="inlineStr"/>
      <c r="C892" s="22" t="inlineStr"/>
      <c r="D892" s="22" t="inlineStr"/>
      <c r="E892" s="23" t="n"/>
      <c r="F892" s="23">
        <f>IF(AND(B892="",C892=""),"",1)</f>
        <v/>
      </c>
      <c r="G892" s="349">
        <f>IF(AND(B892="",C892=""),"",ROUND(M892*L892*N892,2))</f>
        <v/>
      </c>
      <c r="H892" s="349">
        <f>IF(AND(B892="",C892=""),"",ROUND(F892*G892,2))</f>
        <v/>
      </c>
      <c r="I892" s="45" t="inlineStr"/>
      <c r="J892" s="397">
        <f>IF(AND(B892="",C892=""),"",ROUND(M892*N892,2))</f>
        <v/>
      </c>
      <c r="K892" s="398">
        <f>IF(AND(B892="",C892=""),"",ROUND(J892*F892,2))</f>
        <v/>
      </c>
      <c r="L892" s="200">
        <f>IF(AND(B892="",C892=""),"",1)</f>
        <v/>
      </c>
      <c r="M892" s="399" t="n"/>
      <c r="N892" s="154">
        <f>IF(AND(B892="",C892=""),"",1)</f>
        <v/>
      </c>
      <c r="O892" s="155">
        <f>IF(AND(B892="",C892=""),"",IF(J892&gt;=20000,0.05,IF(J892&gt;=10000,0.1,IF(J892&gt;=5000,0.2,IF(J892&gt;=1000,0.3,IF(J892&gt;=0,0.4,{0}))))))</f>
        <v/>
      </c>
      <c r="P892" s="400">
        <f>IF(AND(B892="",C892=""),"",ROUND(H892*O892,2))</f>
        <v/>
      </c>
      <c r="Q892" s="401">
        <f>IF(AND(B892="",C892=""),"","元件")</f>
        <v/>
      </c>
      <c r="R892" s="168" t="inlineStr"/>
      <c r="S892" s="168" t="inlineStr"/>
      <c r="T892" s="168" t="inlineStr"/>
      <c r="U892" s="168" t="inlineStr"/>
      <c r="V892" s="402" t="n"/>
      <c r="W892" s="402" t="n"/>
      <c r="X892" s="170" t="inlineStr"/>
    </row>
    <row r="893" s="308">
      <c r="A893" s="64">
        <f>ROW()-ROW(A$872)</f>
        <v/>
      </c>
      <c r="B893" s="171" t="inlineStr">
        <is>
          <t>小计</t>
        </is>
      </c>
      <c r="C893" s="172" t="n"/>
      <c r="D893" s="204" t="n"/>
      <c r="E893" s="114" t="n"/>
      <c r="F893" s="114" t="n"/>
      <c r="G893" s="396" t="n"/>
      <c r="H893" s="396">
        <f>ROUND(SUM(H872:INDEX(H:H,ROW()-1)),2)</f>
        <v/>
      </c>
      <c r="I893" s="45" t="inlineStr"/>
      <c r="J893" s="397" t="n"/>
      <c r="K893" s="398">
        <f>ROUND(SUM(K872:INDEX(K:K,ROW()-1)),2)</f>
        <v/>
      </c>
      <c r="L893" s="200" t="n"/>
      <c r="M893" s="399" t="n"/>
      <c r="N893" s="154" t="n"/>
      <c r="O893" s="155" t="n"/>
      <c r="P893" s="400" t="n"/>
      <c r="Q893" s="401" t="n"/>
      <c r="R893" s="168" t="inlineStr"/>
      <c r="S893" s="168" t="inlineStr"/>
      <c r="T893" s="168" t="inlineStr"/>
      <c r="U893" s="168" t="inlineStr"/>
      <c r="V893" s="402">
        <f>ROUND(SUMPRODUCT(F872:INDEX(F:F,ROW()-1),V872:INDEX(V:V,ROW()-1)),2)</f>
        <v/>
      </c>
      <c r="W893" s="402">
        <f>ROUND(SUMPRODUCT(F872:INDEX(F:F,ROW()-1),W872:INDEX(W:W,ROW()-1)),2)</f>
        <v/>
      </c>
      <c r="X893" s="170" t="inlineStr"/>
    </row>
    <row r="894" s="308">
      <c r="A894" s="64">
        <f>ROW()-ROW(A$872)</f>
        <v/>
      </c>
      <c r="B894" s="171" t="inlineStr">
        <is>
          <t>综合费(人工、管理、税金、利润等)</t>
        </is>
      </c>
      <c r="C894" s="172" t="n"/>
      <c r="D894" s="204" t="n"/>
      <c r="E894" s="114" t="n"/>
      <c r="F894" s="114" t="n"/>
      <c r="G894" s="396" t="n"/>
      <c r="H894" s="396">
        <f>2500</f>
        <v/>
      </c>
      <c r="I894" s="45" t="inlineStr"/>
      <c r="J894" s="397" t="n"/>
      <c r="K894" s="398" t="n"/>
      <c r="L894" s="200" t="n"/>
      <c r="M894" s="399" t="n"/>
      <c r="N894" s="154" t="n"/>
      <c r="O894" s="155" t="n"/>
      <c r="P894" s="400" t="n"/>
      <c r="Q894" s="401" t="inlineStr">
        <is>
          <t>费用</t>
        </is>
      </c>
      <c r="R894" s="168" t="inlineStr"/>
      <c r="S894" s="168" t="inlineStr"/>
      <c r="T894" s="168" t="inlineStr"/>
      <c r="U894" s="168" t="inlineStr"/>
      <c r="V894" s="402" t="n"/>
      <c r="W894" s="402" t="n"/>
      <c r="X894" s="170" t="inlineStr"/>
    </row>
    <row r="895" s="308">
      <c r="A895" s="64">
        <f>ROW()-ROW(A$872)</f>
        <v/>
      </c>
      <c r="B895" s="204" t="inlineStr">
        <is>
          <t>单台合计</t>
        </is>
      </c>
      <c r="C895" s="172" t="n"/>
      <c r="D895" s="204" t="n"/>
      <c r="E895" s="114" t="n"/>
      <c r="F895" s="114" t="n"/>
      <c r="G895" s="396" t="n"/>
      <c r="H895" s="396">
        <f>ROUND(SUM(H893:H894),2)</f>
        <v/>
      </c>
      <c r="I895" s="181" t="n"/>
      <c r="J895" s="397" t="n"/>
      <c r="K895" s="398">
        <f>ROUND(SUM(K893:K894),2)</f>
        <v/>
      </c>
      <c r="L895" s="209" t="n"/>
      <c r="M895" s="399" t="n"/>
      <c r="N895" s="210" t="n"/>
      <c r="O895" s="211" t="n"/>
      <c r="P895" s="400" t="n"/>
      <c r="Q895" s="401" t="n"/>
      <c r="R895" s="168" t="inlineStr"/>
      <c r="S895" s="168" t="inlineStr"/>
      <c r="T895" s="168" t="inlineStr"/>
      <c r="U895" s="168" t="inlineStr"/>
      <c r="V895" s="402" t="n"/>
      <c r="W895" s="402" t="n"/>
      <c r="X895" s="170" t="inlineStr"/>
    </row>
    <row r="896" s="308">
      <c r="A896" s="173" t="inlineStr">
        <is>
          <t>总计</t>
        </is>
      </c>
      <c r="B896" s="205" t="n"/>
      <c r="C896" s="175" t="n"/>
      <c r="D896" s="206" t="n"/>
      <c r="E896" s="206" t="inlineStr">
        <is>
          <t>台</t>
        </is>
      </c>
      <c r="F896" s="206" t="n">
        <v>1</v>
      </c>
      <c r="G896" s="414">
        <f>ROUND(H895,2)</f>
        <v/>
      </c>
      <c r="H896" s="414">
        <f>ROUND(F896*G896,2)</f>
        <v/>
      </c>
      <c r="I896" s="185" t="n"/>
      <c r="J896" s="415" t="n"/>
      <c r="K896" s="416">
        <f>ROUND(K895*F896,2)</f>
        <v/>
      </c>
      <c r="L896" s="214" t="n"/>
      <c r="M896" s="417" t="n"/>
      <c r="N896" s="216" t="n"/>
      <c r="O896" s="217" t="n"/>
      <c r="P896" s="418" t="n"/>
      <c r="Q896" s="401" t="n"/>
      <c r="R896" s="168" t="inlineStr"/>
      <c r="S896" s="168" t="inlineStr"/>
      <c r="T896" s="168" t="inlineStr"/>
      <c r="U896" s="168" t="inlineStr"/>
      <c r="V896" s="402" t="n"/>
      <c r="W896" s="402" t="n"/>
      <c r="X896" s="170" t="inlineStr"/>
    </row>
    <row r="897" customFormat="1" s="4">
      <c r="A897" s="6" t="n"/>
      <c r="B897" s="195" t="inlineStr"/>
      <c r="C897" s="195" t="inlineStr"/>
      <c r="D897" s="195" t="inlineStr"/>
      <c r="Q897" s="159" t="n"/>
      <c r="R897" s="159" t="n"/>
      <c r="S897" s="159" t="n"/>
      <c r="T897" s="159" t="n"/>
      <c r="U897" s="159" t="n"/>
      <c r="X897" s="195" t="inlineStr"/>
    </row>
    <row r="898" customFormat="1" s="4">
      <c r="A898" s="6" t="n"/>
      <c r="B898" s="195" t="inlineStr"/>
      <c r="C898" s="195" t="inlineStr"/>
      <c r="D898" s="195" t="inlineStr"/>
      <c r="Q898" s="159" t="n"/>
      <c r="R898" s="159" t="n"/>
      <c r="S898" s="159" t="n"/>
      <c r="T898" s="159" t="n"/>
      <c r="U898" s="159" t="n"/>
      <c r="X898" s="195" t="inlineStr"/>
    </row>
    <row r="899" s="308">
      <c r="A899" s="208">
        <f>CONCATENATE("报价人：",项目信息!$B$8)</f>
        <v/>
      </c>
      <c r="B899" s="208" t="n"/>
      <c r="C899" s="4" t="n"/>
      <c r="D899" s="4" t="n"/>
      <c r="E899" s="4" t="n"/>
      <c r="F899" s="4" t="n"/>
      <c r="G899" s="4" t="n"/>
      <c r="H899" s="178">
        <f>项目信息!$B$9</f>
        <v/>
      </c>
      <c r="Q899" s="159" t="n"/>
      <c r="R899" s="159" t="n"/>
      <c r="S899" s="159" t="n"/>
      <c r="T899" s="159" t="n"/>
      <c r="U899" s="159" t="n"/>
      <c r="X899" s="203" t="inlineStr"/>
    </row>
    <row r="900" s="308">
      <c r="A900" s="8">
        <f>T(项目信息!$B$22)</f>
        <v/>
      </c>
      <c r="Q900" s="159" t="n"/>
      <c r="R900" s="159" t="n"/>
      <c r="S900" s="159" t="n"/>
      <c r="T900" s="159" t="n"/>
      <c r="U900" s="159" t="n"/>
    </row>
    <row r="901" s="308">
      <c r="A901" s="9">
        <f>T(项目信息!$B$23)</f>
        <v/>
      </c>
      <c r="Q901" s="159" t="n"/>
      <c r="R901" s="159" t="n"/>
      <c r="S901" s="159" t="n"/>
      <c r="T901" s="159" t="n"/>
      <c r="U901" s="159" t="n"/>
    </row>
    <row r="902" s="308">
      <c r="A902" s="97" t="inlineStr">
        <is>
          <t>成套产品报价明细表</t>
        </is>
      </c>
      <c r="B902" s="378" t="n"/>
      <c r="C902" s="378" t="n"/>
      <c r="D902" s="378" t="n"/>
      <c r="E902" s="378" t="n"/>
      <c r="F902" s="378" t="n"/>
      <c r="G902" s="378" t="n"/>
      <c r="H902" s="378" t="n"/>
      <c r="I902" s="378" t="n"/>
      <c r="Q902" s="159" t="n"/>
      <c r="R902" s="159" t="n"/>
      <c r="S902" s="159" t="n"/>
      <c r="T902" s="159" t="n"/>
      <c r="U902" s="159" t="n"/>
    </row>
    <row r="903" customFormat="1" s="4">
      <c r="A903" s="98" t="inlineStr">
        <is>
          <t>柜号:</t>
        </is>
      </c>
      <c r="B903" s="99" t="inlineStr">
        <is>
          <t>AAN5-04、BAN6-04、AAN7-04~06、BAN8-05~07</t>
        </is>
      </c>
      <c r="C903" s="100" t="inlineStr">
        <is>
          <t>型号:</t>
        </is>
      </c>
      <c r="D903" s="99" t="inlineStr">
        <is>
          <t>BlokSeT</t>
        </is>
      </c>
      <c r="E903" s="379" t="n"/>
      <c r="F903" s="101" t="inlineStr">
        <is>
          <t>名称:</t>
        </is>
      </c>
      <c r="G903" s="99" t="inlineStr">
        <is>
          <t>馈线柜</t>
        </is>
      </c>
      <c r="H903" s="379" t="n"/>
      <c r="I903" s="408" t="inlineStr"/>
      <c r="J903" s="194" t="inlineStr">
        <is>
          <t>箱柜尺寸:</t>
        </is>
      </c>
      <c r="K903" s="195" t="inlineStr">
        <is>
          <t>400W*1200D*2200H</t>
        </is>
      </c>
      <c r="L903" s="194" t="inlineStr">
        <is>
          <t>类别:</t>
        </is>
      </c>
      <c r="M903" s="195" t="inlineStr">
        <is>
          <t>低压固定柜</t>
        </is>
      </c>
      <c r="N903" s="409" t="inlineStr"/>
      <c r="Q903" s="159" t="n"/>
      <c r="R903" s="159" t="n"/>
      <c r="S903" s="159" t="n"/>
      <c r="T903" s="159" t="n"/>
      <c r="U903" s="159" t="n"/>
    </row>
    <row r="904" ht="20.1" customHeight="1" s="308">
      <c r="A904" s="102" t="inlineStr">
        <is>
          <t>序号</t>
        </is>
      </c>
      <c r="B904" s="103" t="inlineStr">
        <is>
          <t>元件名称</t>
        </is>
      </c>
      <c r="C904" s="103" t="inlineStr">
        <is>
          <t>型号规格</t>
        </is>
      </c>
      <c r="D904" s="104" t="inlineStr">
        <is>
          <t>生产厂家</t>
        </is>
      </c>
      <c r="E904" s="105" t="inlineStr">
        <is>
          <t>单位</t>
        </is>
      </c>
      <c r="F904" s="105" t="inlineStr">
        <is>
          <t>数量</t>
        </is>
      </c>
      <c r="G904" s="382" t="inlineStr">
        <is>
          <t>单   价</t>
        </is>
      </c>
      <c r="H904" s="383" t="inlineStr">
        <is>
          <t>总   价</t>
        </is>
      </c>
      <c r="I904" s="134" t="inlineStr">
        <is>
          <t>备注</t>
        </is>
      </c>
      <c r="J904" s="384" t="inlineStr">
        <is>
          <t>成本单价</t>
        </is>
      </c>
      <c r="K904" s="384" t="inlineStr">
        <is>
          <t>成本总价</t>
        </is>
      </c>
      <c r="L904" s="136" t="inlineStr">
        <is>
          <t>报出
系数</t>
        </is>
      </c>
      <c r="M904" s="384" t="inlineStr">
        <is>
          <t>表价</t>
        </is>
      </c>
      <c r="N904" s="136" t="inlineStr">
        <is>
          <t>折扣
系数</t>
        </is>
      </c>
      <c r="O904" s="137" t="inlineStr">
        <is>
          <t>取费
系数</t>
        </is>
      </c>
      <c r="P904" s="384" t="inlineStr">
        <is>
          <t>成套费</t>
        </is>
      </c>
      <c r="Q904" s="161" t="inlineStr">
        <is>
          <t>类别</t>
        </is>
      </c>
      <c r="R904" s="161" t="inlineStr">
        <is>
          <t>物料编码</t>
        </is>
      </c>
      <c r="S904" s="161" t="inlineStr">
        <is>
          <t>产地</t>
        </is>
      </c>
      <c r="T904" s="161" t="inlineStr">
        <is>
          <t>加工费</t>
        </is>
      </c>
      <c r="U904" s="161" t="inlineStr">
        <is>
          <t>订货号</t>
        </is>
      </c>
      <c r="V904" s="161" t="inlineStr">
        <is>
          <t>人工</t>
        </is>
      </c>
      <c r="W904" s="161" t="inlineStr">
        <is>
          <t>辅料</t>
        </is>
      </c>
      <c r="X904" s="203" t="inlineStr"/>
    </row>
    <row r="905" s="308">
      <c r="A905" s="64">
        <f>ROW()-ROW(A$904)</f>
        <v/>
      </c>
      <c r="B905" s="22" t="inlineStr">
        <is>
          <t>框架断路器</t>
        </is>
      </c>
      <c r="C905" s="22" t="inlineStr">
        <is>
          <t>MT12 N1a SG 3P MIC5.0 E</t>
        </is>
      </c>
      <c r="D905" s="22" t="inlineStr">
        <is>
          <t>甲供/施耐德电气</t>
        </is>
      </c>
      <c r="E905" s="23" t="inlineStr">
        <is>
          <t>只</t>
        </is>
      </c>
      <c r="F905" s="23" t="n">
        <v>2</v>
      </c>
      <c r="G905" s="349">
        <f>IF(AND(B905="",C905=""),"",ROUND(M905*L905*N905,2))</f>
        <v/>
      </c>
      <c r="H905" s="349">
        <f>IF(AND(B905="",C905=""),"",ROUND(F905*G905,2))</f>
        <v/>
      </c>
      <c r="I905" s="45" t="inlineStr"/>
      <c r="J905" s="397">
        <f>IF(AND(B905="",C905=""),"",ROUND(M905*N905,2))</f>
        <v/>
      </c>
      <c r="K905" s="398">
        <f>IF(AND(B905="",C905=""),"",ROUND(J905*F905,2))</f>
        <v/>
      </c>
      <c r="L905" s="200" t="n">
        <v>1</v>
      </c>
      <c r="M905" s="399" t="n">
        <v>1e-07</v>
      </c>
      <c r="N905" s="154" t="n">
        <v>1</v>
      </c>
      <c r="O905" s="155">
        <f>IF(AND(B905="",C905=""),"",IF(G905&gt;=20000,0.05,IF(G905&gt;=10000,0.1,IF(G905&gt;=5000,0.2,IF(G905&gt;=1000,0.3,IF(G905&gt;=0,0.4,{0}))))))</f>
        <v/>
      </c>
      <c r="P905" s="400">
        <f>IF(AND(B905="",C905=""),"",ROUND(H905*O905,2))</f>
        <v/>
      </c>
      <c r="Q905" s="401" t="inlineStr">
        <is>
          <t>元件</t>
        </is>
      </c>
      <c r="R905" s="168" t="inlineStr"/>
      <c r="S905" s="168" t="inlineStr"/>
      <c r="T905" s="168" t="inlineStr">
        <is>
          <t>0</t>
        </is>
      </c>
      <c r="U905" s="168" t="inlineStr">
        <is>
          <t>C16F32D160</t>
        </is>
      </c>
      <c r="V905" s="402" t="n"/>
      <c r="W905" s="402" t="n"/>
      <c r="X905" s="170" t="inlineStr">
        <is>
          <t>NSX630N Mic2.3 630A 3P3D F→NSX630F MIC2.3 630 3P F→NSX630F MIC 2.3 630 3P F</t>
        </is>
      </c>
    </row>
    <row r="906" s="308">
      <c r="A906" s="64">
        <f>ROW()-ROW(A$904)</f>
        <v/>
      </c>
      <c r="B906" s="22" t="inlineStr">
        <is>
          <t>电流互感器</t>
        </is>
      </c>
      <c r="C906" s="22" t="inlineStr">
        <is>
          <t>SD-0.66-80II-V 1250/5A</t>
        </is>
      </c>
      <c r="D906" s="22" t="inlineStr">
        <is>
          <t>桑迪</t>
        </is>
      </c>
      <c r="E906" s="23" t="inlineStr">
        <is>
          <t>只</t>
        </is>
      </c>
      <c r="F906" s="23" t="n">
        <v>6</v>
      </c>
      <c r="G906" s="349">
        <f>IF(AND(B906="",C906=""),"",ROUND(M906*L906*N906,2))</f>
        <v/>
      </c>
      <c r="H906" s="396">
        <f>IF(AND(B906="",C906=""),"",ROUND(F906*G906,2))</f>
        <v/>
      </c>
      <c r="I906" s="219" t="inlineStr"/>
      <c r="J906" s="397">
        <f>IF(AND(B906="",C906=""),"",ROUND(M906*N906,2))</f>
        <v/>
      </c>
      <c r="K906" s="398">
        <f>IF(AND(B906="",C906=""),"",ROUND(J906*F906,2))</f>
        <v/>
      </c>
      <c r="L906" s="200" t="n">
        <v>1</v>
      </c>
      <c r="M906" s="399" t="n">
        <v>115.7</v>
      </c>
      <c r="N906" s="154" t="n">
        <v>1</v>
      </c>
      <c r="O906" s="155">
        <f>IF(AND(B906="",C906=""),"",IF(G906&gt;=20000,0.05,IF(G906&gt;=10000,0.1,IF(G906&gt;=5000,0.2,IF(G906&gt;=1000,0.3,IF(G906&gt;=0,0.4,{0}))))))</f>
        <v/>
      </c>
      <c r="P906" s="400">
        <f>IF(AND(B906="",C906=""),"",ROUND(H906*O906,2))</f>
        <v/>
      </c>
      <c r="Q906" s="401" t="inlineStr">
        <is>
          <t>元件</t>
        </is>
      </c>
      <c r="R906" s="168" t="inlineStr"/>
      <c r="S906" s="168" t="inlineStr"/>
      <c r="T906" s="168" t="inlineStr">
        <is>
          <t>0</t>
        </is>
      </c>
      <c r="U906" s="168" t="inlineStr">
        <is>
          <t>710141426552500</t>
        </is>
      </c>
      <c r="V906" s="402" t="n"/>
      <c r="W906" s="402" t="n"/>
      <c r="X906" s="170" t="inlineStr">
        <is>
          <t>SD→SD-0.66-40II-C 400/5A→SD-0.66-30I 250/5A→SD-0.66-30I 150/5A→SD-0.66-60II-C 750/5A→SD-0.66-60II-C 600/5A→SD-0.66-30I 150/5A→SD-0.66-40II-C 400/5A→SD-0.66-100II-C 1600/5A→SD-0.66-80II-V 1000/5A</t>
        </is>
      </c>
    </row>
    <row r="907" s="308">
      <c r="A907" s="64">
        <f>ROW()-ROW(A$904)</f>
        <v/>
      </c>
      <c r="B907" s="112" t="inlineStr">
        <is>
          <t>多功能表</t>
        </is>
      </c>
      <c r="C907" s="112" t="inlineStr">
        <is>
          <t>PM4101</t>
        </is>
      </c>
      <c r="D907" s="112" t="inlineStr">
        <is>
          <t>甲供/施耐德电气</t>
        </is>
      </c>
      <c r="E907" s="114" t="inlineStr">
        <is>
          <t>只</t>
        </is>
      </c>
      <c r="F907" s="114" t="n">
        <v>2</v>
      </c>
      <c r="G907" s="396">
        <f>IF(AND(B907="",C907=""),"",ROUND(M907*L907*N907,2))</f>
        <v/>
      </c>
      <c r="H907" s="349">
        <f>IF(AND(B907="",C907=""),"",ROUND(F907*G907,2))</f>
        <v/>
      </c>
      <c r="I907" s="45" t="inlineStr"/>
      <c r="J907" s="397">
        <f>IF(AND(B907="",C907=""),"",ROUND(M907*N907,2))</f>
        <v/>
      </c>
      <c r="K907" s="398">
        <f>IF(AND(B907="",C907=""),"",ROUND(J907*F907,2))</f>
        <v/>
      </c>
      <c r="L907" s="200" t="n">
        <v>1</v>
      </c>
      <c r="M907" s="399" t="n">
        <v>1e-07</v>
      </c>
      <c r="N907" s="154" t="n">
        <v>1</v>
      </c>
      <c r="O907" s="155">
        <f>IF(AND(B907="",C907=""),"",IF(J907&gt;=20000,0.05,IF(J907&gt;=10000,0.1,IF(J907&gt;=5000,0.2,IF(J907&gt;=1000,0.3,IF(J907&gt;=0,0.4,{0}))))))</f>
        <v/>
      </c>
      <c r="P907" s="400">
        <f>IF(AND(B907="",C907=""),"",ROUND(H907*O907,2))</f>
        <v/>
      </c>
      <c r="Q907" s="401" t="inlineStr">
        <is>
          <t>元件</t>
        </is>
      </c>
      <c r="R907" s="168" t="inlineStr"/>
      <c r="S907" s="168" t="inlineStr"/>
      <c r="T907" s="168" t="inlineStr">
        <is>
          <t>0</t>
        </is>
      </c>
      <c r="U907" s="168" t="inlineStr"/>
      <c r="V907" s="402" t="n"/>
      <c r="W907" s="402" t="n"/>
      <c r="X907" s="170" t="inlineStr"/>
    </row>
    <row r="908" customFormat="1" s="3">
      <c r="A908" s="64">
        <f>ROW()-ROW(A$904)</f>
        <v/>
      </c>
      <c r="B908" s="22" t="inlineStr">
        <is>
          <t>指示灯</t>
        </is>
      </c>
      <c r="C908" s="22" t="inlineStr">
        <is>
          <t>XB2BVM3LC</t>
        </is>
      </c>
      <c r="D908" s="22" t="inlineStr">
        <is>
          <t>甲供/施耐德电气</t>
        </is>
      </c>
      <c r="E908" s="23" t="inlineStr">
        <is>
          <t>只</t>
        </is>
      </c>
      <c r="F908" s="23" t="n">
        <v>2</v>
      </c>
      <c r="G908" s="349">
        <f>IF(AND(B908="",C908=""),"",ROUND(M908*L908*N908,2))</f>
        <v/>
      </c>
      <c r="H908" s="353">
        <f>IF(AND(B908="",C908=""),"",ROUND(F908*G908,2))</f>
        <v/>
      </c>
      <c r="I908" s="180" t="inlineStr"/>
      <c r="J908" s="392">
        <f>IF(AND(B908="",C908=""),"",ROUND(M908*N908,2))</f>
        <v/>
      </c>
      <c r="K908" s="393">
        <f>IF(AND(B908="",C908=""),"",ROUND(J908*F908,2))</f>
        <v/>
      </c>
      <c r="L908" s="141" t="n">
        <v>1</v>
      </c>
      <c r="M908" s="394" t="n">
        <v>1e-07</v>
      </c>
      <c r="N908" s="220" t="n">
        <v>1</v>
      </c>
      <c r="O908" s="221">
        <f>IF(AND(B908="",C908=""),"",IF(G908&gt;=20000,0.05,IF(G908&gt;=10000,0.1,IF(G908&gt;=5000,0.2,IF(G908&gt;=1000,0.3,IF(G908&gt;=0,0.4,{0}))))))</f>
        <v/>
      </c>
      <c r="P908" s="419">
        <f>IF(AND(B908="",C908=""),"",ROUND(H908*O908,2))</f>
        <v/>
      </c>
      <c r="Q908" s="420" t="inlineStr">
        <is>
          <t>元件</t>
        </is>
      </c>
      <c r="R908" s="231" t="inlineStr"/>
      <c r="S908" s="231" t="inlineStr"/>
      <c r="T908" s="231" t="inlineStr">
        <is>
          <t>0</t>
        </is>
      </c>
      <c r="U908" s="231" t="inlineStr">
        <is>
          <t>XB2BVM3LC</t>
        </is>
      </c>
      <c r="V908" s="421" t="n"/>
      <c r="W908" s="421" t="n"/>
      <c r="X908" s="166" t="inlineStr">
        <is>
          <t>XA2EVM3LC</t>
        </is>
      </c>
    </row>
    <row r="909" customFormat="1" s="3">
      <c r="A909" s="64">
        <f>ROW()-ROW(A$904)</f>
        <v/>
      </c>
      <c r="B909" s="22" t="inlineStr">
        <is>
          <t>指示灯</t>
        </is>
      </c>
      <c r="C909" s="22" t="inlineStr">
        <is>
          <t>XB2BVM4LC</t>
        </is>
      </c>
      <c r="D909" s="22" t="inlineStr">
        <is>
          <t>甲供/施耐德电气</t>
        </is>
      </c>
      <c r="E909" s="23" t="inlineStr">
        <is>
          <t>只</t>
        </is>
      </c>
      <c r="F909" s="23" t="n">
        <v>2</v>
      </c>
      <c r="G909" s="349">
        <f>IF(AND(B909="",C909=""),"",ROUND(M909*L909*N909,2))</f>
        <v/>
      </c>
      <c r="H909" s="353">
        <f>IF(AND(B909="",C909=""),"",ROUND(F909*G909,2))</f>
        <v/>
      </c>
      <c r="I909" s="180" t="inlineStr"/>
      <c r="J909" s="392">
        <f>IF(AND(B909="",C909=""),"",ROUND(M909*N909,2))</f>
        <v/>
      </c>
      <c r="K909" s="393">
        <f>IF(AND(B909="",C909=""),"",ROUND(J909*F909,2))</f>
        <v/>
      </c>
      <c r="L909" s="141" t="n">
        <v>1</v>
      </c>
      <c r="M909" s="394" t="n">
        <v>1e-07</v>
      </c>
      <c r="N909" s="220" t="n">
        <v>1</v>
      </c>
      <c r="O909" s="221">
        <f>IF(AND(B909="",C909=""),"",IF(G909&gt;=20000,0.05,IF(G909&gt;=10000,0.1,IF(G909&gt;=5000,0.2,IF(G909&gt;=1000,0.3,IF(G909&gt;=0,0.4,{0}))))))</f>
        <v/>
      </c>
      <c r="P909" s="419">
        <f>IF(AND(B909="",C909=""),"",ROUND(H909*O909,2))</f>
        <v/>
      </c>
      <c r="Q909" s="420" t="inlineStr">
        <is>
          <t>元件</t>
        </is>
      </c>
      <c r="R909" s="231" t="inlineStr"/>
      <c r="S909" s="231" t="inlineStr"/>
      <c r="T909" s="231" t="inlineStr">
        <is>
          <t>0</t>
        </is>
      </c>
      <c r="U909" s="231" t="inlineStr">
        <is>
          <t>XB2BVM4LC</t>
        </is>
      </c>
      <c r="V909" s="421" t="n"/>
      <c r="W909" s="421" t="n"/>
      <c r="X909" s="166" t="inlineStr">
        <is>
          <t>XA2EVM4LC</t>
        </is>
      </c>
    </row>
    <row r="910" s="308">
      <c r="A910" s="64">
        <f>ROW()-ROW(A$904)</f>
        <v/>
      </c>
      <c r="B910" s="112" t="inlineStr">
        <is>
          <t>指示灯</t>
        </is>
      </c>
      <c r="C910" s="112" t="inlineStr">
        <is>
          <t>XB2BVM5LC</t>
        </is>
      </c>
      <c r="D910" s="112" t="inlineStr">
        <is>
          <t>甲供/施耐德电气</t>
        </is>
      </c>
      <c r="E910" s="114" t="inlineStr">
        <is>
          <t>只</t>
        </is>
      </c>
      <c r="F910" s="114" t="n">
        <v>2</v>
      </c>
      <c r="G910" s="396">
        <f>IF(AND(B910="",C910=""),"",ROUND(M910*L910*N910,2))</f>
        <v/>
      </c>
      <c r="H910" s="396">
        <f>IF(AND(B910="",C910=""),"",ROUND(F910*G910,2))</f>
        <v/>
      </c>
      <c r="I910" s="150" t="inlineStr"/>
      <c r="J910" s="397">
        <f>IF(AND(B910="",C910=""),"",ROUND(M910*N910,2))</f>
        <v/>
      </c>
      <c r="K910" s="398">
        <f>IF(AND(B910="",C910=""),"",ROUND(J910*F910,2))</f>
        <v/>
      </c>
      <c r="L910" s="141" t="n">
        <v>1</v>
      </c>
      <c r="M910" s="399" t="n">
        <v>1e-07</v>
      </c>
      <c r="N910" s="154" t="n">
        <v>1</v>
      </c>
      <c r="O910" s="155">
        <f>IF(AND(B910="",C910=""),"",IF(G910&gt;=20000,0.05,IF(G910&gt;=10000,0.1,IF(G910&gt;=5000,0.2,IF(G910&gt;=1000,0.3,IF(G910&gt;=0,0.4,{0}))))))</f>
        <v/>
      </c>
      <c r="P910" s="400">
        <f>IF(AND(B910="",C910=""),"",ROUND(H910*O910,2))</f>
        <v/>
      </c>
      <c r="Q910" s="401" t="inlineStr">
        <is>
          <t>元件</t>
        </is>
      </c>
      <c r="R910" s="168" t="inlineStr"/>
      <c r="S910" s="168" t="inlineStr"/>
      <c r="T910" s="168" t="inlineStr">
        <is>
          <t>0</t>
        </is>
      </c>
      <c r="U910" s="168" t="inlineStr">
        <is>
          <t>XA2EVM5LC</t>
        </is>
      </c>
      <c r="V910" s="402" t="n"/>
      <c r="W910" s="402" t="n"/>
      <c r="X910" s="170" t="inlineStr"/>
    </row>
    <row r="911" s="308">
      <c r="A911" s="64">
        <f>ROW()-ROW(A$904)</f>
        <v/>
      </c>
      <c r="B911" s="112" t="inlineStr">
        <is>
          <t>按钮</t>
        </is>
      </c>
      <c r="C911" s="112" t="inlineStr">
        <is>
          <t>XB2BA31C</t>
        </is>
      </c>
      <c r="D911" s="112" t="inlineStr">
        <is>
          <t>甲供/施耐德电气</t>
        </is>
      </c>
      <c r="E911" s="114" t="inlineStr">
        <is>
          <t>只</t>
        </is>
      </c>
      <c r="F911" s="114" t="n">
        <v>2</v>
      </c>
      <c r="G911" s="396">
        <f>IF(AND(B911="",C911=""),"",ROUND(M911*L911*N911,2))</f>
        <v/>
      </c>
      <c r="H911" s="396">
        <f>IF(AND(B911="",C911=""),"",ROUND(F911*G911,2))</f>
        <v/>
      </c>
      <c r="I911" s="150" t="inlineStr"/>
      <c r="J911" s="397">
        <f>IF(AND(B911="",C911=""),"",ROUND(M911*N911,2))</f>
        <v/>
      </c>
      <c r="K911" s="398">
        <f>IF(AND(B911="",C911=""),"",ROUND(J911*F911,2))</f>
        <v/>
      </c>
      <c r="L911" s="141" t="n">
        <v>1</v>
      </c>
      <c r="M911" s="399" t="n">
        <v>1e-07</v>
      </c>
      <c r="N911" s="154" t="n">
        <v>1</v>
      </c>
      <c r="O911" s="155">
        <f>IF(AND(B911="",C911=""),"",IF(G911&gt;=20000,0.05,IF(G911&gt;=10000,0.1,IF(G911&gt;=5000,0.2,IF(G911&gt;=1000,0.3,IF(G911&gt;=0,0.4,{0}))))))</f>
        <v/>
      </c>
      <c r="P911" s="400">
        <f>IF(AND(B911="",C911=""),"",ROUND(H911*O911,2))</f>
        <v/>
      </c>
      <c r="Q911" s="401" t="inlineStr">
        <is>
          <t>元件</t>
        </is>
      </c>
      <c r="R911" s="168" t="inlineStr"/>
      <c r="S911" s="168" t="inlineStr"/>
      <c r="T911" s="168" t="inlineStr">
        <is>
          <t>0</t>
        </is>
      </c>
      <c r="U911" s="168" t="inlineStr">
        <is>
          <t>XB2BA31C</t>
        </is>
      </c>
      <c r="V911" s="402" t="n"/>
      <c r="W911" s="402" t="n"/>
      <c r="X911" s="170" t="inlineStr">
        <is>
          <t>XA2EA31</t>
        </is>
      </c>
    </row>
    <row r="912" s="308">
      <c r="A912" s="64">
        <f>ROW()-ROW(A$904)</f>
        <v/>
      </c>
      <c r="B912" s="22" t="inlineStr">
        <is>
          <t>按钮</t>
        </is>
      </c>
      <c r="C912" s="22" t="inlineStr">
        <is>
          <t>XB2BA42C</t>
        </is>
      </c>
      <c r="D912" s="22" t="inlineStr">
        <is>
          <t>甲供/施耐德电气</t>
        </is>
      </c>
      <c r="E912" s="23" t="inlineStr">
        <is>
          <t>只</t>
        </is>
      </c>
      <c r="F912" s="23" t="n">
        <v>2</v>
      </c>
      <c r="G912" s="349">
        <f>IF(AND(B912="",C912=""),"",ROUND(M912*L912*N912,2))</f>
        <v/>
      </c>
      <c r="H912" s="396">
        <f>IF(AND(B912="",C912=""),"",ROUND(F912*G912,2))</f>
        <v/>
      </c>
      <c r="I912" s="150" t="inlineStr"/>
      <c r="J912" s="397">
        <f>IF(AND(B912="",C912=""),"",ROUND(M912*N912,2))</f>
        <v/>
      </c>
      <c r="K912" s="398">
        <f>IF(AND(B912="",C912=""),"",ROUND(J912*F912,2))</f>
        <v/>
      </c>
      <c r="L912" s="141" t="n">
        <v>1</v>
      </c>
      <c r="M912" s="399" t="n">
        <v>1e-07</v>
      </c>
      <c r="N912" s="154" t="n">
        <v>1</v>
      </c>
      <c r="O912" s="155">
        <f>IF(AND(B912="",C912=""),"",IF(G912&gt;=20000,0.05,IF(G912&gt;=10000,0.1,IF(G912&gt;=5000,0.2,IF(G912&gt;=1000,0.3,IF(G912&gt;=0,0.4,{0}))))))</f>
        <v/>
      </c>
      <c r="P912" s="400">
        <f>IF(AND(B912="",C912=""),"",ROUND(H912*O912,2))</f>
        <v/>
      </c>
      <c r="Q912" s="401" t="inlineStr">
        <is>
          <t>元件</t>
        </is>
      </c>
      <c r="R912" s="168" t="inlineStr"/>
      <c r="S912" s="168" t="inlineStr"/>
      <c r="T912" s="168" t="inlineStr">
        <is>
          <t>0</t>
        </is>
      </c>
      <c r="U912" s="168" t="inlineStr">
        <is>
          <t>XB2BA42C</t>
        </is>
      </c>
      <c r="V912" s="402" t="n"/>
      <c r="W912" s="402" t="n"/>
      <c r="X912" s="170" t="inlineStr">
        <is>
          <t>XA2EA41</t>
        </is>
      </c>
    </row>
    <row r="913" s="308">
      <c r="A913" s="64">
        <f>ROW()-ROW(A$904)</f>
        <v/>
      </c>
      <c r="B913" s="112" t="inlineStr">
        <is>
          <t>温湿度控制器</t>
        </is>
      </c>
      <c r="C913" s="112" t="inlineStr">
        <is>
          <t>ATH48G-11</t>
        </is>
      </c>
      <c r="D913" s="22" t="inlineStr">
        <is>
          <t>杭州安廷</t>
        </is>
      </c>
      <c r="E913" s="23" t="inlineStr">
        <is>
          <t>套</t>
        </is>
      </c>
      <c r="F913" s="23" t="n">
        <v>1</v>
      </c>
      <c r="G913" s="349">
        <f>IF(AND(B913="",C913=""),"",ROUND(M913*L913*N913,2))</f>
        <v/>
      </c>
      <c r="H913" s="396">
        <f>IF(AND(B913="",C913=""),"",ROUND(F913*G913,2))</f>
        <v/>
      </c>
      <c r="I913" s="150" t="inlineStr"/>
      <c r="J913" s="397">
        <f>IF(AND(B913="",C913=""),"",ROUND(M913*N913,2))</f>
        <v/>
      </c>
      <c r="K913" s="398">
        <f>IF(AND(B913="",C913=""),"",ROUND(J913*F913,2))</f>
        <v/>
      </c>
      <c r="L913" s="141" t="n">
        <v>1</v>
      </c>
      <c r="M913" s="399" t="n">
        <v>450</v>
      </c>
      <c r="N913" s="154" t="n">
        <v>1</v>
      </c>
      <c r="O913" s="155">
        <f>IF(AND(B913="",C913=""),"",IF(G913&gt;=20000,0.05,IF(G913&gt;=10000,0.1,IF(G913&gt;=5000,0.2,IF(G913&gt;=1000,0.3,IF(G913&gt;=0,0.4,{0}))))))</f>
        <v/>
      </c>
      <c r="P913" s="400">
        <f>IF(AND(B913="",C913=""),"",ROUND(H913*O913,2))</f>
        <v/>
      </c>
      <c r="Q913" s="401" t="inlineStr">
        <is>
          <t>元件</t>
        </is>
      </c>
      <c r="R913" s="168" t="inlineStr"/>
      <c r="S913" s="168" t="inlineStr"/>
      <c r="T913" s="168" t="inlineStr">
        <is>
          <t>0</t>
        </is>
      </c>
      <c r="U913" s="168" t="inlineStr"/>
      <c r="V913" s="402" t="n"/>
      <c r="W913" s="402" t="n"/>
      <c r="X913" s="170" t="inlineStr"/>
    </row>
    <row r="914" s="308">
      <c r="A914" s="64">
        <f>ROW()-ROW(A$904)</f>
        <v/>
      </c>
      <c r="B914" s="22" t="inlineStr">
        <is>
          <t>中间继电器</t>
        </is>
      </c>
      <c r="C914" s="22" t="inlineStr">
        <is>
          <t>RXM4AB2P7+RXZE2S114M+RXZ400</t>
        </is>
      </c>
      <c r="D914" s="22" t="inlineStr">
        <is>
          <t>甲供/施耐德电气</t>
        </is>
      </c>
      <c r="E914" s="23" t="inlineStr">
        <is>
          <t>只</t>
        </is>
      </c>
      <c r="F914" s="23" t="n">
        <v>4</v>
      </c>
      <c r="G914" s="349">
        <f>IF(AND(B914="",C914=""),"",ROUND(M914*L914*N914,2))</f>
        <v/>
      </c>
      <c r="H914" s="349">
        <f>IF(AND(B914="",C914=""),"",ROUND(F914*G914,2))</f>
        <v/>
      </c>
      <c r="I914" s="45" t="inlineStr"/>
      <c r="J914" s="397">
        <f>IF(AND(B914="",C914=""),"",ROUND(M914*N914,2))</f>
        <v/>
      </c>
      <c r="K914" s="398">
        <f>IF(AND(B914="",C914=""),"",ROUND(J914*F914,2))</f>
        <v/>
      </c>
      <c r="L914" s="141" t="n">
        <v>1</v>
      </c>
      <c r="M914" s="399" t="n">
        <v>1e-07</v>
      </c>
      <c r="N914" s="154" t="n">
        <v>1</v>
      </c>
      <c r="O914" s="155">
        <f>IF(AND(B914="",C914=""),"",IF(G914&gt;=20000,0.05,IF(G914&gt;=10000,0.1,IF(G914&gt;=5000,0.2,IF(G914&gt;=1000,0.3,IF(G914&gt;=0,0.4,{0}))))))</f>
        <v/>
      </c>
      <c r="P914" s="400">
        <f>IF(AND(B914="",C914=""),"",ROUND(H914*O914,2))</f>
        <v/>
      </c>
      <c r="Q914" s="401" t="inlineStr">
        <is>
          <t>元件</t>
        </is>
      </c>
      <c r="R914" s="168" t="inlineStr"/>
      <c r="S914" s="168" t="inlineStr"/>
      <c r="T914" s="168" t="inlineStr">
        <is>
          <t>0</t>
        </is>
      </c>
      <c r="U914" s="168" t="inlineStr">
        <is>
          <t>RXM4AB2P7+RXZE2S114M+RXZ400</t>
        </is>
      </c>
      <c r="V914" s="402" t="n"/>
      <c r="W914" s="402" t="n"/>
      <c r="X914" s="170" t="inlineStr">
        <is>
          <t>REL-IR-BL/L-230AC/4X21，含底座→RXM4AB2P7+RXZE2S114M+RXZ400→REL-IR-BL/L-230AC/4X21，含底座</t>
        </is>
      </c>
    </row>
    <row r="915" customFormat="1" s="3">
      <c r="A915" s="64">
        <f>ROW()-ROW(A$904)</f>
        <v/>
      </c>
      <c r="B915" s="22" t="inlineStr">
        <is>
          <t>带熔丝端子</t>
        </is>
      </c>
      <c r="C915" s="22" t="inlineStr">
        <is>
          <t>UK 5-HESI</t>
        </is>
      </c>
      <c r="D915" s="22" t="inlineStr">
        <is>
          <t>菲尼克斯</t>
        </is>
      </c>
      <c r="E915" s="23" t="inlineStr">
        <is>
          <t>只</t>
        </is>
      </c>
      <c r="F915" s="23" t="n">
        <v>8</v>
      </c>
      <c r="G915" s="349">
        <f>IF(AND(B915="",C915=""),"",ROUND(M915*L915*N915,2))</f>
        <v/>
      </c>
      <c r="H915" s="349">
        <f>IF(AND(B915="",C915=""),"",ROUND(F915*G915,2))</f>
        <v/>
      </c>
      <c r="I915" s="45" t="inlineStr"/>
      <c r="J915" s="392">
        <f>IF(AND(B915="",C915=""),"",ROUND(M915*N915,2))</f>
        <v/>
      </c>
      <c r="K915" s="393">
        <f>IF(AND(B915="",C915=""),"",ROUND(J915*F915,2))</f>
        <v/>
      </c>
      <c r="L915" s="141" t="n">
        <v>1</v>
      </c>
      <c r="M915" s="394" t="n">
        <v>7</v>
      </c>
      <c r="N915" s="220" t="n">
        <v>1</v>
      </c>
      <c r="O915" s="221">
        <f>IF(AND(B915="",C915=""),"",IF(G915&gt;=20000,0.05,IF(G915&gt;=10000,0.1,IF(G915&gt;=5000,0.2,IF(G915&gt;=1000,0.3,IF(G915&gt;=0,0.4,{0}))))))</f>
        <v/>
      </c>
      <c r="P915" s="419">
        <f>IF(AND(B915="",C915=""),"",ROUND(H915*O915,2))</f>
        <v/>
      </c>
      <c r="Q915" s="420" t="inlineStr">
        <is>
          <t>元件</t>
        </is>
      </c>
      <c r="R915" s="231" t="inlineStr"/>
      <c r="S915" s="231" t="inlineStr"/>
      <c r="T915" s="231" t="inlineStr">
        <is>
          <t>0</t>
        </is>
      </c>
      <c r="U915" s="231" t="inlineStr">
        <is>
          <t>True</t>
        </is>
      </c>
      <c r="V915" s="421" t="n"/>
      <c r="W915" s="421" t="n"/>
      <c r="X915" s="166" t="inlineStr"/>
    </row>
    <row r="916" s="308">
      <c r="A916" s="64">
        <f>ROW()-ROW(A$904)</f>
        <v/>
      </c>
      <c r="B916" s="22" t="inlineStr">
        <is>
          <t>水平母排</t>
        </is>
      </c>
      <c r="C916" s="22" t="inlineStr">
        <is>
          <t>TMY 4*(4*150*5)+2*50*5</t>
        </is>
      </c>
      <c r="D916" s="22" t="inlineStr">
        <is>
          <t>国产优质</t>
        </is>
      </c>
      <c r="E916" s="23" t="inlineStr">
        <is>
          <t>米</t>
        </is>
      </c>
      <c r="F916" s="23" t="n">
        <v>0.5</v>
      </c>
      <c r="G916" s="349">
        <f>IF(AND(B916="",C916=""),"",ROUND(M916*L916*N916,2))</f>
        <v/>
      </c>
      <c r="H916" s="349">
        <f>IF(AND(B916="",C916=""),"",ROUND(F916*G916,2))</f>
        <v/>
      </c>
      <c r="I916" s="45" t="inlineStr"/>
      <c r="J916" s="397">
        <f>IF(AND(B916="",C916=""),"",ROUND(M916*N916,2))</f>
        <v/>
      </c>
      <c r="K916" s="398">
        <f>IF(AND(B916="",C916=""),"",ROUND(J916*F916,2))</f>
        <v/>
      </c>
      <c r="L916" s="200" t="n">
        <v>1</v>
      </c>
      <c r="M916" s="399" t="n">
        <v>12026.68125</v>
      </c>
      <c r="N916" s="154">
        <f>(6317.932*1*1+2684.8*1*1)/9002.732</f>
        <v/>
      </c>
      <c r="O916" s="155">
        <f>IF(AND(B916="",C916=""),"",IF(J916&gt;=20000,0.05,IF(J916&gt;=10000,0.1,IF(J916&gt;=5000,0.2,IF(J916&gt;=1000,0.3,IF(J916&gt;=0,0.4,{0}))))))</f>
        <v/>
      </c>
      <c r="P916" s="400">
        <f>IF(AND(B916="",C916=""),"",ROUND(H916*O916,2))</f>
        <v/>
      </c>
      <c r="Q916" s="401" t="inlineStr">
        <is>
          <t>母排</t>
        </is>
      </c>
      <c r="R916" s="168" t="inlineStr"/>
      <c r="S916" s="168" t="inlineStr"/>
      <c r="T916" s="168" t="inlineStr">
        <is>
          <t>0</t>
        </is>
      </c>
      <c r="U916" s="168" t="inlineStr"/>
      <c r="V916" s="402" t="n"/>
      <c r="W916" s="402" t="n"/>
      <c r="X916" s="170" t="inlineStr"/>
    </row>
    <row r="917" customFormat="1" s="5">
      <c r="A917" s="64">
        <f>ROW()-ROW(A$904)</f>
        <v/>
      </c>
      <c r="B917" s="22" t="inlineStr">
        <is>
          <t>桩头排</t>
        </is>
      </c>
      <c r="C917" s="22" t="inlineStr">
        <is>
          <t>TMY 3*2*80*5</t>
        </is>
      </c>
      <c r="D917" s="22" t="inlineStr">
        <is>
          <t>国产优质</t>
        </is>
      </c>
      <c r="E917" s="23" t="inlineStr">
        <is>
          <t>米</t>
        </is>
      </c>
      <c r="F917" s="23" t="n">
        <v>3</v>
      </c>
      <c r="G917" s="349">
        <f>IF(AND(B917="",C917=""),"",ROUND(M917*L917*N917,2))</f>
        <v/>
      </c>
      <c r="H917" s="349">
        <f>IF(AND(B917="",C917=""),"",ROUND(F917*G917,2))</f>
        <v/>
      </c>
      <c r="I917" s="45" t="inlineStr"/>
      <c r="J917" s="422">
        <f>IF(AND(B917="",C917=""),"",ROUND(M917*N917,2))</f>
        <v/>
      </c>
      <c r="K917" s="423">
        <f>IF(AND(B917="",C917=""),"",ROUND(J917*F917,2))</f>
        <v/>
      </c>
      <c r="L917" s="225" t="n">
        <v>1</v>
      </c>
      <c r="M917" s="424" t="n">
        <v>2309.1228</v>
      </c>
      <c r="N917" s="227" t="n">
        <v>1</v>
      </c>
      <c r="O917" s="228">
        <f>IF(AND(B917="",C917=""),"",IF(G917&gt;=20000,0.05,IF(G917&gt;=10000,0.1,IF(G917&gt;=5000,0.2,IF(G917&gt;=1000,0.3,IF(G917&gt;=0,0.4,{0}))))))</f>
        <v/>
      </c>
      <c r="P917" s="425">
        <f>IF(AND(B917="",C917=""),"",ROUND(H917*O917,2))</f>
        <v/>
      </c>
      <c r="Q917" s="426" t="inlineStr">
        <is>
          <t>母排</t>
        </is>
      </c>
      <c r="R917" s="234" t="inlineStr"/>
      <c r="S917" s="234" t="inlineStr"/>
      <c r="T917" s="235" t="inlineStr">
        <is>
          <t>0</t>
        </is>
      </c>
      <c r="U917" s="235" t="inlineStr"/>
      <c r="V917" s="427" t="n"/>
      <c r="W917" s="427" t="n"/>
      <c r="X917" s="237" t="inlineStr">
        <is>
          <t>TMY 2*30*5→TMY 30*8</t>
        </is>
      </c>
    </row>
    <row r="918" customFormat="1" s="5">
      <c r="A918" s="64">
        <f>ROW()-ROW(A$904)</f>
        <v/>
      </c>
      <c r="B918" s="22" t="inlineStr">
        <is>
          <t>垂直排</t>
        </is>
      </c>
      <c r="C918" s="22" t="inlineStr">
        <is>
          <t>TMY 3*2*80*5</t>
        </is>
      </c>
      <c r="D918" s="22" t="inlineStr">
        <is>
          <t>国产优质</t>
        </is>
      </c>
      <c r="E918" s="23" t="inlineStr">
        <is>
          <t>米</t>
        </is>
      </c>
      <c r="F918" s="23" t="n">
        <v>2</v>
      </c>
      <c r="G918" s="349">
        <f>IF(AND(B918="",C918=""),"",ROUND(M918*L918*N918,2))</f>
        <v/>
      </c>
      <c r="H918" s="349">
        <f>IF(AND(B918="",C918=""),"",ROUND(F918*G918,2))</f>
        <v/>
      </c>
      <c r="I918" s="45" t="inlineStr"/>
      <c r="J918" s="422">
        <f>IF(AND(B918="",C918=""),"",ROUND(M918*N918,2))</f>
        <v/>
      </c>
      <c r="K918" s="423">
        <f>IF(AND(B918="",C918=""),"",ROUND(J918*F918,2))</f>
        <v/>
      </c>
      <c r="L918" s="225" t="n">
        <v>1</v>
      </c>
      <c r="M918" s="424" t="n">
        <v>2309.1228</v>
      </c>
      <c r="N918" s="227" t="n">
        <v>1</v>
      </c>
      <c r="O918" s="228">
        <f>IF(AND(B918="",C918=""),"",IF(G918&gt;=20000,0.05,IF(G918&gt;=10000,0.1,IF(G918&gt;=5000,0.2,IF(G918&gt;=1000,0.3,IF(G918&gt;=0,0.4,{0}))))))</f>
        <v/>
      </c>
      <c r="P918" s="425">
        <f>IF(AND(B918="",C918=""),"",ROUND(H918*O918,2))</f>
        <v/>
      </c>
      <c r="Q918" s="426" t="inlineStr">
        <is>
          <t>母排</t>
        </is>
      </c>
      <c r="R918" s="234" t="inlineStr"/>
      <c r="S918" s="234" t="inlineStr"/>
      <c r="T918" s="235" t="inlineStr">
        <is>
          <t>0</t>
        </is>
      </c>
      <c r="U918" s="235" t="inlineStr"/>
      <c r="V918" s="427" t="n"/>
      <c r="W918" s="427" t="n"/>
      <c r="X918" s="237" t="inlineStr">
        <is>
          <t>TMY 2*30*5→TMY 30*8</t>
        </is>
      </c>
    </row>
    <row r="919" customFormat="1" s="5">
      <c r="A919" s="64">
        <f>ROW()-ROW(A$904)</f>
        <v/>
      </c>
      <c r="B919" s="22" t="inlineStr">
        <is>
          <t>N排</t>
        </is>
      </c>
      <c r="C919" s="22" t="inlineStr">
        <is>
          <t>TMY 2*80*10</t>
        </is>
      </c>
      <c r="D919" s="22" t="inlineStr">
        <is>
          <t>国产优质</t>
        </is>
      </c>
      <c r="E919" s="23" t="inlineStr">
        <is>
          <t>米</t>
        </is>
      </c>
      <c r="F919" s="23" t="n">
        <v>3</v>
      </c>
      <c r="G919" s="349">
        <f>IF(AND(B919="",C919=""),"",ROUND(M919*L919*N919,2))</f>
        <v/>
      </c>
      <c r="H919" s="349">
        <f>IF(AND(B919="",C919=""),"",ROUND(F919*G919,2))</f>
        <v/>
      </c>
      <c r="I919" s="45" t="inlineStr"/>
      <c r="J919" s="422">
        <f>IF(AND(B919="",C919=""),"",ROUND(M919*N919,2))</f>
        <v/>
      </c>
      <c r="K919" s="423">
        <f>IF(AND(B919="",C919=""),"",ROUND(J919*F919,2))</f>
        <v/>
      </c>
      <c r="L919" s="225" t="n">
        <v>1</v>
      </c>
      <c r="M919" s="424" t="n">
        <v>1539.4152</v>
      </c>
      <c r="N919" s="227" t="n">
        <v>1</v>
      </c>
      <c r="O919" s="228">
        <f>IF(AND(B919="",C919=""),"",IF(G919&gt;=20000,0.05,IF(G919&gt;=10000,0.1,IF(G919&gt;=5000,0.2,IF(G919&gt;=1000,0.3,IF(G919&gt;=0,0.4,{0}))))))</f>
        <v/>
      </c>
      <c r="P919" s="425">
        <f>IF(AND(B919="",C919=""),"",ROUND(H919*O919,2))</f>
        <v/>
      </c>
      <c r="Q919" s="426" t="inlineStr">
        <is>
          <t>母排</t>
        </is>
      </c>
      <c r="R919" s="234" t="inlineStr"/>
      <c r="S919" s="234" t="inlineStr"/>
      <c r="T919" s="235" t="inlineStr">
        <is>
          <t>0</t>
        </is>
      </c>
      <c r="U919" s="235" t="inlineStr"/>
      <c r="V919" s="427" t="n"/>
      <c r="W919" s="427" t="n"/>
      <c r="X919" s="237" t="inlineStr">
        <is>
          <t>TMY 2*30*5→TMY 30*8</t>
        </is>
      </c>
    </row>
    <row r="920" customFormat="1" s="5">
      <c r="A920" s="64">
        <f>ROW()-ROW(A$904)</f>
        <v/>
      </c>
      <c r="B920" s="22" t="inlineStr">
        <is>
          <t>PE排</t>
        </is>
      </c>
      <c r="C920" s="22" t="inlineStr">
        <is>
          <t>TMY 2*50*5</t>
        </is>
      </c>
      <c r="D920" s="22" t="inlineStr">
        <is>
          <t>国产优质</t>
        </is>
      </c>
      <c r="E920" s="23" t="inlineStr">
        <is>
          <t>米</t>
        </is>
      </c>
      <c r="F920" s="23" t="n">
        <v>2</v>
      </c>
      <c r="G920" s="349">
        <f>IF(AND(B920="",C920=""),"",ROUND(M920*L920*N920,2))</f>
        <v/>
      </c>
      <c r="H920" s="349">
        <f>IF(AND(B920="",C920=""),"",ROUND(F920*G920,2))</f>
        <v/>
      </c>
      <c r="I920" s="45" t="inlineStr"/>
      <c r="J920" s="422">
        <f>IF(AND(B920="",C920=""),"",ROUND(M920*N920,2))</f>
        <v/>
      </c>
      <c r="K920" s="423">
        <f>IF(AND(B920="",C920=""),"",ROUND(J920*F920,2))</f>
        <v/>
      </c>
      <c r="L920" s="225" t="n">
        <v>1</v>
      </c>
      <c r="M920" s="424" t="n">
        <v>481.06725</v>
      </c>
      <c r="N920" s="227" t="n">
        <v>1</v>
      </c>
      <c r="O920" s="228">
        <f>IF(AND(B920="",C920=""),"",IF(G920&gt;=20000,0.05,IF(G920&gt;=10000,0.1,IF(G920&gt;=5000,0.2,IF(G920&gt;=1000,0.3,IF(G920&gt;=0,0.4,{0}))))))</f>
        <v/>
      </c>
      <c r="P920" s="425">
        <f>IF(AND(B920="",C920=""),"",ROUND(H920*O920,2))</f>
        <v/>
      </c>
      <c r="Q920" s="426" t="inlineStr">
        <is>
          <t>母排</t>
        </is>
      </c>
      <c r="R920" s="234" t="inlineStr"/>
      <c r="S920" s="234" t="inlineStr"/>
      <c r="T920" s="235" t="inlineStr">
        <is>
          <t>0</t>
        </is>
      </c>
      <c r="U920" s="235" t="inlineStr"/>
      <c r="V920" s="427" t="n"/>
      <c r="W920" s="427" t="n"/>
      <c r="X920" s="237" t="inlineStr">
        <is>
          <t>TMY 2*30*5→TMY 30*8</t>
        </is>
      </c>
    </row>
    <row r="921" s="308">
      <c r="A921" s="64">
        <f>ROW()-ROW(A$904)</f>
        <v/>
      </c>
      <c r="B921" s="112" t="inlineStr">
        <is>
          <t>辅料</t>
        </is>
      </c>
      <c r="C921" s="112" t="inlineStr"/>
      <c r="D921" s="112" t="inlineStr"/>
      <c r="E921" s="114" t="inlineStr">
        <is>
          <t>套</t>
        </is>
      </c>
      <c r="F921" s="114" t="n">
        <v>1</v>
      </c>
      <c r="G921" s="396">
        <f>IF(AND(B921="",C921=""),"",ROUND(M921*L921*N921,2))</f>
        <v/>
      </c>
      <c r="H921" s="396">
        <f>IF(AND(B921="",C921=""),"",ROUND(F921*G921,2))</f>
        <v/>
      </c>
      <c r="I921" s="219" t="inlineStr"/>
      <c r="J921" s="397">
        <f>IF(AND(B921="",C921=""),"",ROUND(M921*N921,2))</f>
        <v/>
      </c>
      <c r="K921" s="398">
        <f>IF(AND(B921="",C921=""),"",ROUND(J921*F921,2))</f>
        <v/>
      </c>
      <c r="L921" s="200" t="n">
        <v>1</v>
      </c>
      <c r="M921" s="399" t="n">
        <v>800</v>
      </c>
      <c r="N921" s="154" t="n">
        <v>1</v>
      </c>
      <c r="O921" s="155">
        <f>IF(AND(B921="",C921=""),"",IF(G921&gt;=20000,0.05,IF(G921&gt;=10000,0.1,IF(G921&gt;=5000,0.2,IF(G921&gt;=1000,0.3,IF(G921&gt;=0,0.4,{0}))))))</f>
        <v/>
      </c>
      <c r="P921" s="400">
        <f>IF(AND(B921="",C921=""),"",ROUND(H921*O921,2))</f>
        <v/>
      </c>
      <c r="Q921" s="401" t="inlineStr">
        <is>
          <t>辅料</t>
        </is>
      </c>
      <c r="R921" s="168" t="inlineStr"/>
      <c r="S921" s="168" t="inlineStr"/>
      <c r="T921" s="168" t="inlineStr">
        <is>
          <t>0</t>
        </is>
      </c>
      <c r="U921" s="168" t="inlineStr"/>
      <c r="V921" s="402" t="n"/>
      <c r="W921" s="402" t="n"/>
      <c r="X921" s="170" t="inlineStr"/>
    </row>
    <row r="922" s="308">
      <c r="A922" s="64">
        <f>ROW()-ROW(A$904)</f>
        <v/>
      </c>
      <c r="B922" s="112" t="inlineStr">
        <is>
          <t>柜体Blokset</t>
        </is>
      </c>
      <c r="C922" s="22" t="inlineStr">
        <is>
          <t>400W*1200D*2200H</t>
        </is>
      </c>
      <c r="D922" s="112" t="inlineStr">
        <is>
          <t>清科</t>
        </is>
      </c>
      <c r="E922" s="114" t="inlineStr">
        <is>
          <t>台</t>
        </is>
      </c>
      <c r="F922" s="114" t="n">
        <v>1</v>
      </c>
      <c r="G922" s="396">
        <f>IF(AND(B922="",C922=""),"",ROUND(M922*L922*N922,2))</f>
        <v/>
      </c>
      <c r="H922" s="396">
        <f>IF(AND(B922="",C922=""),"",ROUND(F922*G922,2))</f>
        <v/>
      </c>
      <c r="I922" s="219" t="inlineStr"/>
      <c r="J922" s="397">
        <f>IF(AND(B922="",C922=""),"",ROUND(M922*N922,2))</f>
        <v/>
      </c>
      <c r="K922" s="398">
        <f>IF(AND(B922="",C922=""),"",ROUND(J922*F922,2))</f>
        <v/>
      </c>
      <c r="L922" s="200" t="n">
        <v>1</v>
      </c>
      <c r="M922" s="399" t="n">
        <v>4916</v>
      </c>
      <c r="N922" s="154" t="n">
        <v>1</v>
      </c>
      <c r="O922" s="155">
        <f>IF(AND(B922="",C922=""),"",IF(G922&gt;=20000,0.05,IF(G922&gt;=10000,0.1,IF(G922&gt;=5000,0.2,IF(G922&gt;=1000,0.3,IF(G922&gt;=0,0.4,{0}))))))</f>
        <v/>
      </c>
      <c r="P922" s="400">
        <f>IF(AND(B922="",C922=""),"",ROUND(H922*O922,2))</f>
        <v/>
      </c>
      <c r="Q922" s="401" t="inlineStr">
        <is>
          <t>箱体</t>
        </is>
      </c>
      <c r="R922" s="168" t="inlineStr"/>
      <c r="S922" s="168" t="inlineStr"/>
      <c r="T922" s="168" t="inlineStr">
        <is>
          <t>0</t>
        </is>
      </c>
      <c r="U922" s="168" t="inlineStr"/>
      <c r="V922" s="402" t="n"/>
      <c r="W922" s="402" t="n"/>
      <c r="X922" s="170" t="inlineStr">
        <is>
          <t>BlokSeT</t>
        </is>
      </c>
    </row>
    <row r="923" s="308">
      <c r="A923" s="64">
        <f>ROW()-ROW(A$904)</f>
        <v/>
      </c>
      <c r="B923" s="22" t="inlineStr"/>
      <c r="C923" s="22" t="inlineStr"/>
      <c r="D923" s="22" t="inlineStr"/>
      <c r="E923" s="23" t="n"/>
      <c r="F923" s="23">
        <f>IF(AND(B923="",C923=""),"",1)</f>
        <v/>
      </c>
      <c r="G923" s="349">
        <f>IF(AND(B923="",C923=""),"",ROUND(M923*L923*N923,2))</f>
        <v/>
      </c>
      <c r="H923" s="349">
        <f>IF(AND(B923="",C923=""),"",ROUND(F923*G923,2))</f>
        <v/>
      </c>
      <c r="I923" s="45" t="inlineStr"/>
      <c r="J923" s="397">
        <f>IF(AND(B923="",C923=""),"",ROUND(M923*N923,2))</f>
        <v/>
      </c>
      <c r="K923" s="398">
        <f>IF(AND(B923="",C923=""),"",ROUND(J923*F923,2))</f>
        <v/>
      </c>
      <c r="L923" s="200">
        <f>IF(AND(B923="",C923=""),"",1)</f>
        <v/>
      </c>
      <c r="M923" s="399" t="n"/>
      <c r="N923" s="154">
        <f>IF(AND(B923="",C923=""),"",1)</f>
        <v/>
      </c>
      <c r="O923" s="155">
        <f>IF(AND(B923="",C923=""),"",IF(J923&gt;=20000,0.05,IF(J923&gt;=10000,0.1,IF(J923&gt;=5000,0.2,IF(J923&gt;=1000,0.3,IF(J923&gt;=0,0.4,{0}))))))</f>
        <v/>
      </c>
      <c r="P923" s="400">
        <f>IF(AND(B923="",C923=""),"",ROUND(H923*O923,2))</f>
        <v/>
      </c>
      <c r="Q923" s="401">
        <f>IF(AND(B923="",C923=""),"","元件")</f>
        <v/>
      </c>
      <c r="R923" s="168" t="inlineStr"/>
      <c r="S923" s="168" t="inlineStr"/>
      <c r="T923" s="168" t="inlineStr"/>
      <c r="U923" s="168" t="inlineStr"/>
      <c r="V923" s="402" t="n"/>
      <c r="W923" s="402" t="n"/>
      <c r="X923" s="170" t="inlineStr"/>
    </row>
    <row r="924" s="308">
      <c r="A924" s="64">
        <f>ROW()-ROW(A$904)</f>
        <v/>
      </c>
      <c r="B924" s="171" t="inlineStr">
        <is>
          <t>小计</t>
        </is>
      </c>
      <c r="C924" s="172" t="n"/>
      <c r="D924" s="204" t="n"/>
      <c r="E924" s="114" t="n"/>
      <c r="F924" s="114" t="n"/>
      <c r="G924" s="396" t="n"/>
      <c r="H924" s="396">
        <f>ROUND(SUM(H904:INDEX(H:H,ROW()-1)),2)</f>
        <v/>
      </c>
      <c r="I924" s="45" t="inlineStr"/>
      <c r="J924" s="397" t="n"/>
      <c r="K924" s="398">
        <f>ROUND(SUM(K904:INDEX(K:K,ROW()-1)),2)</f>
        <v/>
      </c>
      <c r="L924" s="200" t="n"/>
      <c r="M924" s="399" t="n"/>
      <c r="N924" s="154" t="n"/>
      <c r="O924" s="155" t="n"/>
      <c r="P924" s="400" t="n"/>
      <c r="Q924" s="401" t="n"/>
      <c r="R924" s="168" t="inlineStr"/>
      <c r="S924" s="168" t="inlineStr"/>
      <c r="T924" s="168" t="inlineStr"/>
      <c r="U924" s="168" t="inlineStr"/>
      <c r="V924" s="402">
        <f>ROUND(SUMPRODUCT(F904:INDEX(F:F,ROW()-1),V904:INDEX(V:V,ROW()-1)),2)</f>
        <v/>
      </c>
      <c r="W924" s="402">
        <f>ROUND(SUMPRODUCT(F904:INDEX(F:F,ROW()-1),W904:INDEX(W:W,ROW()-1)),2)</f>
        <v/>
      </c>
      <c r="X924" s="170" t="inlineStr"/>
    </row>
    <row r="925" s="308">
      <c r="A925" s="64">
        <f>ROW()-ROW(A$904)</f>
        <v/>
      </c>
      <c r="B925" s="171" t="inlineStr">
        <is>
          <t>综合费(人工、管理、税金、利润等)</t>
        </is>
      </c>
      <c r="C925" s="172" t="n"/>
      <c r="D925" s="204" t="n"/>
      <c r="E925" s="114" t="n"/>
      <c r="F925" s="114" t="n"/>
      <c r="G925" s="396" t="n"/>
      <c r="H925" s="396">
        <f>2500</f>
        <v/>
      </c>
      <c r="I925" s="45" t="inlineStr"/>
      <c r="J925" s="397" t="n"/>
      <c r="K925" s="398" t="n"/>
      <c r="L925" s="200" t="n"/>
      <c r="M925" s="399" t="n"/>
      <c r="N925" s="154" t="n"/>
      <c r="O925" s="155" t="n"/>
      <c r="P925" s="400" t="n"/>
      <c r="Q925" s="401" t="inlineStr">
        <is>
          <t>费用</t>
        </is>
      </c>
      <c r="R925" s="168" t="inlineStr"/>
      <c r="S925" s="168" t="inlineStr"/>
      <c r="T925" s="168" t="inlineStr"/>
      <c r="U925" s="168" t="inlineStr"/>
      <c r="V925" s="402" t="n"/>
      <c r="W925" s="402" t="n"/>
      <c r="X925" s="170" t="inlineStr"/>
    </row>
    <row r="926" s="308">
      <c r="A926" s="64">
        <f>ROW()-ROW(A$904)</f>
        <v/>
      </c>
      <c r="B926" s="204" t="inlineStr">
        <is>
          <t>单台合计</t>
        </is>
      </c>
      <c r="C926" s="172" t="n"/>
      <c r="D926" s="204" t="n"/>
      <c r="E926" s="114" t="n"/>
      <c r="F926" s="114" t="n"/>
      <c r="G926" s="396" t="n"/>
      <c r="H926" s="396">
        <f>ROUND(SUM(H924:H925),2)</f>
        <v/>
      </c>
      <c r="I926" s="181" t="n"/>
      <c r="J926" s="397" t="n"/>
      <c r="K926" s="398">
        <f>ROUND(SUM(K924:K925),2)</f>
        <v/>
      </c>
      <c r="L926" s="209" t="n"/>
      <c r="M926" s="399" t="n"/>
      <c r="N926" s="210" t="n"/>
      <c r="O926" s="211" t="n"/>
      <c r="P926" s="400" t="n"/>
      <c r="Q926" s="401" t="n"/>
      <c r="R926" s="168" t="inlineStr"/>
      <c r="S926" s="168" t="inlineStr"/>
      <c r="T926" s="168" t="inlineStr"/>
      <c r="U926" s="168" t="inlineStr"/>
      <c r="V926" s="402" t="n"/>
      <c r="W926" s="402" t="n"/>
      <c r="X926" s="170" t="inlineStr"/>
    </row>
    <row r="927" s="308">
      <c r="A927" s="173" t="inlineStr">
        <is>
          <t>总计</t>
        </is>
      </c>
      <c r="B927" s="205" t="n"/>
      <c r="C927" s="175" t="n"/>
      <c r="D927" s="206" t="n"/>
      <c r="E927" s="206" t="inlineStr">
        <is>
          <t>台</t>
        </is>
      </c>
      <c r="F927" s="206" t="n">
        <v>8</v>
      </c>
      <c r="G927" s="414">
        <f>ROUND(H926,2)</f>
        <v/>
      </c>
      <c r="H927" s="414">
        <f>ROUND(F927*G927,2)</f>
        <v/>
      </c>
      <c r="I927" s="185" t="n"/>
      <c r="J927" s="415" t="n"/>
      <c r="K927" s="416">
        <f>ROUND(K926*F927,2)</f>
        <v/>
      </c>
      <c r="L927" s="214" t="n"/>
      <c r="M927" s="417" t="n"/>
      <c r="N927" s="216" t="n"/>
      <c r="O927" s="217" t="n"/>
      <c r="P927" s="418" t="n"/>
      <c r="Q927" s="401" t="n"/>
      <c r="R927" s="168" t="inlineStr"/>
      <c r="S927" s="168" t="inlineStr"/>
      <c r="T927" s="168" t="inlineStr"/>
      <c r="U927" s="168" t="inlineStr"/>
      <c r="V927" s="402" t="n"/>
      <c r="W927" s="402" t="n"/>
      <c r="X927" s="170" t="inlineStr"/>
    </row>
    <row r="928" customFormat="1" s="4">
      <c r="A928" s="6" t="n"/>
      <c r="B928" s="195" t="inlineStr"/>
      <c r="C928" s="195" t="inlineStr"/>
      <c r="D928" s="195" t="inlineStr"/>
      <c r="Q928" s="159" t="n"/>
      <c r="R928" s="159" t="n"/>
      <c r="S928" s="159" t="n"/>
      <c r="T928" s="159" t="n"/>
      <c r="U928" s="159" t="n"/>
      <c r="X928" s="195" t="inlineStr"/>
    </row>
    <row r="929" customFormat="1" s="4">
      <c r="A929" s="6" t="n"/>
      <c r="B929" s="195" t="inlineStr"/>
      <c r="C929" s="195" t="inlineStr"/>
      <c r="D929" s="195" t="inlineStr"/>
      <c r="Q929" s="159" t="n"/>
      <c r="R929" s="159" t="n"/>
      <c r="S929" s="159" t="n"/>
      <c r="T929" s="159" t="n"/>
      <c r="U929" s="159" t="n"/>
      <c r="X929" s="195" t="inlineStr"/>
    </row>
    <row r="930" s="308">
      <c r="A930" s="208">
        <f>CONCATENATE("报价人：",项目信息!$B$8)</f>
        <v/>
      </c>
      <c r="B930" s="208" t="n"/>
      <c r="C930" s="4" t="n"/>
      <c r="D930" s="4" t="n"/>
      <c r="E930" s="4" t="n"/>
      <c r="F930" s="4" t="n"/>
      <c r="G930" s="4" t="n"/>
      <c r="H930" s="178">
        <f>项目信息!$B$9</f>
        <v/>
      </c>
      <c r="Q930" s="159" t="n"/>
      <c r="R930" s="159" t="n"/>
      <c r="S930" s="159" t="n"/>
      <c r="T930" s="159" t="n"/>
      <c r="U930" s="159" t="n"/>
      <c r="X930" s="203" t="inlineStr"/>
    </row>
    <row r="931" s="308">
      <c r="A931" s="8">
        <f>T(项目信息!$B$22)</f>
        <v/>
      </c>
      <c r="Q931" s="159" t="n"/>
      <c r="R931" s="159" t="n"/>
      <c r="S931" s="159" t="n"/>
      <c r="T931" s="159" t="n"/>
      <c r="U931" s="159" t="n"/>
    </row>
    <row r="932" s="308">
      <c r="A932" s="9">
        <f>T(项目信息!$B$23)</f>
        <v/>
      </c>
      <c r="Q932" s="159" t="n"/>
      <c r="R932" s="159" t="n"/>
      <c r="S932" s="159" t="n"/>
      <c r="T932" s="159" t="n"/>
      <c r="U932" s="159" t="n"/>
    </row>
    <row r="933" s="308">
      <c r="A933" s="97" t="inlineStr">
        <is>
          <t>成套产品报价明细表</t>
        </is>
      </c>
      <c r="B933" s="378" t="n"/>
      <c r="C933" s="378" t="n"/>
      <c r="D933" s="378" t="n"/>
      <c r="E933" s="378" t="n"/>
      <c r="F933" s="378" t="n"/>
      <c r="G933" s="378" t="n"/>
      <c r="H933" s="378" t="n"/>
      <c r="I933" s="378" t="n"/>
      <c r="Q933" s="159" t="n"/>
      <c r="R933" s="159" t="n"/>
      <c r="S933" s="159" t="n"/>
      <c r="T933" s="159" t="n"/>
      <c r="U933" s="159" t="n"/>
    </row>
    <row r="934" customFormat="1" s="4">
      <c r="A934" s="98" t="inlineStr">
        <is>
          <t>柜号:</t>
        </is>
      </c>
      <c r="B934" s="99" t="inlineStr">
        <is>
          <t>AAN5-05</t>
        </is>
      </c>
      <c r="C934" s="100" t="inlineStr">
        <is>
          <t>型号:</t>
        </is>
      </c>
      <c r="D934" s="99" t="inlineStr">
        <is>
          <t>BlokSeT</t>
        </is>
      </c>
      <c r="E934" s="379" t="n"/>
      <c r="F934" s="101" t="inlineStr">
        <is>
          <t>名称:</t>
        </is>
      </c>
      <c r="G934" s="99" t="inlineStr">
        <is>
          <t>馈线柜</t>
        </is>
      </c>
      <c r="H934" s="379" t="n"/>
      <c r="I934" s="408" t="inlineStr"/>
      <c r="J934" s="194" t="inlineStr">
        <is>
          <t>箱柜尺寸:</t>
        </is>
      </c>
      <c r="K934" s="195" t="inlineStr">
        <is>
          <t>400W*1200D*2200H</t>
        </is>
      </c>
      <c r="L934" s="194" t="inlineStr">
        <is>
          <t>类别:</t>
        </is>
      </c>
      <c r="M934" s="195" t="inlineStr">
        <is>
          <t>低压固定柜</t>
        </is>
      </c>
      <c r="N934" s="409" t="inlineStr"/>
      <c r="Q934" s="159" t="n"/>
      <c r="R934" s="159" t="n"/>
      <c r="S934" s="159" t="n"/>
      <c r="T934" s="159" t="n"/>
      <c r="U934" s="159" t="n"/>
    </row>
    <row r="935" ht="20.1" customHeight="1" s="308">
      <c r="A935" s="102" t="inlineStr">
        <is>
          <t>序号</t>
        </is>
      </c>
      <c r="B935" s="103" t="inlineStr">
        <is>
          <t>元件名称</t>
        </is>
      </c>
      <c r="C935" s="103" t="inlineStr">
        <is>
          <t>型号规格</t>
        </is>
      </c>
      <c r="D935" s="104" t="inlineStr">
        <is>
          <t>生产厂家</t>
        </is>
      </c>
      <c r="E935" s="105" t="inlineStr">
        <is>
          <t>单位</t>
        </is>
      </c>
      <c r="F935" s="105" t="inlineStr">
        <is>
          <t>数量</t>
        </is>
      </c>
      <c r="G935" s="382" t="inlineStr">
        <is>
          <t>单   价</t>
        </is>
      </c>
      <c r="H935" s="383" t="inlineStr">
        <is>
          <t>总   价</t>
        </is>
      </c>
      <c r="I935" s="134" t="inlineStr">
        <is>
          <t>备注</t>
        </is>
      </c>
      <c r="J935" s="384" t="inlineStr">
        <is>
          <t>成本单价</t>
        </is>
      </c>
      <c r="K935" s="384" t="inlineStr">
        <is>
          <t>成本总价</t>
        </is>
      </c>
      <c r="L935" s="136" t="inlineStr">
        <is>
          <t>报出
系数</t>
        </is>
      </c>
      <c r="M935" s="384" t="inlineStr">
        <is>
          <t>表价</t>
        </is>
      </c>
      <c r="N935" s="136" t="inlineStr">
        <is>
          <t>折扣
系数</t>
        </is>
      </c>
      <c r="O935" s="137" t="inlineStr">
        <is>
          <t>取费
系数</t>
        </is>
      </c>
      <c r="P935" s="384" t="inlineStr">
        <is>
          <t>成套费</t>
        </is>
      </c>
      <c r="Q935" s="161" t="inlineStr">
        <is>
          <t>类别</t>
        </is>
      </c>
      <c r="R935" s="161" t="inlineStr">
        <is>
          <t>物料编码</t>
        </is>
      </c>
      <c r="S935" s="161" t="inlineStr">
        <is>
          <t>产地</t>
        </is>
      </c>
      <c r="T935" s="161" t="inlineStr">
        <is>
          <t>加工费</t>
        </is>
      </c>
      <c r="U935" s="161" t="inlineStr">
        <is>
          <t>订货号</t>
        </is>
      </c>
      <c r="V935" s="161" t="inlineStr">
        <is>
          <t>人工</t>
        </is>
      </c>
      <c r="W935" s="161" t="inlineStr">
        <is>
          <t>辅料</t>
        </is>
      </c>
      <c r="X935" s="203" t="inlineStr"/>
    </row>
    <row r="936" s="308">
      <c r="A936" s="64">
        <f>ROW()-ROW(A$935)</f>
        <v/>
      </c>
      <c r="B936" s="22" t="inlineStr">
        <is>
          <t>框架断路器</t>
        </is>
      </c>
      <c r="C936" s="22" t="inlineStr">
        <is>
          <t>MT10 N1a SG 3P MIC5.0 E</t>
        </is>
      </c>
      <c r="D936" s="22" t="inlineStr">
        <is>
          <t>甲供/施耐德电气</t>
        </is>
      </c>
      <c r="E936" s="23" t="inlineStr">
        <is>
          <t>只</t>
        </is>
      </c>
      <c r="F936" s="23" t="n">
        <v>1</v>
      </c>
      <c r="G936" s="349">
        <f>IF(AND(B936="",C936=""),"",ROUND(M936*L936*N936,2))</f>
        <v/>
      </c>
      <c r="H936" s="349">
        <f>IF(AND(B936="",C936=""),"",ROUND(F936*G936,2))</f>
        <v/>
      </c>
      <c r="I936" s="45" t="inlineStr"/>
      <c r="J936" s="397">
        <f>IF(AND(B936="",C936=""),"",ROUND(M936*N936,2))</f>
        <v/>
      </c>
      <c r="K936" s="398">
        <f>IF(AND(B936="",C936=""),"",ROUND(J936*F936,2))</f>
        <v/>
      </c>
      <c r="L936" s="200" t="n">
        <v>1</v>
      </c>
      <c r="M936" s="399" t="n">
        <v>1e-07</v>
      </c>
      <c r="N936" s="154" t="n">
        <v>1</v>
      </c>
      <c r="O936" s="155">
        <f>IF(AND(B936="",C936=""),"",IF(G936&gt;=20000,0.05,IF(G936&gt;=10000,0.1,IF(G936&gt;=5000,0.2,IF(G936&gt;=1000,0.3,IF(G936&gt;=0,0.4,{0}))))))</f>
        <v/>
      </c>
      <c r="P936" s="400">
        <f>IF(AND(B936="",C936=""),"",ROUND(H936*O936,2))</f>
        <v/>
      </c>
      <c r="Q936" s="401" t="inlineStr">
        <is>
          <t>元件</t>
        </is>
      </c>
      <c r="R936" s="168" t="inlineStr"/>
      <c r="S936" s="168" t="inlineStr"/>
      <c r="T936" s="168" t="inlineStr">
        <is>
          <t>0</t>
        </is>
      </c>
      <c r="U936" s="168" t="inlineStr">
        <is>
          <t>C16F32D160</t>
        </is>
      </c>
      <c r="V936" s="402" t="n"/>
      <c r="W936" s="402" t="n"/>
      <c r="X936" s="170" t="inlineStr">
        <is>
          <t>NSX630N Mic2.3 630A 3P3D F→NSX630F MIC2.3 630 3P F→NSX630F MIC 2.3 630 3P F</t>
        </is>
      </c>
    </row>
    <row r="937" s="308">
      <c r="A937" s="64">
        <f>ROW()-ROW(A$935)</f>
        <v/>
      </c>
      <c r="B937" s="22" t="inlineStr">
        <is>
          <t>框架断路器</t>
        </is>
      </c>
      <c r="C937" s="22" t="inlineStr">
        <is>
          <t>MT12 N1a SG 3P MIC5.0 E</t>
        </is>
      </c>
      <c r="D937" s="22" t="inlineStr">
        <is>
          <t>甲供/施耐德电气</t>
        </is>
      </c>
      <c r="E937" s="23" t="inlineStr">
        <is>
          <t>只</t>
        </is>
      </c>
      <c r="F937" s="23" t="n">
        <v>1</v>
      </c>
      <c r="G937" s="349">
        <f>IF(AND(B937="",C937=""),"",ROUND(M937*L937*N937,2))</f>
        <v/>
      </c>
      <c r="H937" s="349">
        <f>IF(AND(B937="",C937=""),"",ROUND(F937*G937,2))</f>
        <v/>
      </c>
      <c r="I937" s="45" t="inlineStr"/>
      <c r="J937" s="397">
        <f>IF(AND(B937="",C937=""),"",ROUND(M937*N937,2))</f>
        <v/>
      </c>
      <c r="K937" s="398">
        <f>IF(AND(B937="",C937=""),"",ROUND(J937*F937,2))</f>
        <v/>
      </c>
      <c r="L937" s="200" t="n">
        <v>1</v>
      </c>
      <c r="M937" s="399" t="n">
        <v>1e-07</v>
      </c>
      <c r="N937" s="154" t="n">
        <v>1</v>
      </c>
      <c r="O937" s="155">
        <f>IF(AND(B937="",C937=""),"",IF(G937&gt;=20000,0.05,IF(G937&gt;=10000,0.1,IF(G937&gt;=5000,0.2,IF(G937&gt;=1000,0.3,IF(G937&gt;=0,0.4,{0}))))))</f>
        <v/>
      </c>
      <c r="P937" s="400">
        <f>IF(AND(B937="",C937=""),"",ROUND(H937*O937,2))</f>
        <v/>
      </c>
      <c r="Q937" s="401" t="inlineStr">
        <is>
          <t>元件</t>
        </is>
      </c>
      <c r="R937" s="168" t="inlineStr"/>
      <c r="S937" s="168" t="inlineStr"/>
      <c r="T937" s="168" t="inlineStr">
        <is>
          <t>0</t>
        </is>
      </c>
      <c r="U937" s="168" t="inlineStr">
        <is>
          <t>C16F32D160</t>
        </is>
      </c>
      <c r="V937" s="402" t="n"/>
      <c r="W937" s="402" t="n"/>
      <c r="X937" s="170" t="inlineStr">
        <is>
          <t>NSX630N Mic2.3 630A 3P3D F→NSX630F MIC2.3 630 3P F→NSX630F MIC 2.3 630 3P F</t>
        </is>
      </c>
    </row>
    <row r="938" s="308">
      <c r="A938" s="64">
        <f>ROW()-ROW(A$935)</f>
        <v/>
      </c>
      <c r="B938" s="22" t="inlineStr">
        <is>
          <t>电流互感器</t>
        </is>
      </c>
      <c r="C938" s="22" t="inlineStr">
        <is>
          <t>SD-0.66-80II-V 1000/5A</t>
        </is>
      </c>
      <c r="D938" s="22" t="inlineStr">
        <is>
          <t>桑迪</t>
        </is>
      </c>
      <c r="E938" s="23" t="inlineStr">
        <is>
          <t>只</t>
        </is>
      </c>
      <c r="F938" s="23" t="n">
        <v>3</v>
      </c>
      <c r="G938" s="349">
        <f>IF(AND(B938="",C938=""),"",ROUND(M938*L938*N938,2))</f>
        <v/>
      </c>
      <c r="H938" s="396">
        <f>IF(AND(B938="",C938=""),"",ROUND(F938*G938,2))</f>
        <v/>
      </c>
      <c r="I938" s="219" t="inlineStr"/>
      <c r="J938" s="397">
        <f>IF(AND(B938="",C938=""),"",ROUND(M938*N938,2))</f>
        <v/>
      </c>
      <c r="K938" s="398">
        <f>IF(AND(B938="",C938=""),"",ROUND(J938*F938,2))</f>
        <v/>
      </c>
      <c r="L938" s="200" t="n">
        <v>1</v>
      </c>
      <c r="M938" s="399" t="n">
        <v>91.65000000000001</v>
      </c>
      <c r="N938" s="154" t="n">
        <v>1</v>
      </c>
      <c r="O938" s="155">
        <f>IF(AND(B938="",C938=""),"",IF(G938&gt;=20000,0.05,IF(G938&gt;=10000,0.1,IF(G938&gt;=5000,0.2,IF(G938&gt;=1000,0.3,IF(G938&gt;=0,0.4,{0}))))))</f>
        <v/>
      </c>
      <c r="P938" s="400">
        <f>IF(AND(B938="",C938=""),"",ROUND(H938*O938,2))</f>
        <v/>
      </c>
      <c r="Q938" s="401" t="inlineStr">
        <is>
          <t>元件</t>
        </is>
      </c>
      <c r="R938" s="168" t="inlineStr"/>
      <c r="S938" s="168" t="inlineStr"/>
      <c r="T938" s="168" t="inlineStr">
        <is>
          <t>0</t>
        </is>
      </c>
      <c r="U938" s="168" t="inlineStr">
        <is>
          <t>710141426552500</t>
        </is>
      </c>
      <c r="V938" s="402" t="n"/>
      <c r="W938" s="402" t="n"/>
      <c r="X938" s="170" t="inlineStr">
        <is>
          <t>SD→SD-0.66-40II-C 400/5A→SD-0.66-30I 250/5A→SD-0.66-30I 150/5A→SD-0.66-60II-C 750/5A→SD-0.66-60II-C 600/5A→SD-0.66-30I 150/5A→SD-0.66-40II-C 400/5A→SD-0.66-100II-C 1600/5A</t>
        </is>
      </c>
    </row>
    <row r="939" s="308">
      <c r="A939" s="64">
        <f>ROW()-ROW(A$935)</f>
        <v/>
      </c>
      <c r="B939" s="22" t="inlineStr">
        <is>
          <t>电流互感器</t>
        </is>
      </c>
      <c r="C939" s="22" t="inlineStr">
        <is>
          <t>SD-0.66-80II-V 1250/5A</t>
        </is>
      </c>
      <c r="D939" s="22" t="inlineStr">
        <is>
          <t>桑迪</t>
        </is>
      </c>
      <c r="E939" s="23" t="inlineStr">
        <is>
          <t>只</t>
        </is>
      </c>
      <c r="F939" s="23" t="n">
        <v>3</v>
      </c>
      <c r="G939" s="349">
        <f>IF(AND(B939="",C939=""),"",ROUND(M939*L939*N939,2))</f>
        <v/>
      </c>
      <c r="H939" s="396">
        <f>IF(AND(B939="",C939=""),"",ROUND(F939*G939,2))</f>
        <v/>
      </c>
      <c r="I939" s="219" t="inlineStr"/>
      <c r="J939" s="397">
        <f>IF(AND(B939="",C939=""),"",ROUND(M939*N939,2))</f>
        <v/>
      </c>
      <c r="K939" s="398">
        <f>IF(AND(B939="",C939=""),"",ROUND(J939*F939,2))</f>
        <v/>
      </c>
      <c r="L939" s="200" t="n">
        <v>1</v>
      </c>
      <c r="M939" s="399" t="n">
        <v>115.7</v>
      </c>
      <c r="N939" s="154" t="n">
        <v>1</v>
      </c>
      <c r="O939" s="155">
        <f>IF(AND(B939="",C939=""),"",IF(G939&gt;=20000,0.05,IF(G939&gt;=10000,0.1,IF(G939&gt;=5000,0.2,IF(G939&gt;=1000,0.3,IF(G939&gt;=0,0.4,{0}))))))</f>
        <v/>
      </c>
      <c r="P939" s="400">
        <f>IF(AND(B939="",C939=""),"",ROUND(H939*O939,2))</f>
        <v/>
      </c>
      <c r="Q939" s="401" t="inlineStr">
        <is>
          <t>元件</t>
        </is>
      </c>
      <c r="R939" s="168" t="inlineStr"/>
      <c r="S939" s="168" t="inlineStr"/>
      <c r="T939" s="168" t="inlineStr">
        <is>
          <t>0</t>
        </is>
      </c>
      <c r="U939" s="168" t="inlineStr">
        <is>
          <t>710141426552500</t>
        </is>
      </c>
      <c r="V939" s="402" t="n"/>
      <c r="W939" s="402" t="n"/>
      <c r="X939" s="170" t="inlineStr">
        <is>
          <t>SD→SD-0.66-40II-C 400/5A→SD-0.66-30I 250/5A→SD-0.66-30I 150/5A→SD-0.66-60II-C 750/5A→SD-0.66-60II-C 600/5A→SD-0.66-30I 150/5A→SD-0.66-40II-C 400/5A→SD-0.66-100II-C 1600/5A→SD-0.66-80II-V 1000/5A</t>
        </is>
      </c>
    </row>
    <row r="940" s="308">
      <c r="A940" s="64">
        <f>ROW()-ROW(A$935)</f>
        <v/>
      </c>
      <c r="B940" s="112" t="inlineStr">
        <is>
          <t>多功能表</t>
        </is>
      </c>
      <c r="C940" s="112" t="inlineStr">
        <is>
          <t>PM4101</t>
        </is>
      </c>
      <c r="D940" s="112" t="inlineStr">
        <is>
          <t>甲供/施耐德电气</t>
        </is>
      </c>
      <c r="E940" s="114" t="inlineStr">
        <is>
          <t>只</t>
        </is>
      </c>
      <c r="F940" s="114" t="n">
        <v>2</v>
      </c>
      <c r="G940" s="396">
        <f>IF(AND(B940="",C940=""),"",ROUND(M940*L940*N940,2))</f>
        <v/>
      </c>
      <c r="H940" s="349">
        <f>IF(AND(B940="",C940=""),"",ROUND(F940*G940,2))</f>
        <v/>
      </c>
      <c r="I940" s="45" t="inlineStr"/>
      <c r="J940" s="397">
        <f>IF(AND(B940="",C940=""),"",ROUND(M940*N940,2))</f>
        <v/>
      </c>
      <c r="K940" s="398">
        <f>IF(AND(B940="",C940=""),"",ROUND(J940*F940,2))</f>
        <v/>
      </c>
      <c r="L940" s="200" t="n">
        <v>1</v>
      </c>
      <c r="M940" s="399" t="n">
        <v>1e-07</v>
      </c>
      <c r="N940" s="154" t="n">
        <v>1</v>
      </c>
      <c r="O940" s="155">
        <f>IF(AND(B940="",C940=""),"",IF(J940&gt;=20000,0.05,IF(J940&gt;=10000,0.1,IF(J940&gt;=5000,0.2,IF(J940&gt;=1000,0.3,IF(J940&gt;=0,0.4,{0}))))))</f>
        <v/>
      </c>
      <c r="P940" s="400">
        <f>IF(AND(B940="",C940=""),"",ROUND(H940*O940,2))</f>
        <v/>
      </c>
      <c r="Q940" s="401" t="inlineStr">
        <is>
          <t>元件</t>
        </is>
      </c>
      <c r="R940" s="168" t="inlineStr"/>
      <c r="S940" s="168" t="inlineStr"/>
      <c r="T940" s="168" t="inlineStr">
        <is>
          <t>0</t>
        </is>
      </c>
      <c r="U940" s="168" t="inlineStr"/>
      <c r="V940" s="402" t="n"/>
      <c r="W940" s="402" t="n"/>
      <c r="X940" s="170" t="inlineStr"/>
    </row>
    <row r="941" customFormat="1" s="3">
      <c r="A941" s="64">
        <f>ROW()-ROW(A$935)</f>
        <v/>
      </c>
      <c r="B941" s="22" t="inlineStr">
        <is>
          <t>指示灯</t>
        </is>
      </c>
      <c r="C941" s="22" t="inlineStr">
        <is>
          <t>XB2BVM3LC</t>
        </is>
      </c>
      <c r="D941" s="22" t="inlineStr">
        <is>
          <t>甲供/施耐德电气</t>
        </is>
      </c>
      <c r="E941" s="23" t="inlineStr">
        <is>
          <t>只</t>
        </is>
      </c>
      <c r="F941" s="23" t="n">
        <v>2</v>
      </c>
      <c r="G941" s="349">
        <f>IF(AND(B941="",C941=""),"",ROUND(M941*L941*N941,2))</f>
        <v/>
      </c>
      <c r="H941" s="353">
        <f>IF(AND(B941="",C941=""),"",ROUND(F941*G941,2))</f>
        <v/>
      </c>
      <c r="I941" s="180" t="inlineStr"/>
      <c r="J941" s="392">
        <f>IF(AND(B941="",C941=""),"",ROUND(M941*N941,2))</f>
        <v/>
      </c>
      <c r="K941" s="393">
        <f>IF(AND(B941="",C941=""),"",ROUND(J941*F941,2))</f>
        <v/>
      </c>
      <c r="L941" s="141" t="n">
        <v>1</v>
      </c>
      <c r="M941" s="394" t="n">
        <v>1e-07</v>
      </c>
      <c r="N941" s="220" t="n">
        <v>1</v>
      </c>
      <c r="O941" s="221">
        <f>IF(AND(B941="",C941=""),"",IF(G941&gt;=20000,0.05,IF(G941&gt;=10000,0.1,IF(G941&gt;=5000,0.2,IF(G941&gt;=1000,0.3,IF(G941&gt;=0,0.4,{0}))))))</f>
        <v/>
      </c>
      <c r="P941" s="419">
        <f>IF(AND(B941="",C941=""),"",ROUND(H941*O941,2))</f>
        <v/>
      </c>
      <c r="Q941" s="420" t="inlineStr">
        <is>
          <t>元件</t>
        </is>
      </c>
      <c r="R941" s="231" t="inlineStr"/>
      <c r="S941" s="231" t="inlineStr"/>
      <c r="T941" s="231" t="inlineStr">
        <is>
          <t>0</t>
        </is>
      </c>
      <c r="U941" s="231" t="inlineStr">
        <is>
          <t>XB2BVM3LC</t>
        </is>
      </c>
      <c r="V941" s="421" t="n"/>
      <c r="W941" s="421" t="n"/>
      <c r="X941" s="166" t="inlineStr">
        <is>
          <t>XA2EVM3LC</t>
        </is>
      </c>
    </row>
    <row r="942" customFormat="1" s="3">
      <c r="A942" s="64">
        <f>ROW()-ROW(A$935)</f>
        <v/>
      </c>
      <c r="B942" s="22" t="inlineStr">
        <is>
          <t>指示灯</t>
        </is>
      </c>
      <c r="C942" s="22" t="inlineStr">
        <is>
          <t>XB2BVM4LC</t>
        </is>
      </c>
      <c r="D942" s="22" t="inlineStr">
        <is>
          <t>甲供/施耐德电气</t>
        </is>
      </c>
      <c r="E942" s="23" t="inlineStr">
        <is>
          <t>只</t>
        </is>
      </c>
      <c r="F942" s="23" t="n">
        <v>2</v>
      </c>
      <c r="G942" s="349">
        <f>IF(AND(B942="",C942=""),"",ROUND(M942*L942*N942,2))</f>
        <v/>
      </c>
      <c r="H942" s="353">
        <f>IF(AND(B942="",C942=""),"",ROUND(F942*G942,2))</f>
        <v/>
      </c>
      <c r="I942" s="180" t="inlineStr"/>
      <c r="J942" s="392">
        <f>IF(AND(B942="",C942=""),"",ROUND(M942*N942,2))</f>
        <v/>
      </c>
      <c r="K942" s="393">
        <f>IF(AND(B942="",C942=""),"",ROUND(J942*F942,2))</f>
        <v/>
      </c>
      <c r="L942" s="141" t="n">
        <v>1</v>
      </c>
      <c r="M942" s="394" t="n">
        <v>1e-07</v>
      </c>
      <c r="N942" s="220" t="n">
        <v>1</v>
      </c>
      <c r="O942" s="221">
        <f>IF(AND(B942="",C942=""),"",IF(G942&gt;=20000,0.05,IF(G942&gt;=10000,0.1,IF(G942&gt;=5000,0.2,IF(G942&gt;=1000,0.3,IF(G942&gt;=0,0.4,{0}))))))</f>
        <v/>
      </c>
      <c r="P942" s="419">
        <f>IF(AND(B942="",C942=""),"",ROUND(H942*O942,2))</f>
        <v/>
      </c>
      <c r="Q942" s="420" t="inlineStr">
        <is>
          <t>元件</t>
        </is>
      </c>
      <c r="R942" s="231" t="inlineStr"/>
      <c r="S942" s="231" t="inlineStr"/>
      <c r="T942" s="231" t="inlineStr">
        <is>
          <t>0</t>
        </is>
      </c>
      <c r="U942" s="231" t="inlineStr">
        <is>
          <t>XB2BVM4LC</t>
        </is>
      </c>
      <c r="V942" s="421" t="n"/>
      <c r="W942" s="421" t="n"/>
      <c r="X942" s="166" t="inlineStr">
        <is>
          <t>XA2EVM4LC</t>
        </is>
      </c>
    </row>
    <row r="943" s="308">
      <c r="A943" s="64">
        <f>ROW()-ROW(A$935)</f>
        <v/>
      </c>
      <c r="B943" s="112" t="inlineStr">
        <is>
          <t>指示灯</t>
        </is>
      </c>
      <c r="C943" s="112" t="inlineStr">
        <is>
          <t>XB2BVM5LC</t>
        </is>
      </c>
      <c r="D943" s="112" t="inlineStr">
        <is>
          <t>甲供/施耐德电气</t>
        </is>
      </c>
      <c r="E943" s="114" t="inlineStr">
        <is>
          <t>只</t>
        </is>
      </c>
      <c r="F943" s="114" t="n">
        <v>2</v>
      </c>
      <c r="G943" s="396">
        <f>IF(AND(B943="",C943=""),"",ROUND(M943*L943*N943,2))</f>
        <v/>
      </c>
      <c r="H943" s="396">
        <f>IF(AND(B943="",C943=""),"",ROUND(F943*G943,2))</f>
        <v/>
      </c>
      <c r="I943" s="150" t="inlineStr"/>
      <c r="J943" s="397">
        <f>IF(AND(B943="",C943=""),"",ROUND(M943*N943,2))</f>
        <v/>
      </c>
      <c r="K943" s="398">
        <f>IF(AND(B943="",C943=""),"",ROUND(J943*F943,2))</f>
        <v/>
      </c>
      <c r="L943" s="141" t="n">
        <v>1</v>
      </c>
      <c r="M943" s="399" t="n">
        <v>1e-07</v>
      </c>
      <c r="N943" s="154" t="n">
        <v>1</v>
      </c>
      <c r="O943" s="155">
        <f>IF(AND(B943="",C943=""),"",IF(G943&gt;=20000,0.05,IF(G943&gt;=10000,0.1,IF(G943&gt;=5000,0.2,IF(G943&gt;=1000,0.3,IF(G943&gt;=0,0.4,{0}))))))</f>
        <v/>
      </c>
      <c r="P943" s="400">
        <f>IF(AND(B943="",C943=""),"",ROUND(H943*O943,2))</f>
        <v/>
      </c>
      <c r="Q943" s="401" t="inlineStr">
        <is>
          <t>元件</t>
        </is>
      </c>
      <c r="R943" s="168" t="inlineStr"/>
      <c r="S943" s="168" t="inlineStr"/>
      <c r="T943" s="168" t="inlineStr">
        <is>
          <t>0</t>
        </is>
      </c>
      <c r="U943" s="168" t="inlineStr">
        <is>
          <t>XA2EVM5LC</t>
        </is>
      </c>
      <c r="V943" s="402" t="n"/>
      <c r="W943" s="402" t="n"/>
      <c r="X943" s="170" t="inlineStr"/>
    </row>
    <row r="944" s="308">
      <c r="A944" s="64">
        <f>ROW()-ROW(A$935)</f>
        <v/>
      </c>
      <c r="B944" s="112" t="inlineStr">
        <is>
          <t>按钮</t>
        </is>
      </c>
      <c r="C944" s="112" t="inlineStr">
        <is>
          <t>XB2BA31C</t>
        </is>
      </c>
      <c r="D944" s="112" t="inlineStr">
        <is>
          <t>甲供/施耐德电气</t>
        </is>
      </c>
      <c r="E944" s="114" t="inlineStr">
        <is>
          <t>只</t>
        </is>
      </c>
      <c r="F944" s="114" t="n">
        <v>2</v>
      </c>
      <c r="G944" s="396">
        <f>IF(AND(B944="",C944=""),"",ROUND(M944*L944*N944,2))</f>
        <v/>
      </c>
      <c r="H944" s="396">
        <f>IF(AND(B944="",C944=""),"",ROUND(F944*G944,2))</f>
        <v/>
      </c>
      <c r="I944" s="150" t="inlineStr"/>
      <c r="J944" s="397">
        <f>IF(AND(B944="",C944=""),"",ROUND(M944*N944,2))</f>
        <v/>
      </c>
      <c r="K944" s="398">
        <f>IF(AND(B944="",C944=""),"",ROUND(J944*F944,2))</f>
        <v/>
      </c>
      <c r="L944" s="141" t="n">
        <v>1</v>
      </c>
      <c r="M944" s="399" t="n">
        <v>1e-07</v>
      </c>
      <c r="N944" s="154" t="n">
        <v>1</v>
      </c>
      <c r="O944" s="155">
        <f>IF(AND(B944="",C944=""),"",IF(G944&gt;=20000,0.05,IF(G944&gt;=10000,0.1,IF(G944&gt;=5000,0.2,IF(G944&gt;=1000,0.3,IF(G944&gt;=0,0.4,{0}))))))</f>
        <v/>
      </c>
      <c r="P944" s="400">
        <f>IF(AND(B944="",C944=""),"",ROUND(H944*O944,2))</f>
        <v/>
      </c>
      <c r="Q944" s="401" t="inlineStr">
        <is>
          <t>元件</t>
        </is>
      </c>
      <c r="R944" s="168" t="inlineStr"/>
      <c r="S944" s="168" t="inlineStr"/>
      <c r="T944" s="168" t="inlineStr">
        <is>
          <t>0</t>
        </is>
      </c>
      <c r="U944" s="168" t="inlineStr">
        <is>
          <t>XB2BA31C</t>
        </is>
      </c>
      <c r="V944" s="402" t="n"/>
      <c r="W944" s="402" t="n"/>
      <c r="X944" s="170" t="inlineStr">
        <is>
          <t>XA2EA31</t>
        </is>
      </c>
    </row>
    <row r="945" s="308">
      <c r="A945" s="64">
        <f>ROW()-ROW(A$935)</f>
        <v/>
      </c>
      <c r="B945" s="22" t="inlineStr">
        <is>
          <t>按钮</t>
        </is>
      </c>
      <c r="C945" s="22" t="inlineStr">
        <is>
          <t>XB2BA42C</t>
        </is>
      </c>
      <c r="D945" s="22" t="inlineStr">
        <is>
          <t>甲供/施耐德电气</t>
        </is>
      </c>
      <c r="E945" s="23" t="inlineStr">
        <is>
          <t>只</t>
        </is>
      </c>
      <c r="F945" s="23" t="n">
        <v>2</v>
      </c>
      <c r="G945" s="349">
        <f>IF(AND(B945="",C945=""),"",ROUND(M945*L945*N945,2))</f>
        <v/>
      </c>
      <c r="H945" s="396">
        <f>IF(AND(B945="",C945=""),"",ROUND(F945*G945,2))</f>
        <v/>
      </c>
      <c r="I945" s="150" t="inlineStr"/>
      <c r="J945" s="397">
        <f>IF(AND(B945="",C945=""),"",ROUND(M945*N945,2))</f>
        <v/>
      </c>
      <c r="K945" s="398">
        <f>IF(AND(B945="",C945=""),"",ROUND(J945*F945,2))</f>
        <v/>
      </c>
      <c r="L945" s="141" t="n">
        <v>1</v>
      </c>
      <c r="M945" s="399" t="n">
        <v>1e-07</v>
      </c>
      <c r="N945" s="154" t="n">
        <v>1</v>
      </c>
      <c r="O945" s="155">
        <f>IF(AND(B945="",C945=""),"",IF(G945&gt;=20000,0.05,IF(G945&gt;=10000,0.1,IF(G945&gt;=5000,0.2,IF(G945&gt;=1000,0.3,IF(G945&gt;=0,0.4,{0}))))))</f>
        <v/>
      </c>
      <c r="P945" s="400">
        <f>IF(AND(B945="",C945=""),"",ROUND(H945*O945,2))</f>
        <v/>
      </c>
      <c r="Q945" s="401" t="inlineStr">
        <is>
          <t>元件</t>
        </is>
      </c>
      <c r="R945" s="168" t="inlineStr"/>
      <c r="S945" s="168" t="inlineStr"/>
      <c r="T945" s="168" t="inlineStr">
        <is>
          <t>0</t>
        </is>
      </c>
      <c r="U945" s="168" t="inlineStr">
        <is>
          <t>XB2BA42C</t>
        </is>
      </c>
      <c r="V945" s="402" t="n"/>
      <c r="W945" s="402" t="n"/>
      <c r="X945" s="170" t="inlineStr">
        <is>
          <t>XA2EA41</t>
        </is>
      </c>
    </row>
    <row r="946" s="308">
      <c r="A946" s="64">
        <f>ROW()-ROW(A$935)</f>
        <v/>
      </c>
      <c r="B946" s="112" t="inlineStr">
        <is>
          <t>温湿度控制器</t>
        </is>
      </c>
      <c r="C946" s="112" t="inlineStr">
        <is>
          <t>ATH48G-11</t>
        </is>
      </c>
      <c r="D946" s="22" t="inlineStr">
        <is>
          <t>杭州安廷</t>
        </is>
      </c>
      <c r="E946" s="23" t="inlineStr">
        <is>
          <t>套</t>
        </is>
      </c>
      <c r="F946" s="23" t="n">
        <v>1</v>
      </c>
      <c r="G946" s="349">
        <f>IF(AND(B946="",C946=""),"",ROUND(M946*L946*N946,2))</f>
        <v/>
      </c>
      <c r="H946" s="396">
        <f>IF(AND(B946="",C946=""),"",ROUND(F946*G946,2))</f>
        <v/>
      </c>
      <c r="I946" s="150" t="inlineStr"/>
      <c r="J946" s="397">
        <f>IF(AND(B946="",C946=""),"",ROUND(M946*N946,2))</f>
        <v/>
      </c>
      <c r="K946" s="398">
        <f>IF(AND(B946="",C946=""),"",ROUND(J946*F946,2))</f>
        <v/>
      </c>
      <c r="L946" s="141" t="n">
        <v>1</v>
      </c>
      <c r="M946" s="399" t="n">
        <v>450</v>
      </c>
      <c r="N946" s="154" t="n">
        <v>1</v>
      </c>
      <c r="O946" s="155">
        <f>IF(AND(B946="",C946=""),"",IF(G946&gt;=20000,0.05,IF(G946&gt;=10000,0.1,IF(G946&gt;=5000,0.2,IF(G946&gt;=1000,0.3,IF(G946&gt;=0,0.4,{0}))))))</f>
        <v/>
      </c>
      <c r="P946" s="400">
        <f>IF(AND(B946="",C946=""),"",ROUND(H946*O946,2))</f>
        <v/>
      </c>
      <c r="Q946" s="401" t="inlineStr">
        <is>
          <t>元件</t>
        </is>
      </c>
      <c r="R946" s="168" t="inlineStr"/>
      <c r="S946" s="168" t="inlineStr"/>
      <c r="T946" s="168" t="inlineStr">
        <is>
          <t>0</t>
        </is>
      </c>
      <c r="U946" s="168" t="inlineStr"/>
      <c r="V946" s="402" t="n"/>
      <c r="W946" s="402" t="n"/>
      <c r="X946" s="170" t="inlineStr"/>
    </row>
    <row r="947" s="308">
      <c r="A947" s="64">
        <f>ROW()-ROW(A$935)</f>
        <v/>
      </c>
      <c r="B947" s="22" t="inlineStr">
        <is>
          <t>中间继电器</t>
        </is>
      </c>
      <c r="C947" s="22" t="inlineStr">
        <is>
          <t>RXM4AB2P7+RXZE2S114M+RXZ400</t>
        </is>
      </c>
      <c r="D947" s="22" t="inlineStr">
        <is>
          <t>甲供/施耐德电气</t>
        </is>
      </c>
      <c r="E947" s="23" t="inlineStr">
        <is>
          <t>只</t>
        </is>
      </c>
      <c r="F947" s="23" t="n">
        <v>4</v>
      </c>
      <c r="G947" s="349">
        <f>IF(AND(B947="",C947=""),"",ROUND(M947*L947*N947,2))</f>
        <v/>
      </c>
      <c r="H947" s="349">
        <f>IF(AND(B947="",C947=""),"",ROUND(F947*G947,2))</f>
        <v/>
      </c>
      <c r="I947" s="45" t="inlineStr"/>
      <c r="J947" s="397">
        <f>IF(AND(B947="",C947=""),"",ROUND(M947*N947,2))</f>
        <v/>
      </c>
      <c r="K947" s="398">
        <f>IF(AND(B947="",C947=""),"",ROUND(J947*F947,2))</f>
        <v/>
      </c>
      <c r="L947" s="141" t="n">
        <v>1</v>
      </c>
      <c r="M947" s="399" t="n">
        <v>1e-07</v>
      </c>
      <c r="N947" s="154" t="n">
        <v>1</v>
      </c>
      <c r="O947" s="155">
        <f>IF(AND(B947="",C947=""),"",IF(G947&gt;=20000,0.05,IF(G947&gt;=10000,0.1,IF(G947&gt;=5000,0.2,IF(G947&gt;=1000,0.3,IF(G947&gt;=0,0.4,{0}))))))</f>
        <v/>
      </c>
      <c r="P947" s="400">
        <f>IF(AND(B947="",C947=""),"",ROUND(H947*O947,2))</f>
        <v/>
      </c>
      <c r="Q947" s="401" t="inlineStr">
        <is>
          <t>元件</t>
        </is>
      </c>
      <c r="R947" s="168" t="inlineStr"/>
      <c r="S947" s="168" t="inlineStr"/>
      <c r="T947" s="168" t="inlineStr">
        <is>
          <t>0</t>
        </is>
      </c>
      <c r="U947" s="168" t="inlineStr">
        <is>
          <t>RXM4AB2P7+RXZE2S114M+RXZ400</t>
        </is>
      </c>
      <c r="V947" s="402" t="n"/>
      <c r="W947" s="402" t="n"/>
      <c r="X947" s="170" t="inlineStr">
        <is>
          <t>REL-IR-BL/L-230AC/4X21，含底座→RXM4AB2P7+RXZE2S114M+RXZ400→REL-IR-BL/L-230AC/4X21，含底座</t>
        </is>
      </c>
    </row>
    <row r="948" customFormat="1" s="3">
      <c r="A948" s="64">
        <f>ROW()-ROW(A$935)</f>
        <v/>
      </c>
      <c r="B948" s="22" t="inlineStr">
        <is>
          <t>带熔丝端子</t>
        </is>
      </c>
      <c r="C948" s="22" t="inlineStr">
        <is>
          <t>UK 5-HESI</t>
        </is>
      </c>
      <c r="D948" s="22" t="inlineStr">
        <is>
          <t>菲尼克斯</t>
        </is>
      </c>
      <c r="E948" s="23" t="inlineStr">
        <is>
          <t>只</t>
        </is>
      </c>
      <c r="F948" s="23" t="n">
        <v>8</v>
      </c>
      <c r="G948" s="349">
        <f>IF(AND(B948="",C948=""),"",ROUND(M948*L948*N948,2))</f>
        <v/>
      </c>
      <c r="H948" s="349">
        <f>IF(AND(B948="",C948=""),"",ROUND(F948*G948,2))</f>
        <v/>
      </c>
      <c r="I948" s="45" t="inlineStr"/>
      <c r="J948" s="392">
        <f>IF(AND(B948="",C948=""),"",ROUND(M948*N948,2))</f>
        <v/>
      </c>
      <c r="K948" s="393">
        <f>IF(AND(B948="",C948=""),"",ROUND(J948*F948,2))</f>
        <v/>
      </c>
      <c r="L948" s="141" t="n">
        <v>1</v>
      </c>
      <c r="M948" s="394" t="n">
        <v>7</v>
      </c>
      <c r="N948" s="220" t="n">
        <v>1</v>
      </c>
      <c r="O948" s="221">
        <f>IF(AND(B948="",C948=""),"",IF(G948&gt;=20000,0.05,IF(G948&gt;=10000,0.1,IF(G948&gt;=5000,0.2,IF(G948&gt;=1000,0.3,IF(G948&gt;=0,0.4,{0}))))))</f>
        <v/>
      </c>
      <c r="P948" s="419">
        <f>IF(AND(B948="",C948=""),"",ROUND(H948*O948,2))</f>
        <v/>
      </c>
      <c r="Q948" s="420" t="inlineStr">
        <is>
          <t>元件</t>
        </is>
      </c>
      <c r="R948" s="231" t="inlineStr"/>
      <c r="S948" s="231" t="inlineStr"/>
      <c r="T948" s="231" t="inlineStr">
        <is>
          <t>0</t>
        </is>
      </c>
      <c r="U948" s="231" t="inlineStr">
        <is>
          <t>True</t>
        </is>
      </c>
      <c r="V948" s="421" t="n"/>
      <c r="W948" s="421" t="n"/>
      <c r="X948" s="166" t="inlineStr"/>
    </row>
    <row r="949" s="308">
      <c r="A949" s="64">
        <f>ROW()-ROW(A$935)</f>
        <v/>
      </c>
      <c r="B949" s="22" t="inlineStr">
        <is>
          <t>水平母排</t>
        </is>
      </c>
      <c r="C949" s="22" t="inlineStr">
        <is>
          <t>TMY 4*(4*150*5)+2*50*5</t>
        </is>
      </c>
      <c r="D949" s="22" t="inlineStr">
        <is>
          <t>国产优质</t>
        </is>
      </c>
      <c r="E949" s="23" t="inlineStr">
        <is>
          <t>米</t>
        </is>
      </c>
      <c r="F949" s="23" t="n">
        <v>0.5</v>
      </c>
      <c r="G949" s="349">
        <f>IF(AND(B949="",C949=""),"",ROUND(M949*L949*N949,2))</f>
        <v/>
      </c>
      <c r="H949" s="349">
        <f>IF(AND(B949="",C949=""),"",ROUND(F949*G949,2))</f>
        <v/>
      </c>
      <c r="I949" s="45" t="inlineStr"/>
      <c r="J949" s="397">
        <f>IF(AND(B949="",C949=""),"",ROUND(M949*N949,2))</f>
        <v/>
      </c>
      <c r="K949" s="398">
        <f>IF(AND(B949="",C949=""),"",ROUND(J949*F949,2))</f>
        <v/>
      </c>
      <c r="L949" s="200" t="n">
        <v>1</v>
      </c>
      <c r="M949" s="399" t="n">
        <v>12026.68125</v>
      </c>
      <c r="N949" s="154">
        <f>(6317.932*1*1+2684.8*1*1)/9002.732</f>
        <v/>
      </c>
      <c r="O949" s="155">
        <f>IF(AND(B949="",C949=""),"",IF(J949&gt;=20000,0.05,IF(J949&gt;=10000,0.1,IF(J949&gt;=5000,0.2,IF(J949&gt;=1000,0.3,IF(J949&gt;=0,0.4,{0}))))))</f>
        <v/>
      </c>
      <c r="P949" s="400">
        <f>IF(AND(B949="",C949=""),"",ROUND(H949*O949,2))</f>
        <v/>
      </c>
      <c r="Q949" s="401" t="inlineStr">
        <is>
          <t>母排</t>
        </is>
      </c>
      <c r="R949" s="168" t="inlineStr"/>
      <c r="S949" s="168" t="inlineStr"/>
      <c r="T949" s="168" t="inlineStr">
        <is>
          <t>0</t>
        </is>
      </c>
      <c r="U949" s="168" t="inlineStr"/>
      <c r="V949" s="402" t="n"/>
      <c r="W949" s="402" t="n"/>
      <c r="X949" s="170" t="inlineStr"/>
    </row>
    <row r="950" customFormat="1" s="5">
      <c r="A950" s="64">
        <f>ROW()-ROW(A$935)</f>
        <v/>
      </c>
      <c r="B950" s="22" t="inlineStr">
        <is>
          <t>桩头排</t>
        </is>
      </c>
      <c r="C950" s="22" t="inlineStr">
        <is>
          <t>TMY 3*80*5</t>
        </is>
      </c>
      <c r="D950" s="22" t="inlineStr">
        <is>
          <t>国产优质</t>
        </is>
      </c>
      <c r="E950" s="23" t="inlineStr">
        <is>
          <t>米</t>
        </is>
      </c>
      <c r="F950" s="23" t="n">
        <v>1.5</v>
      </c>
      <c r="G950" s="349">
        <f>IF(AND(B950="",C950=""),"",ROUND(M950*L950*N950,2))</f>
        <v/>
      </c>
      <c r="H950" s="349">
        <f>IF(AND(B950="",C950=""),"",ROUND(F950*G950,2))</f>
        <v/>
      </c>
      <c r="I950" s="45" t="inlineStr"/>
      <c r="J950" s="422">
        <f>IF(AND(B950="",C950=""),"",ROUND(M950*N950,2))</f>
        <v/>
      </c>
      <c r="K950" s="423">
        <f>IF(AND(B950="",C950=""),"",ROUND(J950*F950,2))</f>
        <v/>
      </c>
      <c r="L950" s="225" t="n">
        <v>1</v>
      </c>
      <c r="M950" s="424" t="n">
        <v>1154.5614</v>
      </c>
      <c r="N950" s="227" t="n">
        <v>1</v>
      </c>
      <c r="O950" s="228">
        <f>IF(AND(B950="",C950=""),"",IF(G950&gt;=20000,0.05,IF(G950&gt;=10000,0.1,IF(G950&gt;=5000,0.2,IF(G950&gt;=1000,0.3,IF(G950&gt;=0,0.4,{0}))))))</f>
        <v/>
      </c>
      <c r="P950" s="425">
        <f>IF(AND(B950="",C950=""),"",ROUND(H950*O950,2))</f>
        <v/>
      </c>
      <c r="Q950" s="426" t="inlineStr">
        <is>
          <t>母排</t>
        </is>
      </c>
      <c r="R950" s="234" t="inlineStr"/>
      <c r="S950" s="234" t="inlineStr"/>
      <c r="T950" s="235" t="inlineStr">
        <is>
          <t>0</t>
        </is>
      </c>
      <c r="U950" s="235" t="inlineStr"/>
      <c r="V950" s="427" t="n"/>
      <c r="W950" s="427" t="n"/>
      <c r="X950" s="237" t="inlineStr">
        <is>
          <t>TMY 2*30*5→TMY 30*8</t>
        </is>
      </c>
    </row>
    <row r="951" customFormat="1" s="5">
      <c r="A951" s="64">
        <f>ROW()-ROW(A$935)</f>
        <v/>
      </c>
      <c r="B951" s="22" t="inlineStr">
        <is>
          <t>桩头排</t>
        </is>
      </c>
      <c r="C951" s="22" t="inlineStr">
        <is>
          <t>TMY 3*2*80*5</t>
        </is>
      </c>
      <c r="D951" s="22" t="inlineStr">
        <is>
          <t>国产优质</t>
        </is>
      </c>
      <c r="E951" s="23" t="inlineStr">
        <is>
          <t>米</t>
        </is>
      </c>
      <c r="F951" s="23" t="n">
        <v>1.5</v>
      </c>
      <c r="G951" s="349">
        <f>IF(AND(B951="",C951=""),"",ROUND(M951*L951*N951,2))</f>
        <v/>
      </c>
      <c r="H951" s="349">
        <f>IF(AND(B951="",C951=""),"",ROUND(F951*G951,2))</f>
        <v/>
      </c>
      <c r="I951" s="45" t="inlineStr"/>
      <c r="J951" s="422">
        <f>IF(AND(B951="",C951=""),"",ROUND(M951*N951,2))</f>
        <v/>
      </c>
      <c r="K951" s="423">
        <f>IF(AND(B951="",C951=""),"",ROUND(J951*F951,2))</f>
        <v/>
      </c>
      <c r="L951" s="225" t="n">
        <v>1</v>
      </c>
      <c r="M951" s="424" t="n">
        <v>2309.1228</v>
      </c>
      <c r="N951" s="227" t="n">
        <v>1</v>
      </c>
      <c r="O951" s="228">
        <f>IF(AND(B951="",C951=""),"",IF(G951&gt;=20000,0.05,IF(G951&gt;=10000,0.1,IF(G951&gt;=5000,0.2,IF(G951&gt;=1000,0.3,IF(G951&gt;=0,0.4,{0}))))))</f>
        <v/>
      </c>
      <c r="P951" s="425">
        <f>IF(AND(B951="",C951=""),"",ROUND(H951*O951,2))</f>
        <v/>
      </c>
      <c r="Q951" s="426" t="inlineStr">
        <is>
          <t>母排</t>
        </is>
      </c>
      <c r="R951" s="234" t="inlineStr"/>
      <c r="S951" s="234" t="inlineStr"/>
      <c r="T951" s="235" t="inlineStr">
        <is>
          <t>0</t>
        </is>
      </c>
      <c r="U951" s="235" t="inlineStr"/>
      <c r="V951" s="427" t="n"/>
      <c r="W951" s="427" t="n"/>
      <c r="X951" s="237" t="inlineStr">
        <is>
          <t>TMY 2*30*5→TMY 30*8</t>
        </is>
      </c>
    </row>
    <row r="952" customFormat="1" s="5">
      <c r="A952" s="64">
        <f>ROW()-ROW(A$935)</f>
        <v/>
      </c>
      <c r="B952" s="22" t="inlineStr">
        <is>
          <t>垂直排</t>
        </is>
      </c>
      <c r="C952" s="22" t="inlineStr">
        <is>
          <t>TMY 3*80*5</t>
        </is>
      </c>
      <c r="D952" s="22" t="inlineStr">
        <is>
          <t>国产优质</t>
        </is>
      </c>
      <c r="E952" s="23" t="inlineStr">
        <is>
          <t>米</t>
        </is>
      </c>
      <c r="F952" s="23" t="n">
        <v>2</v>
      </c>
      <c r="G952" s="349">
        <f>IF(AND(B952="",C952=""),"",ROUND(M952*L952*N952,2))</f>
        <v/>
      </c>
      <c r="H952" s="349">
        <f>IF(AND(B952="",C952=""),"",ROUND(F952*G952,2))</f>
        <v/>
      </c>
      <c r="I952" s="45" t="inlineStr"/>
      <c r="J952" s="422">
        <f>IF(AND(B952="",C952=""),"",ROUND(M952*N952,2))</f>
        <v/>
      </c>
      <c r="K952" s="423">
        <f>IF(AND(B952="",C952=""),"",ROUND(J952*F952,2))</f>
        <v/>
      </c>
      <c r="L952" s="225" t="n">
        <v>1</v>
      </c>
      <c r="M952" s="424" t="n">
        <v>1154.5614</v>
      </c>
      <c r="N952" s="227" t="n">
        <v>1</v>
      </c>
      <c r="O952" s="228">
        <f>IF(AND(B952="",C952=""),"",IF(G952&gt;=20000,0.05,IF(G952&gt;=10000,0.1,IF(G952&gt;=5000,0.2,IF(G952&gt;=1000,0.3,IF(G952&gt;=0,0.4,{0}))))))</f>
        <v/>
      </c>
      <c r="P952" s="425">
        <f>IF(AND(B952="",C952=""),"",ROUND(H952*O952,2))</f>
        <v/>
      </c>
      <c r="Q952" s="426" t="inlineStr">
        <is>
          <t>母排</t>
        </is>
      </c>
      <c r="R952" s="234" t="inlineStr"/>
      <c r="S952" s="234" t="inlineStr"/>
      <c r="T952" s="235" t="inlineStr">
        <is>
          <t>0</t>
        </is>
      </c>
      <c r="U952" s="235" t="inlineStr"/>
      <c r="V952" s="427" t="n"/>
      <c r="W952" s="427" t="n"/>
      <c r="X952" s="237" t="inlineStr">
        <is>
          <t>TMY 2*30*5→TMY 30*8</t>
        </is>
      </c>
    </row>
    <row r="953" customFormat="1" s="5">
      <c r="A953" s="64">
        <f>ROW()-ROW(A$935)</f>
        <v/>
      </c>
      <c r="B953" s="22" t="inlineStr">
        <is>
          <t>N排</t>
        </is>
      </c>
      <c r="C953" s="22" t="inlineStr">
        <is>
          <t>TMY 3*80*5</t>
        </is>
      </c>
      <c r="D953" s="22" t="inlineStr">
        <is>
          <t>国产优质</t>
        </is>
      </c>
      <c r="E953" s="23" t="inlineStr">
        <is>
          <t>米</t>
        </is>
      </c>
      <c r="F953" s="23" t="n">
        <v>3</v>
      </c>
      <c r="G953" s="349">
        <f>IF(AND(B953="",C953=""),"",ROUND(M953*L953*N953,2))</f>
        <v/>
      </c>
      <c r="H953" s="349">
        <f>IF(AND(B953="",C953=""),"",ROUND(F953*G953,2))</f>
        <v/>
      </c>
      <c r="I953" s="45" t="inlineStr"/>
      <c r="J953" s="422">
        <f>IF(AND(B953="",C953=""),"",ROUND(M953*N953,2))</f>
        <v/>
      </c>
      <c r="K953" s="423">
        <f>IF(AND(B953="",C953=""),"",ROUND(J953*F953,2))</f>
        <v/>
      </c>
      <c r="L953" s="225" t="n">
        <v>1</v>
      </c>
      <c r="M953" s="424" t="n">
        <v>1154.5614</v>
      </c>
      <c r="N953" s="227" t="n">
        <v>1</v>
      </c>
      <c r="O953" s="228">
        <f>IF(AND(B953="",C953=""),"",IF(G953&gt;=20000,0.05,IF(G953&gt;=10000,0.1,IF(G953&gt;=5000,0.2,IF(G953&gt;=1000,0.3,IF(G953&gt;=0,0.4,{0}))))))</f>
        <v/>
      </c>
      <c r="P953" s="425">
        <f>IF(AND(B953="",C953=""),"",ROUND(H953*O953,2))</f>
        <v/>
      </c>
      <c r="Q953" s="426" t="inlineStr">
        <is>
          <t>母排</t>
        </is>
      </c>
      <c r="R953" s="234" t="inlineStr"/>
      <c r="S953" s="234" t="inlineStr"/>
      <c r="T953" s="235" t="inlineStr">
        <is>
          <t>0</t>
        </is>
      </c>
      <c r="U953" s="235" t="inlineStr"/>
      <c r="V953" s="427" t="n"/>
      <c r="W953" s="427" t="n"/>
      <c r="X953" s="237" t="inlineStr">
        <is>
          <t>TMY 2*30*5→TMY 30*8</t>
        </is>
      </c>
    </row>
    <row r="954" customFormat="1" s="5">
      <c r="A954" s="64">
        <f>ROW()-ROW(A$935)</f>
        <v/>
      </c>
      <c r="B954" s="22" t="inlineStr">
        <is>
          <t>PE排</t>
        </is>
      </c>
      <c r="C954" s="22" t="inlineStr">
        <is>
          <t>TMY 2*50*5</t>
        </is>
      </c>
      <c r="D954" s="22" t="inlineStr">
        <is>
          <t>国产优质</t>
        </is>
      </c>
      <c r="E954" s="23" t="inlineStr">
        <is>
          <t>米</t>
        </is>
      </c>
      <c r="F954" s="23" t="n">
        <v>2</v>
      </c>
      <c r="G954" s="349">
        <f>IF(AND(B954="",C954=""),"",ROUND(M954*L954*N954,2))</f>
        <v/>
      </c>
      <c r="H954" s="349">
        <f>IF(AND(B954="",C954=""),"",ROUND(F954*G954,2))</f>
        <v/>
      </c>
      <c r="I954" s="45" t="inlineStr"/>
      <c r="J954" s="422">
        <f>IF(AND(B954="",C954=""),"",ROUND(M954*N954,2))</f>
        <v/>
      </c>
      <c r="K954" s="423">
        <f>IF(AND(B954="",C954=""),"",ROUND(J954*F954,2))</f>
        <v/>
      </c>
      <c r="L954" s="225" t="n">
        <v>1</v>
      </c>
      <c r="M954" s="424" t="n">
        <v>481.06725</v>
      </c>
      <c r="N954" s="227" t="n">
        <v>1</v>
      </c>
      <c r="O954" s="228">
        <f>IF(AND(B954="",C954=""),"",IF(G954&gt;=20000,0.05,IF(G954&gt;=10000,0.1,IF(G954&gt;=5000,0.2,IF(G954&gt;=1000,0.3,IF(G954&gt;=0,0.4,{0}))))))</f>
        <v/>
      </c>
      <c r="P954" s="425">
        <f>IF(AND(B954="",C954=""),"",ROUND(H954*O954,2))</f>
        <v/>
      </c>
      <c r="Q954" s="426" t="inlineStr">
        <is>
          <t>母排</t>
        </is>
      </c>
      <c r="R954" s="234" t="inlineStr"/>
      <c r="S954" s="234" t="inlineStr"/>
      <c r="T954" s="235" t="inlineStr">
        <is>
          <t>0</t>
        </is>
      </c>
      <c r="U954" s="235" t="inlineStr"/>
      <c r="V954" s="427" t="n"/>
      <c r="W954" s="427" t="n"/>
      <c r="X954" s="237" t="inlineStr">
        <is>
          <t>TMY 2*30*5→TMY 30*8</t>
        </is>
      </c>
    </row>
    <row r="955" s="308">
      <c r="A955" s="64">
        <f>ROW()-ROW(A$935)</f>
        <v/>
      </c>
      <c r="B955" s="112" t="inlineStr">
        <is>
          <t>辅料</t>
        </is>
      </c>
      <c r="C955" s="112" t="inlineStr"/>
      <c r="D955" s="112" t="inlineStr"/>
      <c r="E955" s="114" t="inlineStr">
        <is>
          <t>套</t>
        </is>
      </c>
      <c r="F955" s="114" t="n">
        <v>1</v>
      </c>
      <c r="G955" s="396">
        <f>IF(AND(B955="",C955=""),"",ROUND(M955*L955*N955,2))</f>
        <v/>
      </c>
      <c r="H955" s="396">
        <f>IF(AND(B955="",C955=""),"",ROUND(F955*G955,2))</f>
        <v/>
      </c>
      <c r="I955" s="219" t="inlineStr"/>
      <c r="J955" s="397">
        <f>IF(AND(B955="",C955=""),"",ROUND(M955*N955,2))</f>
        <v/>
      </c>
      <c r="K955" s="398">
        <f>IF(AND(B955="",C955=""),"",ROUND(J955*F955,2))</f>
        <v/>
      </c>
      <c r="L955" s="200" t="n">
        <v>1</v>
      </c>
      <c r="M955" s="399" t="n">
        <v>800</v>
      </c>
      <c r="N955" s="154" t="n">
        <v>1</v>
      </c>
      <c r="O955" s="155">
        <f>IF(AND(B955="",C955=""),"",IF(G955&gt;=20000,0.05,IF(G955&gt;=10000,0.1,IF(G955&gt;=5000,0.2,IF(G955&gt;=1000,0.3,IF(G955&gt;=0,0.4,{0}))))))</f>
        <v/>
      </c>
      <c r="P955" s="400">
        <f>IF(AND(B955="",C955=""),"",ROUND(H955*O955,2))</f>
        <v/>
      </c>
      <c r="Q955" s="401" t="inlineStr">
        <is>
          <t>辅料</t>
        </is>
      </c>
      <c r="R955" s="168" t="inlineStr"/>
      <c r="S955" s="168" t="inlineStr"/>
      <c r="T955" s="168" t="inlineStr">
        <is>
          <t>0</t>
        </is>
      </c>
      <c r="U955" s="168" t="inlineStr"/>
      <c r="V955" s="402" t="n"/>
      <c r="W955" s="402" t="n"/>
      <c r="X955" s="170" t="inlineStr"/>
    </row>
    <row r="956" s="308">
      <c r="A956" s="64">
        <f>ROW()-ROW(A$935)</f>
        <v/>
      </c>
      <c r="B956" s="112" t="inlineStr">
        <is>
          <t>柜体Blokset</t>
        </is>
      </c>
      <c r="C956" s="22" t="inlineStr">
        <is>
          <t>400W*1200D*2200H</t>
        </is>
      </c>
      <c r="D956" s="112" t="inlineStr">
        <is>
          <t>清科</t>
        </is>
      </c>
      <c r="E956" s="114" t="inlineStr">
        <is>
          <t>台</t>
        </is>
      </c>
      <c r="F956" s="114" t="n">
        <v>1</v>
      </c>
      <c r="G956" s="396">
        <f>IF(AND(B956="",C956=""),"",ROUND(M956*L956*N956,2))</f>
        <v/>
      </c>
      <c r="H956" s="396">
        <f>IF(AND(B956="",C956=""),"",ROUND(F956*G956,2))</f>
        <v/>
      </c>
      <c r="I956" s="219" t="inlineStr"/>
      <c r="J956" s="397">
        <f>IF(AND(B956="",C956=""),"",ROUND(M956*N956,2))</f>
        <v/>
      </c>
      <c r="K956" s="398">
        <f>IF(AND(B956="",C956=""),"",ROUND(J956*F956,2))</f>
        <v/>
      </c>
      <c r="L956" s="200" t="n">
        <v>1</v>
      </c>
      <c r="M956" s="399" t="n">
        <v>4916</v>
      </c>
      <c r="N956" s="154" t="n">
        <v>1</v>
      </c>
      <c r="O956" s="155">
        <f>IF(AND(B956="",C956=""),"",IF(G956&gt;=20000,0.05,IF(G956&gt;=10000,0.1,IF(G956&gt;=5000,0.2,IF(G956&gt;=1000,0.3,IF(G956&gt;=0,0.4,{0}))))))</f>
        <v/>
      </c>
      <c r="P956" s="400">
        <f>IF(AND(B956="",C956=""),"",ROUND(H956*O956,2))</f>
        <v/>
      </c>
      <c r="Q956" s="401" t="inlineStr">
        <is>
          <t>箱体</t>
        </is>
      </c>
      <c r="R956" s="168" t="inlineStr"/>
      <c r="S956" s="168" t="inlineStr"/>
      <c r="T956" s="168" t="inlineStr">
        <is>
          <t>0</t>
        </is>
      </c>
      <c r="U956" s="168" t="inlineStr"/>
      <c r="V956" s="402" t="n"/>
      <c r="W956" s="402" t="n"/>
      <c r="X956" s="170" t="inlineStr">
        <is>
          <t>BlokSeT</t>
        </is>
      </c>
    </row>
    <row r="957" s="308">
      <c r="A957" s="64">
        <f>ROW()-ROW(A$935)</f>
        <v/>
      </c>
      <c r="B957" s="22" t="inlineStr"/>
      <c r="C957" s="22" t="inlineStr"/>
      <c r="D957" s="22" t="inlineStr"/>
      <c r="E957" s="23" t="n"/>
      <c r="F957" s="23">
        <f>IF(AND(B957="",C957=""),"",1)</f>
        <v/>
      </c>
      <c r="G957" s="349">
        <f>IF(AND(B957="",C957=""),"",ROUND(M957*L957*N957,2))</f>
        <v/>
      </c>
      <c r="H957" s="349">
        <f>IF(AND(B957="",C957=""),"",ROUND(F957*G957,2))</f>
        <v/>
      </c>
      <c r="I957" s="45" t="inlineStr"/>
      <c r="J957" s="397">
        <f>IF(AND(B957="",C957=""),"",ROUND(M957*N957,2))</f>
        <v/>
      </c>
      <c r="K957" s="398">
        <f>IF(AND(B957="",C957=""),"",ROUND(J957*F957,2))</f>
        <v/>
      </c>
      <c r="L957" s="200">
        <f>IF(AND(B957="",C957=""),"",1)</f>
        <v/>
      </c>
      <c r="M957" s="399" t="n"/>
      <c r="N957" s="154">
        <f>IF(AND(B957="",C957=""),"",1)</f>
        <v/>
      </c>
      <c r="O957" s="155">
        <f>IF(AND(B957="",C957=""),"",IF(J957&gt;=20000,0.05,IF(J957&gt;=10000,0.1,IF(J957&gt;=5000,0.2,IF(J957&gt;=1000,0.3,IF(J957&gt;=0,0.4,{0}))))))</f>
        <v/>
      </c>
      <c r="P957" s="400">
        <f>IF(AND(B957="",C957=""),"",ROUND(H957*O957,2))</f>
        <v/>
      </c>
      <c r="Q957" s="401">
        <f>IF(AND(B957="",C957=""),"","元件")</f>
        <v/>
      </c>
      <c r="R957" s="168" t="inlineStr"/>
      <c r="S957" s="168" t="inlineStr"/>
      <c r="T957" s="168" t="inlineStr"/>
      <c r="U957" s="168" t="inlineStr"/>
      <c r="V957" s="402" t="n"/>
      <c r="W957" s="402" t="n"/>
      <c r="X957" s="170" t="inlineStr"/>
    </row>
    <row r="958" s="308">
      <c r="A958" s="64">
        <f>ROW()-ROW(A$935)</f>
        <v/>
      </c>
      <c r="B958" s="171" t="inlineStr">
        <is>
          <t>小计</t>
        </is>
      </c>
      <c r="C958" s="172" t="n"/>
      <c r="D958" s="204" t="n"/>
      <c r="E958" s="114" t="n"/>
      <c r="F958" s="114" t="n"/>
      <c r="G958" s="396" t="n"/>
      <c r="H958" s="396">
        <f>ROUND(SUM(H935:INDEX(H:H,ROW()-1)),2)</f>
        <v/>
      </c>
      <c r="I958" s="45" t="inlineStr"/>
      <c r="J958" s="397" t="n"/>
      <c r="K958" s="398">
        <f>ROUND(SUM(K935:INDEX(K:K,ROW()-1)),2)</f>
        <v/>
      </c>
      <c r="L958" s="200" t="n"/>
      <c r="M958" s="399" t="n"/>
      <c r="N958" s="154" t="n"/>
      <c r="O958" s="155" t="n"/>
      <c r="P958" s="400" t="n"/>
      <c r="Q958" s="401" t="n"/>
      <c r="R958" s="168" t="inlineStr"/>
      <c r="S958" s="168" t="inlineStr"/>
      <c r="T958" s="168" t="inlineStr"/>
      <c r="U958" s="168" t="inlineStr"/>
      <c r="V958" s="402">
        <f>ROUND(SUMPRODUCT(F935:INDEX(F:F,ROW()-1),V935:INDEX(V:V,ROW()-1)),2)</f>
        <v/>
      </c>
      <c r="W958" s="402">
        <f>ROUND(SUMPRODUCT(F935:INDEX(F:F,ROW()-1),W935:INDEX(W:W,ROW()-1)),2)</f>
        <v/>
      </c>
      <c r="X958" s="170" t="inlineStr"/>
    </row>
    <row r="959" s="308">
      <c r="A959" s="64">
        <f>ROW()-ROW(A$935)</f>
        <v/>
      </c>
      <c r="B959" s="171" t="inlineStr">
        <is>
          <t>综合费(人工、管理、税金、利润等)</t>
        </is>
      </c>
      <c r="C959" s="172" t="n"/>
      <c r="D959" s="204" t="n"/>
      <c r="E959" s="114" t="n"/>
      <c r="F959" s="114" t="n"/>
      <c r="G959" s="396" t="n"/>
      <c r="H959" s="396">
        <f>2500</f>
        <v/>
      </c>
      <c r="I959" s="45" t="inlineStr"/>
      <c r="J959" s="397" t="n"/>
      <c r="K959" s="398" t="n"/>
      <c r="L959" s="200" t="n"/>
      <c r="M959" s="399" t="n"/>
      <c r="N959" s="154" t="n"/>
      <c r="O959" s="155" t="n"/>
      <c r="P959" s="400" t="n"/>
      <c r="Q959" s="401" t="inlineStr">
        <is>
          <t>费用</t>
        </is>
      </c>
      <c r="R959" s="168" t="inlineStr"/>
      <c r="S959" s="168" t="inlineStr"/>
      <c r="T959" s="168" t="inlineStr"/>
      <c r="U959" s="168" t="inlineStr"/>
      <c r="V959" s="402" t="n"/>
      <c r="W959" s="402" t="n"/>
      <c r="X959" s="170" t="inlineStr"/>
    </row>
    <row r="960" s="308">
      <c r="A960" s="64">
        <f>ROW()-ROW(A$935)</f>
        <v/>
      </c>
      <c r="B960" s="204" t="inlineStr">
        <is>
          <t>单台合计</t>
        </is>
      </c>
      <c r="C960" s="172" t="n"/>
      <c r="D960" s="204" t="n"/>
      <c r="E960" s="114" t="n"/>
      <c r="F960" s="114" t="n"/>
      <c r="G960" s="396" t="n"/>
      <c r="H960" s="396">
        <f>ROUND(SUM(H958:H959),2)</f>
        <v/>
      </c>
      <c r="I960" s="181" t="n"/>
      <c r="J960" s="397" t="n"/>
      <c r="K960" s="398">
        <f>ROUND(SUM(K958:K959),2)</f>
        <v/>
      </c>
      <c r="L960" s="209" t="n"/>
      <c r="M960" s="399" t="n"/>
      <c r="N960" s="210" t="n"/>
      <c r="O960" s="211" t="n"/>
      <c r="P960" s="400" t="n"/>
      <c r="Q960" s="401" t="n"/>
      <c r="R960" s="168" t="inlineStr"/>
      <c r="S960" s="168" t="inlineStr"/>
      <c r="T960" s="168" t="inlineStr"/>
      <c r="U960" s="168" t="inlineStr"/>
      <c r="V960" s="402" t="n"/>
      <c r="W960" s="402" t="n"/>
      <c r="X960" s="170" t="inlineStr"/>
    </row>
    <row r="961" s="308">
      <c r="A961" s="173" t="inlineStr">
        <is>
          <t>总计</t>
        </is>
      </c>
      <c r="B961" s="205" t="n"/>
      <c r="C961" s="175" t="n"/>
      <c r="D961" s="206" t="n"/>
      <c r="E961" s="206" t="inlineStr">
        <is>
          <t>台</t>
        </is>
      </c>
      <c r="F961" s="206" t="n">
        <v>1</v>
      </c>
      <c r="G961" s="414">
        <f>ROUND(H960,2)</f>
        <v/>
      </c>
      <c r="H961" s="414">
        <f>ROUND(F961*G961,2)</f>
        <v/>
      </c>
      <c r="I961" s="185" t="n"/>
      <c r="J961" s="415" t="n"/>
      <c r="K961" s="416">
        <f>ROUND(K960*F961,2)</f>
        <v/>
      </c>
      <c r="L961" s="214" t="n"/>
      <c r="M961" s="417" t="n"/>
      <c r="N961" s="216" t="n"/>
      <c r="O961" s="217" t="n"/>
      <c r="P961" s="418" t="n"/>
      <c r="Q961" s="401" t="n"/>
      <c r="R961" s="168" t="inlineStr"/>
      <c r="S961" s="168" t="inlineStr"/>
      <c r="T961" s="168" t="inlineStr"/>
      <c r="U961" s="168" t="inlineStr"/>
      <c r="V961" s="402" t="n"/>
      <c r="W961" s="402" t="n"/>
      <c r="X961" s="170" t="inlineStr"/>
    </row>
    <row r="962" customFormat="1" s="4">
      <c r="A962" s="6" t="n"/>
      <c r="B962" s="195" t="inlineStr"/>
      <c r="C962" s="195" t="inlineStr"/>
      <c r="D962" s="195" t="inlineStr"/>
      <c r="Q962" s="159" t="n"/>
      <c r="R962" s="159" t="n"/>
      <c r="S962" s="159" t="n"/>
      <c r="T962" s="159" t="n"/>
      <c r="U962" s="159" t="n"/>
      <c r="X962" s="195" t="inlineStr"/>
    </row>
    <row r="963" customFormat="1" s="4">
      <c r="A963" s="6" t="n"/>
      <c r="B963" s="195" t="inlineStr"/>
      <c r="C963" s="195" t="inlineStr"/>
      <c r="D963" s="195" t="inlineStr"/>
      <c r="Q963" s="159" t="n"/>
      <c r="R963" s="159" t="n"/>
      <c r="S963" s="159" t="n"/>
      <c r="T963" s="159" t="n"/>
      <c r="U963" s="159" t="n"/>
      <c r="X963" s="195" t="inlineStr"/>
    </row>
    <row r="964" s="308">
      <c r="A964" s="208">
        <f>CONCATENATE("报价人：",项目信息!$B$8)</f>
        <v/>
      </c>
      <c r="B964" s="208" t="n"/>
      <c r="C964" s="4" t="n"/>
      <c r="D964" s="4" t="n"/>
      <c r="E964" s="4" t="n"/>
      <c r="F964" s="4" t="n"/>
      <c r="G964" s="4" t="n"/>
      <c r="H964" s="178">
        <f>项目信息!$B$9</f>
        <v/>
      </c>
      <c r="Q964" s="159" t="n"/>
      <c r="R964" s="159" t="n"/>
      <c r="S964" s="159" t="n"/>
      <c r="T964" s="159" t="n"/>
      <c r="U964" s="159" t="n"/>
      <c r="X964" s="203" t="inlineStr"/>
    </row>
    <row r="965" s="308">
      <c r="A965" s="8">
        <f>T(项目信息!$B$22)</f>
        <v/>
      </c>
      <c r="Q965" s="159" t="n"/>
      <c r="R965" s="159" t="n"/>
      <c r="S965" s="159" t="n"/>
      <c r="T965" s="159" t="n"/>
      <c r="U965" s="159" t="n"/>
    </row>
    <row r="966" s="308">
      <c r="A966" s="9">
        <f>T(项目信息!$B$23)</f>
        <v/>
      </c>
      <c r="Q966" s="159" t="n"/>
      <c r="R966" s="159" t="n"/>
      <c r="S966" s="159" t="n"/>
      <c r="T966" s="159" t="n"/>
      <c r="U966" s="159" t="n"/>
    </row>
    <row r="967" s="308">
      <c r="A967" s="97" t="inlineStr">
        <is>
          <t>成套产品报价明细表</t>
        </is>
      </c>
      <c r="B967" s="378" t="n"/>
      <c r="C967" s="378" t="n"/>
      <c r="D967" s="378" t="n"/>
      <c r="E967" s="378" t="n"/>
      <c r="F967" s="378" t="n"/>
      <c r="G967" s="378" t="n"/>
      <c r="H967" s="378" t="n"/>
      <c r="I967" s="378" t="n"/>
      <c r="Q967" s="159" t="n"/>
      <c r="R967" s="159" t="n"/>
      <c r="S967" s="159" t="n"/>
      <c r="T967" s="159" t="n"/>
      <c r="U967" s="159" t="n"/>
    </row>
    <row r="968" customFormat="1" s="4">
      <c r="A968" s="98" t="inlineStr">
        <is>
          <t>柜号:</t>
        </is>
      </c>
      <c r="B968" s="99" t="inlineStr">
        <is>
          <t>AAN5-06、BAN6-06、AAN7-07、BAN8-08</t>
        </is>
      </c>
      <c r="C968" s="100" t="inlineStr">
        <is>
          <t>型号:</t>
        </is>
      </c>
      <c r="D968" s="99" t="inlineStr">
        <is>
          <t>BlokSeT</t>
        </is>
      </c>
      <c r="E968" s="379" t="n"/>
      <c r="F968" s="101" t="inlineStr">
        <is>
          <t>名称:</t>
        </is>
      </c>
      <c r="G968" s="99" t="inlineStr">
        <is>
          <t>馈线柜</t>
        </is>
      </c>
      <c r="H968" s="379" t="n"/>
      <c r="I968" s="408" t="inlineStr"/>
      <c r="J968" s="194" t="inlineStr">
        <is>
          <t>箱柜尺寸:</t>
        </is>
      </c>
      <c r="K968" s="195" t="inlineStr">
        <is>
          <t>700W*1200D*2200H</t>
        </is>
      </c>
      <c r="L968" s="194" t="inlineStr">
        <is>
          <t>类别:</t>
        </is>
      </c>
      <c r="M968" s="195" t="inlineStr">
        <is>
          <t>低压固定柜</t>
        </is>
      </c>
      <c r="N968" s="409" t="inlineStr"/>
      <c r="Q968" s="159" t="n"/>
      <c r="R968" s="159" t="n"/>
      <c r="S968" s="159" t="n"/>
      <c r="T968" s="159" t="n"/>
      <c r="U968" s="159" t="n"/>
    </row>
    <row r="969" ht="20.1" customHeight="1" s="308">
      <c r="A969" s="102" t="inlineStr">
        <is>
          <t>序号</t>
        </is>
      </c>
      <c r="B969" s="103" t="inlineStr">
        <is>
          <t>元件名称</t>
        </is>
      </c>
      <c r="C969" s="103" t="inlineStr">
        <is>
          <t>型号规格</t>
        </is>
      </c>
      <c r="D969" s="104" t="inlineStr">
        <is>
          <t>生产厂家</t>
        </is>
      </c>
      <c r="E969" s="105" t="inlineStr">
        <is>
          <t>单位</t>
        </is>
      </c>
      <c r="F969" s="105" t="inlineStr">
        <is>
          <t>数量</t>
        </is>
      </c>
      <c r="G969" s="382" t="inlineStr">
        <is>
          <t>单   价</t>
        </is>
      </c>
      <c r="H969" s="383" t="inlineStr">
        <is>
          <t>总   价</t>
        </is>
      </c>
      <c r="I969" s="134" t="inlineStr">
        <is>
          <t>备注</t>
        </is>
      </c>
      <c r="J969" s="384" t="inlineStr">
        <is>
          <t>成本单价</t>
        </is>
      </c>
      <c r="K969" s="384" t="inlineStr">
        <is>
          <t>成本总价</t>
        </is>
      </c>
      <c r="L969" s="136" t="inlineStr">
        <is>
          <t>报出
系数</t>
        </is>
      </c>
      <c r="M969" s="384" t="inlineStr">
        <is>
          <t>表价</t>
        </is>
      </c>
      <c r="N969" s="136" t="inlineStr">
        <is>
          <t>折扣
系数</t>
        </is>
      </c>
      <c r="O969" s="137" t="inlineStr">
        <is>
          <t>取费
系数</t>
        </is>
      </c>
      <c r="P969" s="384" t="inlineStr">
        <is>
          <t>成套费</t>
        </is>
      </c>
      <c r="Q969" s="161" t="inlineStr">
        <is>
          <t>类别</t>
        </is>
      </c>
      <c r="R969" s="161" t="inlineStr">
        <is>
          <t>物料编码</t>
        </is>
      </c>
      <c r="S969" s="161" t="inlineStr">
        <is>
          <t>产地</t>
        </is>
      </c>
      <c r="T969" s="161" t="inlineStr">
        <is>
          <t>加工费</t>
        </is>
      </c>
      <c r="U969" s="161" t="inlineStr">
        <is>
          <t>订货号</t>
        </is>
      </c>
      <c r="V969" s="161" t="inlineStr">
        <is>
          <t>人工</t>
        </is>
      </c>
      <c r="W969" s="161" t="inlineStr">
        <is>
          <t>辅料</t>
        </is>
      </c>
      <c r="X969" s="203" t="inlineStr"/>
    </row>
    <row r="970" s="308">
      <c r="A970" s="64">
        <f>ROW()-ROW(A$969)</f>
        <v/>
      </c>
      <c r="B970" s="22" t="inlineStr">
        <is>
          <t>框架断路器</t>
        </is>
      </c>
      <c r="C970" s="22" t="inlineStr">
        <is>
          <t>MT32 H1 4P MIC5.0 E</t>
        </is>
      </c>
      <c r="D970" s="22" t="inlineStr">
        <is>
          <t>甲供/施耐德电气</t>
        </is>
      </c>
      <c r="E970" s="23" t="inlineStr">
        <is>
          <t>只</t>
        </is>
      </c>
      <c r="F970" s="23" t="n">
        <v>1</v>
      </c>
      <c r="G970" s="349">
        <f>IF(AND(B970="",C970=""),"",ROUND(M970*L970*N970,2))</f>
        <v/>
      </c>
      <c r="H970" s="349">
        <f>IF(AND(B970="",C970=""),"",ROUND(F970*G970,2))</f>
        <v/>
      </c>
      <c r="I970" s="45" t="inlineStr"/>
      <c r="J970" s="397">
        <f>IF(AND(B970="",C970=""),"",ROUND(M970*N970,2))</f>
        <v/>
      </c>
      <c r="K970" s="398">
        <f>IF(AND(B970="",C970=""),"",ROUND(J970*F970,2))</f>
        <v/>
      </c>
      <c r="L970" s="200" t="n">
        <v>1</v>
      </c>
      <c r="M970" s="399" t="n">
        <v>1e-07</v>
      </c>
      <c r="N970" s="154" t="n">
        <v>1</v>
      </c>
      <c r="O970" s="155">
        <f>IF(AND(B970="",C970=""),"",IF(G970&gt;=20000,0.05,IF(G970&gt;=10000,0.1,IF(G970&gt;=5000,0.2,IF(G970&gt;=1000,0.3,IF(G970&gt;=0,0.4,{0}))))))</f>
        <v/>
      </c>
      <c r="P970" s="400">
        <f>IF(AND(B970="",C970=""),"",ROUND(H970*O970,2))</f>
        <v/>
      </c>
      <c r="Q970" s="401" t="inlineStr">
        <is>
          <t>元件</t>
        </is>
      </c>
      <c r="R970" s="168" t="inlineStr"/>
      <c r="S970" s="168" t="inlineStr"/>
      <c r="T970" s="168" t="inlineStr">
        <is>
          <t>0</t>
        </is>
      </c>
      <c r="U970" s="168" t="inlineStr">
        <is>
          <t>C16F32D160</t>
        </is>
      </c>
      <c r="V970" s="402" t="n"/>
      <c r="W970" s="402" t="n"/>
      <c r="X970" s="170" t="inlineStr">
        <is>
          <t>NSX630N Mic2.3 630A 3P3D F→NSX630F MIC2.3 630 3P F→NSX630F MIC 2.3 630 3P F</t>
        </is>
      </c>
    </row>
    <row r="971" s="308">
      <c r="A971" s="64">
        <f>ROW()-ROW(A$969)</f>
        <v/>
      </c>
      <c r="B971" s="22" t="inlineStr">
        <is>
          <t>电流互感器</t>
        </is>
      </c>
      <c r="C971" s="22" t="inlineStr">
        <is>
          <t>SD-0.66-130III-V 3000/5A</t>
        </is>
      </c>
      <c r="D971" s="22" t="inlineStr">
        <is>
          <t>桑迪</t>
        </is>
      </c>
      <c r="E971" s="23" t="inlineStr">
        <is>
          <t>只</t>
        </is>
      </c>
      <c r="F971" s="23" t="n">
        <v>3</v>
      </c>
      <c r="G971" s="349">
        <f>IF(AND(B971="",C971=""),"",ROUND(M971*L971*N971,2))</f>
        <v/>
      </c>
      <c r="H971" s="396">
        <f>IF(AND(B971="",C971=""),"",ROUND(F971*G971,2))</f>
        <v/>
      </c>
      <c r="I971" s="219" t="inlineStr"/>
      <c r="J971" s="397">
        <f>IF(AND(B971="",C971=""),"",ROUND(M971*N971,2))</f>
        <v/>
      </c>
      <c r="K971" s="398">
        <f>IF(AND(B971="",C971=""),"",ROUND(J971*F971,2))</f>
        <v/>
      </c>
      <c r="L971" s="200" t="n">
        <v>1</v>
      </c>
      <c r="M971" s="399" t="n">
        <v>182.65</v>
      </c>
      <c r="N971" s="154" t="n">
        <v>1</v>
      </c>
      <c r="O971" s="155">
        <f>IF(AND(B971="",C971=""),"",IF(G971&gt;=20000,0.05,IF(G971&gt;=10000,0.1,IF(G971&gt;=5000,0.2,IF(G971&gt;=1000,0.3,IF(G971&gt;=0,0.4,{0}))))))</f>
        <v/>
      </c>
      <c r="P971" s="400">
        <f>IF(AND(B971="",C971=""),"",ROUND(H971*O971,2))</f>
        <v/>
      </c>
      <c r="Q971" s="401" t="inlineStr">
        <is>
          <t>元件</t>
        </is>
      </c>
      <c r="R971" s="168" t="inlineStr"/>
      <c r="S971" s="168" t="inlineStr"/>
      <c r="T971" s="168" t="inlineStr">
        <is>
          <t>0</t>
        </is>
      </c>
      <c r="U971" s="168" t="inlineStr">
        <is>
          <t>710141426552500</t>
        </is>
      </c>
      <c r="V971" s="402" t="n"/>
      <c r="W971" s="402" t="n"/>
      <c r="X971" s="170" t="inlineStr">
        <is>
          <t>SD→SD-0.66-40II-C 400/5A→SD-0.66-30I 250/5A→SD-0.66-30I 150/5A→SD-0.66-60II-C 750/5A→SD-0.66-60II-C 600/5A→SD-0.66-30I 150/5A→SD-0.66-40II-C 400/5A→SD-0.66-100II-C 1600/5A→SD-0.66-80II-V 1000/5A→SD-0.66-80II-V 1250/5A</t>
        </is>
      </c>
    </row>
    <row r="972" s="308">
      <c r="A972" s="64">
        <f>ROW()-ROW(A$969)</f>
        <v/>
      </c>
      <c r="B972" s="112" t="inlineStr">
        <is>
          <t>多功能表</t>
        </is>
      </c>
      <c r="C972" s="112" t="inlineStr">
        <is>
          <t>PM4101</t>
        </is>
      </c>
      <c r="D972" s="112" t="inlineStr">
        <is>
          <t>甲供/施耐德电气</t>
        </is>
      </c>
      <c r="E972" s="114" t="inlineStr">
        <is>
          <t>只</t>
        </is>
      </c>
      <c r="F972" s="114" t="n">
        <v>1</v>
      </c>
      <c r="G972" s="396">
        <f>IF(AND(B972="",C972=""),"",ROUND(M972*L972*N972,2))</f>
        <v/>
      </c>
      <c r="H972" s="349">
        <f>IF(AND(B972="",C972=""),"",ROUND(F972*G972,2))</f>
        <v/>
      </c>
      <c r="I972" s="45" t="inlineStr"/>
      <c r="J972" s="397">
        <f>IF(AND(B972="",C972=""),"",ROUND(M972*N972,2))</f>
        <v/>
      </c>
      <c r="K972" s="398">
        <f>IF(AND(B972="",C972=""),"",ROUND(J972*F972,2))</f>
        <v/>
      </c>
      <c r="L972" s="200" t="n">
        <v>1</v>
      </c>
      <c r="M972" s="399" t="n">
        <v>1e-07</v>
      </c>
      <c r="N972" s="154" t="n">
        <v>1</v>
      </c>
      <c r="O972" s="155">
        <f>IF(AND(B972="",C972=""),"",IF(J972&gt;=20000,0.05,IF(J972&gt;=10000,0.1,IF(J972&gt;=5000,0.2,IF(J972&gt;=1000,0.3,IF(J972&gt;=0,0.4,{0}))))))</f>
        <v/>
      </c>
      <c r="P972" s="400">
        <f>IF(AND(B972="",C972=""),"",ROUND(H972*O972,2))</f>
        <v/>
      </c>
      <c r="Q972" s="401" t="inlineStr">
        <is>
          <t>元件</t>
        </is>
      </c>
      <c r="R972" s="168" t="inlineStr"/>
      <c r="S972" s="168" t="inlineStr"/>
      <c r="T972" s="168" t="inlineStr">
        <is>
          <t>0</t>
        </is>
      </c>
      <c r="U972" s="168" t="inlineStr"/>
      <c r="V972" s="402" t="n"/>
      <c r="W972" s="402" t="n"/>
      <c r="X972" s="170" t="inlineStr"/>
    </row>
    <row r="973" customFormat="1" s="3">
      <c r="A973" s="64">
        <f>ROW()-ROW(A$969)</f>
        <v/>
      </c>
      <c r="B973" s="22" t="inlineStr">
        <is>
          <t>指示灯</t>
        </is>
      </c>
      <c r="C973" s="22" t="inlineStr">
        <is>
          <t>XB2BVM3LC</t>
        </is>
      </c>
      <c r="D973" s="22" t="inlineStr">
        <is>
          <t>甲供/施耐德电气</t>
        </is>
      </c>
      <c r="E973" s="23" t="inlineStr">
        <is>
          <t>只</t>
        </is>
      </c>
      <c r="F973" s="23" t="n">
        <v>1</v>
      </c>
      <c r="G973" s="349">
        <f>IF(AND(B973="",C973=""),"",ROUND(M973*L973*N973,2))</f>
        <v/>
      </c>
      <c r="H973" s="353">
        <f>IF(AND(B973="",C973=""),"",ROUND(F973*G973,2))</f>
        <v/>
      </c>
      <c r="I973" s="180" t="inlineStr"/>
      <c r="J973" s="392">
        <f>IF(AND(B973="",C973=""),"",ROUND(M973*N973,2))</f>
        <v/>
      </c>
      <c r="K973" s="393">
        <f>IF(AND(B973="",C973=""),"",ROUND(J973*F973,2))</f>
        <v/>
      </c>
      <c r="L973" s="141" t="n">
        <v>1</v>
      </c>
      <c r="M973" s="394" t="n">
        <v>1e-07</v>
      </c>
      <c r="N973" s="220" t="n">
        <v>1</v>
      </c>
      <c r="O973" s="221">
        <f>IF(AND(B973="",C973=""),"",IF(G973&gt;=20000,0.05,IF(G973&gt;=10000,0.1,IF(G973&gt;=5000,0.2,IF(G973&gt;=1000,0.3,IF(G973&gt;=0,0.4,{0}))))))</f>
        <v/>
      </c>
      <c r="P973" s="419">
        <f>IF(AND(B973="",C973=""),"",ROUND(H973*O973,2))</f>
        <v/>
      </c>
      <c r="Q973" s="420" t="inlineStr">
        <is>
          <t>元件</t>
        </is>
      </c>
      <c r="R973" s="231" t="inlineStr"/>
      <c r="S973" s="231" t="inlineStr"/>
      <c r="T973" s="231" t="inlineStr">
        <is>
          <t>0</t>
        </is>
      </c>
      <c r="U973" s="231" t="inlineStr">
        <is>
          <t>XB2BVM3LC</t>
        </is>
      </c>
      <c r="V973" s="421" t="n"/>
      <c r="W973" s="421" t="n"/>
      <c r="X973" s="166" t="inlineStr">
        <is>
          <t>XA2EVM3LC</t>
        </is>
      </c>
    </row>
    <row r="974" customFormat="1" s="3">
      <c r="A974" s="64">
        <f>ROW()-ROW(A$969)</f>
        <v/>
      </c>
      <c r="B974" s="22" t="inlineStr">
        <is>
          <t>指示灯</t>
        </is>
      </c>
      <c r="C974" s="22" t="inlineStr">
        <is>
          <t>XB2BVM4LC</t>
        </is>
      </c>
      <c r="D974" s="22" t="inlineStr">
        <is>
          <t>甲供/施耐德电气</t>
        </is>
      </c>
      <c r="E974" s="23" t="inlineStr">
        <is>
          <t>只</t>
        </is>
      </c>
      <c r="F974" s="23" t="n">
        <v>1</v>
      </c>
      <c r="G974" s="349">
        <f>IF(AND(B974="",C974=""),"",ROUND(M974*L974*N974,2))</f>
        <v/>
      </c>
      <c r="H974" s="353">
        <f>IF(AND(B974="",C974=""),"",ROUND(F974*G974,2))</f>
        <v/>
      </c>
      <c r="I974" s="180" t="inlineStr"/>
      <c r="J974" s="392">
        <f>IF(AND(B974="",C974=""),"",ROUND(M974*N974,2))</f>
        <v/>
      </c>
      <c r="K974" s="393">
        <f>IF(AND(B974="",C974=""),"",ROUND(J974*F974,2))</f>
        <v/>
      </c>
      <c r="L974" s="141" t="n">
        <v>1</v>
      </c>
      <c r="M974" s="394" t="n">
        <v>1e-07</v>
      </c>
      <c r="N974" s="220" t="n">
        <v>1</v>
      </c>
      <c r="O974" s="221">
        <f>IF(AND(B974="",C974=""),"",IF(G974&gt;=20000,0.05,IF(G974&gt;=10000,0.1,IF(G974&gt;=5000,0.2,IF(G974&gt;=1000,0.3,IF(G974&gt;=0,0.4,{0}))))))</f>
        <v/>
      </c>
      <c r="P974" s="419">
        <f>IF(AND(B974="",C974=""),"",ROUND(H974*O974,2))</f>
        <v/>
      </c>
      <c r="Q974" s="420" t="inlineStr">
        <is>
          <t>元件</t>
        </is>
      </c>
      <c r="R974" s="231" t="inlineStr"/>
      <c r="S974" s="231" t="inlineStr"/>
      <c r="T974" s="231" t="inlineStr">
        <is>
          <t>0</t>
        </is>
      </c>
      <c r="U974" s="231" t="inlineStr">
        <is>
          <t>XB2BVM4LC</t>
        </is>
      </c>
      <c r="V974" s="421" t="n"/>
      <c r="W974" s="421" t="n"/>
      <c r="X974" s="166" t="inlineStr">
        <is>
          <t>XA2EVM4LC</t>
        </is>
      </c>
    </row>
    <row r="975" s="308">
      <c r="A975" s="64">
        <f>ROW()-ROW(A$969)</f>
        <v/>
      </c>
      <c r="B975" s="112" t="inlineStr">
        <is>
          <t>指示灯</t>
        </is>
      </c>
      <c r="C975" s="112" t="inlineStr">
        <is>
          <t>XB2BVM5LC</t>
        </is>
      </c>
      <c r="D975" s="112" t="inlineStr">
        <is>
          <t>甲供/施耐德电气</t>
        </is>
      </c>
      <c r="E975" s="114" t="inlineStr">
        <is>
          <t>只</t>
        </is>
      </c>
      <c r="F975" s="114" t="n">
        <v>1</v>
      </c>
      <c r="G975" s="396">
        <f>IF(AND(B975="",C975=""),"",ROUND(M975*L975*N975,2))</f>
        <v/>
      </c>
      <c r="H975" s="396">
        <f>IF(AND(B975="",C975=""),"",ROUND(F975*G975,2))</f>
        <v/>
      </c>
      <c r="I975" s="150" t="inlineStr"/>
      <c r="J975" s="397">
        <f>IF(AND(B975="",C975=""),"",ROUND(M975*N975,2))</f>
        <v/>
      </c>
      <c r="K975" s="398">
        <f>IF(AND(B975="",C975=""),"",ROUND(J975*F975,2))</f>
        <v/>
      </c>
      <c r="L975" s="141" t="n">
        <v>1</v>
      </c>
      <c r="M975" s="399" t="n">
        <v>1e-07</v>
      </c>
      <c r="N975" s="154" t="n">
        <v>1</v>
      </c>
      <c r="O975" s="155">
        <f>IF(AND(B975="",C975=""),"",IF(G975&gt;=20000,0.05,IF(G975&gt;=10000,0.1,IF(G975&gt;=5000,0.2,IF(G975&gt;=1000,0.3,IF(G975&gt;=0,0.4,{0}))))))</f>
        <v/>
      </c>
      <c r="P975" s="400">
        <f>IF(AND(B975="",C975=""),"",ROUND(H975*O975,2))</f>
        <v/>
      </c>
      <c r="Q975" s="401" t="inlineStr">
        <is>
          <t>元件</t>
        </is>
      </c>
      <c r="R975" s="168" t="inlineStr"/>
      <c r="S975" s="168" t="inlineStr"/>
      <c r="T975" s="168" t="inlineStr">
        <is>
          <t>0</t>
        </is>
      </c>
      <c r="U975" s="168" t="inlineStr">
        <is>
          <t>XA2EVM5LC</t>
        </is>
      </c>
      <c r="V975" s="402" t="n"/>
      <c r="W975" s="402" t="n"/>
      <c r="X975" s="170" t="inlineStr"/>
    </row>
    <row r="976" s="308">
      <c r="A976" s="64">
        <f>ROW()-ROW(A$969)</f>
        <v/>
      </c>
      <c r="B976" s="112" t="inlineStr">
        <is>
          <t>按钮</t>
        </is>
      </c>
      <c r="C976" s="112" t="inlineStr">
        <is>
          <t>XB2BA31C</t>
        </is>
      </c>
      <c r="D976" s="112" t="inlineStr">
        <is>
          <t>甲供/施耐德电气</t>
        </is>
      </c>
      <c r="E976" s="114" t="inlineStr">
        <is>
          <t>只</t>
        </is>
      </c>
      <c r="F976" s="114" t="n">
        <v>1</v>
      </c>
      <c r="G976" s="396">
        <f>IF(AND(B976="",C976=""),"",ROUND(M976*L976*N976,2))</f>
        <v/>
      </c>
      <c r="H976" s="396">
        <f>IF(AND(B976="",C976=""),"",ROUND(F976*G976,2))</f>
        <v/>
      </c>
      <c r="I976" s="150" t="inlineStr"/>
      <c r="J976" s="397">
        <f>IF(AND(B976="",C976=""),"",ROUND(M976*N976,2))</f>
        <v/>
      </c>
      <c r="K976" s="398">
        <f>IF(AND(B976="",C976=""),"",ROUND(J976*F976,2))</f>
        <v/>
      </c>
      <c r="L976" s="141" t="n">
        <v>1</v>
      </c>
      <c r="M976" s="399" t="n">
        <v>1e-07</v>
      </c>
      <c r="N976" s="154" t="n">
        <v>1</v>
      </c>
      <c r="O976" s="155">
        <f>IF(AND(B976="",C976=""),"",IF(G976&gt;=20000,0.05,IF(G976&gt;=10000,0.1,IF(G976&gt;=5000,0.2,IF(G976&gt;=1000,0.3,IF(G976&gt;=0,0.4,{0}))))))</f>
        <v/>
      </c>
      <c r="P976" s="400">
        <f>IF(AND(B976="",C976=""),"",ROUND(H976*O976,2))</f>
        <v/>
      </c>
      <c r="Q976" s="401" t="inlineStr">
        <is>
          <t>元件</t>
        </is>
      </c>
      <c r="R976" s="168" t="inlineStr"/>
      <c r="S976" s="168" t="inlineStr"/>
      <c r="T976" s="168" t="inlineStr">
        <is>
          <t>0</t>
        </is>
      </c>
      <c r="U976" s="168" t="inlineStr">
        <is>
          <t>XB2BA31C</t>
        </is>
      </c>
      <c r="V976" s="402" t="n"/>
      <c r="W976" s="402" t="n"/>
      <c r="X976" s="170" t="inlineStr">
        <is>
          <t>XA2EA31</t>
        </is>
      </c>
    </row>
    <row r="977" s="308">
      <c r="A977" s="64">
        <f>ROW()-ROW(A$969)</f>
        <v/>
      </c>
      <c r="B977" s="22" t="inlineStr">
        <is>
          <t>按钮</t>
        </is>
      </c>
      <c r="C977" s="22" t="inlineStr">
        <is>
          <t>XB2BA42C</t>
        </is>
      </c>
      <c r="D977" s="22" t="inlineStr">
        <is>
          <t>甲供/施耐德电气</t>
        </is>
      </c>
      <c r="E977" s="23" t="inlineStr">
        <is>
          <t>只</t>
        </is>
      </c>
      <c r="F977" s="23" t="n">
        <v>1</v>
      </c>
      <c r="G977" s="349">
        <f>IF(AND(B977="",C977=""),"",ROUND(M977*L977*N977,2))</f>
        <v/>
      </c>
      <c r="H977" s="396">
        <f>IF(AND(B977="",C977=""),"",ROUND(F977*G977,2))</f>
        <v/>
      </c>
      <c r="I977" s="150" t="inlineStr"/>
      <c r="J977" s="397">
        <f>IF(AND(B977="",C977=""),"",ROUND(M977*N977,2))</f>
        <v/>
      </c>
      <c r="K977" s="398">
        <f>IF(AND(B977="",C977=""),"",ROUND(J977*F977,2))</f>
        <v/>
      </c>
      <c r="L977" s="141" t="n">
        <v>1</v>
      </c>
      <c r="M977" s="399" t="n">
        <v>1e-07</v>
      </c>
      <c r="N977" s="154" t="n">
        <v>1</v>
      </c>
      <c r="O977" s="155">
        <f>IF(AND(B977="",C977=""),"",IF(G977&gt;=20000,0.05,IF(G977&gt;=10000,0.1,IF(G977&gt;=5000,0.2,IF(G977&gt;=1000,0.3,IF(G977&gt;=0,0.4,{0}))))))</f>
        <v/>
      </c>
      <c r="P977" s="400">
        <f>IF(AND(B977="",C977=""),"",ROUND(H977*O977,2))</f>
        <v/>
      </c>
      <c r="Q977" s="401" t="inlineStr">
        <is>
          <t>元件</t>
        </is>
      </c>
      <c r="R977" s="168" t="inlineStr"/>
      <c r="S977" s="168" t="inlineStr"/>
      <c r="T977" s="168" t="inlineStr">
        <is>
          <t>0</t>
        </is>
      </c>
      <c r="U977" s="168" t="inlineStr">
        <is>
          <t>XB2BA42C</t>
        </is>
      </c>
      <c r="V977" s="402" t="n"/>
      <c r="W977" s="402" t="n"/>
      <c r="X977" s="170" t="inlineStr">
        <is>
          <t>XA2EA41</t>
        </is>
      </c>
    </row>
    <row r="978" s="308">
      <c r="A978" s="64">
        <f>ROW()-ROW(A$969)</f>
        <v/>
      </c>
      <c r="B978" s="112" t="inlineStr">
        <is>
          <t>温湿度控制器</t>
        </is>
      </c>
      <c r="C978" s="112" t="inlineStr">
        <is>
          <t>ATH48G-11</t>
        </is>
      </c>
      <c r="D978" s="22" t="inlineStr">
        <is>
          <t>杭州安廷</t>
        </is>
      </c>
      <c r="E978" s="23" t="inlineStr">
        <is>
          <t>套</t>
        </is>
      </c>
      <c r="F978" s="23" t="n">
        <v>1</v>
      </c>
      <c r="G978" s="349">
        <f>IF(AND(B978="",C978=""),"",ROUND(M978*L978*N978,2))</f>
        <v/>
      </c>
      <c r="H978" s="396">
        <f>IF(AND(B978="",C978=""),"",ROUND(F978*G978,2))</f>
        <v/>
      </c>
      <c r="I978" s="150" t="inlineStr"/>
      <c r="J978" s="397">
        <f>IF(AND(B978="",C978=""),"",ROUND(M978*N978,2))</f>
        <v/>
      </c>
      <c r="K978" s="398">
        <f>IF(AND(B978="",C978=""),"",ROUND(J978*F978,2))</f>
        <v/>
      </c>
      <c r="L978" s="141" t="n">
        <v>1</v>
      </c>
      <c r="M978" s="399" t="n">
        <v>450</v>
      </c>
      <c r="N978" s="154" t="n">
        <v>1</v>
      </c>
      <c r="O978" s="155">
        <f>IF(AND(B978="",C978=""),"",IF(G978&gt;=20000,0.05,IF(G978&gt;=10000,0.1,IF(G978&gt;=5000,0.2,IF(G978&gt;=1000,0.3,IF(G978&gt;=0,0.4,{0}))))))</f>
        <v/>
      </c>
      <c r="P978" s="400">
        <f>IF(AND(B978="",C978=""),"",ROUND(H978*O978,2))</f>
        <v/>
      </c>
      <c r="Q978" s="401" t="inlineStr">
        <is>
          <t>元件</t>
        </is>
      </c>
      <c r="R978" s="168" t="inlineStr"/>
      <c r="S978" s="168" t="inlineStr"/>
      <c r="T978" s="168" t="inlineStr">
        <is>
          <t>0</t>
        </is>
      </c>
      <c r="U978" s="168" t="inlineStr"/>
      <c r="V978" s="402" t="n"/>
      <c r="W978" s="402" t="n"/>
      <c r="X978" s="170" t="inlineStr"/>
    </row>
    <row r="979" s="308">
      <c r="A979" s="64">
        <f>ROW()-ROW(A$969)</f>
        <v/>
      </c>
      <c r="B979" s="22" t="inlineStr">
        <is>
          <t>中间继电器</t>
        </is>
      </c>
      <c r="C979" s="22" t="inlineStr">
        <is>
          <t>RXM4AB2P7+RXZE2S114M+RXZ400</t>
        </is>
      </c>
      <c r="D979" s="22" t="inlineStr">
        <is>
          <t>甲供/施耐德电气</t>
        </is>
      </c>
      <c r="E979" s="23" t="inlineStr">
        <is>
          <t>只</t>
        </is>
      </c>
      <c r="F979" s="23" t="n">
        <v>2</v>
      </c>
      <c r="G979" s="349">
        <f>IF(AND(B979="",C979=""),"",ROUND(M979*L979*N979,2))</f>
        <v/>
      </c>
      <c r="H979" s="349">
        <f>IF(AND(B979="",C979=""),"",ROUND(F979*G979,2))</f>
        <v/>
      </c>
      <c r="I979" s="45" t="inlineStr"/>
      <c r="J979" s="397">
        <f>IF(AND(B979="",C979=""),"",ROUND(M979*N979,2))</f>
        <v/>
      </c>
      <c r="K979" s="398">
        <f>IF(AND(B979="",C979=""),"",ROUND(J979*F979,2))</f>
        <v/>
      </c>
      <c r="L979" s="141" t="n">
        <v>1</v>
      </c>
      <c r="M979" s="399" t="n">
        <v>1e-07</v>
      </c>
      <c r="N979" s="154" t="n">
        <v>1</v>
      </c>
      <c r="O979" s="155">
        <f>IF(AND(B979="",C979=""),"",IF(G979&gt;=20000,0.05,IF(G979&gt;=10000,0.1,IF(G979&gt;=5000,0.2,IF(G979&gt;=1000,0.3,IF(G979&gt;=0,0.4,{0}))))))</f>
        <v/>
      </c>
      <c r="P979" s="400">
        <f>IF(AND(B979="",C979=""),"",ROUND(H979*O979,2))</f>
        <v/>
      </c>
      <c r="Q979" s="401" t="inlineStr">
        <is>
          <t>元件</t>
        </is>
      </c>
      <c r="R979" s="168" t="inlineStr"/>
      <c r="S979" s="168" t="inlineStr"/>
      <c r="T979" s="168" t="inlineStr">
        <is>
          <t>0</t>
        </is>
      </c>
      <c r="U979" s="168" t="inlineStr">
        <is>
          <t>RXM4AB2P7+RXZE2S114M+RXZ400</t>
        </is>
      </c>
      <c r="V979" s="402" t="n"/>
      <c r="W979" s="402" t="n"/>
      <c r="X979" s="170" t="inlineStr">
        <is>
          <t>REL-IR-BL/L-230AC/4X21，含底座→RXM4AB2P7+RXZE2S114M+RXZ400→REL-IR-BL/L-230AC/4X21，含底座</t>
        </is>
      </c>
    </row>
    <row r="980" customFormat="1" s="3">
      <c r="A980" s="64">
        <f>ROW()-ROW(A$969)</f>
        <v/>
      </c>
      <c r="B980" s="22" t="inlineStr">
        <is>
          <t>带熔丝端子</t>
        </is>
      </c>
      <c r="C980" s="22" t="inlineStr">
        <is>
          <t>UK 5-HESI</t>
        </is>
      </c>
      <c r="D980" s="22" t="inlineStr">
        <is>
          <t>菲尼克斯</t>
        </is>
      </c>
      <c r="E980" s="23" t="inlineStr">
        <is>
          <t>只</t>
        </is>
      </c>
      <c r="F980" s="23" t="n">
        <v>4</v>
      </c>
      <c r="G980" s="349">
        <f>IF(AND(B980="",C980=""),"",ROUND(M980*L980*N980,2))</f>
        <v/>
      </c>
      <c r="H980" s="349">
        <f>IF(AND(B980="",C980=""),"",ROUND(F980*G980,2))</f>
        <v/>
      </c>
      <c r="I980" s="45" t="inlineStr"/>
      <c r="J980" s="392">
        <f>IF(AND(B980="",C980=""),"",ROUND(M980*N980,2))</f>
        <v/>
      </c>
      <c r="K980" s="393">
        <f>IF(AND(B980="",C980=""),"",ROUND(J980*F980,2))</f>
        <v/>
      </c>
      <c r="L980" s="141" t="n">
        <v>1</v>
      </c>
      <c r="M980" s="394" t="n">
        <v>7</v>
      </c>
      <c r="N980" s="220" t="n">
        <v>1</v>
      </c>
      <c r="O980" s="221">
        <f>IF(AND(B980="",C980=""),"",IF(G980&gt;=20000,0.05,IF(G980&gt;=10000,0.1,IF(G980&gt;=5000,0.2,IF(G980&gt;=1000,0.3,IF(G980&gt;=0,0.4,{0}))))))</f>
        <v/>
      </c>
      <c r="P980" s="419">
        <f>IF(AND(B980="",C980=""),"",ROUND(H980*O980,2))</f>
        <v/>
      </c>
      <c r="Q980" s="420" t="inlineStr">
        <is>
          <t>元件</t>
        </is>
      </c>
      <c r="R980" s="231" t="inlineStr"/>
      <c r="S980" s="231" t="inlineStr"/>
      <c r="T980" s="231" t="inlineStr">
        <is>
          <t>0</t>
        </is>
      </c>
      <c r="U980" s="231" t="inlineStr">
        <is>
          <t>True</t>
        </is>
      </c>
      <c r="V980" s="421" t="n"/>
      <c r="W980" s="421" t="n"/>
      <c r="X980" s="166" t="inlineStr"/>
    </row>
    <row r="981" customFormat="1" s="3">
      <c r="A981" s="64">
        <f>ROW()-ROW(A$969)</f>
        <v/>
      </c>
      <c r="B981" s="22" t="inlineStr">
        <is>
          <t>L型端子</t>
        </is>
      </c>
      <c r="C981" s="22" t="inlineStr">
        <is>
          <t>GH100710</t>
        </is>
      </c>
      <c r="D981" s="22" t="inlineStr">
        <is>
          <t>施耐德电气</t>
        </is>
      </c>
      <c r="E981" s="23" t="inlineStr">
        <is>
          <t>只</t>
        </is>
      </c>
      <c r="F981" s="23" t="n">
        <v>4</v>
      </c>
      <c r="G981" s="349">
        <f>IF(AND(B981="",C981=""),"",ROUND(M981*L981*N981,2))</f>
        <v/>
      </c>
      <c r="H981" s="349">
        <f>IF(AND(B981="",C981=""),"",ROUND(F981*G981,2))</f>
        <v/>
      </c>
      <c r="I981" s="45" t="inlineStr"/>
      <c r="J981" s="392">
        <f>IF(AND(B981="",C981=""),"",ROUND(M981*N981,2))</f>
        <v/>
      </c>
      <c r="K981" s="393">
        <f>IF(AND(B981="",C981=""),"",ROUND(J981*F981,2))</f>
        <v/>
      </c>
      <c r="L981" s="141" t="n">
        <v>1</v>
      </c>
      <c r="M981" s="394" t="n">
        <v>1125.85</v>
      </c>
      <c r="N981" s="220" t="n">
        <v>0.45</v>
      </c>
      <c r="O981" s="221">
        <f>IF(AND(B981="",C981=""),"",IF(G981&gt;=20000,0.05,IF(G981&gt;=10000,0.1,IF(G981&gt;=5000,0.2,IF(G981&gt;=1000,0.3,IF(G981&gt;=0,0.4,{0}))))))</f>
        <v/>
      </c>
      <c r="P981" s="419">
        <f>IF(AND(B981="",C981=""),"",ROUND(H981*O981,2))</f>
        <v/>
      </c>
      <c r="Q981" s="420" t="inlineStr">
        <is>
          <t>元件</t>
        </is>
      </c>
      <c r="R981" s="231" t="inlineStr"/>
      <c r="S981" s="231" t="inlineStr"/>
      <c r="T981" s="231" t="inlineStr">
        <is>
          <t>0</t>
        </is>
      </c>
      <c r="U981" s="231" t="inlineStr"/>
      <c r="V981" s="421" t="n"/>
      <c r="W981" s="421" t="n"/>
      <c r="X981" s="166" t="inlineStr"/>
    </row>
    <row r="982" s="308">
      <c r="A982" s="64">
        <f>ROW()-ROW(A$969)</f>
        <v/>
      </c>
      <c r="B982" s="22" t="inlineStr">
        <is>
          <t>水平母排</t>
        </is>
      </c>
      <c r="C982" s="22" t="inlineStr">
        <is>
          <t>TMY 4*(4*150*5)+2*50*5</t>
        </is>
      </c>
      <c r="D982" s="22" t="inlineStr">
        <is>
          <t>国产优质</t>
        </is>
      </c>
      <c r="E982" s="23" t="inlineStr">
        <is>
          <t>米</t>
        </is>
      </c>
      <c r="F982" s="23" t="n">
        <v>0.8</v>
      </c>
      <c r="G982" s="349">
        <f>IF(AND(B982="",C982=""),"",ROUND(M982*L982*N982,2))</f>
        <v/>
      </c>
      <c r="H982" s="349">
        <f>IF(AND(B982="",C982=""),"",ROUND(F982*G982,2))</f>
        <v/>
      </c>
      <c r="I982" s="45" t="inlineStr"/>
      <c r="J982" s="397">
        <f>IF(AND(B982="",C982=""),"",ROUND(M982*N982,2))</f>
        <v/>
      </c>
      <c r="K982" s="398">
        <f>IF(AND(B982="",C982=""),"",ROUND(J982*F982,2))</f>
        <v/>
      </c>
      <c r="L982" s="200" t="n">
        <v>1</v>
      </c>
      <c r="M982" s="399" t="n">
        <v>12026.68125</v>
      </c>
      <c r="N982" s="154">
        <f>(6317.932*1*1+2684.8*1*1)/9002.732</f>
        <v/>
      </c>
      <c r="O982" s="155">
        <f>IF(AND(B982="",C982=""),"",IF(J982&gt;=20000,0.05,IF(J982&gt;=10000,0.1,IF(J982&gt;=5000,0.2,IF(J982&gt;=1000,0.3,IF(J982&gt;=0,0.4,{0}))))))</f>
        <v/>
      </c>
      <c r="P982" s="400">
        <f>IF(AND(B982="",C982=""),"",ROUND(H982*O982,2))</f>
        <v/>
      </c>
      <c r="Q982" s="401" t="inlineStr">
        <is>
          <t>母排</t>
        </is>
      </c>
      <c r="R982" s="168" t="inlineStr"/>
      <c r="S982" s="168" t="inlineStr"/>
      <c r="T982" s="168" t="inlineStr">
        <is>
          <t>0</t>
        </is>
      </c>
      <c r="U982" s="168" t="inlineStr"/>
      <c r="V982" s="402" t="n"/>
      <c r="W982" s="402" t="n"/>
      <c r="X982" s="170" t="inlineStr"/>
    </row>
    <row r="983" customFormat="1" s="5">
      <c r="A983" s="64">
        <f>ROW()-ROW(A$969)</f>
        <v/>
      </c>
      <c r="B983" s="22" t="inlineStr">
        <is>
          <t>桩头排</t>
        </is>
      </c>
      <c r="C983" s="22" t="inlineStr">
        <is>
          <t>TMY</t>
        </is>
      </c>
      <c r="D983" s="22" t="inlineStr">
        <is>
          <t>国产优质</t>
        </is>
      </c>
      <c r="E983" s="23" t="inlineStr">
        <is>
          <t>kg</t>
        </is>
      </c>
      <c r="F983" s="23" t="n">
        <v>177</v>
      </c>
      <c r="G983" s="349">
        <f>IF(AND(B983="",C983=""),"",ROUND(M983*L983*N983,2))</f>
        <v/>
      </c>
      <c r="H983" s="349">
        <f>IF(AND(B983="",C983=""),"",ROUND(F983*G983,2))</f>
        <v/>
      </c>
      <c r="I983" s="45" t="inlineStr"/>
      <c r="J983" s="422">
        <f>IF(AND(B983="",C983=""),"",ROUND(M983*N983,2))</f>
        <v/>
      </c>
      <c r="K983" s="423">
        <f>IF(AND(B983="",C983=""),"",ROUND(J983*F983,2))</f>
        <v/>
      </c>
      <c r="L983" s="225" t="n">
        <v>1</v>
      </c>
      <c r="M983" s="424" t="n">
        <v>108.105</v>
      </c>
      <c r="N983" s="227" t="n">
        <v>1</v>
      </c>
      <c r="O983" s="228">
        <f>IF(AND(B983="",C983=""),"",IF(G983&gt;=20000,0.05,IF(G983&gt;=10000,0.1,IF(G983&gt;=5000,0.2,IF(G983&gt;=1000,0.3,IF(G983&gt;=0,0.4,{0}))))))</f>
        <v/>
      </c>
      <c r="P983" s="425">
        <f>IF(AND(B983="",C983=""),"",ROUND(H983*O983,2))</f>
        <v/>
      </c>
      <c r="Q983" s="426" t="inlineStr">
        <is>
          <t>母排</t>
        </is>
      </c>
      <c r="R983" s="234" t="inlineStr"/>
      <c r="S983" s="234" t="inlineStr"/>
      <c r="T983" s="235" t="inlineStr">
        <is>
          <t>0</t>
        </is>
      </c>
      <c r="U983" s="235" t="inlineStr"/>
      <c r="V983" s="427" t="n"/>
      <c r="W983" s="427" t="n"/>
      <c r="X983" s="237" t="inlineStr">
        <is>
          <t>TMY 2*30*5→TMY 30*8</t>
        </is>
      </c>
    </row>
    <row r="984" s="308">
      <c r="A984" s="64">
        <f>ROW()-ROW(A$969)</f>
        <v/>
      </c>
      <c r="B984" s="112" t="inlineStr">
        <is>
          <t>辅料</t>
        </is>
      </c>
      <c r="C984" s="112" t="inlineStr"/>
      <c r="D984" s="112" t="inlineStr"/>
      <c r="E984" s="114" t="inlineStr">
        <is>
          <t>套</t>
        </is>
      </c>
      <c r="F984" s="114" t="n">
        <v>1</v>
      </c>
      <c r="G984" s="396">
        <f>IF(AND(B984="",C984=""),"",ROUND(M984*L984*N984,2))</f>
        <v/>
      </c>
      <c r="H984" s="396">
        <f>IF(AND(B984="",C984=""),"",ROUND(F984*G984,2))</f>
        <v/>
      </c>
      <c r="I984" s="219" t="inlineStr"/>
      <c r="J984" s="397">
        <f>IF(AND(B984="",C984=""),"",ROUND(M984*N984,2))</f>
        <v/>
      </c>
      <c r="K984" s="398">
        <f>IF(AND(B984="",C984=""),"",ROUND(J984*F984,2))</f>
        <v/>
      </c>
      <c r="L984" s="200" t="n">
        <v>1</v>
      </c>
      <c r="M984" s="399" t="n">
        <v>550</v>
      </c>
      <c r="N984" s="154" t="n">
        <v>1</v>
      </c>
      <c r="O984" s="155">
        <f>IF(AND(B984="",C984=""),"",IF(G984&gt;=20000,0.05,IF(G984&gt;=10000,0.1,IF(G984&gt;=5000,0.2,IF(G984&gt;=1000,0.3,IF(G984&gt;=0,0.4,{0}))))))</f>
        <v/>
      </c>
      <c r="P984" s="400">
        <f>IF(AND(B984="",C984=""),"",ROUND(H984*O984,2))</f>
        <v/>
      </c>
      <c r="Q984" s="401" t="inlineStr">
        <is>
          <t>辅料</t>
        </is>
      </c>
      <c r="R984" s="168" t="inlineStr"/>
      <c r="S984" s="168" t="inlineStr"/>
      <c r="T984" s="168" t="inlineStr">
        <is>
          <t>0</t>
        </is>
      </c>
      <c r="U984" s="168" t="inlineStr"/>
      <c r="V984" s="402" t="n"/>
      <c r="W984" s="402" t="n"/>
      <c r="X984" s="170" t="inlineStr"/>
    </row>
    <row r="985" s="308">
      <c r="A985" s="64">
        <f>ROW()-ROW(A$969)</f>
        <v/>
      </c>
      <c r="B985" s="112" t="inlineStr">
        <is>
          <t>柜体Blokset</t>
        </is>
      </c>
      <c r="C985" s="22" t="inlineStr">
        <is>
          <t>700W*1200D*2200H</t>
        </is>
      </c>
      <c r="D985" s="112" t="inlineStr">
        <is>
          <t>清科</t>
        </is>
      </c>
      <c r="E985" s="114" t="inlineStr">
        <is>
          <t>台</t>
        </is>
      </c>
      <c r="F985" s="114" t="n">
        <v>1</v>
      </c>
      <c r="G985" s="396">
        <f>IF(AND(B985="",C985=""),"",ROUND(M985*L985*N985,2))</f>
        <v/>
      </c>
      <c r="H985" s="396">
        <f>IF(AND(B985="",C985=""),"",ROUND(F985*G985,2))</f>
        <v/>
      </c>
      <c r="I985" s="219" t="inlineStr"/>
      <c r="J985" s="397">
        <f>IF(AND(B985="",C985=""),"",ROUND(M985*N985,2))</f>
        <v/>
      </c>
      <c r="K985" s="398">
        <f>IF(AND(B985="",C985=""),"",ROUND(J985*F985,2))</f>
        <v/>
      </c>
      <c r="L985" s="200" t="n">
        <v>1</v>
      </c>
      <c r="M985" s="399" t="n">
        <v>4010</v>
      </c>
      <c r="N985" s="154" t="n">
        <v>1</v>
      </c>
      <c r="O985" s="155">
        <f>IF(AND(B985="",C985=""),"",IF(G985&gt;=20000,0.05,IF(G985&gt;=10000,0.1,IF(G985&gt;=5000,0.2,IF(G985&gt;=1000,0.3,IF(G985&gt;=0,0.4,{0}))))))</f>
        <v/>
      </c>
      <c r="P985" s="400">
        <f>IF(AND(B985="",C985=""),"",ROUND(H985*O985,2))</f>
        <v/>
      </c>
      <c r="Q985" s="401" t="inlineStr">
        <is>
          <t>箱体</t>
        </is>
      </c>
      <c r="R985" s="168" t="inlineStr"/>
      <c r="S985" s="168" t="inlineStr"/>
      <c r="T985" s="168" t="inlineStr">
        <is>
          <t>0</t>
        </is>
      </c>
      <c r="U985" s="168" t="inlineStr"/>
      <c r="V985" s="402" t="n"/>
      <c r="W985" s="402" t="n"/>
      <c r="X985" s="170" t="inlineStr">
        <is>
          <t>BlokSeT</t>
        </is>
      </c>
    </row>
    <row r="986" s="308">
      <c r="A986" s="64">
        <f>ROW()-ROW(A$969)</f>
        <v/>
      </c>
      <c r="B986" s="22" t="inlineStr"/>
      <c r="C986" s="22" t="inlineStr"/>
      <c r="D986" s="22" t="inlineStr"/>
      <c r="E986" s="23" t="n"/>
      <c r="F986" s="23">
        <f>IF(AND(B986="",C986=""),"",1)</f>
        <v/>
      </c>
      <c r="G986" s="349">
        <f>IF(AND(B986="",C986=""),"",ROUND(M986*L986*N986,2))</f>
        <v/>
      </c>
      <c r="H986" s="349">
        <f>IF(AND(B986="",C986=""),"",ROUND(F986*G986,2))</f>
        <v/>
      </c>
      <c r="I986" s="45" t="inlineStr"/>
      <c r="J986" s="397">
        <f>IF(AND(B986="",C986=""),"",ROUND(M986*N986,2))</f>
        <v/>
      </c>
      <c r="K986" s="398">
        <f>IF(AND(B986="",C986=""),"",ROUND(J986*F986,2))</f>
        <v/>
      </c>
      <c r="L986" s="200">
        <f>IF(AND(B986="",C986=""),"",1)</f>
        <v/>
      </c>
      <c r="M986" s="399" t="n"/>
      <c r="N986" s="154">
        <f>IF(AND(B986="",C986=""),"",1)</f>
        <v/>
      </c>
      <c r="O986" s="155">
        <f>IF(AND(B986="",C986=""),"",IF(J986&gt;=20000,0.05,IF(J986&gt;=10000,0.1,IF(J986&gt;=5000,0.2,IF(J986&gt;=1000,0.3,IF(J986&gt;=0,0.4,{0}))))))</f>
        <v/>
      </c>
      <c r="P986" s="400">
        <f>IF(AND(B986="",C986=""),"",ROUND(H986*O986,2))</f>
        <v/>
      </c>
      <c r="Q986" s="401">
        <f>IF(AND(B986="",C986=""),"","元件")</f>
        <v/>
      </c>
      <c r="R986" s="168" t="inlineStr"/>
      <c r="S986" s="168" t="inlineStr"/>
      <c r="T986" s="168" t="inlineStr"/>
      <c r="U986" s="168" t="inlineStr"/>
      <c r="V986" s="402" t="n"/>
      <c r="W986" s="402" t="n"/>
      <c r="X986" s="170" t="inlineStr"/>
    </row>
    <row r="987" s="308">
      <c r="A987" s="64">
        <f>ROW()-ROW(A$969)</f>
        <v/>
      </c>
      <c r="B987" s="171" t="inlineStr">
        <is>
          <t>小计</t>
        </is>
      </c>
      <c r="C987" s="172" t="n"/>
      <c r="D987" s="204" t="n"/>
      <c r="E987" s="114" t="n"/>
      <c r="F987" s="114" t="n"/>
      <c r="G987" s="396" t="n"/>
      <c r="H987" s="396">
        <f>ROUND(SUM(H969:INDEX(H:H,ROW()-1)),2)</f>
        <v/>
      </c>
      <c r="I987" s="45" t="inlineStr"/>
      <c r="J987" s="397" t="n"/>
      <c r="K987" s="398">
        <f>ROUND(SUM(K969:INDEX(K:K,ROW()-1)),2)</f>
        <v/>
      </c>
      <c r="L987" s="200" t="n"/>
      <c r="M987" s="399" t="n"/>
      <c r="N987" s="154" t="n"/>
      <c r="O987" s="155" t="n"/>
      <c r="P987" s="400" t="n"/>
      <c r="Q987" s="401" t="n"/>
      <c r="R987" s="168" t="inlineStr"/>
      <c r="S987" s="168" t="inlineStr"/>
      <c r="T987" s="168" t="inlineStr"/>
      <c r="U987" s="168" t="inlineStr"/>
      <c r="V987" s="402">
        <f>ROUND(SUMPRODUCT(F969:INDEX(F:F,ROW()-1),V969:INDEX(V:V,ROW()-1)),2)</f>
        <v/>
      </c>
      <c r="W987" s="402">
        <f>ROUND(SUMPRODUCT(F969:INDEX(F:F,ROW()-1),W969:INDEX(W:W,ROW()-1)),2)</f>
        <v/>
      </c>
      <c r="X987" s="170" t="inlineStr"/>
    </row>
    <row r="988" s="308">
      <c r="A988" s="64">
        <f>ROW()-ROW(A$969)</f>
        <v/>
      </c>
      <c r="B988" s="171" t="inlineStr">
        <is>
          <t>综合费(人工、管理、税金、利润等)</t>
        </is>
      </c>
      <c r="C988" s="172" t="n"/>
      <c r="D988" s="204" t="n"/>
      <c r="E988" s="114" t="n"/>
      <c r="F988" s="114" t="n"/>
      <c r="G988" s="396" t="n"/>
      <c r="H988" s="396">
        <f>2500</f>
        <v/>
      </c>
      <c r="I988" s="45" t="inlineStr"/>
      <c r="J988" s="397" t="n"/>
      <c r="K988" s="398" t="n"/>
      <c r="L988" s="200" t="n"/>
      <c r="M988" s="399" t="n"/>
      <c r="N988" s="154" t="n"/>
      <c r="O988" s="155" t="n"/>
      <c r="P988" s="400" t="n"/>
      <c r="Q988" s="401" t="inlineStr">
        <is>
          <t>费用</t>
        </is>
      </c>
      <c r="R988" s="168" t="inlineStr"/>
      <c r="S988" s="168" t="inlineStr"/>
      <c r="T988" s="168" t="inlineStr"/>
      <c r="U988" s="168" t="inlineStr"/>
      <c r="V988" s="402" t="n"/>
      <c r="W988" s="402" t="n"/>
      <c r="X988" s="170" t="inlineStr"/>
    </row>
    <row r="989" s="308">
      <c r="A989" s="64">
        <f>ROW()-ROW(A$969)</f>
        <v/>
      </c>
      <c r="B989" s="204" t="inlineStr">
        <is>
          <t>单台合计</t>
        </is>
      </c>
      <c r="C989" s="172" t="n"/>
      <c r="D989" s="204" t="n"/>
      <c r="E989" s="114" t="n"/>
      <c r="F989" s="114" t="n"/>
      <c r="G989" s="396" t="n"/>
      <c r="H989" s="396">
        <f>ROUND(SUM(H987:H988),2)</f>
        <v/>
      </c>
      <c r="I989" s="181" t="n"/>
      <c r="J989" s="397" t="n"/>
      <c r="K989" s="398">
        <f>ROUND(SUM(K987:K988),2)</f>
        <v/>
      </c>
      <c r="L989" s="209" t="n"/>
      <c r="M989" s="399" t="n"/>
      <c r="N989" s="210" t="n"/>
      <c r="O989" s="211" t="n"/>
      <c r="P989" s="400" t="n"/>
      <c r="Q989" s="401" t="n"/>
      <c r="R989" s="168" t="inlineStr"/>
      <c r="S989" s="168" t="inlineStr"/>
      <c r="T989" s="168" t="inlineStr"/>
      <c r="U989" s="168" t="inlineStr"/>
      <c r="V989" s="402" t="n"/>
      <c r="W989" s="402" t="n"/>
      <c r="X989" s="170" t="inlineStr"/>
    </row>
    <row r="990" s="308">
      <c r="A990" s="173" t="inlineStr">
        <is>
          <t>总计</t>
        </is>
      </c>
      <c r="B990" s="205" t="n"/>
      <c r="C990" s="175" t="n"/>
      <c r="D990" s="206" t="n"/>
      <c r="E990" s="206" t="inlineStr">
        <is>
          <t>台</t>
        </is>
      </c>
      <c r="F990" s="206" t="n">
        <v>4</v>
      </c>
      <c r="G990" s="414">
        <f>ROUND(H989,2)</f>
        <v/>
      </c>
      <c r="H990" s="414">
        <f>ROUND(F990*G990,2)</f>
        <v/>
      </c>
      <c r="I990" s="185" t="n"/>
      <c r="J990" s="415" t="n"/>
      <c r="K990" s="416">
        <f>ROUND(K989*F990,2)</f>
        <v/>
      </c>
      <c r="L990" s="214" t="n"/>
      <c r="M990" s="417" t="n"/>
      <c r="N990" s="216" t="n"/>
      <c r="O990" s="217" t="n"/>
      <c r="P990" s="418" t="n"/>
      <c r="Q990" s="401" t="n"/>
      <c r="R990" s="168" t="inlineStr"/>
      <c r="S990" s="168" t="inlineStr"/>
      <c r="T990" s="168" t="inlineStr"/>
      <c r="U990" s="168" t="inlineStr"/>
      <c r="V990" s="402" t="n"/>
      <c r="W990" s="402" t="n"/>
      <c r="X990" s="170" t="inlineStr"/>
    </row>
    <row r="991" customFormat="1" s="4">
      <c r="A991" s="6" t="n"/>
      <c r="B991" s="195" t="inlineStr"/>
      <c r="C991" s="195" t="inlineStr"/>
      <c r="D991" s="195" t="inlineStr"/>
      <c r="Q991" s="159" t="n"/>
      <c r="R991" s="159" t="n"/>
      <c r="S991" s="159" t="n"/>
      <c r="T991" s="159" t="n"/>
      <c r="U991" s="159" t="n"/>
      <c r="X991" s="195" t="inlineStr"/>
    </row>
    <row r="992" customFormat="1" s="4">
      <c r="A992" s="6" t="n"/>
      <c r="B992" s="195" t="inlineStr"/>
      <c r="C992" s="195" t="inlineStr"/>
      <c r="D992" s="195" t="inlineStr"/>
      <c r="Q992" s="159" t="n"/>
      <c r="R992" s="159" t="n"/>
      <c r="S992" s="159" t="n"/>
      <c r="T992" s="159" t="n"/>
      <c r="U992" s="159" t="n"/>
      <c r="X992" s="195" t="inlineStr"/>
    </row>
    <row r="993" s="308">
      <c r="A993" s="208">
        <f>CONCATENATE("报价人：",项目信息!$B$8)</f>
        <v/>
      </c>
      <c r="B993" s="208" t="n"/>
      <c r="C993" s="4" t="n"/>
      <c r="D993" s="4" t="n"/>
      <c r="E993" s="4" t="n"/>
      <c r="F993" s="4" t="n"/>
      <c r="G993" s="4" t="n"/>
      <c r="H993" s="178">
        <f>项目信息!$B$9</f>
        <v/>
      </c>
      <c r="Q993" s="159" t="n"/>
      <c r="R993" s="159" t="n"/>
      <c r="S993" s="159" t="n"/>
      <c r="T993" s="159" t="n"/>
      <c r="U993" s="159" t="n"/>
      <c r="X993" s="203" t="inlineStr"/>
    </row>
    <row r="994" s="308">
      <c r="A994" s="8">
        <f>T(项目信息!$B$22)</f>
        <v/>
      </c>
      <c r="Q994" s="159" t="n"/>
      <c r="R994" s="159" t="n"/>
      <c r="S994" s="159" t="n"/>
      <c r="T994" s="159" t="n"/>
      <c r="U994" s="159" t="n"/>
    </row>
    <row r="995" s="308">
      <c r="A995" s="9">
        <f>T(项目信息!$B$23)</f>
        <v/>
      </c>
      <c r="Q995" s="159" t="n"/>
      <c r="R995" s="159" t="n"/>
      <c r="S995" s="159" t="n"/>
      <c r="T995" s="159" t="n"/>
      <c r="U995" s="159" t="n"/>
    </row>
    <row r="996" s="308">
      <c r="A996" s="97" t="inlineStr">
        <is>
          <t>成套产品报价明细表</t>
        </is>
      </c>
      <c r="B996" s="378" t="n"/>
      <c r="C996" s="378" t="n"/>
      <c r="D996" s="378" t="n"/>
      <c r="E996" s="378" t="n"/>
      <c r="F996" s="378" t="n"/>
      <c r="G996" s="378" t="n"/>
      <c r="H996" s="378" t="n"/>
      <c r="I996" s="378" t="n"/>
      <c r="Q996" s="159" t="n"/>
      <c r="R996" s="159" t="n"/>
      <c r="S996" s="159" t="n"/>
      <c r="T996" s="159" t="n"/>
      <c r="U996" s="159" t="n"/>
    </row>
    <row r="997" customFormat="1" s="4">
      <c r="A997" s="98" t="inlineStr">
        <is>
          <t>柜号:</t>
        </is>
      </c>
      <c r="B997" s="99" t="inlineStr">
        <is>
          <t>AAN5-07、BAN6-07、AAN7-08、BAN8-04</t>
        </is>
      </c>
      <c r="C997" s="100" t="inlineStr">
        <is>
          <t>型号:</t>
        </is>
      </c>
      <c r="D997" s="99" t="inlineStr">
        <is>
          <t>BlokSeT</t>
        </is>
      </c>
      <c r="E997" s="379" t="n"/>
      <c r="F997" s="101" t="inlineStr">
        <is>
          <t>名称:</t>
        </is>
      </c>
      <c r="G997" s="99" t="inlineStr">
        <is>
          <t>馈线柜</t>
        </is>
      </c>
      <c r="H997" s="379" t="n"/>
      <c r="I997" s="408" t="inlineStr"/>
      <c r="J997" s="194" t="inlineStr">
        <is>
          <t>箱柜尺寸:</t>
        </is>
      </c>
      <c r="K997" s="195" t="inlineStr">
        <is>
          <t>700W*1200D*2200H</t>
        </is>
      </c>
      <c r="L997" s="194" t="inlineStr">
        <is>
          <t>类别:</t>
        </is>
      </c>
      <c r="M997" s="195" t="inlineStr">
        <is>
          <t>低压固定柜</t>
        </is>
      </c>
      <c r="N997" s="409" t="inlineStr"/>
      <c r="Q997" s="159" t="n"/>
      <c r="R997" s="159" t="n"/>
      <c r="S997" s="159" t="n"/>
      <c r="T997" s="159" t="n"/>
      <c r="U997" s="159" t="n"/>
    </row>
    <row r="998" ht="20.1" customHeight="1" s="308">
      <c r="A998" s="102" t="inlineStr">
        <is>
          <t>序号</t>
        </is>
      </c>
      <c r="B998" s="103" t="inlineStr">
        <is>
          <t>元件名称</t>
        </is>
      </c>
      <c r="C998" s="103" t="inlineStr">
        <is>
          <t>型号规格</t>
        </is>
      </c>
      <c r="D998" s="104" t="inlineStr">
        <is>
          <t>生产厂家</t>
        </is>
      </c>
      <c r="E998" s="105" t="inlineStr">
        <is>
          <t>单位</t>
        </is>
      </c>
      <c r="F998" s="105" t="inlineStr">
        <is>
          <t>数量</t>
        </is>
      </c>
      <c r="G998" s="382" t="inlineStr">
        <is>
          <t>单   价</t>
        </is>
      </c>
      <c r="H998" s="383" t="inlineStr">
        <is>
          <t>总   价</t>
        </is>
      </c>
      <c r="I998" s="134" t="inlineStr">
        <is>
          <t>备注</t>
        </is>
      </c>
      <c r="J998" s="384" t="inlineStr">
        <is>
          <t>成本单价</t>
        </is>
      </c>
      <c r="K998" s="384" t="inlineStr">
        <is>
          <t>成本总价</t>
        </is>
      </c>
      <c r="L998" s="136" t="inlineStr">
        <is>
          <t>报出
系数</t>
        </is>
      </c>
      <c r="M998" s="384" t="inlineStr">
        <is>
          <t>表价</t>
        </is>
      </c>
      <c r="N998" s="136" t="inlineStr">
        <is>
          <t>折扣
系数</t>
        </is>
      </c>
      <c r="O998" s="137" t="inlineStr">
        <is>
          <t>取费
系数</t>
        </is>
      </c>
      <c r="P998" s="384" t="inlineStr">
        <is>
          <t>成套费</t>
        </is>
      </c>
      <c r="Q998" s="161" t="inlineStr">
        <is>
          <t>类别</t>
        </is>
      </c>
      <c r="R998" s="161" t="inlineStr">
        <is>
          <t>物料编码</t>
        </is>
      </c>
      <c r="S998" s="161" t="inlineStr">
        <is>
          <t>产地</t>
        </is>
      </c>
      <c r="T998" s="161" t="inlineStr">
        <is>
          <t>加工费</t>
        </is>
      </c>
      <c r="U998" s="161" t="inlineStr">
        <is>
          <t>订货号</t>
        </is>
      </c>
      <c r="V998" s="161" t="inlineStr">
        <is>
          <t>人工</t>
        </is>
      </c>
      <c r="W998" s="161" t="inlineStr">
        <is>
          <t>辅料</t>
        </is>
      </c>
      <c r="X998" s="203" t="inlineStr"/>
    </row>
    <row r="999" s="308">
      <c r="A999" s="64">
        <f>ROW()-ROW(A$998)</f>
        <v/>
      </c>
      <c r="B999" s="22" t="inlineStr">
        <is>
          <t>框架断路器</t>
        </is>
      </c>
      <c r="C999" s="22" t="inlineStr">
        <is>
          <t>MT20 H1 4P MIC5.0 E</t>
        </is>
      </c>
      <c r="D999" s="22" t="inlineStr">
        <is>
          <t>甲供/施耐德电气</t>
        </is>
      </c>
      <c r="E999" s="23" t="inlineStr">
        <is>
          <t>只</t>
        </is>
      </c>
      <c r="F999" s="23" t="n">
        <v>1</v>
      </c>
      <c r="G999" s="349">
        <f>IF(AND(B999="",C999=""),"",ROUND(M999*L999*N999,2))</f>
        <v/>
      </c>
      <c r="H999" s="349">
        <f>IF(AND(B999="",C999=""),"",ROUND(F999*G999,2))</f>
        <v/>
      </c>
      <c r="I999" s="45" t="inlineStr"/>
      <c r="J999" s="397">
        <f>IF(AND(B999="",C999=""),"",ROUND(M999*N999,2))</f>
        <v/>
      </c>
      <c r="K999" s="398">
        <f>IF(AND(B999="",C999=""),"",ROUND(J999*F999,2))</f>
        <v/>
      </c>
      <c r="L999" s="200" t="n">
        <v>1</v>
      </c>
      <c r="M999" s="399" t="n">
        <v>1e-07</v>
      </c>
      <c r="N999" s="154" t="n">
        <v>1</v>
      </c>
      <c r="O999" s="155">
        <f>IF(AND(B999="",C999=""),"",IF(G999&gt;=20000,0.05,IF(G999&gt;=10000,0.1,IF(G999&gt;=5000,0.2,IF(G999&gt;=1000,0.3,IF(G999&gt;=0,0.4,{0}))))))</f>
        <v/>
      </c>
      <c r="P999" s="400">
        <f>IF(AND(B999="",C999=""),"",ROUND(H999*O999,2))</f>
        <v/>
      </c>
      <c r="Q999" s="401" t="inlineStr">
        <is>
          <t>元件</t>
        </is>
      </c>
      <c r="R999" s="168" t="inlineStr"/>
      <c r="S999" s="168" t="inlineStr"/>
      <c r="T999" s="168" t="inlineStr">
        <is>
          <t>0</t>
        </is>
      </c>
      <c r="U999" s="168" t="inlineStr">
        <is>
          <t>C16F32D160</t>
        </is>
      </c>
      <c r="V999" s="402" t="n"/>
      <c r="W999" s="402" t="n"/>
      <c r="X999" s="170" t="inlineStr">
        <is>
          <t>NSX630N Mic2.3 630A 3P3D F→NSX630F MIC2.3 630 3P F→NSX630F MIC 2.3 630 3P F</t>
        </is>
      </c>
    </row>
    <row r="1000" s="308">
      <c r="A1000" s="64">
        <f>ROW()-ROW(A$998)</f>
        <v/>
      </c>
      <c r="B1000" s="22" t="inlineStr">
        <is>
          <t>电流互感器</t>
        </is>
      </c>
      <c r="C1000" s="22" t="inlineStr">
        <is>
          <t>SD-0.66-100II-C 2000/5A</t>
        </is>
      </c>
      <c r="D1000" s="22" t="inlineStr">
        <is>
          <t>桑迪</t>
        </is>
      </c>
      <c r="E1000" s="23" t="inlineStr">
        <is>
          <t>只</t>
        </is>
      </c>
      <c r="F1000" s="23" t="n">
        <v>3</v>
      </c>
      <c r="G1000" s="349">
        <f>IF(AND(B1000="",C1000=""),"",ROUND(M1000*L1000*N1000,2))</f>
        <v/>
      </c>
      <c r="H1000" s="396">
        <f>IF(AND(B1000="",C1000=""),"",ROUND(F1000*G1000,2))</f>
        <v/>
      </c>
      <c r="I1000" s="219" t="inlineStr"/>
      <c r="J1000" s="397">
        <f>IF(AND(B1000="",C1000=""),"",ROUND(M1000*N1000,2))</f>
        <v/>
      </c>
      <c r="K1000" s="398">
        <f>IF(AND(B1000="",C1000=""),"",ROUND(J1000*F1000,2))</f>
        <v/>
      </c>
      <c r="L1000" s="200" t="n">
        <v>1</v>
      </c>
      <c r="M1000" s="399" t="n">
        <v>146.25</v>
      </c>
      <c r="N1000" s="154" t="n">
        <v>1</v>
      </c>
      <c r="O1000" s="155">
        <f>IF(AND(B1000="",C1000=""),"",IF(G1000&gt;=20000,0.05,IF(G1000&gt;=10000,0.1,IF(G1000&gt;=5000,0.2,IF(G1000&gt;=1000,0.3,IF(G1000&gt;=0,0.4,{0}))))))</f>
        <v/>
      </c>
      <c r="P1000" s="400">
        <f>IF(AND(B1000="",C1000=""),"",ROUND(H1000*O1000,2))</f>
        <v/>
      </c>
      <c r="Q1000" s="401" t="inlineStr">
        <is>
          <t>元件</t>
        </is>
      </c>
      <c r="R1000" s="168" t="inlineStr"/>
      <c r="S1000" s="168" t="inlineStr"/>
      <c r="T1000" s="168" t="inlineStr">
        <is>
          <t>0</t>
        </is>
      </c>
      <c r="U1000" s="168" t="inlineStr">
        <is>
          <t>710141426552500</t>
        </is>
      </c>
      <c r="V1000" s="402" t="n"/>
      <c r="W1000" s="402" t="n"/>
      <c r="X1000" s="170" t="inlineStr">
        <is>
          <t>SD→SD-0.66-40II-C 400/5A→SD-0.66-30I 250/5A→SD-0.66-30I 150/5A→SD-0.66-60II-C 750/5A→SD-0.66-60II-C 600/5A→SD-0.66-30I 150/5A→SD-0.66-40II-C 400/5A→SD-0.66-100II-C 1600/5A→SD-0.66-80II-V 1000/5A→SD-0.66-80II-V 1250/5A→SD-0.66-130III-V 3000/5A</t>
        </is>
      </c>
    </row>
    <row r="1001" s="308">
      <c r="A1001" s="64">
        <f>ROW()-ROW(A$998)</f>
        <v/>
      </c>
      <c r="B1001" s="112" t="inlineStr">
        <is>
          <t>多功能表</t>
        </is>
      </c>
      <c r="C1001" s="112" t="inlineStr">
        <is>
          <t>PM4101</t>
        </is>
      </c>
      <c r="D1001" s="112" t="inlineStr">
        <is>
          <t>甲供/施耐德电气</t>
        </is>
      </c>
      <c r="E1001" s="114" t="inlineStr">
        <is>
          <t>只</t>
        </is>
      </c>
      <c r="F1001" s="114" t="n">
        <v>1</v>
      </c>
      <c r="G1001" s="396">
        <f>IF(AND(B1001="",C1001=""),"",ROUND(M1001*L1001*N1001,2))</f>
        <v/>
      </c>
      <c r="H1001" s="349">
        <f>IF(AND(B1001="",C1001=""),"",ROUND(F1001*G1001,2))</f>
        <v/>
      </c>
      <c r="I1001" s="45" t="inlineStr"/>
      <c r="J1001" s="397">
        <f>IF(AND(B1001="",C1001=""),"",ROUND(M1001*N1001,2))</f>
        <v/>
      </c>
      <c r="K1001" s="398">
        <f>IF(AND(B1001="",C1001=""),"",ROUND(J1001*F1001,2))</f>
        <v/>
      </c>
      <c r="L1001" s="200" t="n">
        <v>1</v>
      </c>
      <c r="M1001" s="399" t="n">
        <v>1e-07</v>
      </c>
      <c r="N1001" s="154" t="n">
        <v>1</v>
      </c>
      <c r="O1001" s="155">
        <f>IF(AND(B1001="",C1001=""),"",IF(J1001&gt;=20000,0.05,IF(J1001&gt;=10000,0.1,IF(J1001&gt;=5000,0.2,IF(J1001&gt;=1000,0.3,IF(J1001&gt;=0,0.4,{0}))))))</f>
        <v/>
      </c>
      <c r="P1001" s="400">
        <f>IF(AND(B1001="",C1001=""),"",ROUND(H1001*O1001,2))</f>
        <v/>
      </c>
      <c r="Q1001" s="401" t="inlineStr">
        <is>
          <t>元件</t>
        </is>
      </c>
      <c r="R1001" s="168" t="inlineStr"/>
      <c r="S1001" s="168" t="inlineStr"/>
      <c r="T1001" s="168" t="inlineStr">
        <is>
          <t>0</t>
        </is>
      </c>
      <c r="U1001" s="168" t="inlineStr"/>
      <c r="V1001" s="402" t="n"/>
      <c r="W1001" s="402" t="n"/>
      <c r="X1001" s="170" t="inlineStr"/>
    </row>
    <row r="1002" customFormat="1" s="3">
      <c r="A1002" s="64">
        <f>ROW()-ROW(A$998)</f>
        <v/>
      </c>
      <c r="B1002" s="22" t="inlineStr">
        <is>
          <t>指示灯</t>
        </is>
      </c>
      <c r="C1002" s="22" t="inlineStr">
        <is>
          <t>XB2BVM3LC</t>
        </is>
      </c>
      <c r="D1002" s="22" t="inlineStr">
        <is>
          <t>甲供/施耐德电气</t>
        </is>
      </c>
      <c r="E1002" s="23" t="inlineStr">
        <is>
          <t>只</t>
        </is>
      </c>
      <c r="F1002" s="23" t="n">
        <v>1</v>
      </c>
      <c r="G1002" s="349">
        <f>IF(AND(B1002="",C1002=""),"",ROUND(M1002*L1002*N1002,2))</f>
        <v/>
      </c>
      <c r="H1002" s="353">
        <f>IF(AND(B1002="",C1002=""),"",ROUND(F1002*G1002,2))</f>
        <v/>
      </c>
      <c r="I1002" s="180" t="inlineStr"/>
      <c r="J1002" s="392">
        <f>IF(AND(B1002="",C1002=""),"",ROUND(M1002*N1002,2))</f>
        <v/>
      </c>
      <c r="K1002" s="393">
        <f>IF(AND(B1002="",C1002=""),"",ROUND(J1002*F1002,2))</f>
        <v/>
      </c>
      <c r="L1002" s="141" t="n">
        <v>1</v>
      </c>
      <c r="M1002" s="394" t="n">
        <v>1e-07</v>
      </c>
      <c r="N1002" s="220" t="n">
        <v>1</v>
      </c>
      <c r="O1002" s="221">
        <f>IF(AND(B1002="",C1002=""),"",IF(G1002&gt;=20000,0.05,IF(G1002&gt;=10000,0.1,IF(G1002&gt;=5000,0.2,IF(G1002&gt;=1000,0.3,IF(G1002&gt;=0,0.4,{0}))))))</f>
        <v/>
      </c>
      <c r="P1002" s="419">
        <f>IF(AND(B1002="",C1002=""),"",ROUND(H1002*O1002,2))</f>
        <v/>
      </c>
      <c r="Q1002" s="420" t="inlineStr">
        <is>
          <t>元件</t>
        </is>
      </c>
      <c r="R1002" s="231" t="inlineStr"/>
      <c r="S1002" s="231" t="inlineStr"/>
      <c r="T1002" s="231" t="inlineStr">
        <is>
          <t>0</t>
        </is>
      </c>
      <c r="U1002" s="231" t="inlineStr">
        <is>
          <t>XB2BVM3LC</t>
        </is>
      </c>
      <c r="V1002" s="421" t="n"/>
      <c r="W1002" s="421" t="n"/>
      <c r="X1002" s="166" t="inlineStr">
        <is>
          <t>XA2EVM3LC</t>
        </is>
      </c>
    </row>
    <row r="1003" customFormat="1" s="3">
      <c r="A1003" s="64">
        <f>ROW()-ROW(A$998)</f>
        <v/>
      </c>
      <c r="B1003" s="22" t="inlineStr">
        <is>
          <t>指示灯</t>
        </is>
      </c>
      <c r="C1003" s="22" t="inlineStr">
        <is>
          <t>XB2BVM4LC</t>
        </is>
      </c>
      <c r="D1003" s="22" t="inlineStr">
        <is>
          <t>甲供/施耐德电气</t>
        </is>
      </c>
      <c r="E1003" s="23" t="inlineStr">
        <is>
          <t>只</t>
        </is>
      </c>
      <c r="F1003" s="23" t="n">
        <v>1</v>
      </c>
      <c r="G1003" s="349">
        <f>IF(AND(B1003="",C1003=""),"",ROUND(M1003*L1003*N1003,2))</f>
        <v/>
      </c>
      <c r="H1003" s="353">
        <f>IF(AND(B1003="",C1003=""),"",ROUND(F1003*G1003,2))</f>
        <v/>
      </c>
      <c r="I1003" s="180" t="inlineStr"/>
      <c r="J1003" s="392">
        <f>IF(AND(B1003="",C1003=""),"",ROUND(M1003*N1003,2))</f>
        <v/>
      </c>
      <c r="K1003" s="393">
        <f>IF(AND(B1003="",C1003=""),"",ROUND(J1003*F1003,2))</f>
        <v/>
      </c>
      <c r="L1003" s="141" t="n">
        <v>1</v>
      </c>
      <c r="M1003" s="394" t="n">
        <v>1e-07</v>
      </c>
      <c r="N1003" s="220" t="n">
        <v>1</v>
      </c>
      <c r="O1003" s="221">
        <f>IF(AND(B1003="",C1003=""),"",IF(G1003&gt;=20000,0.05,IF(G1003&gt;=10000,0.1,IF(G1003&gt;=5000,0.2,IF(G1003&gt;=1000,0.3,IF(G1003&gt;=0,0.4,{0}))))))</f>
        <v/>
      </c>
      <c r="P1003" s="419">
        <f>IF(AND(B1003="",C1003=""),"",ROUND(H1003*O1003,2))</f>
        <v/>
      </c>
      <c r="Q1003" s="420" t="inlineStr">
        <is>
          <t>元件</t>
        </is>
      </c>
      <c r="R1003" s="231" t="inlineStr"/>
      <c r="S1003" s="231" t="inlineStr"/>
      <c r="T1003" s="231" t="inlineStr">
        <is>
          <t>0</t>
        </is>
      </c>
      <c r="U1003" s="231" t="inlineStr">
        <is>
          <t>XB2BVM4LC</t>
        </is>
      </c>
      <c r="V1003" s="421" t="n"/>
      <c r="W1003" s="421" t="n"/>
      <c r="X1003" s="166" t="inlineStr">
        <is>
          <t>XA2EVM4LC</t>
        </is>
      </c>
    </row>
    <row r="1004" s="308">
      <c r="A1004" s="64">
        <f>ROW()-ROW(A$998)</f>
        <v/>
      </c>
      <c r="B1004" s="112" t="inlineStr">
        <is>
          <t>指示灯</t>
        </is>
      </c>
      <c r="C1004" s="112" t="inlineStr">
        <is>
          <t>XB2BVM5LC</t>
        </is>
      </c>
      <c r="D1004" s="112" t="inlineStr">
        <is>
          <t>甲供/施耐德电气</t>
        </is>
      </c>
      <c r="E1004" s="114" t="inlineStr">
        <is>
          <t>只</t>
        </is>
      </c>
      <c r="F1004" s="114" t="n">
        <v>1</v>
      </c>
      <c r="G1004" s="396">
        <f>IF(AND(B1004="",C1004=""),"",ROUND(M1004*L1004*N1004,2))</f>
        <v/>
      </c>
      <c r="H1004" s="396">
        <f>IF(AND(B1004="",C1004=""),"",ROUND(F1004*G1004,2))</f>
        <v/>
      </c>
      <c r="I1004" s="150" t="inlineStr"/>
      <c r="J1004" s="397">
        <f>IF(AND(B1004="",C1004=""),"",ROUND(M1004*N1004,2))</f>
        <v/>
      </c>
      <c r="K1004" s="398">
        <f>IF(AND(B1004="",C1004=""),"",ROUND(J1004*F1004,2))</f>
        <v/>
      </c>
      <c r="L1004" s="141" t="n">
        <v>1</v>
      </c>
      <c r="M1004" s="399" t="n">
        <v>1e-07</v>
      </c>
      <c r="N1004" s="154" t="n">
        <v>1</v>
      </c>
      <c r="O1004" s="155">
        <f>IF(AND(B1004="",C1004=""),"",IF(G1004&gt;=20000,0.05,IF(G1004&gt;=10000,0.1,IF(G1004&gt;=5000,0.2,IF(G1004&gt;=1000,0.3,IF(G1004&gt;=0,0.4,{0}))))))</f>
        <v/>
      </c>
      <c r="P1004" s="400">
        <f>IF(AND(B1004="",C1004=""),"",ROUND(H1004*O1004,2))</f>
        <v/>
      </c>
      <c r="Q1004" s="401" t="inlineStr">
        <is>
          <t>元件</t>
        </is>
      </c>
      <c r="R1004" s="168" t="inlineStr"/>
      <c r="S1004" s="168" t="inlineStr"/>
      <c r="T1004" s="168" t="inlineStr">
        <is>
          <t>0</t>
        </is>
      </c>
      <c r="U1004" s="168" t="inlineStr">
        <is>
          <t>XA2EVM5LC</t>
        </is>
      </c>
      <c r="V1004" s="402" t="n"/>
      <c r="W1004" s="402" t="n"/>
      <c r="X1004" s="170" t="inlineStr"/>
    </row>
    <row r="1005" s="308">
      <c r="A1005" s="64">
        <f>ROW()-ROW(A$998)</f>
        <v/>
      </c>
      <c r="B1005" s="112" t="inlineStr">
        <is>
          <t>按钮</t>
        </is>
      </c>
      <c r="C1005" s="112" t="inlineStr">
        <is>
          <t>XB2BA31C</t>
        </is>
      </c>
      <c r="D1005" s="112" t="inlineStr">
        <is>
          <t>甲供/施耐德电气</t>
        </is>
      </c>
      <c r="E1005" s="114" t="inlineStr">
        <is>
          <t>只</t>
        </is>
      </c>
      <c r="F1005" s="114" t="n">
        <v>1</v>
      </c>
      <c r="G1005" s="396">
        <f>IF(AND(B1005="",C1005=""),"",ROUND(M1005*L1005*N1005,2))</f>
        <v/>
      </c>
      <c r="H1005" s="396">
        <f>IF(AND(B1005="",C1005=""),"",ROUND(F1005*G1005,2))</f>
        <v/>
      </c>
      <c r="I1005" s="150" t="inlineStr"/>
      <c r="J1005" s="397">
        <f>IF(AND(B1005="",C1005=""),"",ROUND(M1005*N1005,2))</f>
        <v/>
      </c>
      <c r="K1005" s="398">
        <f>IF(AND(B1005="",C1005=""),"",ROUND(J1005*F1005,2))</f>
        <v/>
      </c>
      <c r="L1005" s="141" t="n">
        <v>1</v>
      </c>
      <c r="M1005" s="399" t="n">
        <v>1e-07</v>
      </c>
      <c r="N1005" s="154" t="n">
        <v>1</v>
      </c>
      <c r="O1005" s="155">
        <f>IF(AND(B1005="",C1005=""),"",IF(G1005&gt;=20000,0.05,IF(G1005&gt;=10000,0.1,IF(G1005&gt;=5000,0.2,IF(G1005&gt;=1000,0.3,IF(G1005&gt;=0,0.4,{0}))))))</f>
        <v/>
      </c>
      <c r="P1005" s="400">
        <f>IF(AND(B1005="",C1005=""),"",ROUND(H1005*O1005,2))</f>
        <v/>
      </c>
      <c r="Q1005" s="401" t="inlineStr">
        <is>
          <t>元件</t>
        </is>
      </c>
      <c r="R1005" s="168" t="inlineStr"/>
      <c r="S1005" s="168" t="inlineStr"/>
      <c r="T1005" s="168" t="inlineStr">
        <is>
          <t>0</t>
        </is>
      </c>
      <c r="U1005" s="168" t="inlineStr">
        <is>
          <t>XB2BA31C</t>
        </is>
      </c>
      <c r="V1005" s="402" t="n"/>
      <c r="W1005" s="402" t="n"/>
      <c r="X1005" s="170" t="inlineStr">
        <is>
          <t>XA2EA31</t>
        </is>
      </c>
    </row>
    <row r="1006" s="308">
      <c r="A1006" s="64">
        <f>ROW()-ROW(A$998)</f>
        <v/>
      </c>
      <c r="B1006" s="22" t="inlineStr">
        <is>
          <t>按钮</t>
        </is>
      </c>
      <c r="C1006" s="22" t="inlineStr">
        <is>
          <t>XB2BA42C</t>
        </is>
      </c>
      <c r="D1006" s="22" t="inlineStr">
        <is>
          <t>甲供/施耐德电气</t>
        </is>
      </c>
      <c r="E1006" s="23" t="inlineStr">
        <is>
          <t>只</t>
        </is>
      </c>
      <c r="F1006" s="23" t="n">
        <v>1</v>
      </c>
      <c r="G1006" s="349">
        <f>IF(AND(B1006="",C1006=""),"",ROUND(M1006*L1006*N1006,2))</f>
        <v/>
      </c>
      <c r="H1006" s="396">
        <f>IF(AND(B1006="",C1006=""),"",ROUND(F1006*G1006,2))</f>
        <v/>
      </c>
      <c r="I1006" s="150" t="inlineStr"/>
      <c r="J1006" s="397">
        <f>IF(AND(B1006="",C1006=""),"",ROUND(M1006*N1006,2))</f>
        <v/>
      </c>
      <c r="K1006" s="398">
        <f>IF(AND(B1006="",C1006=""),"",ROUND(J1006*F1006,2))</f>
        <v/>
      </c>
      <c r="L1006" s="141" t="n">
        <v>1</v>
      </c>
      <c r="M1006" s="399" t="n">
        <v>1e-07</v>
      </c>
      <c r="N1006" s="154" t="n">
        <v>1</v>
      </c>
      <c r="O1006" s="155">
        <f>IF(AND(B1006="",C1006=""),"",IF(G1006&gt;=20000,0.05,IF(G1006&gt;=10000,0.1,IF(G1006&gt;=5000,0.2,IF(G1006&gt;=1000,0.3,IF(G1006&gt;=0,0.4,{0}))))))</f>
        <v/>
      </c>
      <c r="P1006" s="400">
        <f>IF(AND(B1006="",C1006=""),"",ROUND(H1006*O1006,2))</f>
        <v/>
      </c>
      <c r="Q1006" s="401" t="inlineStr">
        <is>
          <t>元件</t>
        </is>
      </c>
      <c r="R1006" s="168" t="inlineStr"/>
      <c r="S1006" s="168" t="inlineStr"/>
      <c r="T1006" s="168" t="inlineStr">
        <is>
          <t>0</t>
        </is>
      </c>
      <c r="U1006" s="168" t="inlineStr">
        <is>
          <t>XB2BA42C</t>
        </is>
      </c>
      <c r="V1006" s="402" t="n"/>
      <c r="W1006" s="402" t="n"/>
      <c r="X1006" s="170" t="inlineStr">
        <is>
          <t>XA2EA41</t>
        </is>
      </c>
    </row>
    <row r="1007" s="308">
      <c r="A1007" s="64">
        <f>ROW()-ROW(A$998)</f>
        <v/>
      </c>
      <c r="B1007" s="112" t="inlineStr">
        <is>
          <t>温湿度控制器</t>
        </is>
      </c>
      <c r="C1007" s="112" t="inlineStr">
        <is>
          <t>ATH48G-11</t>
        </is>
      </c>
      <c r="D1007" s="22" t="inlineStr">
        <is>
          <t>杭州安廷</t>
        </is>
      </c>
      <c r="E1007" s="23" t="inlineStr">
        <is>
          <t>套</t>
        </is>
      </c>
      <c r="F1007" s="23" t="n">
        <v>1</v>
      </c>
      <c r="G1007" s="349">
        <f>IF(AND(B1007="",C1007=""),"",ROUND(M1007*L1007*N1007,2))</f>
        <v/>
      </c>
      <c r="H1007" s="396">
        <f>IF(AND(B1007="",C1007=""),"",ROUND(F1007*G1007,2))</f>
        <v/>
      </c>
      <c r="I1007" s="150" t="inlineStr"/>
      <c r="J1007" s="397">
        <f>IF(AND(B1007="",C1007=""),"",ROUND(M1007*N1007,2))</f>
        <v/>
      </c>
      <c r="K1007" s="398">
        <f>IF(AND(B1007="",C1007=""),"",ROUND(J1007*F1007,2))</f>
        <v/>
      </c>
      <c r="L1007" s="141" t="n">
        <v>1</v>
      </c>
      <c r="M1007" s="399" t="n">
        <v>450</v>
      </c>
      <c r="N1007" s="154" t="n">
        <v>1</v>
      </c>
      <c r="O1007" s="155">
        <f>IF(AND(B1007="",C1007=""),"",IF(G1007&gt;=20000,0.05,IF(G1007&gt;=10000,0.1,IF(G1007&gt;=5000,0.2,IF(G1007&gt;=1000,0.3,IF(G1007&gt;=0,0.4,{0}))))))</f>
        <v/>
      </c>
      <c r="P1007" s="400">
        <f>IF(AND(B1007="",C1007=""),"",ROUND(H1007*O1007,2))</f>
        <v/>
      </c>
      <c r="Q1007" s="401" t="inlineStr">
        <is>
          <t>元件</t>
        </is>
      </c>
      <c r="R1007" s="168" t="inlineStr"/>
      <c r="S1007" s="168" t="inlineStr"/>
      <c r="T1007" s="168" t="inlineStr">
        <is>
          <t>0</t>
        </is>
      </c>
      <c r="U1007" s="168" t="inlineStr"/>
      <c r="V1007" s="402" t="n"/>
      <c r="W1007" s="402" t="n"/>
      <c r="X1007" s="170" t="inlineStr"/>
    </row>
    <row r="1008" s="308">
      <c r="A1008" s="64">
        <f>ROW()-ROW(A$998)</f>
        <v/>
      </c>
      <c r="B1008" s="22" t="inlineStr">
        <is>
          <t>中间继电器</t>
        </is>
      </c>
      <c r="C1008" s="22" t="inlineStr">
        <is>
          <t>RXM4AB2P7+RXZE2S114M+RXZ400</t>
        </is>
      </c>
      <c r="D1008" s="22" t="inlineStr">
        <is>
          <t>甲供/施耐德电气</t>
        </is>
      </c>
      <c r="E1008" s="23" t="inlineStr">
        <is>
          <t>只</t>
        </is>
      </c>
      <c r="F1008" s="23" t="n">
        <v>2</v>
      </c>
      <c r="G1008" s="349">
        <f>IF(AND(B1008="",C1008=""),"",ROUND(M1008*L1008*N1008,2))</f>
        <v/>
      </c>
      <c r="H1008" s="349">
        <f>IF(AND(B1008="",C1008=""),"",ROUND(F1008*G1008,2))</f>
        <v/>
      </c>
      <c r="I1008" s="45" t="inlineStr"/>
      <c r="J1008" s="397">
        <f>IF(AND(B1008="",C1008=""),"",ROUND(M1008*N1008,2))</f>
        <v/>
      </c>
      <c r="K1008" s="398">
        <f>IF(AND(B1008="",C1008=""),"",ROUND(J1008*F1008,2))</f>
        <v/>
      </c>
      <c r="L1008" s="141" t="n">
        <v>1</v>
      </c>
      <c r="M1008" s="399" t="n">
        <v>1e-07</v>
      </c>
      <c r="N1008" s="154" t="n">
        <v>1</v>
      </c>
      <c r="O1008" s="155">
        <f>IF(AND(B1008="",C1008=""),"",IF(G1008&gt;=20000,0.05,IF(G1008&gt;=10000,0.1,IF(G1008&gt;=5000,0.2,IF(G1008&gt;=1000,0.3,IF(G1008&gt;=0,0.4,{0}))))))</f>
        <v/>
      </c>
      <c r="P1008" s="400">
        <f>IF(AND(B1008="",C1008=""),"",ROUND(H1008*O1008,2))</f>
        <v/>
      </c>
      <c r="Q1008" s="401" t="inlineStr">
        <is>
          <t>元件</t>
        </is>
      </c>
      <c r="R1008" s="168" t="inlineStr"/>
      <c r="S1008" s="168" t="inlineStr"/>
      <c r="T1008" s="168" t="inlineStr">
        <is>
          <t>0</t>
        </is>
      </c>
      <c r="U1008" s="168" t="inlineStr">
        <is>
          <t>RXM4AB2P7+RXZE2S114M+RXZ400</t>
        </is>
      </c>
      <c r="V1008" s="402" t="n"/>
      <c r="W1008" s="402" t="n"/>
      <c r="X1008" s="170" t="inlineStr">
        <is>
          <t>REL-IR-BL/L-230AC/4X21，含底座→RXM4AB2P7+RXZE2S114M+RXZ400→REL-IR-BL/L-230AC/4X21，含底座</t>
        </is>
      </c>
    </row>
    <row r="1009" customFormat="1" s="3">
      <c r="A1009" s="64">
        <f>ROW()-ROW(A$998)</f>
        <v/>
      </c>
      <c r="B1009" s="22" t="inlineStr">
        <is>
          <t>带熔丝端子</t>
        </is>
      </c>
      <c r="C1009" s="22" t="inlineStr">
        <is>
          <t>UK 5-HESI</t>
        </is>
      </c>
      <c r="D1009" s="22" t="inlineStr">
        <is>
          <t>菲尼克斯</t>
        </is>
      </c>
      <c r="E1009" s="23" t="inlineStr">
        <is>
          <t>只</t>
        </is>
      </c>
      <c r="F1009" s="23" t="n">
        <v>4</v>
      </c>
      <c r="G1009" s="349">
        <f>IF(AND(B1009="",C1009=""),"",ROUND(M1009*L1009*N1009,2))</f>
        <v/>
      </c>
      <c r="H1009" s="349">
        <f>IF(AND(B1009="",C1009=""),"",ROUND(F1009*G1009,2))</f>
        <v/>
      </c>
      <c r="I1009" s="45" t="inlineStr"/>
      <c r="J1009" s="392">
        <f>IF(AND(B1009="",C1009=""),"",ROUND(M1009*N1009,2))</f>
        <v/>
      </c>
      <c r="K1009" s="393">
        <f>IF(AND(B1009="",C1009=""),"",ROUND(J1009*F1009,2))</f>
        <v/>
      </c>
      <c r="L1009" s="141" t="n">
        <v>1</v>
      </c>
      <c r="M1009" s="394" t="n">
        <v>7</v>
      </c>
      <c r="N1009" s="220" t="n">
        <v>1</v>
      </c>
      <c r="O1009" s="221">
        <f>IF(AND(B1009="",C1009=""),"",IF(G1009&gt;=20000,0.05,IF(G1009&gt;=10000,0.1,IF(G1009&gt;=5000,0.2,IF(G1009&gt;=1000,0.3,IF(G1009&gt;=0,0.4,{0}))))))</f>
        <v/>
      </c>
      <c r="P1009" s="419">
        <f>IF(AND(B1009="",C1009=""),"",ROUND(H1009*O1009,2))</f>
        <v/>
      </c>
      <c r="Q1009" s="420" t="inlineStr">
        <is>
          <t>元件</t>
        </is>
      </c>
      <c r="R1009" s="231" t="inlineStr"/>
      <c r="S1009" s="231" t="inlineStr"/>
      <c r="T1009" s="231" t="inlineStr">
        <is>
          <t>0</t>
        </is>
      </c>
      <c r="U1009" s="231" t="inlineStr">
        <is>
          <t>True</t>
        </is>
      </c>
      <c r="V1009" s="421" t="n"/>
      <c r="W1009" s="421" t="n"/>
      <c r="X1009" s="166" t="inlineStr"/>
    </row>
    <row r="1010" s="308">
      <c r="A1010" s="64">
        <f>ROW()-ROW(A$998)</f>
        <v/>
      </c>
      <c r="B1010" s="22" t="inlineStr">
        <is>
          <t>水平母排</t>
        </is>
      </c>
      <c r="C1010" s="22" t="inlineStr">
        <is>
          <t>TMY 4*(4*150*5)+2*50*5</t>
        </is>
      </c>
      <c r="D1010" s="22" t="inlineStr">
        <is>
          <t>国产优质</t>
        </is>
      </c>
      <c r="E1010" s="23" t="inlineStr">
        <is>
          <t>米</t>
        </is>
      </c>
      <c r="F1010" s="23" t="n">
        <v>0.8</v>
      </c>
      <c r="G1010" s="349">
        <f>IF(AND(B1010="",C1010=""),"",ROUND(M1010*L1010*N1010,2))</f>
        <v/>
      </c>
      <c r="H1010" s="349">
        <f>IF(AND(B1010="",C1010=""),"",ROUND(F1010*G1010,2))</f>
        <v/>
      </c>
      <c r="I1010" s="45" t="inlineStr"/>
      <c r="J1010" s="397">
        <f>IF(AND(B1010="",C1010=""),"",ROUND(M1010*N1010,2))</f>
        <v/>
      </c>
      <c r="K1010" s="398">
        <f>IF(AND(B1010="",C1010=""),"",ROUND(J1010*F1010,2))</f>
        <v/>
      </c>
      <c r="L1010" s="200" t="n">
        <v>1</v>
      </c>
      <c r="M1010" s="399" t="n">
        <v>12026.68125</v>
      </c>
      <c r="N1010" s="154">
        <f>(6317.932*1*1+2684.8*1*1)/9002.732</f>
        <v/>
      </c>
      <c r="O1010" s="155">
        <f>IF(AND(B1010="",C1010=""),"",IF(J1010&gt;=20000,0.05,IF(J1010&gt;=10000,0.1,IF(J1010&gt;=5000,0.2,IF(J1010&gt;=1000,0.3,IF(J1010&gt;=0,0.4,{0}))))))</f>
        <v/>
      </c>
      <c r="P1010" s="400">
        <f>IF(AND(B1010="",C1010=""),"",ROUND(H1010*O1010,2))</f>
        <v/>
      </c>
      <c r="Q1010" s="401" t="inlineStr">
        <is>
          <t>母排</t>
        </is>
      </c>
      <c r="R1010" s="168" t="inlineStr"/>
      <c r="S1010" s="168" t="inlineStr"/>
      <c r="T1010" s="168" t="inlineStr">
        <is>
          <t>0</t>
        </is>
      </c>
      <c r="U1010" s="168" t="inlineStr"/>
      <c r="V1010" s="402" t="n"/>
      <c r="W1010" s="402" t="n"/>
      <c r="X1010" s="170" t="inlineStr"/>
    </row>
    <row r="1011" customFormat="1" s="5">
      <c r="A1011" s="64">
        <f>ROW()-ROW(A$998)</f>
        <v/>
      </c>
      <c r="B1011" s="22" t="inlineStr">
        <is>
          <t>桩头排</t>
        </is>
      </c>
      <c r="C1011" s="22" t="inlineStr">
        <is>
          <t>TMY</t>
        </is>
      </c>
      <c r="D1011" s="22" t="inlineStr">
        <is>
          <t>国产优质</t>
        </is>
      </c>
      <c r="E1011" s="23" t="inlineStr">
        <is>
          <t>kg</t>
        </is>
      </c>
      <c r="F1011" s="23" t="n">
        <v>103</v>
      </c>
      <c r="G1011" s="349">
        <f>IF(AND(B1011="",C1011=""),"",ROUND(M1011*L1011*N1011,2))</f>
        <v/>
      </c>
      <c r="H1011" s="349">
        <f>IF(AND(B1011="",C1011=""),"",ROUND(F1011*G1011,2))</f>
        <v/>
      </c>
      <c r="I1011" s="45" t="inlineStr"/>
      <c r="J1011" s="422">
        <f>IF(AND(B1011="",C1011=""),"",ROUND(M1011*N1011,2))</f>
        <v/>
      </c>
      <c r="K1011" s="423">
        <f>IF(AND(B1011="",C1011=""),"",ROUND(J1011*F1011,2))</f>
        <v/>
      </c>
      <c r="L1011" s="225" t="n">
        <v>1</v>
      </c>
      <c r="M1011" s="424" t="n">
        <v>108.105</v>
      </c>
      <c r="N1011" s="227" t="n">
        <v>1</v>
      </c>
      <c r="O1011" s="228">
        <f>IF(AND(B1011="",C1011=""),"",IF(G1011&gt;=20000,0.05,IF(G1011&gt;=10000,0.1,IF(G1011&gt;=5000,0.2,IF(G1011&gt;=1000,0.3,IF(G1011&gt;=0,0.4,{0}))))))</f>
        <v/>
      </c>
      <c r="P1011" s="425">
        <f>IF(AND(B1011="",C1011=""),"",ROUND(H1011*O1011,2))</f>
        <v/>
      </c>
      <c r="Q1011" s="426" t="inlineStr">
        <is>
          <t>母排</t>
        </is>
      </c>
      <c r="R1011" s="234" t="inlineStr"/>
      <c r="S1011" s="234" t="inlineStr"/>
      <c r="T1011" s="235" t="inlineStr">
        <is>
          <t>0</t>
        </is>
      </c>
      <c r="U1011" s="235" t="inlineStr"/>
      <c r="V1011" s="427" t="n"/>
      <c r="W1011" s="427" t="n"/>
      <c r="X1011" s="237" t="inlineStr">
        <is>
          <t>TMY 2*30*5→TMY 30*8</t>
        </is>
      </c>
    </row>
    <row r="1012" s="308">
      <c r="A1012" s="64">
        <f>ROW()-ROW(A$998)</f>
        <v/>
      </c>
      <c r="B1012" s="112" t="inlineStr">
        <is>
          <t>辅料</t>
        </is>
      </c>
      <c r="C1012" s="112" t="inlineStr"/>
      <c r="D1012" s="112" t="inlineStr"/>
      <c r="E1012" s="114" t="inlineStr">
        <is>
          <t>套</t>
        </is>
      </c>
      <c r="F1012" s="114" t="n">
        <v>1</v>
      </c>
      <c r="G1012" s="396">
        <f>IF(AND(B1012="",C1012=""),"",ROUND(M1012*L1012*N1012,2))</f>
        <v/>
      </c>
      <c r="H1012" s="396">
        <f>IF(AND(B1012="",C1012=""),"",ROUND(F1012*G1012,2))</f>
        <v/>
      </c>
      <c r="I1012" s="219" t="inlineStr"/>
      <c r="J1012" s="397">
        <f>IF(AND(B1012="",C1012=""),"",ROUND(M1012*N1012,2))</f>
        <v/>
      </c>
      <c r="K1012" s="398">
        <f>IF(AND(B1012="",C1012=""),"",ROUND(J1012*F1012,2))</f>
        <v/>
      </c>
      <c r="L1012" s="200" t="n">
        <v>1</v>
      </c>
      <c r="M1012" s="399" t="n">
        <v>550</v>
      </c>
      <c r="N1012" s="154" t="n">
        <v>1</v>
      </c>
      <c r="O1012" s="155">
        <f>IF(AND(B1012="",C1012=""),"",IF(G1012&gt;=20000,0.05,IF(G1012&gt;=10000,0.1,IF(G1012&gt;=5000,0.2,IF(G1012&gt;=1000,0.3,IF(G1012&gt;=0,0.4,{0}))))))</f>
        <v/>
      </c>
      <c r="P1012" s="400">
        <f>IF(AND(B1012="",C1012=""),"",ROUND(H1012*O1012,2))</f>
        <v/>
      </c>
      <c r="Q1012" s="401" t="inlineStr">
        <is>
          <t>辅料</t>
        </is>
      </c>
      <c r="R1012" s="168" t="inlineStr"/>
      <c r="S1012" s="168" t="inlineStr"/>
      <c r="T1012" s="168" t="inlineStr">
        <is>
          <t>0</t>
        </is>
      </c>
      <c r="U1012" s="168" t="inlineStr"/>
      <c r="V1012" s="402" t="n"/>
      <c r="W1012" s="402" t="n"/>
      <c r="X1012" s="170" t="inlineStr"/>
    </row>
    <row r="1013" s="308">
      <c r="A1013" s="64">
        <f>ROW()-ROW(A$998)</f>
        <v/>
      </c>
      <c r="B1013" s="112" t="inlineStr">
        <is>
          <t>柜体Blokset</t>
        </is>
      </c>
      <c r="C1013" s="22" t="inlineStr">
        <is>
          <t>700W*1200D*2200H</t>
        </is>
      </c>
      <c r="D1013" s="112" t="inlineStr">
        <is>
          <t>清科</t>
        </is>
      </c>
      <c r="E1013" s="114" t="inlineStr">
        <is>
          <t>台</t>
        </is>
      </c>
      <c r="F1013" s="114" t="n">
        <v>1</v>
      </c>
      <c r="G1013" s="396">
        <f>IF(AND(B1013="",C1013=""),"",ROUND(M1013*L1013*N1013,2))</f>
        <v/>
      </c>
      <c r="H1013" s="396">
        <f>IF(AND(B1013="",C1013=""),"",ROUND(F1013*G1013,2))</f>
        <v/>
      </c>
      <c r="I1013" s="219" t="inlineStr"/>
      <c r="J1013" s="397">
        <f>IF(AND(B1013="",C1013=""),"",ROUND(M1013*N1013,2))</f>
        <v/>
      </c>
      <c r="K1013" s="398">
        <f>IF(AND(B1013="",C1013=""),"",ROUND(J1013*F1013,2))</f>
        <v/>
      </c>
      <c r="L1013" s="200" t="n">
        <v>1</v>
      </c>
      <c r="M1013" s="399" t="n">
        <v>4010</v>
      </c>
      <c r="N1013" s="154" t="n">
        <v>1</v>
      </c>
      <c r="O1013" s="155">
        <f>IF(AND(B1013="",C1013=""),"",IF(G1013&gt;=20000,0.05,IF(G1013&gt;=10000,0.1,IF(G1013&gt;=5000,0.2,IF(G1013&gt;=1000,0.3,IF(G1013&gt;=0,0.4,{0}))))))</f>
        <v/>
      </c>
      <c r="P1013" s="400">
        <f>IF(AND(B1013="",C1013=""),"",ROUND(H1013*O1013,2))</f>
        <v/>
      </c>
      <c r="Q1013" s="401" t="inlineStr">
        <is>
          <t>箱体</t>
        </is>
      </c>
      <c r="R1013" s="168" t="inlineStr"/>
      <c r="S1013" s="168" t="inlineStr"/>
      <c r="T1013" s="168" t="inlineStr">
        <is>
          <t>0</t>
        </is>
      </c>
      <c r="U1013" s="168" t="inlineStr"/>
      <c r="V1013" s="402" t="n"/>
      <c r="W1013" s="402" t="n"/>
      <c r="X1013" s="170" t="inlineStr">
        <is>
          <t>BlokSeT</t>
        </is>
      </c>
    </row>
    <row r="1014" s="308">
      <c r="A1014" s="64">
        <f>ROW()-ROW(A$998)</f>
        <v/>
      </c>
      <c r="B1014" s="22" t="inlineStr"/>
      <c r="C1014" s="22" t="inlineStr"/>
      <c r="D1014" s="22" t="inlineStr"/>
      <c r="E1014" s="23" t="n"/>
      <c r="F1014" s="23">
        <f>IF(AND(B1014="",C1014=""),"",1)</f>
        <v/>
      </c>
      <c r="G1014" s="349">
        <f>IF(AND(B1014="",C1014=""),"",ROUND(M1014*L1014*N1014,2))</f>
        <v/>
      </c>
      <c r="H1014" s="349">
        <f>IF(AND(B1014="",C1014=""),"",ROUND(F1014*G1014,2))</f>
        <v/>
      </c>
      <c r="I1014" s="45" t="inlineStr"/>
      <c r="J1014" s="397">
        <f>IF(AND(B1014="",C1014=""),"",ROUND(M1014*N1014,2))</f>
        <v/>
      </c>
      <c r="K1014" s="398">
        <f>IF(AND(B1014="",C1014=""),"",ROUND(J1014*F1014,2))</f>
        <v/>
      </c>
      <c r="L1014" s="200">
        <f>IF(AND(B1014="",C1014=""),"",1)</f>
        <v/>
      </c>
      <c r="M1014" s="399" t="n"/>
      <c r="N1014" s="154">
        <f>IF(AND(B1014="",C1014=""),"",1)</f>
        <v/>
      </c>
      <c r="O1014" s="155">
        <f>IF(AND(B1014="",C1014=""),"",IF(J1014&gt;=20000,0.05,IF(J1014&gt;=10000,0.1,IF(J1014&gt;=5000,0.2,IF(J1014&gt;=1000,0.3,IF(J1014&gt;=0,0.4,{0}))))))</f>
        <v/>
      </c>
      <c r="P1014" s="400">
        <f>IF(AND(B1014="",C1014=""),"",ROUND(H1014*O1014,2))</f>
        <v/>
      </c>
      <c r="Q1014" s="401">
        <f>IF(AND(B1014="",C1014=""),"","元件")</f>
        <v/>
      </c>
      <c r="R1014" s="168" t="inlineStr"/>
      <c r="S1014" s="168" t="inlineStr"/>
      <c r="T1014" s="168" t="inlineStr"/>
      <c r="U1014" s="168" t="inlineStr"/>
      <c r="V1014" s="402" t="n"/>
      <c r="W1014" s="402" t="n"/>
      <c r="X1014" s="170" t="inlineStr"/>
    </row>
    <row r="1015" s="308">
      <c r="A1015" s="64">
        <f>ROW()-ROW(A$998)</f>
        <v/>
      </c>
      <c r="B1015" s="171" t="inlineStr">
        <is>
          <t>小计</t>
        </is>
      </c>
      <c r="C1015" s="172" t="n"/>
      <c r="D1015" s="204" t="n"/>
      <c r="E1015" s="114" t="n"/>
      <c r="F1015" s="114" t="n"/>
      <c r="G1015" s="396" t="n"/>
      <c r="H1015" s="396">
        <f>ROUND(SUM(H998:INDEX(H:H,ROW()-1)),2)</f>
        <v/>
      </c>
      <c r="I1015" s="45" t="inlineStr"/>
      <c r="J1015" s="397" t="n"/>
      <c r="K1015" s="398">
        <f>ROUND(SUM(K998:INDEX(K:K,ROW()-1)),2)</f>
        <v/>
      </c>
      <c r="L1015" s="200" t="n"/>
      <c r="M1015" s="399" t="n"/>
      <c r="N1015" s="154" t="n"/>
      <c r="O1015" s="155" t="n"/>
      <c r="P1015" s="400" t="n"/>
      <c r="Q1015" s="401" t="n"/>
      <c r="R1015" s="168" t="inlineStr"/>
      <c r="S1015" s="168" t="inlineStr"/>
      <c r="T1015" s="168" t="inlineStr"/>
      <c r="U1015" s="168" t="inlineStr"/>
      <c r="V1015" s="402">
        <f>ROUND(SUMPRODUCT(F998:INDEX(F:F,ROW()-1),V998:INDEX(V:V,ROW()-1)),2)</f>
        <v/>
      </c>
      <c r="W1015" s="402">
        <f>ROUND(SUMPRODUCT(F998:INDEX(F:F,ROW()-1),W998:INDEX(W:W,ROW()-1)),2)</f>
        <v/>
      </c>
      <c r="X1015" s="170" t="inlineStr"/>
    </row>
    <row r="1016" s="308">
      <c r="A1016" s="64">
        <f>ROW()-ROW(A$998)</f>
        <v/>
      </c>
      <c r="B1016" s="171" t="inlineStr">
        <is>
          <t>综合费(人工、管理、税金、利润等)</t>
        </is>
      </c>
      <c r="C1016" s="172" t="n"/>
      <c r="D1016" s="204" t="n"/>
      <c r="E1016" s="114" t="n"/>
      <c r="F1016" s="114" t="n"/>
      <c r="G1016" s="396" t="n"/>
      <c r="H1016" s="396">
        <f>2500</f>
        <v/>
      </c>
      <c r="I1016" s="45" t="inlineStr"/>
      <c r="J1016" s="397" t="n"/>
      <c r="K1016" s="398" t="n"/>
      <c r="L1016" s="200" t="n"/>
      <c r="M1016" s="399" t="n"/>
      <c r="N1016" s="154" t="n"/>
      <c r="O1016" s="155" t="n"/>
      <c r="P1016" s="400" t="n"/>
      <c r="Q1016" s="401" t="inlineStr">
        <is>
          <t>费用</t>
        </is>
      </c>
      <c r="R1016" s="168" t="inlineStr"/>
      <c r="S1016" s="168" t="inlineStr"/>
      <c r="T1016" s="168" t="inlineStr"/>
      <c r="U1016" s="168" t="inlineStr"/>
      <c r="V1016" s="402" t="n"/>
      <c r="W1016" s="402" t="n"/>
      <c r="X1016" s="170" t="inlineStr"/>
    </row>
    <row r="1017" s="308">
      <c r="A1017" s="64">
        <f>ROW()-ROW(A$998)</f>
        <v/>
      </c>
      <c r="B1017" s="204" t="inlineStr">
        <is>
          <t>单台合计</t>
        </is>
      </c>
      <c r="C1017" s="172" t="n"/>
      <c r="D1017" s="204" t="n"/>
      <c r="E1017" s="114" t="n"/>
      <c r="F1017" s="114" t="n"/>
      <c r="G1017" s="396" t="n"/>
      <c r="H1017" s="396">
        <f>ROUND(SUM(H1015:H1016),2)</f>
        <v/>
      </c>
      <c r="I1017" s="181" t="n"/>
      <c r="J1017" s="397" t="n"/>
      <c r="K1017" s="398">
        <f>ROUND(SUM(K1015:K1016),2)</f>
        <v/>
      </c>
      <c r="L1017" s="209" t="n"/>
      <c r="M1017" s="399" t="n"/>
      <c r="N1017" s="210" t="n"/>
      <c r="O1017" s="211" t="n"/>
      <c r="P1017" s="400" t="n"/>
      <c r="Q1017" s="401" t="n"/>
      <c r="R1017" s="168" t="inlineStr"/>
      <c r="S1017" s="168" t="inlineStr"/>
      <c r="T1017" s="168" t="inlineStr"/>
      <c r="U1017" s="168" t="inlineStr"/>
      <c r="V1017" s="402" t="n"/>
      <c r="W1017" s="402" t="n"/>
      <c r="X1017" s="170" t="inlineStr"/>
    </row>
    <row r="1018" s="308">
      <c r="A1018" s="173" t="inlineStr">
        <is>
          <t>总计</t>
        </is>
      </c>
      <c r="B1018" s="205" t="n"/>
      <c r="C1018" s="175" t="n"/>
      <c r="D1018" s="206" t="n"/>
      <c r="E1018" s="206" t="inlineStr">
        <is>
          <t>台</t>
        </is>
      </c>
      <c r="F1018" s="206" t="n">
        <v>4</v>
      </c>
      <c r="G1018" s="414">
        <f>ROUND(H1017,2)</f>
        <v/>
      </c>
      <c r="H1018" s="414">
        <f>ROUND(F1018*G1018,2)</f>
        <v/>
      </c>
      <c r="I1018" s="185" t="n"/>
      <c r="J1018" s="415" t="n"/>
      <c r="K1018" s="416">
        <f>ROUND(K1017*F1018,2)</f>
        <v/>
      </c>
      <c r="L1018" s="214" t="n"/>
      <c r="M1018" s="417" t="n"/>
      <c r="N1018" s="216" t="n"/>
      <c r="O1018" s="217" t="n"/>
      <c r="P1018" s="418" t="n"/>
      <c r="Q1018" s="401" t="n"/>
      <c r="R1018" s="168" t="inlineStr"/>
      <c r="S1018" s="168" t="inlineStr"/>
      <c r="T1018" s="168" t="inlineStr"/>
      <c r="U1018" s="168" t="inlineStr"/>
      <c r="V1018" s="402" t="n"/>
      <c r="W1018" s="402" t="n"/>
      <c r="X1018" s="170" t="inlineStr"/>
    </row>
    <row r="1019" customFormat="1" s="4">
      <c r="A1019" s="6" t="n"/>
      <c r="B1019" s="195" t="inlineStr"/>
      <c r="C1019" s="195" t="inlineStr"/>
      <c r="D1019" s="195" t="inlineStr"/>
      <c r="Q1019" s="159" t="n"/>
      <c r="R1019" s="159" t="n"/>
      <c r="S1019" s="159" t="n"/>
      <c r="T1019" s="159" t="n"/>
      <c r="U1019" s="159" t="n"/>
      <c r="X1019" s="195" t="inlineStr"/>
    </row>
    <row r="1020" customFormat="1" s="4">
      <c r="A1020" s="6" t="n"/>
      <c r="B1020" s="195" t="inlineStr"/>
      <c r="C1020" s="195" t="inlineStr"/>
      <c r="D1020" s="195" t="inlineStr"/>
      <c r="Q1020" s="159" t="n"/>
      <c r="R1020" s="159" t="n"/>
      <c r="S1020" s="159" t="n"/>
      <c r="T1020" s="159" t="n"/>
      <c r="U1020" s="159" t="n"/>
      <c r="X1020" s="195" t="inlineStr"/>
    </row>
    <row r="1021" s="308">
      <c r="A1021" s="208">
        <f>CONCATENATE("报价人：",项目信息!$B$8)</f>
        <v/>
      </c>
      <c r="B1021" s="208" t="n"/>
      <c r="C1021" s="4" t="n"/>
      <c r="D1021" s="4" t="n"/>
      <c r="E1021" s="4" t="n"/>
      <c r="F1021" s="4" t="n"/>
      <c r="G1021" s="4" t="n"/>
      <c r="H1021" s="178">
        <f>项目信息!$B$9</f>
        <v/>
      </c>
      <c r="Q1021" s="159" t="n"/>
      <c r="R1021" s="159" t="n"/>
      <c r="S1021" s="159" t="n"/>
      <c r="T1021" s="159" t="n"/>
      <c r="U1021" s="159" t="n"/>
      <c r="X1021" s="203" t="inlineStr"/>
    </row>
    <row r="1022" s="308">
      <c r="A1022" s="8">
        <f>T(项目信息!$B$22)</f>
        <v/>
      </c>
      <c r="Q1022" s="159" t="n"/>
      <c r="R1022" s="159" t="n"/>
      <c r="S1022" s="159" t="n"/>
      <c r="T1022" s="159" t="n"/>
      <c r="U1022" s="159" t="n"/>
    </row>
    <row r="1023" s="308">
      <c r="A1023" s="9">
        <f>T(项目信息!$B$23)</f>
        <v/>
      </c>
      <c r="Q1023" s="159" t="n"/>
      <c r="R1023" s="159" t="n"/>
      <c r="S1023" s="159" t="n"/>
      <c r="T1023" s="159" t="n"/>
      <c r="U1023" s="159" t="n"/>
    </row>
    <row r="1024" s="308">
      <c r="A1024" s="97" t="inlineStr">
        <is>
          <t>成套产品报价明细表</t>
        </is>
      </c>
      <c r="B1024" s="378" t="n"/>
      <c r="C1024" s="378" t="n"/>
      <c r="D1024" s="378" t="n"/>
      <c r="E1024" s="378" t="n"/>
      <c r="F1024" s="378" t="n"/>
      <c r="G1024" s="378" t="n"/>
      <c r="H1024" s="378" t="n"/>
      <c r="I1024" s="378" t="n"/>
      <c r="Q1024" s="159" t="n"/>
      <c r="R1024" s="159" t="n"/>
      <c r="S1024" s="159" t="n"/>
      <c r="T1024" s="159" t="n"/>
      <c r="U1024" s="159" t="n"/>
    </row>
    <row r="1025" customFormat="1" s="2">
      <c r="A1025" s="98" t="inlineStr">
        <is>
          <t>柜号:</t>
        </is>
      </c>
      <c r="B1025" s="99" t="inlineStr">
        <is>
          <t>AAN5-08、BAN6-08、AAN7-02、BAN8-02</t>
        </is>
      </c>
      <c r="C1025" s="100" t="inlineStr">
        <is>
          <t>型号:</t>
        </is>
      </c>
      <c r="D1025" s="99" t="inlineStr">
        <is>
          <t>BlokSeT</t>
        </is>
      </c>
      <c r="E1025" s="379" t="n"/>
      <c r="F1025" s="101" t="inlineStr">
        <is>
          <t>名称:</t>
        </is>
      </c>
      <c r="G1025" s="99" t="inlineStr">
        <is>
          <t>联络柜</t>
        </is>
      </c>
      <c r="H1025" s="379" t="n"/>
      <c r="I1025" s="380" t="inlineStr"/>
      <c r="J1025" s="131" t="inlineStr">
        <is>
          <t>箱柜尺寸:</t>
        </is>
      </c>
      <c r="K1025" s="132" t="inlineStr">
        <is>
          <t>700W*1200D*2200H</t>
        </is>
      </c>
      <c r="L1025" s="131" t="inlineStr">
        <is>
          <t>类别:</t>
        </is>
      </c>
      <c r="M1025" s="132" t="inlineStr">
        <is>
          <t>低压固定柜</t>
        </is>
      </c>
      <c r="N1025" s="381" t="inlineStr"/>
      <c r="Q1025" s="160" t="n"/>
      <c r="R1025" s="160" t="n"/>
      <c r="S1025" s="160" t="n"/>
      <c r="T1025" s="160" t="n"/>
      <c r="U1025" s="160" t="n"/>
    </row>
    <row r="1026" ht="20.1" customFormat="1" customHeight="1" s="3">
      <c r="A1026" s="102" t="inlineStr">
        <is>
          <t>序号</t>
        </is>
      </c>
      <c r="B1026" s="103" t="inlineStr">
        <is>
          <t>元件名称</t>
        </is>
      </c>
      <c r="C1026" s="103" t="inlineStr">
        <is>
          <t>型号规格</t>
        </is>
      </c>
      <c r="D1026" s="104" t="inlineStr">
        <is>
          <t>生产厂家</t>
        </is>
      </c>
      <c r="E1026" s="105" t="inlineStr">
        <is>
          <t>单位</t>
        </is>
      </c>
      <c r="F1026" s="105" t="inlineStr">
        <is>
          <t>数量</t>
        </is>
      </c>
      <c r="G1026" s="382" t="inlineStr">
        <is>
          <t>单   价</t>
        </is>
      </c>
      <c r="H1026" s="383" t="inlineStr">
        <is>
          <t>总   价</t>
        </is>
      </c>
      <c r="I1026" s="134" t="inlineStr">
        <is>
          <t>备注</t>
        </is>
      </c>
      <c r="J1026" s="384" t="inlineStr">
        <is>
          <t>成本单价</t>
        </is>
      </c>
      <c r="K1026" s="384" t="inlineStr">
        <is>
          <t>成本总价</t>
        </is>
      </c>
      <c r="L1026" s="136" t="inlineStr">
        <is>
          <t>报出
系数</t>
        </is>
      </c>
      <c r="M1026" s="384" t="inlineStr">
        <is>
          <t>表价</t>
        </is>
      </c>
      <c r="N1026" s="136" t="inlineStr">
        <is>
          <t>折扣
系数</t>
        </is>
      </c>
      <c r="O1026" s="137" t="inlineStr">
        <is>
          <t>取费
系数</t>
        </is>
      </c>
      <c r="P1026" s="384" t="inlineStr">
        <is>
          <t>成套费</t>
        </is>
      </c>
      <c r="Q1026" s="161" t="inlineStr">
        <is>
          <t>类别</t>
        </is>
      </c>
      <c r="R1026" s="161" t="inlineStr">
        <is>
          <t>物料编码</t>
        </is>
      </c>
      <c r="S1026" s="161" t="inlineStr">
        <is>
          <t>产地</t>
        </is>
      </c>
      <c r="T1026" s="161" t="inlineStr">
        <is>
          <t>加工费</t>
        </is>
      </c>
      <c r="U1026" s="161" t="inlineStr">
        <is>
          <t>订货号</t>
        </is>
      </c>
      <c r="V1026" s="161" t="inlineStr">
        <is>
          <t>人工</t>
        </is>
      </c>
      <c r="W1026" s="161" t="inlineStr">
        <is>
          <t>辅料</t>
        </is>
      </c>
      <c r="X1026" s="162" t="inlineStr"/>
    </row>
    <row r="1027" customFormat="1" s="3">
      <c r="A1027" s="108">
        <f>ROW()-ROW(A$1026)</f>
        <v/>
      </c>
      <c r="B1027" s="109" t="inlineStr">
        <is>
          <t>双电源</t>
        </is>
      </c>
      <c r="C1027" s="109" t="inlineStr">
        <is>
          <t>MT40 H1 3P MIC 5.0 E</t>
        </is>
      </c>
      <c r="D1027" s="22" t="inlineStr">
        <is>
          <t>甲供/施耐德电气</t>
        </is>
      </c>
      <c r="E1027" s="110" t="inlineStr">
        <is>
          <t>只</t>
        </is>
      </c>
      <c r="F1027" s="110" t="n">
        <v>1</v>
      </c>
      <c r="G1027" s="385">
        <f>IF(AND(B1027="",C1027=""),"",ROUND(M1027*L1027*N1027,2))</f>
        <v/>
      </c>
      <c r="H1027" s="385">
        <f>IF(AND(B1027="",C1027=""),"",ROUND(F1027*G1027,2))</f>
        <v/>
      </c>
      <c r="I1027" s="138" t="inlineStr"/>
      <c r="J1027" s="386">
        <f>IF(AND(B1027="",C1027=""),"",ROUND(M1027*N1027,2))</f>
        <v/>
      </c>
      <c r="K1027" s="387">
        <f>IF(AND(B1027="",C1027=""),"",ROUND(J1027*F1027,2))</f>
        <v/>
      </c>
      <c r="L1027" s="141" t="n">
        <v>1</v>
      </c>
      <c r="M1027" s="388" t="n">
        <v>1e-07</v>
      </c>
      <c r="N1027" s="143" t="n">
        <v>1</v>
      </c>
      <c r="O1027" s="144">
        <f>IF(AND(B1027="",C1027=""),"",IF(G1027&gt;=20000,0.05,IF(G1027&gt;=10000,0.1,IF(G1027&gt;=5000,0.2,IF(G1027&gt;=1000,0.3,IF(G1027&gt;=0,0.4,{0}))))))</f>
        <v/>
      </c>
      <c r="P1027" s="389">
        <f>IF(AND(B1027="",C1027=""),"",ROUND(H1027*O1027,2))</f>
        <v/>
      </c>
      <c r="Q1027" s="390" t="inlineStr">
        <is>
          <t>元件</t>
        </is>
      </c>
      <c r="R1027" s="164" t="inlineStr"/>
      <c r="S1027" s="164" t="inlineStr"/>
      <c r="T1027" s="164" t="inlineStr">
        <is>
          <t>0</t>
        </is>
      </c>
      <c r="U1027" s="164" t="inlineStr">
        <is>
          <t>48327+48500+33542+48527+48494+48484+48408+48603+48170+48175+48384</t>
        </is>
      </c>
      <c r="V1027" s="391" t="n"/>
      <c r="W1027" s="391" t="n"/>
      <c r="X1027"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1028" customFormat="1" s="3">
      <c r="A1028" s="64">
        <f>ROW()-ROW(A$1026)</f>
        <v/>
      </c>
      <c r="B1028" s="27" t="inlineStr">
        <is>
          <t>多功能表</t>
        </is>
      </c>
      <c r="C1028" s="22" t="inlineStr">
        <is>
          <t>PM4101</t>
        </is>
      </c>
      <c r="D1028" s="22" t="inlineStr">
        <is>
          <t>甲供/施耐德电气</t>
        </is>
      </c>
      <c r="E1028" s="110" t="inlineStr">
        <is>
          <t>只</t>
        </is>
      </c>
      <c r="F1028" s="23" t="n">
        <v>1</v>
      </c>
      <c r="G1028" s="353">
        <f>IF(AND(B1028="",C1028=""),"",ROUND(M1028*L1028*N1028,2))</f>
        <v/>
      </c>
      <c r="H1028" s="349">
        <f>IF(AND(B1028="",C1028=""),"",ROUND(F1028*G1028,2))</f>
        <v/>
      </c>
      <c r="I1028" s="45" t="inlineStr"/>
      <c r="J1028" s="392">
        <f>IF(AND(B1028="",C1028=""),"",ROUND(M1028*N1028,2))</f>
        <v/>
      </c>
      <c r="K1028" s="393">
        <f>IF(AND(B1028="",C1028=""),"",ROUND(J1028*F1028,2))</f>
        <v/>
      </c>
      <c r="L1028" s="141" t="n">
        <v>1</v>
      </c>
      <c r="M1028" s="394" t="n">
        <v>1e-07</v>
      </c>
      <c r="N1028" s="143" t="n">
        <v>1</v>
      </c>
      <c r="O1028" s="144">
        <f>IF(AND(B1028="",C1028=""),"",IF(G1028&gt;=20000,0.05,IF(G1028&gt;=10000,0.1,IF(G1028&gt;=5000,0.2,IF(G1028&gt;=1000,0.3,IF(G1028&gt;=0,0.4,{0}))))))</f>
        <v/>
      </c>
      <c r="P1028" s="395">
        <f>IF(AND(B1028="",C1028=""),"",ROUND(H1028*O1028,2))</f>
        <v/>
      </c>
      <c r="Q1028" s="390" t="inlineStr">
        <is>
          <t>元件</t>
        </is>
      </c>
      <c r="R1028" s="164" t="inlineStr"/>
      <c r="S1028" s="164" t="inlineStr"/>
      <c r="T1028" s="164" t="inlineStr">
        <is>
          <t>0</t>
        </is>
      </c>
      <c r="U1028" s="164" t="inlineStr">
        <is>
          <t>True</t>
        </is>
      </c>
      <c r="V1028" s="391" t="n"/>
      <c r="W1028" s="391" t="n"/>
      <c r="X1028" s="166" t="inlineStr">
        <is>
          <t>PM→PM4633→PM4201</t>
        </is>
      </c>
    </row>
    <row r="1029" customFormat="1" s="3">
      <c r="A1029" s="64">
        <f>ROW()-ROW(A$1026)</f>
        <v/>
      </c>
      <c r="B1029" s="27" t="inlineStr">
        <is>
          <t>电流互感器</t>
        </is>
      </c>
      <c r="C1029" s="22" t="inlineStr">
        <is>
          <t>SD-0.66-130III-V 4000/5A</t>
        </is>
      </c>
      <c r="D1029" s="27" t="inlineStr">
        <is>
          <t>桑迪</t>
        </is>
      </c>
      <c r="E1029" s="110" t="inlineStr">
        <is>
          <t>只</t>
        </is>
      </c>
      <c r="F1029" s="23" t="n">
        <v>3</v>
      </c>
      <c r="G1029" s="349">
        <f>IF(AND(B1029="",C1029=""),"",ROUND(M1029*L1029*N1029,2))</f>
        <v/>
      </c>
      <c r="H1029" s="349">
        <f>IF(AND(B1029="",C1029=""),"",ROUND(F1029*G1029,2))</f>
        <v/>
      </c>
      <c r="I1029" s="45" t="inlineStr"/>
      <c r="J1029" s="392">
        <f>IF(AND(B1029="",C1029=""),"",ROUND(M1029*N1029,2))</f>
        <v/>
      </c>
      <c r="K1029" s="393">
        <f>IF(AND(B1029="",C1029=""),"",ROUND(J1029*F1029,2))</f>
        <v/>
      </c>
      <c r="L1029" s="141" t="n">
        <v>1</v>
      </c>
      <c r="M1029" s="394" t="n">
        <v>217.75</v>
      </c>
      <c r="N1029" s="143" t="n">
        <v>1</v>
      </c>
      <c r="O1029" s="144">
        <f>IF(AND(B1029="",C1029=""),"",IF(G1029&gt;=20000,0.05,IF(G1029&gt;=10000,0.1,IF(G1029&gt;=5000,0.2,IF(G1029&gt;=1000,0.3,IF(G1029&gt;=0,0.4,{0}))))))</f>
        <v/>
      </c>
      <c r="P1029" s="395">
        <f>IF(AND(B1029="",C1029=""),"",ROUND(H1029*O1029,2))</f>
        <v/>
      </c>
      <c r="Q1029" s="390" t="inlineStr">
        <is>
          <t>元件</t>
        </is>
      </c>
      <c r="R1029" s="164" t="inlineStr"/>
      <c r="S1029" s="164" t="inlineStr"/>
      <c r="T1029" s="164" t="inlineStr">
        <is>
          <t>0</t>
        </is>
      </c>
      <c r="U1029" s="164" t="inlineStr">
        <is>
          <t>710141426552500</t>
        </is>
      </c>
      <c r="V1029" s="391" t="n"/>
      <c r="W1029" s="391" t="n"/>
      <c r="X1029"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1600/5A→SD-0.66-160III-C 5000/5A</t>
        </is>
      </c>
    </row>
    <row r="1030" s="308">
      <c r="A1030" s="64">
        <f>ROW()-ROW(A$1026)</f>
        <v/>
      </c>
      <c r="B1030" s="112" t="inlineStr">
        <is>
          <t>温湿度控制器</t>
        </is>
      </c>
      <c r="C1030" s="112" t="inlineStr">
        <is>
          <t>ATH48G-11</t>
        </is>
      </c>
      <c r="D1030" s="22" t="inlineStr">
        <is>
          <t>杭州安廷</t>
        </is>
      </c>
      <c r="E1030" s="23" t="inlineStr">
        <is>
          <t>套</t>
        </is>
      </c>
      <c r="F1030" s="23" t="n">
        <v>1</v>
      </c>
      <c r="G1030" s="349">
        <f>IF(AND(B1030="",C1030=""),"",ROUND(M1030*L1030*N1030,2))</f>
        <v/>
      </c>
      <c r="H1030" s="396">
        <f>IF(AND(B1030="",C1030=""),"",ROUND(F1030*G1030,2))</f>
        <v/>
      </c>
      <c r="I1030" s="150" t="inlineStr"/>
      <c r="J1030" s="397">
        <f>IF(AND(B1030="",C1030=""),"",ROUND(M1030*N1030,2))</f>
        <v/>
      </c>
      <c r="K1030" s="398">
        <f>IF(AND(B1030="",C1030=""),"",ROUND(J1030*F1030,2))</f>
        <v/>
      </c>
      <c r="L1030" s="141" t="n">
        <v>1</v>
      </c>
      <c r="M1030" s="399" t="n">
        <v>450</v>
      </c>
      <c r="N1030" s="154" t="n">
        <v>1</v>
      </c>
      <c r="O1030" s="155">
        <f>IF(AND(B1030="",C1030=""),"",IF(G1030&gt;=20000,0.05,IF(G1030&gt;=10000,0.1,IF(G1030&gt;=5000,0.2,IF(G1030&gt;=1000,0.3,IF(G1030&gt;=0,0.4,{0}))))))</f>
        <v/>
      </c>
      <c r="P1030" s="400">
        <f>IF(AND(B1030="",C1030=""),"",ROUND(H1030*O1030,2))</f>
        <v/>
      </c>
      <c r="Q1030" s="401" t="inlineStr">
        <is>
          <t>元件</t>
        </is>
      </c>
      <c r="R1030" s="168" t="inlineStr"/>
      <c r="S1030" s="168" t="inlineStr"/>
      <c r="T1030" s="168" t="inlineStr">
        <is>
          <t>0</t>
        </is>
      </c>
      <c r="U1030" s="168" t="inlineStr"/>
      <c r="V1030" s="402" t="n"/>
      <c r="W1030" s="402" t="n"/>
      <c r="X1030" s="170" t="inlineStr"/>
    </row>
    <row r="1031" s="308">
      <c r="A1031" s="64">
        <f>ROW()-ROW(A$1026)</f>
        <v/>
      </c>
      <c r="B1031" s="112" t="inlineStr">
        <is>
          <t>指示灯</t>
        </is>
      </c>
      <c r="C1031" s="112" t="inlineStr">
        <is>
          <t>XB2BVM3LC</t>
        </is>
      </c>
      <c r="D1031" s="112" t="inlineStr">
        <is>
          <t>甲供/施耐德电气</t>
        </is>
      </c>
      <c r="E1031" s="114" t="inlineStr">
        <is>
          <t>只</t>
        </is>
      </c>
      <c r="F1031" s="114" t="n">
        <v>1</v>
      </c>
      <c r="G1031" s="396">
        <f>IF(AND(B1031="",C1031=""),"",ROUND(M1031*L1031*N1031,2))</f>
        <v/>
      </c>
      <c r="H1031" s="396">
        <f>IF(AND(B1031="",C1031=""),"",ROUND(F1031*G1031,2))</f>
        <v/>
      </c>
      <c r="I1031" s="150" t="inlineStr"/>
      <c r="J1031" s="397">
        <f>IF(AND(B1031="",C1031=""),"",ROUND(M1031*N1031,2))</f>
        <v/>
      </c>
      <c r="K1031" s="398">
        <f>IF(AND(B1031="",C1031=""),"",ROUND(J1031*F1031,2))</f>
        <v/>
      </c>
      <c r="L1031" s="141" t="n">
        <v>1</v>
      </c>
      <c r="M1031" s="399" t="n">
        <v>1e-07</v>
      </c>
      <c r="N1031" s="154" t="n">
        <v>1</v>
      </c>
      <c r="O1031" s="155">
        <f>IF(AND(B1031="",C1031=""),"",IF(G1031&gt;=20000,0.05,IF(G1031&gt;=10000,0.1,IF(G1031&gt;=5000,0.2,IF(G1031&gt;=1000,0.3,IF(G1031&gt;=0,0.4,{0}))))))</f>
        <v/>
      </c>
      <c r="P1031" s="400">
        <f>IF(AND(B1031="",C1031=""),"",ROUND(H1031*O1031,2))</f>
        <v/>
      </c>
      <c r="Q1031" s="401" t="inlineStr">
        <is>
          <t>元件</t>
        </is>
      </c>
      <c r="R1031" s="168" t="inlineStr"/>
      <c r="S1031" s="168" t="inlineStr"/>
      <c r="T1031" s="168" t="inlineStr">
        <is>
          <t>0</t>
        </is>
      </c>
      <c r="U1031" s="168" t="inlineStr">
        <is>
          <t>XA2EVM3LC</t>
        </is>
      </c>
      <c r="V1031" s="402" t="n"/>
      <c r="W1031" s="402" t="n"/>
      <c r="X1031" s="170" t="inlineStr"/>
    </row>
    <row r="1032" s="308">
      <c r="A1032" s="64">
        <f>ROW()-ROW(A$1026)</f>
        <v/>
      </c>
      <c r="B1032" s="112" t="inlineStr">
        <is>
          <t>指示灯</t>
        </is>
      </c>
      <c r="C1032" s="22" t="inlineStr">
        <is>
          <t>XB2BVM4LC</t>
        </is>
      </c>
      <c r="D1032" s="112" t="inlineStr">
        <is>
          <t>甲供/施耐德电气</t>
        </is>
      </c>
      <c r="E1032" s="114" t="inlineStr">
        <is>
          <t>只</t>
        </is>
      </c>
      <c r="F1032" s="114" t="n">
        <v>1</v>
      </c>
      <c r="G1032" s="396">
        <f>IF(AND(B1032="",C1032=""),"",ROUND(M1032*L1032*N1032,2))</f>
        <v/>
      </c>
      <c r="H1032" s="396">
        <f>IF(AND(B1032="",C1032=""),"",ROUND(F1032*G1032,2))</f>
        <v/>
      </c>
      <c r="I1032" s="150" t="inlineStr"/>
      <c r="J1032" s="397">
        <f>IF(AND(B1032="",C1032=""),"",ROUND(M1032*N1032,2))</f>
        <v/>
      </c>
      <c r="K1032" s="398">
        <f>IF(AND(B1032="",C1032=""),"",ROUND(J1032*F1032,2))</f>
        <v/>
      </c>
      <c r="L1032" s="141" t="n">
        <v>1</v>
      </c>
      <c r="M1032" s="399" t="n">
        <v>1e-07</v>
      </c>
      <c r="N1032" s="154" t="n">
        <v>1</v>
      </c>
      <c r="O1032" s="155">
        <f>IF(AND(B1032="",C1032=""),"",IF(G1032&gt;=20000,0.05,IF(G1032&gt;=10000,0.1,IF(G1032&gt;=5000,0.2,IF(G1032&gt;=1000,0.3,IF(G1032&gt;=0,0.4,{0}))))))</f>
        <v/>
      </c>
      <c r="P1032" s="400">
        <f>IF(AND(B1032="",C1032=""),"",ROUND(H1032*O1032,2))</f>
        <v/>
      </c>
      <c r="Q1032" s="401" t="inlineStr">
        <is>
          <t>元件</t>
        </is>
      </c>
      <c r="R1032" s="168" t="inlineStr"/>
      <c r="S1032" s="168" t="inlineStr"/>
      <c r="T1032" s="168" t="inlineStr">
        <is>
          <t>0</t>
        </is>
      </c>
      <c r="U1032" s="168" t="inlineStr">
        <is>
          <t>XA2EVM4LC</t>
        </is>
      </c>
      <c r="V1032" s="402" t="n"/>
      <c r="W1032" s="402" t="n"/>
      <c r="X1032" s="170" t="inlineStr"/>
    </row>
    <row r="1033" s="308">
      <c r="A1033" s="64">
        <f>ROW()-ROW(A$1026)</f>
        <v/>
      </c>
      <c r="B1033" s="112" t="inlineStr">
        <is>
          <t>指示灯</t>
        </is>
      </c>
      <c r="C1033" s="112" t="inlineStr">
        <is>
          <t>XB2BVM5LC</t>
        </is>
      </c>
      <c r="D1033" s="112" t="inlineStr">
        <is>
          <t>甲供/施耐德电气</t>
        </is>
      </c>
      <c r="E1033" s="114" t="inlineStr">
        <is>
          <t>只</t>
        </is>
      </c>
      <c r="F1033" s="114" t="n">
        <v>1</v>
      </c>
      <c r="G1033" s="396">
        <f>IF(AND(B1033="",C1033=""),"",ROUND(M1033*L1033*N1033,2))</f>
        <v/>
      </c>
      <c r="H1033" s="396">
        <f>IF(AND(B1033="",C1033=""),"",ROUND(F1033*G1033,2))</f>
        <v/>
      </c>
      <c r="I1033" s="150" t="inlineStr"/>
      <c r="J1033" s="397">
        <f>IF(AND(B1033="",C1033=""),"",ROUND(M1033*N1033,2))</f>
        <v/>
      </c>
      <c r="K1033" s="398">
        <f>IF(AND(B1033="",C1033=""),"",ROUND(J1033*F1033,2))</f>
        <v/>
      </c>
      <c r="L1033" s="141" t="n">
        <v>1</v>
      </c>
      <c r="M1033" s="399" t="n">
        <v>1e-07</v>
      </c>
      <c r="N1033" s="154" t="n">
        <v>1</v>
      </c>
      <c r="O1033" s="155">
        <f>IF(AND(B1033="",C1033=""),"",IF(G1033&gt;=20000,0.05,IF(G1033&gt;=10000,0.1,IF(G1033&gt;=5000,0.2,IF(G1033&gt;=1000,0.3,IF(G1033&gt;=0,0.4,{0}))))))</f>
        <v/>
      </c>
      <c r="P1033" s="400">
        <f>IF(AND(B1033="",C1033=""),"",ROUND(H1033*O1033,2))</f>
        <v/>
      </c>
      <c r="Q1033" s="401" t="inlineStr">
        <is>
          <t>元件</t>
        </is>
      </c>
      <c r="R1033" s="168" t="inlineStr"/>
      <c r="S1033" s="168" t="inlineStr"/>
      <c r="T1033" s="168" t="inlineStr">
        <is>
          <t>0</t>
        </is>
      </c>
      <c r="U1033" s="168" t="inlineStr">
        <is>
          <t>XA2EVM5LC</t>
        </is>
      </c>
      <c r="V1033" s="402" t="n"/>
      <c r="W1033" s="402" t="n"/>
      <c r="X1033" s="170" t="inlineStr"/>
    </row>
    <row r="1034" s="308">
      <c r="A1034" s="64">
        <f>ROW()-ROW(A$1026)</f>
        <v/>
      </c>
      <c r="B1034" s="112" t="inlineStr">
        <is>
          <t>按钮</t>
        </is>
      </c>
      <c r="C1034" s="112" t="inlineStr">
        <is>
          <t>XB2BA31C</t>
        </is>
      </c>
      <c r="D1034" s="112" t="inlineStr">
        <is>
          <t>甲供/施耐德电气</t>
        </is>
      </c>
      <c r="E1034" s="114" t="inlineStr">
        <is>
          <t>只</t>
        </is>
      </c>
      <c r="F1034" s="114" t="n">
        <v>1</v>
      </c>
      <c r="G1034" s="396">
        <f>IF(AND(B1034="",C1034=""),"",ROUND(M1034*L1034*N1034,2))</f>
        <v/>
      </c>
      <c r="H1034" s="396">
        <f>IF(AND(B1034="",C1034=""),"",ROUND(F1034*G1034,2))</f>
        <v/>
      </c>
      <c r="I1034" s="150" t="inlineStr"/>
      <c r="J1034" s="397">
        <f>IF(AND(B1034="",C1034=""),"",ROUND(M1034*N1034,2))</f>
        <v/>
      </c>
      <c r="K1034" s="398">
        <f>IF(AND(B1034="",C1034=""),"",ROUND(J1034*F1034,2))</f>
        <v/>
      </c>
      <c r="L1034" s="141" t="n">
        <v>1</v>
      </c>
      <c r="M1034" s="399" t="n">
        <v>1e-07</v>
      </c>
      <c r="N1034" s="154" t="n">
        <v>1</v>
      </c>
      <c r="O1034" s="155">
        <f>IF(AND(B1034="",C1034=""),"",IF(G1034&gt;=20000,0.05,IF(G1034&gt;=10000,0.1,IF(G1034&gt;=5000,0.2,IF(G1034&gt;=1000,0.3,IF(G1034&gt;=0,0.4,{0}))))))</f>
        <v/>
      </c>
      <c r="P1034" s="400">
        <f>IF(AND(B1034="",C1034=""),"",ROUND(H1034*O1034,2))</f>
        <v/>
      </c>
      <c r="Q1034" s="401" t="inlineStr">
        <is>
          <t>元件</t>
        </is>
      </c>
      <c r="R1034" s="168" t="inlineStr"/>
      <c r="S1034" s="168" t="inlineStr"/>
      <c r="T1034" s="168" t="inlineStr">
        <is>
          <t>0</t>
        </is>
      </c>
      <c r="U1034" s="168" t="inlineStr">
        <is>
          <t>XB2BA31C</t>
        </is>
      </c>
      <c r="V1034" s="402" t="n"/>
      <c r="W1034" s="402" t="n"/>
      <c r="X1034" s="170" t="inlineStr">
        <is>
          <t>XA2EA31</t>
        </is>
      </c>
    </row>
    <row r="1035" s="308">
      <c r="A1035" s="64">
        <f>ROW()-ROW(A$1026)</f>
        <v/>
      </c>
      <c r="B1035" s="22" t="inlineStr">
        <is>
          <t>按钮</t>
        </is>
      </c>
      <c r="C1035" s="22" t="inlineStr">
        <is>
          <t>XB2BA42C</t>
        </is>
      </c>
      <c r="D1035" s="22" t="inlineStr">
        <is>
          <t>甲供/施耐德电气</t>
        </is>
      </c>
      <c r="E1035" s="23" t="inlineStr">
        <is>
          <t>只</t>
        </is>
      </c>
      <c r="F1035" s="23" t="n">
        <v>1</v>
      </c>
      <c r="G1035" s="349">
        <f>IF(AND(B1035="",C1035=""),"",ROUND(M1035*L1035*N1035,2))</f>
        <v/>
      </c>
      <c r="H1035" s="396">
        <f>IF(AND(B1035="",C1035=""),"",ROUND(F1035*G1035,2))</f>
        <v/>
      </c>
      <c r="I1035" s="150" t="inlineStr"/>
      <c r="J1035" s="397">
        <f>IF(AND(B1035="",C1035=""),"",ROUND(M1035*N1035,2))</f>
        <v/>
      </c>
      <c r="K1035" s="398">
        <f>IF(AND(B1035="",C1035=""),"",ROUND(J1035*F1035,2))</f>
        <v/>
      </c>
      <c r="L1035" s="141" t="n">
        <v>1</v>
      </c>
      <c r="M1035" s="399" t="n">
        <v>1e-07</v>
      </c>
      <c r="N1035" s="154" t="n">
        <v>1</v>
      </c>
      <c r="O1035" s="155">
        <f>IF(AND(B1035="",C1035=""),"",IF(G1035&gt;=20000,0.05,IF(G1035&gt;=10000,0.1,IF(G1035&gt;=5000,0.2,IF(G1035&gt;=1000,0.3,IF(G1035&gt;=0,0.4,{0}))))))</f>
        <v/>
      </c>
      <c r="P1035" s="400">
        <f>IF(AND(B1035="",C1035=""),"",ROUND(H1035*O1035,2))</f>
        <v/>
      </c>
      <c r="Q1035" s="401" t="inlineStr">
        <is>
          <t>元件</t>
        </is>
      </c>
      <c r="R1035" s="168" t="inlineStr"/>
      <c r="S1035" s="168" t="inlineStr"/>
      <c r="T1035" s="168" t="inlineStr">
        <is>
          <t>0</t>
        </is>
      </c>
      <c r="U1035" s="168" t="inlineStr">
        <is>
          <t>XB2BA42C</t>
        </is>
      </c>
      <c r="V1035" s="402" t="n"/>
      <c r="W1035" s="402" t="n"/>
      <c r="X1035" s="170" t="inlineStr">
        <is>
          <t>XA2EA41</t>
        </is>
      </c>
    </row>
    <row r="1036" s="308">
      <c r="A1036" s="64">
        <f>ROW()-ROW(A$1026)</f>
        <v/>
      </c>
      <c r="B1036" s="112" t="inlineStr">
        <is>
          <t>带熔丝端子</t>
        </is>
      </c>
      <c r="C1036" s="112" t="inlineStr">
        <is>
          <t>UK 5-HESI</t>
        </is>
      </c>
      <c r="D1036" s="22" t="inlineStr">
        <is>
          <t>菲尼克斯</t>
        </is>
      </c>
      <c r="E1036" s="23" t="inlineStr">
        <is>
          <t>只</t>
        </is>
      </c>
      <c r="F1036" s="23" t="n">
        <v>7</v>
      </c>
      <c r="G1036" s="349">
        <f>IF(AND(B1036="",C1036=""),"",ROUND(M1036*L1036*N1036,2))</f>
        <v/>
      </c>
      <c r="H1036" s="396">
        <f>IF(AND(B1036="",C1036=""),"",ROUND(F1036*G1036,2))</f>
        <v/>
      </c>
      <c r="I1036" s="150" t="inlineStr"/>
      <c r="J1036" s="397">
        <f>IF(AND(B1036="",C1036=""),"",ROUND(M1036*N1036,2))</f>
        <v/>
      </c>
      <c r="K1036" s="398">
        <f>IF(AND(B1036="",C1036=""),"",ROUND(J1036*F1036,2))</f>
        <v/>
      </c>
      <c r="L1036" s="141" t="n">
        <v>1</v>
      </c>
      <c r="M1036" s="399" t="n">
        <v>7</v>
      </c>
      <c r="N1036" s="154" t="n">
        <v>1</v>
      </c>
      <c r="O1036" s="155">
        <f>IF(AND(B1036="",C1036=""),"",IF(G1036&gt;=20000,0.05,IF(G1036&gt;=10000,0.1,IF(G1036&gt;=5000,0.2,IF(G1036&gt;=1000,0.3,IF(G1036&gt;=0,0.4,{0}))))))</f>
        <v/>
      </c>
      <c r="P1036" s="400">
        <f>IF(AND(B1036="",C1036=""),"",ROUND(H1036*O1036,2))</f>
        <v/>
      </c>
      <c r="Q1036" s="401" t="inlineStr">
        <is>
          <t>元件</t>
        </is>
      </c>
      <c r="R1036" s="168" t="inlineStr"/>
      <c r="S1036" s="168" t="inlineStr"/>
      <c r="T1036" s="168" t="inlineStr">
        <is>
          <t>0</t>
        </is>
      </c>
      <c r="U1036" s="168" t="inlineStr"/>
      <c r="V1036" s="402" t="n"/>
      <c r="W1036" s="402" t="n"/>
      <c r="X1036" s="170" t="inlineStr"/>
    </row>
    <row r="1037" s="308">
      <c r="A1037" s="64">
        <f>ROW()-ROW(A$1026)</f>
        <v/>
      </c>
      <c r="B1037" s="112" t="inlineStr">
        <is>
          <t>L型端子</t>
        </is>
      </c>
      <c r="C1037" s="112" t="inlineStr">
        <is>
          <t>GH100710</t>
        </is>
      </c>
      <c r="D1037" s="22" t="inlineStr">
        <is>
          <t>施耐德电气</t>
        </is>
      </c>
      <c r="E1037" s="23" t="inlineStr">
        <is>
          <t>只</t>
        </is>
      </c>
      <c r="F1037" s="23" t="n">
        <v>3</v>
      </c>
      <c r="G1037" s="349">
        <f>IF(AND(B1037="",C1037=""),"",ROUND(M1037*L1037*N1037,2))</f>
        <v/>
      </c>
      <c r="H1037" s="396">
        <f>IF(AND(B1037="",C1037=""),"",ROUND(F1037*G1037,2))</f>
        <v/>
      </c>
      <c r="I1037" s="150" t="inlineStr"/>
      <c r="J1037" s="397">
        <f>IF(AND(B1037="",C1037=""),"",ROUND(M1037*N1037,2))</f>
        <v/>
      </c>
      <c r="K1037" s="398">
        <f>IF(AND(B1037="",C1037=""),"",ROUND(J1037*F1037,2))</f>
        <v/>
      </c>
      <c r="L1037" s="141" t="n">
        <v>1</v>
      </c>
      <c r="M1037" s="399" t="n">
        <v>1125.85</v>
      </c>
      <c r="N1037" s="154" t="n">
        <v>0.45</v>
      </c>
      <c r="O1037" s="155">
        <f>IF(AND(B1037="",C1037=""),"",IF(G1037&gt;=20000,0.05,IF(G1037&gt;=10000,0.1,IF(G1037&gt;=5000,0.2,IF(G1037&gt;=1000,0.3,IF(G1037&gt;=0,0.4,{0}))))))</f>
        <v/>
      </c>
      <c r="P1037" s="400">
        <f>IF(AND(B1037="",C1037=""),"",ROUND(H1037*O1037,2))</f>
        <v/>
      </c>
      <c r="Q1037" s="401" t="inlineStr">
        <is>
          <t>元件</t>
        </is>
      </c>
      <c r="R1037" s="168" t="inlineStr"/>
      <c r="S1037" s="168" t="inlineStr"/>
      <c r="T1037" s="168" t="inlineStr">
        <is>
          <t>0</t>
        </is>
      </c>
      <c r="U1037" s="168" t="inlineStr"/>
      <c r="V1037" s="402" t="n"/>
      <c r="W1037" s="402" t="n"/>
      <c r="X1037" s="170" t="inlineStr"/>
    </row>
    <row r="1038" s="308">
      <c r="A1038" s="64">
        <f>ROW()-ROW(A$1026)</f>
        <v/>
      </c>
      <c r="B1038" s="33" t="inlineStr">
        <is>
          <t>水平母排</t>
        </is>
      </c>
      <c r="C1038" s="22" t="inlineStr">
        <is>
          <t>TMY 4*(4*150*5)+2*50*5</t>
        </is>
      </c>
      <c r="D1038" s="22" t="inlineStr">
        <is>
          <t>国产优质</t>
        </is>
      </c>
      <c r="E1038" s="23" t="inlineStr">
        <is>
          <t>米</t>
        </is>
      </c>
      <c r="F1038" s="23" t="n">
        <v>0.8</v>
      </c>
      <c r="G1038" s="349">
        <f>IF(AND(B1038="",C1038=""),"",ROUND(M1038*L1038*N1038,2))</f>
        <v/>
      </c>
      <c r="H1038" s="349">
        <f>IF(AND(B1038="",C1038=""),"",ROUND(F1038*G1038,2))</f>
        <v/>
      </c>
      <c r="I1038" s="179" t="inlineStr"/>
      <c r="J1038" s="397">
        <f>IF(AND(B1038="",C1038=""),"",ROUND(M1038*N1038,2))</f>
        <v/>
      </c>
      <c r="K1038" s="398">
        <f>IF(AND(B1038="",C1038=""),"",ROUND(J1038*F1038,2))</f>
        <v/>
      </c>
      <c r="L1038" s="141" t="n">
        <v>1</v>
      </c>
      <c r="M1038" s="399" t="n">
        <v>12026.68125</v>
      </c>
      <c r="N1038" s="154">
        <f>(6317.932*1*1+2684.8*1*1)/9002.732</f>
        <v/>
      </c>
      <c r="O1038" s="155">
        <f>IF(AND(B1038="",C1038=""),"",IF(G1038&gt;=20000,0.05,IF(G1038&gt;=10000,0.1,IF(G1038&gt;=5000,0.2,IF(G1038&gt;=1000,0.3,IF(G1038&gt;=0,0.4,{0}))))))</f>
        <v/>
      </c>
      <c r="P1038" s="400">
        <f>IF(AND(B1038="",C1038=""),"",ROUND(H1038*O1038,2))</f>
        <v/>
      </c>
      <c r="Q1038" s="401" t="inlineStr">
        <is>
          <t>母排</t>
        </is>
      </c>
      <c r="R1038" s="168" t="inlineStr"/>
      <c r="S1038" s="168" t="inlineStr"/>
      <c r="T1038" s="168" t="inlineStr">
        <is>
          <t>0</t>
        </is>
      </c>
      <c r="U1038" s="168" t="inlineStr"/>
      <c r="V1038" s="402" t="n"/>
      <c r="W1038" s="402" t="n"/>
      <c r="X1038" s="170" t="inlineStr"/>
    </row>
    <row r="1039" customFormat="1" s="3">
      <c r="A1039" s="64">
        <f>ROW()-ROW(A$1026)</f>
        <v/>
      </c>
      <c r="B1039" s="27" t="inlineStr">
        <is>
          <t>铜排</t>
        </is>
      </c>
      <c r="C1039" s="27" t="inlineStr">
        <is>
          <t>TMY</t>
        </is>
      </c>
      <c r="D1039" s="22" t="inlineStr">
        <is>
          <t>国产优质</t>
        </is>
      </c>
      <c r="E1039" s="23" t="inlineStr">
        <is>
          <t>kg</t>
        </is>
      </c>
      <c r="F1039" s="28" t="n">
        <v>222</v>
      </c>
      <c r="G1039" s="353">
        <f>IF(AND(B1039="",C1039=""),"",ROUND(M1039*L1039*N1039,2))</f>
        <v/>
      </c>
      <c r="H1039" s="353">
        <f>IF(AND(B1039="",C1039=""),"",ROUND(F1039*G1039,2))</f>
        <v/>
      </c>
      <c r="I1039" s="180" t="inlineStr"/>
      <c r="J1039" s="392">
        <f>IF(AND(B1039="",C1039=""),"",ROUND(M1039*N1039,2))</f>
        <v/>
      </c>
      <c r="K1039" s="393">
        <f>IF(AND(B1039="",C1039=""),"",ROUND(J1039*F1039,2))</f>
        <v/>
      </c>
      <c r="L1039" s="141" t="n">
        <v>1</v>
      </c>
      <c r="M1039" s="394" t="n">
        <v>108.105</v>
      </c>
      <c r="N1039" s="143" t="n">
        <v>1</v>
      </c>
      <c r="O1039" s="144">
        <f>IF(AND(B1039="",C1039=""),"",IF(G1039&gt;=20000,0.05,IF(G1039&gt;=10000,0.1,IF(G1039&gt;=5000,0.2,IF(G1039&gt;=1000,0.3,IF(G1039&gt;=0,0.4,{0}))))))</f>
        <v/>
      </c>
      <c r="P1039" s="395">
        <f>IF(AND(B1039="",C1039=""),"",ROUND(H1039*O1039,2))</f>
        <v/>
      </c>
      <c r="Q1039" s="390" t="inlineStr">
        <is>
          <t>母排</t>
        </is>
      </c>
      <c r="R1039" s="164" t="inlineStr"/>
      <c r="S1039" s="164" t="inlineStr"/>
      <c r="T1039" s="164" t="inlineStr">
        <is>
          <t>0</t>
        </is>
      </c>
      <c r="U1039" s="164" t="inlineStr"/>
      <c r="V1039" s="391" t="n"/>
      <c r="W1039" s="391" t="n"/>
      <c r="X1039" s="166" t="inlineStr"/>
    </row>
    <row r="1040" s="308">
      <c r="A1040" s="64">
        <f>ROW()-ROW(A$1026)</f>
        <v/>
      </c>
      <c r="B1040" s="22" t="inlineStr">
        <is>
          <t>辅料</t>
        </is>
      </c>
      <c r="C1040" s="22" t="inlineStr"/>
      <c r="D1040" s="22" t="inlineStr"/>
      <c r="E1040" s="23" t="inlineStr">
        <is>
          <t>套</t>
        </is>
      </c>
      <c r="F1040" s="23" t="n">
        <v>1</v>
      </c>
      <c r="G1040" s="349">
        <f>IF(AND(B1040="",C1040=""),"",ROUND(M1040*L1040*N1040,2))</f>
        <v/>
      </c>
      <c r="H1040" s="349">
        <f>IF(AND(B1040="",C1040=""),"",ROUND(F1040*G1040,2))</f>
        <v/>
      </c>
      <c r="I1040" s="179" t="inlineStr"/>
      <c r="J1040" s="397">
        <f>IF(AND(B1040="",C1040=""),"",ROUND(M1040*N1040,2))</f>
        <v/>
      </c>
      <c r="K1040" s="398">
        <f>IF(AND(B1040="",C1040=""),"",ROUND(J1040*F1040,2))</f>
        <v/>
      </c>
      <c r="L1040" s="141" t="n">
        <v>1</v>
      </c>
      <c r="M1040" s="399" t="n">
        <v>550</v>
      </c>
      <c r="N1040" s="154" t="n">
        <v>1</v>
      </c>
      <c r="O1040" s="155">
        <f>IF(AND(B1040="",C1040=""),"",IF(G1040&gt;=20000,0.05,IF(G1040&gt;=10000,0.1,IF(G1040&gt;=5000,0.2,IF(G1040&gt;=1000,0.3,IF(G1040&gt;=0,0.4,{0}))))))</f>
        <v/>
      </c>
      <c r="P1040" s="400">
        <f>IF(AND(B1040="",C1040=""),"",ROUND(H1040*O1040,2))</f>
        <v/>
      </c>
      <c r="Q1040" s="401" t="inlineStr">
        <is>
          <t>辅料</t>
        </is>
      </c>
      <c r="R1040" s="168" t="inlineStr"/>
      <c r="S1040" s="168" t="inlineStr"/>
      <c r="T1040" s="168" t="inlineStr">
        <is>
          <t>0</t>
        </is>
      </c>
      <c r="U1040" s="168" t="inlineStr"/>
      <c r="V1040" s="402" t="n"/>
      <c r="W1040" s="402" t="n"/>
      <c r="X1040" s="170" t="inlineStr"/>
    </row>
    <row r="1041" s="308">
      <c r="A1041" s="64">
        <f>ROW()-ROW(A$1026)</f>
        <v/>
      </c>
      <c r="B1041" s="22" t="inlineStr">
        <is>
          <t>柜体Blokset</t>
        </is>
      </c>
      <c r="C1041" s="33" t="inlineStr">
        <is>
          <t>700W*1200D*2200H</t>
        </is>
      </c>
      <c r="D1041" s="22" t="inlineStr">
        <is>
          <t>清科</t>
        </is>
      </c>
      <c r="E1041" s="23" t="inlineStr">
        <is>
          <t>台</t>
        </is>
      </c>
      <c r="F1041" s="23" t="n">
        <v>1</v>
      </c>
      <c r="G1041" s="349">
        <f>IF(AND(B1041="",C1041=""),"",ROUND(M1041*L1041*N1041,2))</f>
        <v/>
      </c>
      <c r="H1041" s="349">
        <f>IF(AND(B1041="",C1041=""),"",ROUND(F1041*G1041,2))</f>
        <v/>
      </c>
      <c r="I1041" s="179" t="inlineStr"/>
      <c r="J1041" s="397">
        <f>IF(AND(B1041="",C1041=""),"",ROUND(M1041*N1041,2))</f>
        <v/>
      </c>
      <c r="K1041" s="398">
        <f>IF(AND(B1041="",C1041=""),"",ROUND(J1041*F1041,2))</f>
        <v/>
      </c>
      <c r="L1041" s="141" t="n">
        <v>1</v>
      </c>
      <c r="M1041" s="399" t="n">
        <v>4010</v>
      </c>
      <c r="N1041" s="154" t="n">
        <v>1</v>
      </c>
      <c r="O1041" s="155">
        <f>IF(AND(B1041="",C1041=""),"",IF(G1041&gt;=20000,0.05,IF(G1041&gt;=10000,0.1,IF(G1041&gt;=5000,0.2,IF(G1041&gt;=1000,0.3,IF(G1041&gt;=0,0.4,{0}))))))</f>
        <v/>
      </c>
      <c r="P1041" s="400">
        <f>IF(AND(B1041="",C1041=""),"",ROUND(H1041*O1041,2))</f>
        <v/>
      </c>
      <c r="Q1041" s="401" t="inlineStr">
        <is>
          <t>箱体</t>
        </is>
      </c>
      <c r="R1041" s="168" t="inlineStr"/>
      <c r="S1041" s="168" t="inlineStr"/>
      <c r="T1041" s="168" t="inlineStr">
        <is>
          <t>0</t>
        </is>
      </c>
      <c r="U1041" s="168" t="inlineStr"/>
      <c r="V1041" s="402" t="n"/>
      <c r="W1041" s="402" t="n"/>
      <c r="X1041" s="170" t="inlineStr"/>
    </row>
    <row r="1042" customFormat="1" s="3">
      <c r="A1042" s="64">
        <f>ROW()-ROW(A$1026)</f>
        <v/>
      </c>
      <c r="B1042" s="27" t="inlineStr"/>
      <c r="C1042" s="27" t="inlineStr"/>
      <c r="D1042" s="27" t="inlineStr"/>
      <c r="E1042" s="28" t="n"/>
      <c r="F1042" s="28">
        <f>IF(AND(B1042="",C1042=""),"",1)</f>
        <v/>
      </c>
      <c r="G1042" s="353">
        <f>IF(AND(B1042="",C1042=""),"",ROUND(M1042*L1042*N1042,2))</f>
        <v/>
      </c>
      <c r="H1042" s="353">
        <f>IF(AND(B1042="",C1042=""),"",ROUND(F1042*G1042,2))</f>
        <v/>
      </c>
      <c r="I1042" s="180" t="inlineStr"/>
      <c r="J1042" s="392">
        <f>IF(AND(B1042="",C1042=""),"",ROUND(M1042*N1042,2))</f>
        <v/>
      </c>
      <c r="K1042" s="393">
        <f>IF(AND(B1042="",C1042=""),"",ROUND(J1042*F1042,2))</f>
        <v/>
      </c>
      <c r="L1042" s="141">
        <f>IF(AND(B1042="",C1042=""),"",1)</f>
        <v/>
      </c>
      <c r="M1042" s="394" t="n"/>
      <c r="N1042" s="143">
        <f>IF(AND(B1042="",C1042=""),"",1)</f>
        <v/>
      </c>
      <c r="O1042" s="144">
        <f>IF(AND(B1042="",C1042=""),"",IF(J1042&gt;=20000,0.05,IF(J1042&gt;=10000,0.1,IF(J1042&gt;=5000,0.2,IF(J1042&gt;=1000,0.3,IF(J1042&gt;=0,0.4,{0}))))))</f>
        <v/>
      </c>
      <c r="P1042" s="395">
        <f>IF(AND(B1042="",C1042=""),"",ROUND(H1042*O1042,2))</f>
        <v/>
      </c>
      <c r="Q1042" s="390">
        <f>IF(AND(B1042="",C1042=""),"","元件")</f>
        <v/>
      </c>
      <c r="R1042" s="164" t="inlineStr"/>
      <c r="S1042" s="164" t="inlineStr"/>
      <c r="T1042" s="164" t="inlineStr"/>
      <c r="U1042" s="164" t="inlineStr"/>
      <c r="V1042" s="391" t="n"/>
      <c r="W1042" s="391" t="n"/>
      <c r="X1042" s="166" t="inlineStr"/>
    </row>
    <row r="1043" customFormat="1" s="3">
      <c r="A1043" s="64">
        <f>ROW()-ROW(A$1026)</f>
        <v/>
      </c>
      <c r="B1043" s="27" t="inlineStr"/>
      <c r="C1043" s="27" t="inlineStr"/>
      <c r="D1043" s="27" t="inlineStr"/>
      <c r="E1043" s="28" t="n"/>
      <c r="F1043" s="28">
        <f>IF(AND(B1043="",C1043=""),"",1)</f>
        <v/>
      </c>
      <c r="G1043" s="353">
        <f>IF(AND(B1043="",C1043=""),"",ROUND(M1043*L1043*N1043,2))</f>
        <v/>
      </c>
      <c r="H1043" s="353">
        <f>IF(AND(B1043="",C1043=""),"",ROUND(F1043*G1043,2))</f>
        <v/>
      </c>
      <c r="I1043" s="180" t="inlineStr"/>
      <c r="J1043" s="392">
        <f>IF(AND(B1043="",C1043=""),"",ROUND(M1043*N1043,2))</f>
        <v/>
      </c>
      <c r="K1043" s="393">
        <f>IF(AND(B1043="",C1043=""),"",ROUND(J1043*F1043,2))</f>
        <v/>
      </c>
      <c r="L1043" s="141">
        <f>IF(AND(B1043="",C1043=""),"",1)</f>
        <v/>
      </c>
      <c r="M1043" s="394" t="n"/>
      <c r="N1043" s="143">
        <f>IF(AND(B1043="",C1043=""),"",1)</f>
        <v/>
      </c>
      <c r="O1043" s="144">
        <f>IF(AND(B1043="",C1043=""),"",IF(J1043&gt;=20000,0.05,IF(J1043&gt;=10000,0.1,IF(J1043&gt;=5000,0.2,IF(J1043&gt;=1000,0.3,IF(J1043&gt;=0,0.4,{0}))))))</f>
        <v/>
      </c>
      <c r="P1043" s="395">
        <f>IF(AND(B1043="",C1043=""),"",ROUND(H1043*O1043,2))</f>
        <v/>
      </c>
      <c r="Q1043" s="390">
        <f>IF(AND(B1043="",C1043=""),"","元件")</f>
        <v/>
      </c>
      <c r="R1043" s="164" t="inlineStr"/>
      <c r="S1043" s="164" t="inlineStr"/>
      <c r="T1043" s="164" t="inlineStr"/>
      <c r="U1043" s="164" t="inlineStr"/>
      <c r="V1043" s="391" t="n"/>
      <c r="W1043" s="391" t="n"/>
      <c r="X1043" s="166" t="inlineStr"/>
    </row>
    <row r="1044" customFormat="1" s="3">
      <c r="A1044" s="64">
        <f>ROW()-ROW(A$1026)</f>
        <v/>
      </c>
      <c r="B1044" s="171" t="inlineStr">
        <is>
          <t>小计</t>
        </is>
      </c>
      <c r="C1044" s="172" t="n"/>
      <c r="D1044" s="82" t="n"/>
      <c r="E1044" s="28" t="n"/>
      <c r="F1044" s="28" t="n"/>
      <c r="G1044" s="353" t="n"/>
      <c r="H1044" s="353">
        <f>ROUND(SUM(H1026:INDEX(H:H,ROW()-1)),2)</f>
        <v/>
      </c>
      <c r="I1044" s="45" t="inlineStr"/>
      <c r="J1044" s="392" t="n"/>
      <c r="K1044" s="393">
        <f>ROUND(SUM(K1026:INDEX(K:K,ROW()-1)),2)</f>
        <v/>
      </c>
      <c r="L1044" s="141" t="n"/>
      <c r="M1044" s="394" t="n"/>
      <c r="N1044" s="143" t="n"/>
      <c r="O1044" s="144" t="n"/>
      <c r="P1044" s="395" t="n"/>
      <c r="Q1044" s="390" t="n"/>
      <c r="R1044" s="164" t="inlineStr"/>
      <c r="S1044" s="164" t="inlineStr"/>
      <c r="T1044" s="164" t="inlineStr"/>
      <c r="U1044" s="164" t="inlineStr"/>
      <c r="V1044" s="391">
        <f>ROUND(SUMPRODUCT(F1026:INDEX(F:F,ROW()-1),V1026:INDEX(V:V,ROW()-1)),2)</f>
        <v/>
      </c>
      <c r="W1044" s="391">
        <f>ROUND(SUMPRODUCT(F1026:INDEX(F:F,ROW()-1),W1026:INDEX(W:W,ROW()-1)),2)</f>
        <v/>
      </c>
      <c r="X1044" s="166" t="inlineStr"/>
    </row>
    <row r="1045" customFormat="1" s="3">
      <c r="A1045" s="64">
        <f>ROW()-ROW(A$1026)</f>
        <v/>
      </c>
      <c r="B1045" s="171" t="inlineStr">
        <is>
          <t>综合费(人工、管理、税金、利润等)</t>
        </is>
      </c>
      <c r="C1045" s="172" t="n"/>
      <c r="D1045" s="82" t="n"/>
      <c r="E1045" s="28" t="n"/>
      <c r="F1045" s="28" t="n"/>
      <c r="G1045" s="353" t="n"/>
      <c r="H1045" s="353">
        <f>2500</f>
        <v/>
      </c>
      <c r="I1045" s="45" t="inlineStr"/>
      <c r="J1045" s="392" t="n"/>
      <c r="K1045" s="393" t="n"/>
      <c r="L1045" s="141" t="n"/>
      <c r="M1045" s="394" t="n"/>
      <c r="N1045" s="143" t="n"/>
      <c r="O1045" s="144" t="n"/>
      <c r="P1045" s="395" t="n"/>
      <c r="Q1045" s="390" t="inlineStr">
        <is>
          <t>费用</t>
        </is>
      </c>
      <c r="R1045" s="164" t="inlineStr"/>
      <c r="S1045" s="164" t="inlineStr"/>
      <c r="T1045" s="164" t="inlineStr"/>
      <c r="U1045" s="164" t="inlineStr"/>
      <c r="V1045" s="391" t="n"/>
      <c r="W1045" s="391" t="n"/>
      <c r="X1045" s="166" t="inlineStr"/>
    </row>
    <row r="1046" customFormat="1" s="3">
      <c r="A1046" s="64">
        <f>ROW()-ROW(A$1026)</f>
        <v/>
      </c>
      <c r="B1046" s="82" t="inlineStr">
        <is>
          <t>单台合计</t>
        </is>
      </c>
      <c r="C1046" s="172" t="n"/>
      <c r="D1046" s="82" t="n"/>
      <c r="E1046" s="28" t="n"/>
      <c r="F1046" s="28" t="n"/>
      <c r="G1046" s="353" t="n"/>
      <c r="H1046" s="353">
        <f>ROUND(SUM(H1044:H1045),2)</f>
        <v/>
      </c>
      <c r="I1046" s="181" t="n"/>
      <c r="J1046" s="392" t="n"/>
      <c r="K1046" s="393">
        <f>ROUND(SUM(K1044:K1045),2)</f>
        <v/>
      </c>
      <c r="L1046" s="182" t="n"/>
      <c r="M1046" s="394" t="n"/>
      <c r="N1046" s="183" t="n"/>
      <c r="O1046" s="184" t="n"/>
      <c r="P1046" s="395" t="n"/>
      <c r="Q1046" s="390" t="n"/>
      <c r="R1046" s="164" t="inlineStr"/>
      <c r="S1046" s="164" t="inlineStr"/>
      <c r="T1046" s="164" t="inlineStr"/>
      <c r="U1046" s="164" t="inlineStr"/>
      <c r="V1046" s="391" t="n"/>
      <c r="W1046" s="391" t="n"/>
      <c r="X1046" s="166" t="inlineStr"/>
    </row>
    <row r="1047" customFormat="1" s="3">
      <c r="A1047" s="173" t="inlineStr">
        <is>
          <t>总计</t>
        </is>
      </c>
      <c r="B1047" s="174" t="n"/>
      <c r="C1047" s="175" t="n"/>
      <c r="D1047" s="176" t="n"/>
      <c r="E1047" s="176" t="inlineStr">
        <is>
          <t>台</t>
        </is>
      </c>
      <c r="F1047" s="176" t="n">
        <v>4</v>
      </c>
      <c r="G1047" s="403">
        <f>ROUND(H1046,2)</f>
        <v/>
      </c>
      <c r="H1047" s="403">
        <f>ROUND(F1047*G1047,2)</f>
        <v/>
      </c>
      <c r="I1047" s="185" t="n"/>
      <c r="J1047" s="404" t="n"/>
      <c r="K1047" s="405">
        <f>ROUND(K1046*F1047,2)</f>
        <v/>
      </c>
      <c r="L1047" s="188" t="n"/>
      <c r="M1047" s="406" t="n"/>
      <c r="N1047" s="190" t="n"/>
      <c r="O1047" s="191" t="n"/>
      <c r="P1047" s="407" t="n"/>
      <c r="Q1047" s="390" t="n"/>
      <c r="R1047" s="164" t="inlineStr"/>
      <c r="S1047" s="164" t="inlineStr"/>
      <c r="T1047" s="164" t="inlineStr"/>
      <c r="U1047" s="164" t="inlineStr"/>
      <c r="V1047" s="391" t="n"/>
      <c r="W1047" s="391" t="n"/>
      <c r="X1047" s="166" t="inlineStr"/>
    </row>
    <row r="1048" customFormat="1" s="2">
      <c r="A1048" s="89" t="n"/>
      <c r="B1048" s="132" t="inlineStr"/>
      <c r="C1048" s="132" t="inlineStr"/>
      <c r="D1048" s="132" t="inlineStr"/>
      <c r="Q1048" s="160" t="n"/>
      <c r="R1048" s="160" t="n"/>
      <c r="S1048" s="160" t="n"/>
      <c r="T1048" s="160" t="n"/>
      <c r="U1048" s="160" t="n"/>
      <c r="X1048" s="132" t="inlineStr"/>
    </row>
    <row r="1049" customFormat="1" s="2">
      <c r="A1049" s="89" t="n"/>
      <c r="B1049" s="132" t="inlineStr"/>
      <c r="C1049" s="132" t="inlineStr"/>
      <c r="D1049" s="132" t="inlineStr"/>
      <c r="Q1049" s="160" t="n"/>
      <c r="R1049" s="160" t="n"/>
      <c r="S1049" s="160" t="n"/>
      <c r="T1049" s="160" t="n"/>
      <c r="U1049" s="160" t="n"/>
      <c r="X1049" s="132" t="inlineStr"/>
    </row>
    <row r="1050" customFormat="1" s="3">
      <c r="A1050" s="92">
        <f>CONCATENATE("报价人：",项目信息!$B$8)</f>
        <v/>
      </c>
      <c r="B1050" s="92" t="n"/>
      <c r="C1050" s="2" t="n"/>
      <c r="D1050" s="2" t="n"/>
      <c r="E1050" s="2" t="n"/>
      <c r="F1050" s="2" t="n"/>
      <c r="G1050" s="2" t="n"/>
      <c r="H1050" s="178">
        <f>项目信息!$B$9</f>
        <v/>
      </c>
      <c r="Q1050" s="160" t="n"/>
      <c r="R1050" s="160" t="n"/>
      <c r="S1050" s="160" t="n"/>
      <c r="T1050" s="160" t="n"/>
      <c r="U1050" s="160" t="n"/>
      <c r="X1050" s="162" t="inlineStr"/>
    </row>
    <row r="1051" s="308">
      <c r="A1051" s="8">
        <f>T(项目信息!$B$22)</f>
        <v/>
      </c>
      <c r="Q1051" s="159" t="n"/>
      <c r="R1051" s="159" t="n"/>
      <c r="S1051" s="159" t="n"/>
      <c r="T1051" s="159" t="n"/>
      <c r="U1051" s="159" t="n"/>
    </row>
    <row r="1052" s="308">
      <c r="A1052" s="9">
        <f>T(项目信息!$B$23)</f>
        <v/>
      </c>
      <c r="Q1052" s="159" t="n"/>
      <c r="R1052" s="159" t="n"/>
      <c r="S1052" s="159" t="n"/>
      <c r="T1052" s="159" t="n"/>
      <c r="U1052" s="159" t="n"/>
    </row>
    <row r="1053" s="308">
      <c r="A1053" s="97" t="inlineStr">
        <is>
          <t>成套产品报价明细表</t>
        </is>
      </c>
      <c r="B1053" s="378" t="n"/>
      <c r="C1053" s="378" t="n"/>
      <c r="D1053" s="378" t="n"/>
      <c r="E1053" s="378" t="n"/>
      <c r="F1053" s="378" t="n"/>
      <c r="G1053" s="378" t="n"/>
      <c r="H1053" s="378" t="n"/>
      <c r="I1053" s="378" t="n"/>
      <c r="Q1053" s="159" t="n"/>
      <c r="R1053" s="159" t="n"/>
      <c r="S1053" s="159" t="n"/>
      <c r="T1053" s="159" t="n"/>
      <c r="U1053" s="159" t="n"/>
    </row>
    <row r="1054" customFormat="1" s="4">
      <c r="A1054" s="98" t="inlineStr">
        <is>
          <t>柜号:</t>
        </is>
      </c>
      <c r="B1054" s="99" t="inlineStr">
        <is>
          <t>BAN6-05</t>
        </is>
      </c>
      <c r="C1054" s="100" t="inlineStr">
        <is>
          <t>型号:</t>
        </is>
      </c>
      <c r="D1054" s="99" t="inlineStr">
        <is>
          <t>BlokSeT</t>
        </is>
      </c>
      <c r="E1054" s="379" t="n"/>
      <c r="F1054" s="101" t="inlineStr">
        <is>
          <t>名称:</t>
        </is>
      </c>
      <c r="G1054" s="99" t="inlineStr">
        <is>
          <t>馈线柜</t>
        </is>
      </c>
      <c r="H1054" s="379" t="n"/>
      <c r="I1054" s="408" t="inlineStr"/>
      <c r="J1054" s="194" t="inlineStr">
        <is>
          <t>箱柜尺寸:</t>
        </is>
      </c>
      <c r="K1054" s="195" t="inlineStr">
        <is>
          <t>600W*1200D*2200H</t>
        </is>
      </c>
      <c r="L1054" s="194" t="inlineStr">
        <is>
          <t>类别:</t>
        </is>
      </c>
      <c r="M1054" s="195" t="inlineStr">
        <is>
          <t>低压固定柜</t>
        </is>
      </c>
      <c r="N1054" s="409" t="inlineStr"/>
      <c r="Q1054" s="159" t="n"/>
      <c r="R1054" s="159" t="n"/>
      <c r="S1054" s="159" t="n"/>
      <c r="T1054" s="159" t="n"/>
      <c r="U1054" s="159" t="n"/>
    </row>
    <row r="1055" ht="20.1" customHeight="1" s="308">
      <c r="A1055" s="102" t="inlineStr">
        <is>
          <t>序号</t>
        </is>
      </c>
      <c r="B1055" s="103" t="inlineStr">
        <is>
          <t>元件名称</t>
        </is>
      </c>
      <c r="C1055" s="103" t="inlineStr">
        <is>
          <t>型号规格</t>
        </is>
      </c>
      <c r="D1055" s="104" t="inlineStr">
        <is>
          <t>生产厂家</t>
        </is>
      </c>
      <c r="E1055" s="105" t="inlineStr">
        <is>
          <t>单位</t>
        </is>
      </c>
      <c r="F1055" s="105" t="inlineStr">
        <is>
          <t>数量</t>
        </is>
      </c>
      <c r="G1055" s="382" t="inlineStr">
        <is>
          <t>单   价</t>
        </is>
      </c>
      <c r="H1055" s="383" t="inlineStr">
        <is>
          <t>总   价</t>
        </is>
      </c>
      <c r="I1055" s="134" t="inlineStr">
        <is>
          <t>备注</t>
        </is>
      </c>
      <c r="J1055" s="384" t="inlineStr">
        <is>
          <t>成本单价</t>
        </is>
      </c>
      <c r="K1055" s="384" t="inlineStr">
        <is>
          <t>成本总价</t>
        </is>
      </c>
      <c r="L1055" s="136" t="inlineStr">
        <is>
          <t>报出
系数</t>
        </is>
      </c>
      <c r="M1055" s="384" t="inlineStr">
        <is>
          <t>表价</t>
        </is>
      </c>
      <c r="N1055" s="136" t="inlineStr">
        <is>
          <t>折扣
系数</t>
        </is>
      </c>
      <c r="O1055" s="137" t="inlineStr">
        <is>
          <t>取费
系数</t>
        </is>
      </c>
      <c r="P1055" s="384" t="inlineStr">
        <is>
          <t>成套费</t>
        </is>
      </c>
      <c r="Q1055" s="161" t="inlineStr">
        <is>
          <t>类别</t>
        </is>
      </c>
      <c r="R1055" s="161" t="inlineStr">
        <is>
          <t>物料编码</t>
        </is>
      </c>
      <c r="S1055" s="161" t="inlineStr">
        <is>
          <t>产地</t>
        </is>
      </c>
      <c r="T1055" s="161" t="inlineStr">
        <is>
          <t>加工费</t>
        </is>
      </c>
      <c r="U1055" s="161" t="inlineStr">
        <is>
          <t>订货号</t>
        </is>
      </c>
      <c r="V1055" s="161" t="inlineStr">
        <is>
          <t>人工</t>
        </is>
      </c>
      <c r="W1055" s="161" t="inlineStr">
        <is>
          <t>辅料</t>
        </is>
      </c>
      <c r="X1055" s="203" t="inlineStr"/>
    </row>
    <row r="1056" s="308">
      <c r="A1056" s="64">
        <f>ROW()-ROW(A$1055)</f>
        <v/>
      </c>
      <c r="B1056" s="22" t="inlineStr">
        <is>
          <t>框架断路器</t>
        </is>
      </c>
      <c r="C1056" s="22" t="inlineStr">
        <is>
          <t>MT10 N1a SG 3P MIC5.0 E</t>
        </is>
      </c>
      <c r="D1056" s="22" t="inlineStr">
        <is>
          <t>甲供/施耐德电气</t>
        </is>
      </c>
      <c r="E1056" s="23" t="inlineStr">
        <is>
          <t>只</t>
        </is>
      </c>
      <c r="F1056" s="23" t="n">
        <v>2</v>
      </c>
      <c r="G1056" s="349">
        <f>IF(AND(B1056="",C1056=""),"",ROUND(M1056*L1056*N1056,2))</f>
        <v/>
      </c>
      <c r="H1056" s="349">
        <f>IF(AND(B1056="",C1056=""),"",ROUND(F1056*G1056,2))</f>
        <v/>
      </c>
      <c r="I1056" s="45" t="inlineStr"/>
      <c r="J1056" s="397">
        <f>IF(AND(B1056="",C1056=""),"",ROUND(M1056*N1056,2))</f>
        <v/>
      </c>
      <c r="K1056" s="398">
        <f>IF(AND(B1056="",C1056=""),"",ROUND(J1056*F1056,2))</f>
        <v/>
      </c>
      <c r="L1056" s="200" t="n">
        <v>1</v>
      </c>
      <c r="M1056" s="399" t="n">
        <v>1e-07</v>
      </c>
      <c r="N1056" s="154" t="n">
        <v>1</v>
      </c>
      <c r="O1056" s="155">
        <f>IF(AND(B1056="",C1056=""),"",IF(G1056&gt;=20000,0.05,IF(G1056&gt;=10000,0.1,IF(G1056&gt;=5000,0.2,IF(G1056&gt;=1000,0.3,IF(G1056&gt;=0,0.4,{0}))))))</f>
        <v/>
      </c>
      <c r="P1056" s="400">
        <f>IF(AND(B1056="",C1056=""),"",ROUND(H1056*O1056,2))</f>
        <v/>
      </c>
      <c r="Q1056" s="401" t="inlineStr">
        <is>
          <t>元件</t>
        </is>
      </c>
      <c r="R1056" s="168" t="inlineStr"/>
      <c r="S1056" s="168" t="inlineStr"/>
      <c r="T1056" s="168" t="inlineStr">
        <is>
          <t>0</t>
        </is>
      </c>
      <c r="U1056" s="168" t="inlineStr">
        <is>
          <t>C16F32D160</t>
        </is>
      </c>
      <c r="V1056" s="402" t="n"/>
      <c r="W1056" s="402" t="n"/>
      <c r="X1056" s="170" t="inlineStr">
        <is>
          <t>NSX630N Mic2.3 630A 3P3D F→NSX630F MIC2.3 630 3P F→NSX630F MIC 2.3 630 3P F</t>
        </is>
      </c>
    </row>
    <row r="1057" s="308">
      <c r="A1057" s="64">
        <f>ROW()-ROW(A$1055)</f>
        <v/>
      </c>
      <c r="B1057" s="22" t="inlineStr">
        <is>
          <t>框架断路器</t>
        </is>
      </c>
      <c r="C1057" s="22" t="inlineStr">
        <is>
          <t>MT12 N1a SG 3P MIC5.0 E</t>
        </is>
      </c>
      <c r="D1057" s="22" t="inlineStr">
        <is>
          <t>甲供/施耐德电气</t>
        </is>
      </c>
      <c r="E1057" s="23" t="inlineStr">
        <is>
          <t>只</t>
        </is>
      </c>
      <c r="F1057" s="23" t="n">
        <v>1</v>
      </c>
      <c r="G1057" s="349">
        <f>IF(AND(B1057="",C1057=""),"",ROUND(M1057*L1057*N1057,2))</f>
        <v/>
      </c>
      <c r="H1057" s="349">
        <f>IF(AND(B1057="",C1057=""),"",ROUND(F1057*G1057,2))</f>
        <v/>
      </c>
      <c r="I1057" s="45" t="inlineStr"/>
      <c r="J1057" s="397">
        <f>IF(AND(B1057="",C1057=""),"",ROUND(M1057*N1057,2))</f>
        <v/>
      </c>
      <c r="K1057" s="398">
        <f>IF(AND(B1057="",C1057=""),"",ROUND(J1057*F1057,2))</f>
        <v/>
      </c>
      <c r="L1057" s="200" t="n">
        <v>1</v>
      </c>
      <c r="M1057" s="399" t="n">
        <v>1e-07</v>
      </c>
      <c r="N1057" s="154" t="n">
        <v>1</v>
      </c>
      <c r="O1057" s="155">
        <f>IF(AND(B1057="",C1057=""),"",IF(G1057&gt;=20000,0.05,IF(G1057&gt;=10000,0.1,IF(G1057&gt;=5000,0.2,IF(G1057&gt;=1000,0.3,IF(G1057&gt;=0,0.4,{0}))))))</f>
        <v/>
      </c>
      <c r="P1057" s="400">
        <f>IF(AND(B1057="",C1057=""),"",ROUND(H1057*O1057,2))</f>
        <v/>
      </c>
      <c r="Q1057" s="401" t="inlineStr">
        <is>
          <t>元件</t>
        </is>
      </c>
      <c r="R1057" s="168" t="inlineStr"/>
      <c r="S1057" s="168" t="inlineStr"/>
      <c r="T1057" s="168" t="inlineStr">
        <is>
          <t>0</t>
        </is>
      </c>
      <c r="U1057" s="168" t="inlineStr">
        <is>
          <t>C16F32D160</t>
        </is>
      </c>
      <c r="V1057" s="402" t="n"/>
      <c r="W1057" s="402" t="n"/>
      <c r="X1057" s="170" t="inlineStr">
        <is>
          <t>NSX630N Mic2.3 630A 3P3D F→NSX630F MIC2.3 630 3P F→NSX630F MIC 2.3 630 3P F</t>
        </is>
      </c>
    </row>
    <row r="1058" s="308">
      <c r="A1058" s="64">
        <f>ROW()-ROW(A$1055)</f>
        <v/>
      </c>
      <c r="B1058" s="22" t="inlineStr">
        <is>
          <t>电流互感器</t>
        </is>
      </c>
      <c r="C1058" s="22" t="inlineStr">
        <is>
          <t>SD-0.66-80II-V 1000/5A</t>
        </is>
      </c>
      <c r="D1058" s="22" t="inlineStr">
        <is>
          <t>桑迪</t>
        </is>
      </c>
      <c r="E1058" s="23" t="inlineStr">
        <is>
          <t>只</t>
        </is>
      </c>
      <c r="F1058" s="23" t="n">
        <v>6</v>
      </c>
      <c r="G1058" s="349">
        <f>IF(AND(B1058="",C1058=""),"",ROUND(M1058*L1058*N1058,2))</f>
        <v/>
      </c>
      <c r="H1058" s="396">
        <f>IF(AND(B1058="",C1058=""),"",ROUND(F1058*G1058,2))</f>
        <v/>
      </c>
      <c r="I1058" s="219" t="inlineStr"/>
      <c r="J1058" s="397">
        <f>IF(AND(B1058="",C1058=""),"",ROUND(M1058*N1058,2))</f>
        <v/>
      </c>
      <c r="K1058" s="398">
        <f>IF(AND(B1058="",C1058=""),"",ROUND(J1058*F1058,2))</f>
        <v/>
      </c>
      <c r="L1058" s="200" t="n">
        <v>1</v>
      </c>
      <c r="M1058" s="399" t="n">
        <v>91.65000000000001</v>
      </c>
      <c r="N1058" s="154" t="n">
        <v>1</v>
      </c>
      <c r="O1058" s="155">
        <f>IF(AND(B1058="",C1058=""),"",IF(G1058&gt;=20000,0.05,IF(G1058&gt;=10000,0.1,IF(G1058&gt;=5000,0.2,IF(G1058&gt;=1000,0.3,IF(G1058&gt;=0,0.4,{0}))))))</f>
        <v/>
      </c>
      <c r="P1058" s="400">
        <f>IF(AND(B1058="",C1058=""),"",ROUND(H1058*O1058,2))</f>
        <v/>
      </c>
      <c r="Q1058" s="401" t="inlineStr">
        <is>
          <t>元件</t>
        </is>
      </c>
      <c r="R1058" s="168" t="inlineStr"/>
      <c r="S1058" s="168" t="inlineStr"/>
      <c r="T1058" s="168" t="inlineStr">
        <is>
          <t>0</t>
        </is>
      </c>
      <c r="U1058" s="168" t="inlineStr">
        <is>
          <t>710141426552500</t>
        </is>
      </c>
      <c r="V1058" s="402" t="n"/>
      <c r="W1058" s="402" t="n"/>
      <c r="X1058" s="170" t="inlineStr">
        <is>
          <t>SD→SD-0.66-40II-C 400/5A→SD-0.66-30I 250/5A→SD-0.66-30I 150/5A→SD-0.66-60II-C 750/5A→SD-0.66-60II-C 600/5A→SD-0.66-30I 150/5A→SD-0.66-40II-C 400/5A→SD-0.66-100II-C 1600/5A</t>
        </is>
      </c>
    </row>
    <row r="1059" s="308">
      <c r="A1059" s="64">
        <f>ROW()-ROW(A$1055)</f>
        <v/>
      </c>
      <c r="B1059" s="22" t="inlineStr">
        <is>
          <t>电流互感器</t>
        </is>
      </c>
      <c r="C1059" s="22" t="inlineStr">
        <is>
          <t>SD-0.66-80II-V 1250/5A</t>
        </is>
      </c>
      <c r="D1059" s="22" t="inlineStr">
        <is>
          <t>桑迪</t>
        </is>
      </c>
      <c r="E1059" s="23" t="inlineStr">
        <is>
          <t>只</t>
        </is>
      </c>
      <c r="F1059" s="23" t="n">
        <v>3</v>
      </c>
      <c r="G1059" s="349">
        <f>IF(AND(B1059="",C1059=""),"",ROUND(M1059*L1059*N1059,2))</f>
        <v/>
      </c>
      <c r="H1059" s="396">
        <f>IF(AND(B1059="",C1059=""),"",ROUND(F1059*G1059,2))</f>
        <v/>
      </c>
      <c r="I1059" s="219" t="inlineStr"/>
      <c r="J1059" s="397">
        <f>IF(AND(B1059="",C1059=""),"",ROUND(M1059*N1059,2))</f>
        <v/>
      </c>
      <c r="K1059" s="398">
        <f>IF(AND(B1059="",C1059=""),"",ROUND(J1059*F1059,2))</f>
        <v/>
      </c>
      <c r="L1059" s="200" t="n">
        <v>1</v>
      </c>
      <c r="M1059" s="399" t="n">
        <v>115.7</v>
      </c>
      <c r="N1059" s="154" t="n">
        <v>1</v>
      </c>
      <c r="O1059" s="155">
        <f>IF(AND(B1059="",C1059=""),"",IF(G1059&gt;=20000,0.05,IF(G1059&gt;=10000,0.1,IF(G1059&gt;=5000,0.2,IF(G1059&gt;=1000,0.3,IF(G1059&gt;=0,0.4,{0}))))))</f>
        <v/>
      </c>
      <c r="P1059" s="400">
        <f>IF(AND(B1059="",C1059=""),"",ROUND(H1059*O1059,2))</f>
        <v/>
      </c>
      <c r="Q1059" s="401" t="inlineStr">
        <is>
          <t>元件</t>
        </is>
      </c>
      <c r="R1059" s="168" t="inlineStr"/>
      <c r="S1059" s="168" t="inlineStr"/>
      <c r="T1059" s="168" t="inlineStr">
        <is>
          <t>0</t>
        </is>
      </c>
      <c r="U1059" s="168" t="inlineStr">
        <is>
          <t>710141426552500</t>
        </is>
      </c>
      <c r="V1059" s="402" t="n"/>
      <c r="W1059" s="402" t="n"/>
      <c r="X1059" s="170" t="inlineStr">
        <is>
          <t>SD→SD-0.66-40II-C 400/5A→SD-0.66-30I 250/5A→SD-0.66-30I 150/5A→SD-0.66-60II-C 750/5A→SD-0.66-60II-C 600/5A→SD-0.66-30I 150/5A→SD-0.66-40II-C 400/5A→SD-0.66-100II-C 1600/5A→SD-0.66-80II-V 1000/5A</t>
        </is>
      </c>
    </row>
    <row r="1060" s="308">
      <c r="A1060" s="64">
        <f>ROW()-ROW(A$1055)</f>
        <v/>
      </c>
      <c r="B1060" s="112" t="inlineStr">
        <is>
          <t>多功能表</t>
        </is>
      </c>
      <c r="C1060" s="112" t="inlineStr">
        <is>
          <t>PM4101</t>
        </is>
      </c>
      <c r="D1060" s="112" t="inlineStr">
        <is>
          <t>甲供/施耐德电气</t>
        </is>
      </c>
      <c r="E1060" s="114" t="inlineStr">
        <is>
          <t>只</t>
        </is>
      </c>
      <c r="F1060" s="114" t="n">
        <v>3</v>
      </c>
      <c r="G1060" s="396">
        <f>IF(AND(B1060="",C1060=""),"",ROUND(M1060*L1060*N1060,2))</f>
        <v/>
      </c>
      <c r="H1060" s="349">
        <f>IF(AND(B1060="",C1060=""),"",ROUND(F1060*G1060,2))</f>
        <v/>
      </c>
      <c r="I1060" s="45" t="inlineStr"/>
      <c r="J1060" s="397">
        <f>IF(AND(B1060="",C1060=""),"",ROUND(M1060*N1060,2))</f>
        <v/>
      </c>
      <c r="K1060" s="398">
        <f>IF(AND(B1060="",C1060=""),"",ROUND(J1060*F1060,2))</f>
        <v/>
      </c>
      <c r="L1060" s="200" t="n">
        <v>1</v>
      </c>
      <c r="M1060" s="399" t="n">
        <v>1e-07</v>
      </c>
      <c r="N1060" s="154" t="n">
        <v>1</v>
      </c>
      <c r="O1060" s="155">
        <f>IF(AND(B1060="",C1060=""),"",IF(J1060&gt;=20000,0.05,IF(J1060&gt;=10000,0.1,IF(J1060&gt;=5000,0.2,IF(J1060&gt;=1000,0.3,IF(J1060&gt;=0,0.4,{0}))))))</f>
        <v/>
      </c>
      <c r="P1060" s="400">
        <f>IF(AND(B1060="",C1060=""),"",ROUND(H1060*O1060,2))</f>
        <v/>
      </c>
      <c r="Q1060" s="401" t="inlineStr">
        <is>
          <t>元件</t>
        </is>
      </c>
      <c r="R1060" s="168" t="inlineStr"/>
      <c r="S1060" s="168" t="inlineStr"/>
      <c r="T1060" s="168" t="inlineStr">
        <is>
          <t>0</t>
        </is>
      </c>
      <c r="U1060" s="168" t="inlineStr"/>
      <c r="V1060" s="402" t="n"/>
      <c r="W1060" s="402" t="n"/>
      <c r="X1060" s="170" t="inlineStr"/>
    </row>
    <row r="1061" customFormat="1" s="3">
      <c r="A1061" s="64">
        <f>ROW()-ROW(A$1055)</f>
        <v/>
      </c>
      <c r="B1061" s="22" t="inlineStr">
        <is>
          <t>指示灯</t>
        </is>
      </c>
      <c r="C1061" s="22" t="inlineStr">
        <is>
          <t>XB2BVM3LC</t>
        </is>
      </c>
      <c r="D1061" s="22" t="inlineStr">
        <is>
          <t>甲供/施耐德电气</t>
        </is>
      </c>
      <c r="E1061" s="23" t="inlineStr">
        <is>
          <t>只</t>
        </is>
      </c>
      <c r="F1061" s="23" t="n">
        <v>3</v>
      </c>
      <c r="G1061" s="349">
        <f>IF(AND(B1061="",C1061=""),"",ROUND(M1061*L1061*N1061,2))</f>
        <v/>
      </c>
      <c r="H1061" s="353">
        <f>IF(AND(B1061="",C1061=""),"",ROUND(F1061*G1061,2))</f>
        <v/>
      </c>
      <c r="I1061" s="180" t="inlineStr"/>
      <c r="J1061" s="392">
        <f>IF(AND(B1061="",C1061=""),"",ROUND(M1061*N1061,2))</f>
        <v/>
      </c>
      <c r="K1061" s="393">
        <f>IF(AND(B1061="",C1061=""),"",ROUND(J1061*F1061,2))</f>
        <v/>
      </c>
      <c r="L1061" s="141" t="n">
        <v>1</v>
      </c>
      <c r="M1061" s="394" t="n">
        <v>1e-07</v>
      </c>
      <c r="N1061" s="220" t="n">
        <v>1</v>
      </c>
      <c r="O1061" s="221">
        <f>IF(AND(B1061="",C1061=""),"",IF(G1061&gt;=20000,0.05,IF(G1061&gt;=10000,0.1,IF(G1061&gt;=5000,0.2,IF(G1061&gt;=1000,0.3,IF(G1061&gt;=0,0.4,{0}))))))</f>
        <v/>
      </c>
      <c r="P1061" s="419">
        <f>IF(AND(B1061="",C1061=""),"",ROUND(H1061*O1061,2))</f>
        <v/>
      </c>
      <c r="Q1061" s="420" t="inlineStr">
        <is>
          <t>元件</t>
        </is>
      </c>
      <c r="R1061" s="231" t="inlineStr"/>
      <c r="S1061" s="231" t="inlineStr"/>
      <c r="T1061" s="231" t="inlineStr">
        <is>
          <t>0</t>
        </is>
      </c>
      <c r="U1061" s="231" t="inlineStr">
        <is>
          <t>XB2BVM3LC</t>
        </is>
      </c>
      <c r="V1061" s="421" t="n"/>
      <c r="W1061" s="421" t="n"/>
      <c r="X1061" s="166" t="inlineStr">
        <is>
          <t>XA2EVM3LC</t>
        </is>
      </c>
    </row>
    <row r="1062" customFormat="1" s="3">
      <c r="A1062" s="64">
        <f>ROW()-ROW(A$1055)</f>
        <v/>
      </c>
      <c r="B1062" s="22" t="inlineStr">
        <is>
          <t>指示灯</t>
        </is>
      </c>
      <c r="C1062" s="22" t="inlineStr">
        <is>
          <t>XB2BVM4LC</t>
        </is>
      </c>
      <c r="D1062" s="22" t="inlineStr">
        <is>
          <t>甲供/施耐德电气</t>
        </is>
      </c>
      <c r="E1062" s="23" t="inlineStr">
        <is>
          <t>只</t>
        </is>
      </c>
      <c r="F1062" s="23" t="n">
        <v>3</v>
      </c>
      <c r="G1062" s="349">
        <f>IF(AND(B1062="",C1062=""),"",ROUND(M1062*L1062*N1062,2))</f>
        <v/>
      </c>
      <c r="H1062" s="353">
        <f>IF(AND(B1062="",C1062=""),"",ROUND(F1062*G1062,2))</f>
        <v/>
      </c>
      <c r="I1062" s="180" t="inlineStr"/>
      <c r="J1062" s="392">
        <f>IF(AND(B1062="",C1062=""),"",ROUND(M1062*N1062,2))</f>
        <v/>
      </c>
      <c r="K1062" s="393">
        <f>IF(AND(B1062="",C1062=""),"",ROUND(J1062*F1062,2))</f>
        <v/>
      </c>
      <c r="L1062" s="141" t="n">
        <v>1</v>
      </c>
      <c r="M1062" s="394" t="n">
        <v>1e-07</v>
      </c>
      <c r="N1062" s="220" t="n">
        <v>1</v>
      </c>
      <c r="O1062" s="221">
        <f>IF(AND(B1062="",C1062=""),"",IF(G1062&gt;=20000,0.05,IF(G1062&gt;=10000,0.1,IF(G1062&gt;=5000,0.2,IF(G1062&gt;=1000,0.3,IF(G1062&gt;=0,0.4,{0}))))))</f>
        <v/>
      </c>
      <c r="P1062" s="419">
        <f>IF(AND(B1062="",C1062=""),"",ROUND(H1062*O1062,2))</f>
        <v/>
      </c>
      <c r="Q1062" s="420" t="inlineStr">
        <is>
          <t>元件</t>
        </is>
      </c>
      <c r="R1062" s="231" t="inlineStr"/>
      <c r="S1062" s="231" t="inlineStr"/>
      <c r="T1062" s="231" t="inlineStr">
        <is>
          <t>0</t>
        </is>
      </c>
      <c r="U1062" s="231" t="inlineStr">
        <is>
          <t>XB2BVM4LC</t>
        </is>
      </c>
      <c r="V1062" s="421" t="n"/>
      <c r="W1062" s="421" t="n"/>
      <c r="X1062" s="166" t="inlineStr">
        <is>
          <t>XA2EVM4LC</t>
        </is>
      </c>
    </row>
    <row r="1063" s="308">
      <c r="A1063" s="64">
        <f>ROW()-ROW(A$1055)</f>
        <v/>
      </c>
      <c r="B1063" s="112" t="inlineStr">
        <is>
          <t>指示灯</t>
        </is>
      </c>
      <c r="C1063" s="112" t="inlineStr">
        <is>
          <t>XB2BVM5LC</t>
        </is>
      </c>
      <c r="D1063" s="112" t="inlineStr">
        <is>
          <t>甲供/施耐德电气</t>
        </is>
      </c>
      <c r="E1063" s="114" t="inlineStr">
        <is>
          <t>只</t>
        </is>
      </c>
      <c r="F1063" s="114" t="n">
        <v>3</v>
      </c>
      <c r="G1063" s="396">
        <f>IF(AND(B1063="",C1063=""),"",ROUND(M1063*L1063*N1063,2))</f>
        <v/>
      </c>
      <c r="H1063" s="396">
        <f>IF(AND(B1063="",C1063=""),"",ROUND(F1063*G1063,2))</f>
        <v/>
      </c>
      <c r="I1063" s="150" t="inlineStr"/>
      <c r="J1063" s="397">
        <f>IF(AND(B1063="",C1063=""),"",ROUND(M1063*N1063,2))</f>
        <v/>
      </c>
      <c r="K1063" s="398">
        <f>IF(AND(B1063="",C1063=""),"",ROUND(J1063*F1063,2))</f>
        <v/>
      </c>
      <c r="L1063" s="141" t="n">
        <v>1</v>
      </c>
      <c r="M1063" s="399" t="n">
        <v>1e-07</v>
      </c>
      <c r="N1063" s="154" t="n">
        <v>1</v>
      </c>
      <c r="O1063" s="155">
        <f>IF(AND(B1063="",C1063=""),"",IF(G1063&gt;=20000,0.05,IF(G1063&gt;=10000,0.1,IF(G1063&gt;=5000,0.2,IF(G1063&gt;=1000,0.3,IF(G1063&gt;=0,0.4,{0}))))))</f>
        <v/>
      </c>
      <c r="P1063" s="400">
        <f>IF(AND(B1063="",C1063=""),"",ROUND(H1063*O1063,2))</f>
        <v/>
      </c>
      <c r="Q1063" s="401" t="inlineStr">
        <is>
          <t>元件</t>
        </is>
      </c>
      <c r="R1063" s="168" t="inlineStr"/>
      <c r="S1063" s="168" t="inlineStr"/>
      <c r="T1063" s="168" t="inlineStr">
        <is>
          <t>0</t>
        </is>
      </c>
      <c r="U1063" s="168" t="inlineStr">
        <is>
          <t>XA2EVM5LC</t>
        </is>
      </c>
      <c r="V1063" s="402" t="n"/>
      <c r="W1063" s="402" t="n"/>
      <c r="X1063" s="170" t="inlineStr"/>
    </row>
    <row r="1064" s="308">
      <c r="A1064" s="64">
        <f>ROW()-ROW(A$1055)</f>
        <v/>
      </c>
      <c r="B1064" s="112" t="inlineStr">
        <is>
          <t>按钮</t>
        </is>
      </c>
      <c r="C1064" s="112" t="inlineStr">
        <is>
          <t>XB2BA31C</t>
        </is>
      </c>
      <c r="D1064" s="112" t="inlineStr">
        <is>
          <t>甲供/施耐德电气</t>
        </is>
      </c>
      <c r="E1064" s="114" t="inlineStr">
        <is>
          <t>只</t>
        </is>
      </c>
      <c r="F1064" s="114" t="n">
        <v>3</v>
      </c>
      <c r="G1064" s="396">
        <f>IF(AND(B1064="",C1064=""),"",ROUND(M1064*L1064*N1064,2))</f>
        <v/>
      </c>
      <c r="H1064" s="396">
        <f>IF(AND(B1064="",C1064=""),"",ROUND(F1064*G1064,2))</f>
        <v/>
      </c>
      <c r="I1064" s="150" t="inlineStr"/>
      <c r="J1064" s="397">
        <f>IF(AND(B1064="",C1064=""),"",ROUND(M1064*N1064,2))</f>
        <v/>
      </c>
      <c r="K1064" s="398">
        <f>IF(AND(B1064="",C1064=""),"",ROUND(J1064*F1064,2))</f>
        <v/>
      </c>
      <c r="L1064" s="141" t="n">
        <v>1</v>
      </c>
      <c r="M1064" s="399" t="n">
        <v>1e-07</v>
      </c>
      <c r="N1064" s="154" t="n">
        <v>1</v>
      </c>
      <c r="O1064" s="155">
        <f>IF(AND(B1064="",C1064=""),"",IF(G1064&gt;=20000,0.05,IF(G1064&gt;=10000,0.1,IF(G1064&gt;=5000,0.2,IF(G1064&gt;=1000,0.3,IF(G1064&gt;=0,0.4,{0}))))))</f>
        <v/>
      </c>
      <c r="P1064" s="400">
        <f>IF(AND(B1064="",C1064=""),"",ROUND(H1064*O1064,2))</f>
        <v/>
      </c>
      <c r="Q1064" s="401" t="inlineStr">
        <is>
          <t>元件</t>
        </is>
      </c>
      <c r="R1064" s="168" t="inlineStr"/>
      <c r="S1064" s="168" t="inlineStr"/>
      <c r="T1064" s="168" t="inlineStr">
        <is>
          <t>0</t>
        </is>
      </c>
      <c r="U1064" s="168" t="inlineStr">
        <is>
          <t>XB2BA31C</t>
        </is>
      </c>
      <c r="V1064" s="402" t="n"/>
      <c r="W1064" s="402" t="n"/>
      <c r="X1064" s="170" t="inlineStr">
        <is>
          <t>XA2EA31</t>
        </is>
      </c>
    </row>
    <row r="1065" s="308">
      <c r="A1065" s="64">
        <f>ROW()-ROW(A$1055)</f>
        <v/>
      </c>
      <c r="B1065" s="22" t="inlineStr">
        <is>
          <t>按钮</t>
        </is>
      </c>
      <c r="C1065" s="22" t="inlineStr">
        <is>
          <t>XB2BA42C</t>
        </is>
      </c>
      <c r="D1065" s="22" t="inlineStr">
        <is>
          <t>甲供/施耐德电气</t>
        </is>
      </c>
      <c r="E1065" s="23" t="inlineStr">
        <is>
          <t>只</t>
        </is>
      </c>
      <c r="F1065" s="23" t="n">
        <v>3</v>
      </c>
      <c r="G1065" s="349">
        <f>IF(AND(B1065="",C1065=""),"",ROUND(M1065*L1065*N1065,2))</f>
        <v/>
      </c>
      <c r="H1065" s="396">
        <f>IF(AND(B1065="",C1065=""),"",ROUND(F1065*G1065,2))</f>
        <v/>
      </c>
      <c r="I1065" s="150" t="inlineStr"/>
      <c r="J1065" s="397">
        <f>IF(AND(B1065="",C1065=""),"",ROUND(M1065*N1065,2))</f>
        <v/>
      </c>
      <c r="K1065" s="398">
        <f>IF(AND(B1065="",C1065=""),"",ROUND(J1065*F1065,2))</f>
        <v/>
      </c>
      <c r="L1065" s="141" t="n">
        <v>1</v>
      </c>
      <c r="M1065" s="399" t="n">
        <v>1e-07</v>
      </c>
      <c r="N1065" s="154" t="n">
        <v>1</v>
      </c>
      <c r="O1065" s="155">
        <f>IF(AND(B1065="",C1065=""),"",IF(G1065&gt;=20000,0.05,IF(G1065&gt;=10000,0.1,IF(G1065&gt;=5000,0.2,IF(G1065&gt;=1000,0.3,IF(G1065&gt;=0,0.4,{0}))))))</f>
        <v/>
      </c>
      <c r="P1065" s="400">
        <f>IF(AND(B1065="",C1065=""),"",ROUND(H1065*O1065,2))</f>
        <v/>
      </c>
      <c r="Q1065" s="401" t="inlineStr">
        <is>
          <t>元件</t>
        </is>
      </c>
      <c r="R1065" s="168" t="inlineStr"/>
      <c r="S1065" s="168" t="inlineStr"/>
      <c r="T1065" s="168" t="inlineStr">
        <is>
          <t>0</t>
        </is>
      </c>
      <c r="U1065" s="168" t="inlineStr">
        <is>
          <t>XB2BA42C</t>
        </is>
      </c>
      <c r="V1065" s="402" t="n"/>
      <c r="W1065" s="402" t="n"/>
      <c r="X1065" s="170" t="inlineStr">
        <is>
          <t>XA2EA41</t>
        </is>
      </c>
    </row>
    <row r="1066" s="308">
      <c r="A1066" s="64">
        <f>ROW()-ROW(A$1055)</f>
        <v/>
      </c>
      <c r="B1066" s="112" t="inlineStr">
        <is>
          <t>温湿度控制器</t>
        </is>
      </c>
      <c r="C1066" s="112" t="inlineStr">
        <is>
          <t>ATH48G-11</t>
        </is>
      </c>
      <c r="D1066" s="22" t="inlineStr">
        <is>
          <t>杭州安廷</t>
        </is>
      </c>
      <c r="E1066" s="23" t="inlineStr">
        <is>
          <t>套</t>
        </is>
      </c>
      <c r="F1066" s="23" t="n">
        <v>1</v>
      </c>
      <c r="G1066" s="349">
        <f>IF(AND(B1066="",C1066=""),"",ROUND(M1066*L1066*N1066,2))</f>
        <v/>
      </c>
      <c r="H1066" s="396">
        <f>IF(AND(B1066="",C1066=""),"",ROUND(F1066*G1066,2))</f>
        <v/>
      </c>
      <c r="I1066" s="150" t="inlineStr"/>
      <c r="J1066" s="397">
        <f>IF(AND(B1066="",C1066=""),"",ROUND(M1066*N1066,2))</f>
        <v/>
      </c>
      <c r="K1066" s="398">
        <f>IF(AND(B1066="",C1066=""),"",ROUND(J1066*F1066,2))</f>
        <v/>
      </c>
      <c r="L1066" s="141" t="n">
        <v>1</v>
      </c>
      <c r="M1066" s="399" t="n">
        <v>450</v>
      </c>
      <c r="N1066" s="154" t="n">
        <v>1</v>
      </c>
      <c r="O1066" s="155">
        <f>IF(AND(B1066="",C1066=""),"",IF(G1066&gt;=20000,0.05,IF(G1066&gt;=10000,0.1,IF(G1066&gt;=5000,0.2,IF(G1066&gt;=1000,0.3,IF(G1066&gt;=0,0.4,{0}))))))</f>
        <v/>
      </c>
      <c r="P1066" s="400">
        <f>IF(AND(B1066="",C1066=""),"",ROUND(H1066*O1066,2))</f>
        <v/>
      </c>
      <c r="Q1066" s="401" t="inlineStr">
        <is>
          <t>元件</t>
        </is>
      </c>
      <c r="R1066" s="168" t="inlineStr"/>
      <c r="S1066" s="168" t="inlineStr"/>
      <c r="T1066" s="168" t="inlineStr">
        <is>
          <t>0</t>
        </is>
      </c>
      <c r="U1066" s="168" t="inlineStr"/>
      <c r="V1066" s="402" t="n"/>
      <c r="W1066" s="402" t="n"/>
      <c r="X1066" s="170" t="inlineStr"/>
    </row>
    <row r="1067" s="308">
      <c r="A1067" s="64">
        <f>ROW()-ROW(A$1055)</f>
        <v/>
      </c>
      <c r="B1067" s="22" t="inlineStr">
        <is>
          <t>中间继电器</t>
        </is>
      </c>
      <c r="C1067" s="22" t="inlineStr">
        <is>
          <t>RXM4AB2P7+RXZE2S114M+RXZ400</t>
        </is>
      </c>
      <c r="D1067" s="22" t="inlineStr">
        <is>
          <t>甲供/施耐德电气</t>
        </is>
      </c>
      <c r="E1067" s="23" t="inlineStr">
        <is>
          <t>只</t>
        </is>
      </c>
      <c r="F1067" s="23" t="n">
        <v>6</v>
      </c>
      <c r="G1067" s="349">
        <f>IF(AND(B1067="",C1067=""),"",ROUND(M1067*L1067*N1067,2))</f>
        <v/>
      </c>
      <c r="H1067" s="349">
        <f>IF(AND(B1067="",C1067=""),"",ROUND(F1067*G1067,2))</f>
        <v/>
      </c>
      <c r="I1067" s="45" t="inlineStr"/>
      <c r="J1067" s="397">
        <f>IF(AND(B1067="",C1067=""),"",ROUND(M1067*N1067,2))</f>
        <v/>
      </c>
      <c r="K1067" s="398">
        <f>IF(AND(B1067="",C1067=""),"",ROUND(J1067*F1067,2))</f>
        <v/>
      </c>
      <c r="L1067" s="141" t="n">
        <v>1</v>
      </c>
      <c r="M1067" s="399" t="n">
        <v>1e-07</v>
      </c>
      <c r="N1067" s="154" t="n">
        <v>1</v>
      </c>
      <c r="O1067" s="155">
        <f>IF(AND(B1067="",C1067=""),"",IF(G1067&gt;=20000,0.05,IF(G1067&gt;=10000,0.1,IF(G1067&gt;=5000,0.2,IF(G1067&gt;=1000,0.3,IF(G1067&gt;=0,0.4,{0}))))))</f>
        <v/>
      </c>
      <c r="P1067" s="400">
        <f>IF(AND(B1067="",C1067=""),"",ROUND(H1067*O1067,2))</f>
        <v/>
      </c>
      <c r="Q1067" s="401" t="inlineStr">
        <is>
          <t>元件</t>
        </is>
      </c>
      <c r="R1067" s="168" t="inlineStr"/>
      <c r="S1067" s="168" t="inlineStr"/>
      <c r="T1067" s="168" t="inlineStr">
        <is>
          <t>0</t>
        </is>
      </c>
      <c r="U1067" s="168" t="inlineStr">
        <is>
          <t>RXM4AB2P7+RXZE2S114M+RXZ400</t>
        </is>
      </c>
      <c r="V1067" s="402" t="n"/>
      <c r="W1067" s="402" t="n"/>
      <c r="X1067" s="170" t="inlineStr">
        <is>
          <t>REL-IR-BL/L-230AC/4X21，含底座→RXM4AB2P7+RXZE2S114M+RXZ400→REL-IR-BL/L-230AC/4X21，含底座</t>
        </is>
      </c>
    </row>
    <row r="1068" customFormat="1" s="3">
      <c r="A1068" s="64">
        <f>ROW()-ROW(A$1055)</f>
        <v/>
      </c>
      <c r="B1068" s="22" t="inlineStr">
        <is>
          <t>带熔丝端子</t>
        </is>
      </c>
      <c r="C1068" s="22" t="inlineStr">
        <is>
          <t>UK 5-HESI</t>
        </is>
      </c>
      <c r="D1068" s="22" t="inlineStr">
        <is>
          <t>菲尼克斯</t>
        </is>
      </c>
      <c r="E1068" s="23" t="inlineStr">
        <is>
          <t>只</t>
        </is>
      </c>
      <c r="F1068" s="23" t="n">
        <v>12</v>
      </c>
      <c r="G1068" s="349">
        <f>IF(AND(B1068="",C1068=""),"",ROUND(M1068*L1068*N1068,2))</f>
        <v/>
      </c>
      <c r="H1068" s="349">
        <f>IF(AND(B1068="",C1068=""),"",ROUND(F1068*G1068,2))</f>
        <v/>
      </c>
      <c r="I1068" s="45" t="inlineStr"/>
      <c r="J1068" s="392">
        <f>IF(AND(B1068="",C1068=""),"",ROUND(M1068*N1068,2))</f>
        <v/>
      </c>
      <c r="K1068" s="393">
        <f>IF(AND(B1068="",C1068=""),"",ROUND(J1068*F1068,2))</f>
        <v/>
      </c>
      <c r="L1068" s="141" t="n">
        <v>1</v>
      </c>
      <c r="M1068" s="394" t="n">
        <v>7</v>
      </c>
      <c r="N1068" s="220" t="n">
        <v>1</v>
      </c>
      <c r="O1068" s="221">
        <f>IF(AND(B1068="",C1068=""),"",IF(G1068&gt;=20000,0.05,IF(G1068&gt;=10000,0.1,IF(G1068&gt;=5000,0.2,IF(G1068&gt;=1000,0.3,IF(G1068&gt;=0,0.4,{0}))))))</f>
        <v/>
      </c>
      <c r="P1068" s="419">
        <f>IF(AND(B1068="",C1068=""),"",ROUND(H1068*O1068,2))</f>
        <v/>
      </c>
      <c r="Q1068" s="420" t="inlineStr">
        <is>
          <t>元件</t>
        </is>
      </c>
      <c r="R1068" s="231" t="inlineStr"/>
      <c r="S1068" s="231" t="inlineStr"/>
      <c r="T1068" s="231" t="inlineStr">
        <is>
          <t>0</t>
        </is>
      </c>
      <c r="U1068" s="231" t="inlineStr">
        <is>
          <t>True</t>
        </is>
      </c>
      <c r="V1068" s="421" t="n"/>
      <c r="W1068" s="421" t="n"/>
      <c r="X1068" s="166" t="inlineStr"/>
    </row>
    <row r="1069" s="308">
      <c r="A1069" s="64">
        <f>ROW()-ROW(A$1055)</f>
        <v/>
      </c>
      <c r="B1069" s="22" t="inlineStr">
        <is>
          <t>水平母排</t>
        </is>
      </c>
      <c r="C1069" s="22" t="inlineStr">
        <is>
          <t>TMY 4*(4*150*5)+2*50*5</t>
        </is>
      </c>
      <c r="D1069" s="22" t="inlineStr">
        <is>
          <t>国产优质</t>
        </is>
      </c>
      <c r="E1069" s="23" t="inlineStr">
        <is>
          <t>米</t>
        </is>
      </c>
      <c r="F1069" s="23" t="n">
        <v>0.7</v>
      </c>
      <c r="G1069" s="349">
        <f>IF(AND(B1069="",C1069=""),"",ROUND(M1069*L1069*N1069,2))</f>
        <v/>
      </c>
      <c r="H1069" s="349">
        <f>IF(AND(B1069="",C1069=""),"",ROUND(F1069*G1069,2))</f>
        <v/>
      </c>
      <c r="I1069" s="45" t="inlineStr"/>
      <c r="J1069" s="397">
        <f>IF(AND(B1069="",C1069=""),"",ROUND(M1069*N1069,2))</f>
        <v/>
      </c>
      <c r="K1069" s="398">
        <f>IF(AND(B1069="",C1069=""),"",ROUND(J1069*F1069,2))</f>
        <v/>
      </c>
      <c r="L1069" s="200" t="n">
        <v>1</v>
      </c>
      <c r="M1069" s="399" t="n">
        <v>12026.68125</v>
      </c>
      <c r="N1069" s="154">
        <f>(6317.932*1*1+2684.8*1*1)/9002.732</f>
        <v/>
      </c>
      <c r="O1069" s="155">
        <f>IF(AND(B1069="",C1069=""),"",IF(J1069&gt;=20000,0.05,IF(J1069&gt;=10000,0.1,IF(J1069&gt;=5000,0.2,IF(J1069&gt;=1000,0.3,IF(J1069&gt;=0,0.4,{0}))))))</f>
        <v/>
      </c>
      <c r="P1069" s="400">
        <f>IF(AND(B1069="",C1069=""),"",ROUND(H1069*O1069,2))</f>
        <v/>
      </c>
      <c r="Q1069" s="401" t="inlineStr">
        <is>
          <t>母排</t>
        </is>
      </c>
      <c r="R1069" s="168" t="inlineStr"/>
      <c r="S1069" s="168" t="inlineStr"/>
      <c r="T1069" s="168" t="inlineStr">
        <is>
          <t>0</t>
        </is>
      </c>
      <c r="U1069" s="168" t="inlineStr"/>
      <c r="V1069" s="402" t="n"/>
      <c r="W1069" s="402" t="n"/>
      <c r="X1069" s="170" t="inlineStr"/>
    </row>
    <row r="1070" customFormat="1" s="5">
      <c r="A1070" s="64">
        <f>ROW()-ROW(A$1055)</f>
        <v/>
      </c>
      <c r="B1070" s="22" t="inlineStr">
        <is>
          <t>桩头排</t>
        </is>
      </c>
      <c r="C1070" s="22" t="inlineStr">
        <is>
          <t>TMY 3*80*5</t>
        </is>
      </c>
      <c r="D1070" s="22" t="inlineStr">
        <is>
          <t>国产优质</t>
        </is>
      </c>
      <c r="E1070" s="23" t="inlineStr">
        <is>
          <t>米</t>
        </is>
      </c>
      <c r="F1070" s="23" t="n">
        <v>3</v>
      </c>
      <c r="G1070" s="349">
        <f>IF(AND(B1070="",C1070=""),"",ROUND(M1070*L1070*N1070,2))</f>
        <v/>
      </c>
      <c r="H1070" s="349">
        <f>IF(AND(B1070="",C1070=""),"",ROUND(F1070*G1070,2))</f>
        <v/>
      </c>
      <c r="I1070" s="45" t="inlineStr"/>
      <c r="J1070" s="422">
        <f>IF(AND(B1070="",C1070=""),"",ROUND(M1070*N1070,2))</f>
        <v/>
      </c>
      <c r="K1070" s="423">
        <f>IF(AND(B1070="",C1070=""),"",ROUND(J1070*F1070,2))</f>
        <v/>
      </c>
      <c r="L1070" s="225" t="n">
        <v>1</v>
      </c>
      <c r="M1070" s="424" t="n">
        <v>1154.5614</v>
      </c>
      <c r="N1070" s="227" t="n">
        <v>1</v>
      </c>
      <c r="O1070" s="228">
        <f>IF(AND(B1070="",C1070=""),"",IF(G1070&gt;=20000,0.05,IF(G1070&gt;=10000,0.1,IF(G1070&gt;=5000,0.2,IF(G1070&gt;=1000,0.3,IF(G1070&gt;=0,0.4,{0}))))))</f>
        <v/>
      </c>
      <c r="P1070" s="425">
        <f>IF(AND(B1070="",C1070=""),"",ROUND(H1070*O1070,2))</f>
        <v/>
      </c>
      <c r="Q1070" s="426" t="inlineStr">
        <is>
          <t>母排</t>
        </is>
      </c>
      <c r="R1070" s="234" t="inlineStr"/>
      <c r="S1070" s="234" t="inlineStr"/>
      <c r="T1070" s="235" t="inlineStr">
        <is>
          <t>0</t>
        </is>
      </c>
      <c r="U1070" s="235" t="inlineStr"/>
      <c r="V1070" s="427" t="n"/>
      <c r="W1070" s="427" t="n"/>
      <c r="X1070" s="237" t="inlineStr">
        <is>
          <t>TMY 2*30*5→TMY 30*8</t>
        </is>
      </c>
    </row>
    <row r="1071" customFormat="1" s="5">
      <c r="A1071" s="64">
        <f>ROW()-ROW(A$1055)</f>
        <v/>
      </c>
      <c r="B1071" s="22" t="inlineStr">
        <is>
          <t>桩头排</t>
        </is>
      </c>
      <c r="C1071" s="22" t="inlineStr">
        <is>
          <t>TMY 3*2*80*5</t>
        </is>
      </c>
      <c r="D1071" s="22" t="inlineStr">
        <is>
          <t>国产优质</t>
        </is>
      </c>
      <c r="E1071" s="23" t="inlineStr">
        <is>
          <t>米</t>
        </is>
      </c>
      <c r="F1071" s="23" t="n">
        <v>1.5</v>
      </c>
      <c r="G1071" s="349">
        <f>IF(AND(B1071="",C1071=""),"",ROUND(M1071*L1071*N1071,2))</f>
        <v/>
      </c>
      <c r="H1071" s="349">
        <f>IF(AND(B1071="",C1071=""),"",ROUND(F1071*G1071,2))</f>
        <v/>
      </c>
      <c r="I1071" s="45" t="inlineStr"/>
      <c r="J1071" s="422">
        <f>IF(AND(B1071="",C1071=""),"",ROUND(M1071*N1071,2))</f>
        <v/>
      </c>
      <c r="K1071" s="423">
        <f>IF(AND(B1071="",C1071=""),"",ROUND(J1071*F1071,2))</f>
        <v/>
      </c>
      <c r="L1071" s="225" t="n">
        <v>1</v>
      </c>
      <c r="M1071" s="424" t="n">
        <v>2309.1228</v>
      </c>
      <c r="N1071" s="227" t="n">
        <v>1</v>
      </c>
      <c r="O1071" s="228">
        <f>IF(AND(B1071="",C1071=""),"",IF(G1071&gt;=20000,0.05,IF(G1071&gt;=10000,0.1,IF(G1071&gt;=5000,0.2,IF(G1071&gt;=1000,0.3,IF(G1071&gt;=0,0.4,{0}))))))</f>
        <v/>
      </c>
      <c r="P1071" s="425">
        <f>IF(AND(B1071="",C1071=""),"",ROUND(H1071*O1071,2))</f>
        <v/>
      </c>
      <c r="Q1071" s="426" t="inlineStr">
        <is>
          <t>母排</t>
        </is>
      </c>
      <c r="R1071" s="234" t="inlineStr"/>
      <c r="S1071" s="234" t="inlineStr"/>
      <c r="T1071" s="235" t="inlineStr">
        <is>
          <t>0</t>
        </is>
      </c>
      <c r="U1071" s="235" t="inlineStr"/>
      <c r="V1071" s="427" t="n"/>
      <c r="W1071" s="427" t="n"/>
      <c r="X1071" s="237" t="inlineStr">
        <is>
          <t>TMY 2*30*5→TMY 30*8</t>
        </is>
      </c>
    </row>
    <row r="1072" customFormat="1" s="5">
      <c r="A1072" s="64">
        <f>ROW()-ROW(A$1055)</f>
        <v/>
      </c>
      <c r="B1072" s="22" t="inlineStr">
        <is>
          <t>垂直排</t>
        </is>
      </c>
      <c r="C1072" s="22" t="inlineStr">
        <is>
          <t>TMY 3*2*80*5</t>
        </is>
      </c>
      <c r="D1072" s="22" t="inlineStr">
        <is>
          <t>国产优质</t>
        </is>
      </c>
      <c r="E1072" s="23" t="inlineStr">
        <is>
          <t>米</t>
        </is>
      </c>
      <c r="F1072" s="23" t="n">
        <v>2</v>
      </c>
      <c r="G1072" s="349">
        <f>IF(AND(B1072="",C1072=""),"",ROUND(M1072*L1072*N1072,2))</f>
        <v/>
      </c>
      <c r="H1072" s="349">
        <f>IF(AND(B1072="",C1072=""),"",ROUND(F1072*G1072,2))</f>
        <v/>
      </c>
      <c r="I1072" s="45" t="inlineStr"/>
      <c r="J1072" s="422">
        <f>IF(AND(B1072="",C1072=""),"",ROUND(M1072*N1072,2))</f>
        <v/>
      </c>
      <c r="K1072" s="423">
        <f>IF(AND(B1072="",C1072=""),"",ROUND(J1072*F1072,2))</f>
        <v/>
      </c>
      <c r="L1072" s="225" t="n">
        <v>1</v>
      </c>
      <c r="M1072" s="424" t="n">
        <v>2309.1228</v>
      </c>
      <c r="N1072" s="227" t="n">
        <v>1</v>
      </c>
      <c r="O1072" s="228">
        <f>IF(AND(B1072="",C1072=""),"",IF(G1072&gt;=20000,0.05,IF(G1072&gt;=10000,0.1,IF(G1072&gt;=5000,0.2,IF(G1072&gt;=1000,0.3,IF(G1072&gt;=0,0.4,{0}))))))</f>
        <v/>
      </c>
      <c r="P1072" s="425">
        <f>IF(AND(B1072="",C1072=""),"",ROUND(H1072*O1072,2))</f>
        <v/>
      </c>
      <c r="Q1072" s="426" t="inlineStr">
        <is>
          <t>母排</t>
        </is>
      </c>
      <c r="R1072" s="234" t="inlineStr"/>
      <c r="S1072" s="234" t="inlineStr"/>
      <c r="T1072" s="235" t="inlineStr">
        <is>
          <t>0</t>
        </is>
      </c>
      <c r="U1072" s="235" t="inlineStr"/>
      <c r="V1072" s="427" t="n"/>
      <c r="W1072" s="427" t="n"/>
      <c r="X1072" s="237" t="inlineStr">
        <is>
          <t>TMY 2*30*5→TMY 30*8</t>
        </is>
      </c>
    </row>
    <row r="1073" customFormat="1" s="5">
      <c r="A1073" s="64">
        <f>ROW()-ROW(A$1055)</f>
        <v/>
      </c>
      <c r="B1073" s="22" t="inlineStr">
        <is>
          <t>N排</t>
        </is>
      </c>
      <c r="C1073" s="22" t="inlineStr">
        <is>
          <t>TMY 2*80*10</t>
        </is>
      </c>
      <c r="D1073" s="22" t="inlineStr">
        <is>
          <t>国产优质</t>
        </is>
      </c>
      <c r="E1073" s="23" t="inlineStr">
        <is>
          <t>米</t>
        </is>
      </c>
      <c r="F1073" s="23" t="n">
        <v>3</v>
      </c>
      <c r="G1073" s="349">
        <f>IF(AND(B1073="",C1073=""),"",ROUND(M1073*L1073*N1073,2))</f>
        <v/>
      </c>
      <c r="H1073" s="349">
        <f>IF(AND(B1073="",C1073=""),"",ROUND(F1073*G1073,2))</f>
        <v/>
      </c>
      <c r="I1073" s="45" t="inlineStr"/>
      <c r="J1073" s="422">
        <f>IF(AND(B1073="",C1073=""),"",ROUND(M1073*N1073,2))</f>
        <v/>
      </c>
      <c r="K1073" s="423">
        <f>IF(AND(B1073="",C1073=""),"",ROUND(J1073*F1073,2))</f>
        <v/>
      </c>
      <c r="L1073" s="225" t="n">
        <v>1</v>
      </c>
      <c r="M1073" s="424" t="n">
        <v>1539.4152</v>
      </c>
      <c r="N1073" s="227" t="n">
        <v>1</v>
      </c>
      <c r="O1073" s="228">
        <f>IF(AND(B1073="",C1073=""),"",IF(G1073&gt;=20000,0.05,IF(G1073&gt;=10000,0.1,IF(G1073&gt;=5000,0.2,IF(G1073&gt;=1000,0.3,IF(G1073&gt;=0,0.4,{0}))))))</f>
        <v/>
      </c>
      <c r="P1073" s="425">
        <f>IF(AND(B1073="",C1073=""),"",ROUND(H1073*O1073,2))</f>
        <v/>
      </c>
      <c r="Q1073" s="426" t="inlineStr">
        <is>
          <t>母排</t>
        </is>
      </c>
      <c r="R1073" s="234" t="inlineStr"/>
      <c r="S1073" s="234" t="inlineStr"/>
      <c r="T1073" s="235" t="inlineStr">
        <is>
          <t>0</t>
        </is>
      </c>
      <c r="U1073" s="235" t="inlineStr"/>
      <c r="V1073" s="427" t="n"/>
      <c r="W1073" s="427" t="n"/>
      <c r="X1073" s="237" t="inlineStr">
        <is>
          <t>TMY 2*30*5→TMY 30*8</t>
        </is>
      </c>
    </row>
    <row r="1074" customFormat="1" s="5">
      <c r="A1074" s="64">
        <f>ROW()-ROW(A$1055)</f>
        <v/>
      </c>
      <c r="B1074" s="22" t="inlineStr">
        <is>
          <t>PE排</t>
        </is>
      </c>
      <c r="C1074" s="22" t="inlineStr">
        <is>
          <t>TMY 2*50*5</t>
        </is>
      </c>
      <c r="D1074" s="22" t="inlineStr">
        <is>
          <t>国产优质</t>
        </is>
      </c>
      <c r="E1074" s="23" t="inlineStr">
        <is>
          <t>米</t>
        </is>
      </c>
      <c r="F1074" s="23" t="n">
        <v>2</v>
      </c>
      <c r="G1074" s="349">
        <f>IF(AND(B1074="",C1074=""),"",ROUND(M1074*L1074*N1074,2))</f>
        <v/>
      </c>
      <c r="H1074" s="349">
        <f>IF(AND(B1074="",C1074=""),"",ROUND(F1074*G1074,2))</f>
        <v/>
      </c>
      <c r="I1074" s="45" t="inlineStr"/>
      <c r="J1074" s="422">
        <f>IF(AND(B1074="",C1074=""),"",ROUND(M1074*N1074,2))</f>
        <v/>
      </c>
      <c r="K1074" s="423">
        <f>IF(AND(B1074="",C1074=""),"",ROUND(J1074*F1074,2))</f>
        <v/>
      </c>
      <c r="L1074" s="225" t="n">
        <v>1</v>
      </c>
      <c r="M1074" s="424" t="n">
        <v>481.06725</v>
      </c>
      <c r="N1074" s="227" t="n">
        <v>1</v>
      </c>
      <c r="O1074" s="228">
        <f>IF(AND(B1074="",C1074=""),"",IF(G1074&gt;=20000,0.05,IF(G1074&gt;=10000,0.1,IF(G1074&gt;=5000,0.2,IF(G1074&gt;=1000,0.3,IF(G1074&gt;=0,0.4,{0}))))))</f>
        <v/>
      </c>
      <c r="P1074" s="425">
        <f>IF(AND(B1074="",C1074=""),"",ROUND(H1074*O1074,2))</f>
        <v/>
      </c>
      <c r="Q1074" s="426" t="inlineStr">
        <is>
          <t>母排</t>
        </is>
      </c>
      <c r="R1074" s="234" t="inlineStr"/>
      <c r="S1074" s="234" t="inlineStr"/>
      <c r="T1074" s="235" t="inlineStr">
        <is>
          <t>0</t>
        </is>
      </c>
      <c r="U1074" s="235" t="inlineStr"/>
      <c r="V1074" s="427" t="n"/>
      <c r="W1074" s="427" t="n"/>
      <c r="X1074" s="237" t="inlineStr">
        <is>
          <t>TMY 2*30*5→TMY 30*8</t>
        </is>
      </c>
    </row>
    <row r="1075" s="308">
      <c r="A1075" s="64">
        <f>ROW()-ROW(A$1055)</f>
        <v/>
      </c>
      <c r="B1075" s="112" t="inlineStr">
        <is>
          <t>辅料</t>
        </is>
      </c>
      <c r="C1075" s="112" t="inlineStr"/>
      <c r="D1075" s="112" t="inlineStr"/>
      <c r="E1075" s="114" t="inlineStr">
        <is>
          <t>套</t>
        </is>
      </c>
      <c r="F1075" s="114" t="n">
        <v>1</v>
      </c>
      <c r="G1075" s="396">
        <f>IF(AND(B1075="",C1075=""),"",ROUND(M1075*L1075*N1075,2))</f>
        <v/>
      </c>
      <c r="H1075" s="396">
        <f>IF(AND(B1075="",C1075=""),"",ROUND(F1075*G1075,2))</f>
        <v/>
      </c>
      <c r="I1075" s="219" t="inlineStr"/>
      <c r="J1075" s="397">
        <f>IF(AND(B1075="",C1075=""),"",ROUND(M1075*N1075,2))</f>
        <v/>
      </c>
      <c r="K1075" s="398">
        <f>IF(AND(B1075="",C1075=""),"",ROUND(J1075*F1075,2))</f>
        <v/>
      </c>
      <c r="L1075" s="200" t="n">
        <v>1</v>
      </c>
      <c r="M1075" s="399" t="n">
        <v>1050</v>
      </c>
      <c r="N1075" s="154" t="n">
        <v>1</v>
      </c>
      <c r="O1075" s="155">
        <f>IF(AND(B1075="",C1075=""),"",IF(G1075&gt;=20000,0.05,IF(G1075&gt;=10000,0.1,IF(G1075&gt;=5000,0.2,IF(G1075&gt;=1000,0.3,IF(G1075&gt;=0,0.4,{0}))))))</f>
        <v/>
      </c>
      <c r="P1075" s="400">
        <f>IF(AND(B1075="",C1075=""),"",ROUND(H1075*O1075,2))</f>
        <v/>
      </c>
      <c r="Q1075" s="401" t="inlineStr">
        <is>
          <t>辅料</t>
        </is>
      </c>
      <c r="R1075" s="168" t="inlineStr"/>
      <c r="S1075" s="168" t="inlineStr"/>
      <c r="T1075" s="168" t="inlineStr">
        <is>
          <t>0</t>
        </is>
      </c>
      <c r="U1075" s="168" t="inlineStr"/>
      <c r="V1075" s="402" t="n"/>
      <c r="W1075" s="402" t="n"/>
      <c r="X1075" s="170" t="inlineStr"/>
    </row>
    <row r="1076" s="308">
      <c r="A1076" s="64">
        <f>ROW()-ROW(A$1055)</f>
        <v/>
      </c>
      <c r="B1076" s="112" t="inlineStr">
        <is>
          <t>柜体Blokset</t>
        </is>
      </c>
      <c r="C1076" s="22" t="inlineStr">
        <is>
          <t>600W*1200D*2200H</t>
        </is>
      </c>
      <c r="D1076" s="112" t="inlineStr">
        <is>
          <t>清科</t>
        </is>
      </c>
      <c r="E1076" s="114" t="inlineStr">
        <is>
          <t>台</t>
        </is>
      </c>
      <c r="F1076" s="114" t="n">
        <v>1</v>
      </c>
      <c r="G1076" s="396">
        <f>IF(AND(B1076="",C1076=""),"",ROUND(M1076*L1076*N1076,2))</f>
        <v/>
      </c>
      <c r="H1076" s="396">
        <f>IF(AND(B1076="",C1076=""),"",ROUND(F1076*G1076,2))</f>
        <v/>
      </c>
      <c r="I1076" s="219" t="inlineStr"/>
      <c r="J1076" s="397">
        <f>IF(AND(B1076="",C1076=""),"",ROUND(M1076*N1076,2))</f>
        <v/>
      </c>
      <c r="K1076" s="398">
        <f>IF(AND(B1076="",C1076=""),"",ROUND(J1076*F1076,2))</f>
        <v/>
      </c>
      <c r="L1076" s="200" t="n">
        <v>1</v>
      </c>
      <c r="M1076" s="399" t="n">
        <v>5056</v>
      </c>
      <c r="N1076" s="154" t="n">
        <v>1</v>
      </c>
      <c r="O1076" s="155">
        <f>IF(AND(B1076="",C1076=""),"",IF(G1076&gt;=20000,0.05,IF(G1076&gt;=10000,0.1,IF(G1076&gt;=5000,0.2,IF(G1076&gt;=1000,0.3,IF(G1076&gt;=0,0.4,{0}))))))</f>
        <v/>
      </c>
      <c r="P1076" s="400">
        <f>IF(AND(B1076="",C1076=""),"",ROUND(H1076*O1076,2))</f>
        <v/>
      </c>
      <c r="Q1076" s="401" t="inlineStr">
        <is>
          <t>箱体</t>
        </is>
      </c>
      <c r="R1076" s="168" t="inlineStr"/>
      <c r="S1076" s="168" t="inlineStr"/>
      <c r="T1076" s="168" t="inlineStr">
        <is>
          <t>0</t>
        </is>
      </c>
      <c r="U1076" s="168" t="inlineStr"/>
      <c r="V1076" s="402" t="n"/>
      <c r="W1076" s="402" t="n"/>
      <c r="X1076" s="170" t="inlineStr">
        <is>
          <t>BlokSeT</t>
        </is>
      </c>
    </row>
    <row r="1077" s="308">
      <c r="A1077" s="64">
        <f>ROW()-ROW(A$1055)</f>
        <v/>
      </c>
      <c r="B1077" s="22" t="inlineStr"/>
      <c r="C1077" s="22" t="inlineStr"/>
      <c r="D1077" s="22" t="inlineStr"/>
      <c r="E1077" s="23" t="n"/>
      <c r="F1077" s="23">
        <f>IF(AND(B1077="",C1077=""),"",1)</f>
        <v/>
      </c>
      <c r="G1077" s="349">
        <f>IF(AND(B1077="",C1077=""),"",ROUND(M1077*L1077*N1077,2))</f>
        <v/>
      </c>
      <c r="H1077" s="349">
        <f>IF(AND(B1077="",C1077=""),"",ROUND(F1077*G1077,2))</f>
        <v/>
      </c>
      <c r="I1077" s="45" t="inlineStr"/>
      <c r="J1077" s="397">
        <f>IF(AND(B1077="",C1077=""),"",ROUND(M1077*N1077,2))</f>
        <v/>
      </c>
      <c r="K1077" s="398">
        <f>IF(AND(B1077="",C1077=""),"",ROUND(J1077*F1077,2))</f>
        <v/>
      </c>
      <c r="L1077" s="200">
        <f>IF(AND(B1077="",C1077=""),"",1)</f>
        <v/>
      </c>
      <c r="M1077" s="399" t="n"/>
      <c r="N1077" s="154">
        <f>IF(AND(B1077="",C1077=""),"",1)</f>
        <v/>
      </c>
      <c r="O1077" s="155">
        <f>IF(AND(B1077="",C1077=""),"",IF(J1077&gt;=20000,0.05,IF(J1077&gt;=10000,0.1,IF(J1077&gt;=5000,0.2,IF(J1077&gt;=1000,0.3,IF(J1077&gt;=0,0.4,{0}))))))</f>
        <v/>
      </c>
      <c r="P1077" s="400">
        <f>IF(AND(B1077="",C1077=""),"",ROUND(H1077*O1077,2))</f>
        <v/>
      </c>
      <c r="Q1077" s="401">
        <f>IF(AND(B1077="",C1077=""),"","元件")</f>
        <v/>
      </c>
      <c r="R1077" s="168" t="inlineStr"/>
      <c r="S1077" s="168" t="inlineStr"/>
      <c r="T1077" s="168" t="inlineStr"/>
      <c r="U1077" s="168" t="inlineStr"/>
      <c r="V1077" s="402" t="n"/>
      <c r="W1077" s="402" t="n"/>
      <c r="X1077" s="170" t="inlineStr"/>
    </row>
    <row r="1078" s="308">
      <c r="A1078" s="64">
        <f>ROW()-ROW(A$1055)</f>
        <v/>
      </c>
      <c r="B1078" s="171" t="inlineStr">
        <is>
          <t>小计</t>
        </is>
      </c>
      <c r="C1078" s="172" t="n"/>
      <c r="D1078" s="204" t="n"/>
      <c r="E1078" s="114" t="n"/>
      <c r="F1078" s="114" t="n"/>
      <c r="G1078" s="396" t="n"/>
      <c r="H1078" s="396">
        <f>ROUND(SUM(H1055:INDEX(H:H,ROW()-1)),2)</f>
        <v/>
      </c>
      <c r="I1078" s="45" t="inlineStr"/>
      <c r="J1078" s="397" t="n"/>
      <c r="K1078" s="398">
        <f>ROUND(SUM(K1055:INDEX(K:K,ROW()-1)),2)</f>
        <v/>
      </c>
      <c r="L1078" s="200" t="n"/>
      <c r="M1078" s="399" t="n"/>
      <c r="N1078" s="154" t="n"/>
      <c r="O1078" s="155" t="n"/>
      <c r="P1078" s="400" t="n"/>
      <c r="Q1078" s="401" t="n"/>
      <c r="R1078" s="168" t="inlineStr"/>
      <c r="S1078" s="168" t="inlineStr"/>
      <c r="T1078" s="168" t="inlineStr"/>
      <c r="U1078" s="168" t="inlineStr"/>
      <c r="V1078" s="402">
        <f>ROUND(SUMPRODUCT(F1055:INDEX(F:F,ROW()-1),V1055:INDEX(V:V,ROW()-1)),2)</f>
        <v/>
      </c>
      <c r="W1078" s="402">
        <f>ROUND(SUMPRODUCT(F1055:INDEX(F:F,ROW()-1),W1055:INDEX(W:W,ROW()-1)),2)</f>
        <v/>
      </c>
      <c r="X1078" s="170" t="inlineStr"/>
    </row>
    <row r="1079" s="308">
      <c r="A1079" s="64">
        <f>ROW()-ROW(A$1055)</f>
        <v/>
      </c>
      <c r="B1079" s="171" t="inlineStr">
        <is>
          <t>综合费(人工、管理、税金、利润等)</t>
        </is>
      </c>
      <c r="C1079" s="172" t="n"/>
      <c r="D1079" s="204" t="n"/>
      <c r="E1079" s="114" t="n"/>
      <c r="F1079" s="114" t="n"/>
      <c r="G1079" s="396" t="n"/>
      <c r="H1079" s="396">
        <f>2500</f>
        <v/>
      </c>
      <c r="I1079" s="45" t="inlineStr"/>
      <c r="J1079" s="397" t="n"/>
      <c r="K1079" s="398" t="n"/>
      <c r="L1079" s="200" t="n"/>
      <c r="M1079" s="399" t="n"/>
      <c r="N1079" s="154" t="n"/>
      <c r="O1079" s="155" t="n"/>
      <c r="P1079" s="400" t="n"/>
      <c r="Q1079" s="401" t="inlineStr">
        <is>
          <t>费用</t>
        </is>
      </c>
      <c r="R1079" s="168" t="inlineStr"/>
      <c r="S1079" s="168" t="inlineStr"/>
      <c r="T1079" s="168" t="inlineStr"/>
      <c r="U1079" s="168" t="inlineStr"/>
      <c r="V1079" s="402" t="n"/>
      <c r="W1079" s="402" t="n"/>
      <c r="X1079" s="170" t="inlineStr"/>
    </row>
    <row r="1080" s="308">
      <c r="A1080" s="64">
        <f>ROW()-ROW(A$1055)</f>
        <v/>
      </c>
      <c r="B1080" s="204" t="inlineStr">
        <is>
          <t>单台合计</t>
        </is>
      </c>
      <c r="C1080" s="172" t="n"/>
      <c r="D1080" s="204" t="n"/>
      <c r="E1080" s="114" t="n"/>
      <c r="F1080" s="114" t="n"/>
      <c r="G1080" s="396" t="n"/>
      <c r="H1080" s="396">
        <f>ROUND(SUM(H1078:H1079),2)</f>
        <v/>
      </c>
      <c r="I1080" s="181" t="n"/>
      <c r="J1080" s="397" t="n"/>
      <c r="K1080" s="398">
        <f>ROUND(SUM(K1078:K1079),2)</f>
        <v/>
      </c>
      <c r="L1080" s="209" t="n"/>
      <c r="M1080" s="399" t="n"/>
      <c r="N1080" s="210" t="n"/>
      <c r="O1080" s="211" t="n"/>
      <c r="P1080" s="400" t="n"/>
      <c r="Q1080" s="401" t="n"/>
      <c r="R1080" s="168" t="inlineStr"/>
      <c r="S1080" s="168" t="inlineStr"/>
      <c r="T1080" s="168" t="inlineStr"/>
      <c r="U1080" s="168" t="inlineStr"/>
      <c r="V1080" s="402" t="n"/>
      <c r="W1080" s="402" t="n"/>
      <c r="X1080" s="170" t="inlineStr"/>
    </row>
    <row r="1081" s="308">
      <c r="A1081" s="173" t="inlineStr">
        <is>
          <t>总计</t>
        </is>
      </c>
      <c r="B1081" s="205" t="n"/>
      <c r="C1081" s="175" t="n"/>
      <c r="D1081" s="206" t="n"/>
      <c r="E1081" s="206" t="inlineStr">
        <is>
          <t>台</t>
        </is>
      </c>
      <c r="F1081" s="206" t="n">
        <v>1</v>
      </c>
      <c r="G1081" s="414">
        <f>ROUND(H1080,2)</f>
        <v/>
      </c>
      <c r="H1081" s="414">
        <f>ROUND(F1081*G1081,2)</f>
        <v/>
      </c>
      <c r="I1081" s="185" t="n"/>
      <c r="J1081" s="415" t="n"/>
      <c r="K1081" s="416">
        <f>ROUND(K1080*F1081,2)</f>
        <v/>
      </c>
      <c r="L1081" s="214" t="n"/>
      <c r="M1081" s="417" t="n"/>
      <c r="N1081" s="216" t="n"/>
      <c r="O1081" s="217" t="n"/>
      <c r="P1081" s="418" t="n"/>
      <c r="Q1081" s="401" t="n"/>
      <c r="R1081" s="168" t="inlineStr"/>
      <c r="S1081" s="168" t="inlineStr"/>
      <c r="T1081" s="168" t="inlineStr"/>
      <c r="U1081" s="168" t="inlineStr"/>
      <c r="V1081" s="402" t="n"/>
      <c r="W1081" s="402" t="n"/>
      <c r="X1081" s="170" t="inlineStr"/>
    </row>
    <row r="1082" customFormat="1" s="4">
      <c r="A1082" s="6" t="n"/>
      <c r="B1082" s="195" t="inlineStr"/>
      <c r="C1082" s="195" t="inlineStr"/>
      <c r="D1082" s="195" t="inlineStr"/>
      <c r="Q1082" s="159" t="n"/>
      <c r="R1082" s="159" t="n"/>
      <c r="S1082" s="159" t="n"/>
      <c r="T1082" s="159" t="n"/>
      <c r="U1082" s="159" t="n"/>
      <c r="X1082" s="195" t="inlineStr"/>
    </row>
    <row r="1083" customFormat="1" s="4">
      <c r="A1083" s="6" t="n"/>
      <c r="B1083" s="195" t="inlineStr"/>
      <c r="C1083" s="195" t="inlineStr"/>
      <c r="D1083" s="195" t="inlineStr"/>
      <c r="Q1083" s="159" t="n"/>
      <c r="R1083" s="159" t="n"/>
      <c r="S1083" s="159" t="n"/>
      <c r="T1083" s="159" t="n"/>
      <c r="U1083" s="159" t="n"/>
      <c r="X1083" s="195" t="inlineStr"/>
    </row>
    <row r="1084" s="308">
      <c r="A1084" s="208">
        <f>CONCATENATE("报价人：",项目信息!$B$8)</f>
        <v/>
      </c>
      <c r="B1084" s="208" t="n"/>
      <c r="C1084" s="4" t="n"/>
      <c r="D1084" s="4" t="n"/>
      <c r="E1084" s="4" t="n"/>
      <c r="F1084" s="4" t="n"/>
      <c r="G1084" s="4" t="n"/>
      <c r="H1084" s="178">
        <f>项目信息!$B$9</f>
        <v/>
      </c>
      <c r="Q1084" s="159" t="n"/>
      <c r="R1084" s="159" t="n"/>
      <c r="S1084" s="159" t="n"/>
      <c r="T1084" s="159" t="n"/>
      <c r="U1084" s="159" t="n"/>
      <c r="X1084" s="203" t="inlineStr"/>
    </row>
    <row r="1085" s="308">
      <c r="A1085" s="8">
        <f>T(项目信息!$B$22)</f>
        <v/>
      </c>
      <c r="Q1085" s="159" t="n"/>
      <c r="R1085" s="159" t="n"/>
      <c r="S1085" s="159" t="n"/>
      <c r="T1085" s="159" t="n"/>
      <c r="U1085" s="159" t="n"/>
    </row>
    <row r="1086" s="308">
      <c r="A1086" s="9">
        <f>T(项目信息!$B$23)</f>
        <v/>
      </c>
      <c r="Q1086" s="159" t="n"/>
      <c r="R1086" s="159" t="n"/>
      <c r="S1086" s="159" t="n"/>
      <c r="T1086" s="159" t="n"/>
      <c r="U1086" s="159" t="n"/>
    </row>
    <row r="1087" s="308">
      <c r="A1087" s="97" t="inlineStr">
        <is>
          <t>成套产品报价明细表</t>
        </is>
      </c>
      <c r="B1087" s="378" t="n"/>
      <c r="C1087" s="378" t="n"/>
      <c r="D1087" s="378" t="n"/>
      <c r="E1087" s="378" t="n"/>
      <c r="F1087" s="378" t="n"/>
      <c r="G1087" s="378" t="n"/>
      <c r="H1087" s="378" t="n"/>
      <c r="I1087" s="378" t="n"/>
      <c r="Q1087" s="159" t="n"/>
      <c r="R1087" s="159" t="n"/>
      <c r="S1087" s="159" t="n"/>
      <c r="T1087" s="159" t="n"/>
      <c r="U1087" s="159" t="n"/>
    </row>
    <row r="1088" customFormat="1" s="4">
      <c r="A1088" s="98" t="inlineStr">
        <is>
          <t>柜号:</t>
        </is>
      </c>
      <c r="B1088" s="99" t="inlineStr">
        <is>
          <t>BAN6-03</t>
        </is>
      </c>
      <c r="C1088" s="100" t="inlineStr">
        <is>
          <t>型号:</t>
        </is>
      </c>
      <c r="D1088" s="99" t="inlineStr">
        <is>
          <t>BlokSeT</t>
        </is>
      </c>
      <c r="E1088" s="379" t="n"/>
      <c r="F1088" s="101" t="inlineStr">
        <is>
          <t>名称:</t>
        </is>
      </c>
      <c r="G1088" s="99" t="inlineStr">
        <is>
          <t>馈线柜</t>
        </is>
      </c>
      <c r="H1088" s="379" t="n"/>
      <c r="I1088" s="408" t="inlineStr"/>
      <c r="J1088" s="194" t="inlineStr">
        <is>
          <t>箱柜尺寸:</t>
        </is>
      </c>
      <c r="K1088" s="195" t="inlineStr">
        <is>
          <t>600W*1200D*2200H</t>
        </is>
      </c>
      <c r="L1088" s="194" t="inlineStr">
        <is>
          <t>类别:</t>
        </is>
      </c>
      <c r="M1088" s="195" t="inlineStr">
        <is>
          <t>低压固定柜</t>
        </is>
      </c>
      <c r="N1088" s="409" t="inlineStr"/>
      <c r="Q1088" s="159" t="n"/>
      <c r="R1088" s="159" t="n"/>
      <c r="S1088" s="159" t="n"/>
      <c r="T1088" s="159" t="n"/>
      <c r="U1088" s="159" t="n"/>
    </row>
    <row r="1089" ht="20.1" customHeight="1" s="308">
      <c r="A1089" s="102" t="inlineStr">
        <is>
          <t>序号</t>
        </is>
      </c>
      <c r="B1089" s="103" t="inlineStr">
        <is>
          <t>元件名称</t>
        </is>
      </c>
      <c r="C1089" s="103" t="inlineStr">
        <is>
          <t>型号规格</t>
        </is>
      </c>
      <c r="D1089" s="104" t="inlineStr">
        <is>
          <t>生产厂家</t>
        </is>
      </c>
      <c r="E1089" s="105" t="inlineStr">
        <is>
          <t>单位</t>
        </is>
      </c>
      <c r="F1089" s="105" t="inlineStr">
        <is>
          <t>数量</t>
        </is>
      </c>
      <c r="G1089" s="382" t="inlineStr">
        <is>
          <t>单   价</t>
        </is>
      </c>
      <c r="H1089" s="383" t="inlineStr">
        <is>
          <t>总   价</t>
        </is>
      </c>
      <c r="I1089" s="134" t="inlineStr">
        <is>
          <t>备注</t>
        </is>
      </c>
      <c r="J1089" s="384" t="inlineStr">
        <is>
          <t>成本单价</t>
        </is>
      </c>
      <c r="K1089" s="384" t="inlineStr">
        <is>
          <t>成本总价</t>
        </is>
      </c>
      <c r="L1089" s="136" t="inlineStr">
        <is>
          <t>报出
系数</t>
        </is>
      </c>
      <c r="M1089" s="384" t="inlineStr">
        <is>
          <t>表价</t>
        </is>
      </c>
      <c r="N1089" s="136" t="inlineStr">
        <is>
          <t>折扣
系数</t>
        </is>
      </c>
      <c r="O1089" s="137" t="inlineStr">
        <is>
          <t>取费
系数</t>
        </is>
      </c>
      <c r="P1089" s="384" t="inlineStr">
        <is>
          <t>成套费</t>
        </is>
      </c>
      <c r="Q1089" s="161" t="inlineStr">
        <is>
          <t>类别</t>
        </is>
      </c>
      <c r="R1089" s="161" t="inlineStr">
        <is>
          <t>物料编码</t>
        </is>
      </c>
      <c r="S1089" s="161" t="inlineStr">
        <is>
          <t>产地</t>
        </is>
      </c>
      <c r="T1089" s="161" t="inlineStr">
        <is>
          <t>加工费</t>
        </is>
      </c>
      <c r="U1089" s="161" t="inlineStr">
        <is>
          <t>订货号</t>
        </is>
      </c>
      <c r="V1089" s="161" t="inlineStr">
        <is>
          <t>人工</t>
        </is>
      </c>
      <c r="W1089" s="161" t="inlineStr">
        <is>
          <t>辅料</t>
        </is>
      </c>
      <c r="X1089" s="203" t="inlineStr"/>
    </row>
    <row r="1090" s="308">
      <c r="A1090" s="64">
        <f>ROW()-ROW(A$1089)</f>
        <v/>
      </c>
      <c r="B1090" s="22" t="inlineStr">
        <is>
          <t>框架断路器</t>
        </is>
      </c>
      <c r="C1090" s="22" t="inlineStr">
        <is>
          <t>MT08 N1a SG 3P MIC5.0 E</t>
        </is>
      </c>
      <c r="D1090" s="22" t="inlineStr">
        <is>
          <t>甲供/施耐德电气</t>
        </is>
      </c>
      <c r="E1090" s="23" t="inlineStr">
        <is>
          <t>只</t>
        </is>
      </c>
      <c r="F1090" s="23" t="n">
        <v>3</v>
      </c>
      <c r="G1090" s="349">
        <f>IF(AND(B1090="",C1090=""),"",ROUND(M1090*L1090*N1090,2))</f>
        <v/>
      </c>
      <c r="H1090" s="349">
        <f>IF(AND(B1090="",C1090=""),"",ROUND(F1090*G1090,2))</f>
        <v/>
      </c>
      <c r="I1090" s="45" t="inlineStr"/>
      <c r="J1090" s="397">
        <f>IF(AND(B1090="",C1090=""),"",ROUND(M1090*N1090,2))</f>
        <v/>
      </c>
      <c r="K1090" s="398">
        <f>IF(AND(B1090="",C1090=""),"",ROUND(J1090*F1090,2))</f>
        <v/>
      </c>
      <c r="L1090" s="200" t="n">
        <v>1</v>
      </c>
      <c r="M1090" s="399" t="n">
        <v>1e-07</v>
      </c>
      <c r="N1090" s="154" t="n">
        <v>1</v>
      </c>
      <c r="O1090" s="155">
        <f>IF(AND(B1090="",C1090=""),"",IF(G1090&gt;=20000,0.05,IF(G1090&gt;=10000,0.1,IF(G1090&gt;=5000,0.2,IF(G1090&gt;=1000,0.3,IF(G1090&gt;=0,0.4,{0}))))))</f>
        <v/>
      </c>
      <c r="P1090" s="400">
        <f>IF(AND(B1090="",C1090=""),"",ROUND(H1090*O1090,2))</f>
        <v/>
      </c>
      <c r="Q1090" s="401" t="inlineStr">
        <is>
          <t>元件</t>
        </is>
      </c>
      <c r="R1090" s="168" t="inlineStr"/>
      <c r="S1090" s="168" t="inlineStr"/>
      <c r="T1090" s="168" t="inlineStr">
        <is>
          <t>0</t>
        </is>
      </c>
      <c r="U1090" s="168" t="inlineStr">
        <is>
          <t>C16F32D160</t>
        </is>
      </c>
      <c r="V1090" s="402" t="n"/>
      <c r="W1090" s="402" t="n"/>
      <c r="X1090" s="170" t="inlineStr">
        <is>
          <t>NSX630N Mic2.3 630A 3P3D F→NSX630F MIC2.3 630 3P F→NSX630F MIC 2.3 630 3P F</t>
        </is>
      </c>
    </row>
    <row r="1091" s="308">
      <c r="A1091" s="64">
        <f>ROW()-ROW(A$1089)</f>
        <v/>
      </c>
      <c r="B1091" s="22" t="inlineStr">
        <is>
          <t>电流互感器</t>
        </is>
      </c>
      <c r="C1091" s="22" t="inlineStr">
        <is>
          <t>SD-0.66-80II-V 800/5A</t>
        </is>
      </c>
      <c r="D1091" s="22" t="inlineStr">
        <is>
          <t>桑迪</t>
        </is>
      </c>
      <c r="E1091" s="23" t="inlineStr">
        <is>
          <t>只</t>
        </is>
      </c>
      <c r="F1091" s="23" t="n">
        <v>9</v>
      </c>
      <c r="G1091" s="349">
        <f>IF(AND(B1091="",C1091=""),"",ROUND(M1091*L1091*N1091,2))</f>
        <v/>
      </c>
      <c r="H1091" s="396">
        <f>IF(AND(B1091="",C1091=""),"",ROUND(F1091*G1091,2))</f>
        <v/>
      </c>
      <c r="I1091" s="219" t="inlineStr"/>
      <c r="J1091" s="397">
        <f>IF(AND(B1091="",C1091=""),"",ROUND(M1091*N1091,2))</f>
        <v/>
      </c>
      <c r="K1091" s="398">
        <f>IF(AND(B1091="",C1091=""),"",ROUND(J1091*F1091,2))</f>
        <v/>
      </c>
      <c r="L1091" s="200" t="n">
        <v>1</v>
      </c>
      <c r="M1091" s="399" t="n">
        <v>80.59999999999999</v>
      </c>
      <c r="N1091" s="154" t="n">
        <v>1</v>
      </c>
      <c r="O1091" s="155">
        <f>IF(AND(B1091="",C1091=""),"",IF(G1091&gt;=20000,0.05,IF(G1091&gt;=10000,0.1,IF(G1091&gt;=5000,0.2,IF(G1091&gt;=1000,0.3,IF(G1091&gt;=0,0.4,{0}))))))</f>
        <v/>
      </c>
      <c r="P1091" s="400">
        <f>IF(AND(B1091="",C1091=""),"",ROUND(H1091*O1091,2))</f>
        <v/>
      </c>
      <c r="Q1091" s="401" t="inlineStr">
        <is>
          <t>元件</t>
        </is>
      </c>
      <c r="R1091" s="168" t="inlineStr"/>
      <c r="S1091" s="168" t="inlineStr"/>
      <c r="T1091" s="168" t="inlineStr">
        <is>
          <t>0</t>
        </is>
      </c>
      <c r="U1091" s="168" t="inlineStr">
        <is>
          <t>710141426552500</t>
        </is>
      </c>
      <c r="V1091" s="402" t="n"/>
      <c r="W1091" s="402" t="n"/>
      <c r="X1091" s="170" t="inlineStr">
        <is>
          <t>SD→SD-0.66-40II-C 400/5A→SD-0.66-30I 250/5A→SD-0.66-30I 150/5A→SD-0.66-60II-C 750/5A→SD-0.66-60II-C 600/5A→SD-0.66-30I 150/5A→SD-0.66-40II-C 400/5A→SD-0.66-100II-C 1600/5A→SD-0.66-80II-V 1000/5A</t>
        </is>
      </c>
    </row>
    <row r="1092" s="308">
      <c r="A1092" s="64">
        <f>ROW()-ROW(A$1089)</f>
        <v/>
      </c>
      <c r="B1092" s="112" t="inlineStr">
        <is>
          <t>多功能表</t>
        </is>
      </c>
      <c r="C1092" s="112" t="inlineStr">
        <is>
          <t>PM4101</t>
        </is>
      </c>
      <c r="D1092" s="112" t="inlineStr">
        <is>
          <t>甲供/施耐德电气</t>
        </is>
      </c>
      <c r="E1092" s="114" t="inlineStr">
        <is>
          <t>只</t>
        </is>
      </c>
      <c r="F1092" s="114" t="n">
        <v>3</v>
      </c>
      <c r="G1092" s="396">
        <f>IF(AND(B1092="",C1092=""),"",ROUND(M1092*L1092*N1092,2))</f>
        <v/>
      </c>
      <c r="H1092" s="349">
        <f>IF(AND(B1092="",C1092=""),"",ROUND(F1092*G1092,2))</f>
        <v/>
      </c>
      <c r="I1092" s="45" t="inlineStr"/>
      <c r="J1092" s="397">
        <f>IF(AND(B1092="",C1092=""),"",ROUND(M1092*N1092,2))</f>
        <v/>
      </c>
      <c r="K1092" s="398">
        <f>IF(AND(B1092="",C1092=""),"",ROUND(J1092*F1092,2))</f>
        <v/>
      </c>
      <c r="L1092" s="200" t="n">
        <v>1</v>
      </c>
      <c r="M1092" s="399" t="n">
        <v>1e-07</v>
      </c>
      <c r="N1092" s="154" t="n">
        <v>1</v>
      </c>
      <c r="O1092" s="155">
        <f>IF(AND(B1092="",C1092=""),"",IF(J1092&gt;=20000,0.05,IF(J1092&gt;=10000,0.1,IF(J1092&gt;=5000,0.2,IF(J1092&gt;=1000,0.3,IF(J1092&gt;=0,0.4,{0}))))))</f>
        <v/>
      </c>
      <c r="P1092" s="400">
        <f>IF(AND(B1092="",C1092=""),"",ROUND(H1092*O1092,2))</f>
        <v/>
      </c>
      <c r="Q1092" s="401" t="inlineStr">
        <is>
          <t>元件</t>
        </is>
      </c>
      <c r="R1092" s="168" t="inlineStr"/>
      <c r="S1092" s="168" t="inlineStr"/>
      <c r="T1092" s="168" t="inlineStr">
        <is>
          <t>0</t>
        </is>
      </c>
      <c r="U1092" s="168" t="inlineStr"/>
      <c r="V1092" s="402" t="n"/>
      <c r="W1092" s="402" t="n"/>
      <c r="X1092" s="170" t="inlineStr"/>
    </row>
    <row r="1093" customFormat="1" s="3">
      <c r="A1093" s="64">
        <f>ROW()-ROW(A$1089)</f>
        <v/>
      </c>
      <c r="B1093" s="22" t="inlineStr">
        <is>
          <t>指示灯</t>
        </is>
      </c>
      <c r="C1093" s="22" t="inlineStr">
        <is>
          <t>XB2BVM3LC</t>
        </is>
      </c>
      <c r="D1093" s="22" t="inlineStr">
        <is>
          <t>甲供/施耐德电气</t>
        </is>
      </c>
      <c r="E1093" s="23" t="inlineStr">
        <is>
          <t>只</t>
        </is>
      </c>
      <c r="F1093" s="23" t="n">
        <v>3</v>
      </c>
      <c r="G1093" s="349">
        <f>IF(AND(B1093="",C1093=""),"",ROUND(M1093*L1093*N1093,2))</f>
        <v/>
      </c>
      <c r="H1093" s="353">
        <f>IF(AND(B1093="",C1093=""),"",ROUND(F1093*G1093,2))</f>
        <v/>
      </c>
      <c r="I1093" s="180" t="inlineStr"/>
      <c r="J1093" s="392">
        <f>IF(AND(B1093="",C1093=""),"",ROUND(M1093*N1093,2))</f>
        <v/>
      </c>
      <c r="K1093" s="393">
        <f>IF(AND(B1093="",C1093=""),"",ROUND(J1093*F1093,2))</f>
        <v/>
      </c>
      <c r="L1093" s="141" t="n">
        <v>1</v>
      </c>
      <c r="M1093" s="394" t="n">
        <v>1e-07</v>
      </c>
      <c r="N1093" s="220" t="n">
        <v>1</v>
      </c>
      <c r="O1093" s="221">
        <f>IF(AND(B1093="",C1093=""),"",IF(G1093&gt;=20000,0.05,IF(G1093&gt;=10000,0.1,IF(G1093&gt;=5000,0.2,IF(G1093&gt;=1000,0.3,IF(G1093&gt;=0,0.4,{0}))))))</f>
        <v/>
      </c>
      <c r="P1093" s="419">
        <f>IF(AND(B1093="",C1093=""),"",ROUND(H1093*O1093,2))</f>
        <v/>
      </c>
      <c r="Q1093" s="420" t="inlineStr">
        <is>
          <t>元件</t>
        </is>
      </c>
      <c r="R1093" s="231" t="inlineStr"/>
      <c r="S1093" s="231" t="inlineStr"/>
      <c r="T1093" s="231" t="inlineStr">
        <is>
          <t>0</t>
        </is>
      </c>
      <c r="U1093" s="231" t="inlineStr">
        <is>
          <t>XB2BVM3LC</t>
        </is>
      </c>
      <c r="V1093" s="421" t="n"/>
      <c r="W1093" s="421" t="n"/>
      <c r="X1093" s="166" t="inlineStr">
        <is>
          <t>XA2EVM3LC</t>
        </is>
      </c>
    </row>
    <row r="1094" customFormat="1" s="3">
      <c r="A1094" s="64">
        <f>ROW()-ROW(A$1089)</f>
        <v/>
      </c>
      <c r="B1094" s="22" t="inlineStr">
        <is>
          <t>指示灯</t>
        </is>
      </c>
      <c r="C1094" s="22" t="inlineStr">
        <is>
          <t>XB2BVM4LC</t>
        </is>
      </c>
      <c r="D1094" s="22" t="inlineStr">
        <is>
          <t>甲供/施耐德电气</t>
        </is>
      </c>
      <c r="E1094" s="23" t="inlineStr">
        <is>
          <t>只</t>
        </is>
      </c>
      <c r="F1094" s="23" t="n">
        <v>3</v>
      </c>
      <c r="G1094" s="349">
        <f>IF(AND(B1094="",C1094=""),"",ROUND(M1094*L1094*N1094,2))</f>
        <v/>
      </c>
      <c r="H1094" s="353">
        <f>IF(AND(B1094="",C1094=""),"",ROUND(F1094*G1094,2))</f>
        <v/>
      </c>
      <c r="I1094" s="180" t="inlineStr"/>
      <c r="J1094" s="392">
        <f>IF(AND(B1094="",C1094=""),"",ROUND(M1094*N1094,2))</f>
        <v/>
      </c>
      <c r="K1094" s="393">
        <f>IF(AND(B1094="",C1094=""),"",ROUND(J1094*F1094,2))</f>
        <v/>
      </c>
      <c r="L1094" s="141" t="n">
        <v>1</v>
      </c>
      <c r="M1094" s="394" t="n">
        <v>1e-07</v>
      </c>
      <c r="N1094" s="220" t="n">
        <v>1</v>
      </c>
      <c r="O1094" s="221">
        <f>IF(AND(B1094="",C1094=""),"",IF(G1094&gt;=20000,0.05,IF(G1094&gt;=10000,0.1,IF(G1094&gt;=5000,0.2,IF(G1094&gt;=1000,0.3,IF(G1094&gt;=0,0.4,{0}))))))</f>
        <v/>
      </c>
      <c r="P1094" s="419">
        <f>IF(AND(B1094="",C1094=""),"",ROUND(H1094*O1094,2))</f>
        <v/>
      </c>
      <c r="Q1094" s="420" t="inlineStr">
        <is>
          <t>元件</t>
        </is>
      </c>
      <c r="R1094" s="231" t="inlineStr"/>
      <c r="S1094" s="231" t="inlineStr"/>
      <c r="T1094" s="231" t="inlineStr">
        <is>
          <t>0</t>
        </is>
      </c>
      <c r="U1094" s="231" t="inlineStr">
        <is>
          <t>XB2BVM4LC</t>
        </is>
      </c>
      <c r="V1094" s="421" t="n"/>
      <c r="W1094" s="421" t="n"/>
      <c r="X1094" s="166" t="inlineStr">
        <is>
          <t>XA2EVM4LC</t>
        </is>
      </c>
    </row>
    <row r="1095" s="308">
      <c r="A1095" s="64">
        <f>ROW()-ROW(A$1089)</f>
        <v/>
      </c>
      <c r="B1095" s="112" t="inlineStr">
        <is>
          <t>指示灯</t>
        </is>
      </c>
      <c r="C1095" s="112" t="inlineStr">
        <is>
          <t>XB2BVM5LC</t>
        </is>
      </c>
      <c r="D1095" s="112" t="inlineStr">
        <is>
          <t>甲供/施耐德电气</t>
        </is>
      </c>
      <c r="E1095" s="114" t="inlineStr">
        <is>
          <t>只</t>
        </is>
      </c>
      <c r="F1095" s="114" t="n">
        <v>3</v>
      </c>
      <c r="G1095" s="396">
        <f>IF(AND(B1095="",C1095=""),"",ROUND(M1095*L1095*N1095,2))</f>
        <v/>
      </c>
      <c r="H1095" s="396">
        <f>IF(AND(B1095="",C1095=""),"",ROUND(F1095*G1095,2))</f>
        <v/>
      </c>
      <c r="I1095" s="150" t="inlineStr"/>
      <c r="J1095" s="397">
        <f>IF(AND(B1095="",C1095=""),"",ROUND(M1095*N1095,2))</f>
        <v/>
      </c>
      <c r="K1095" s="398">
        <f>IF(AND(B1095="",C1095=""),"",ROUND(J1095*F1095,2))</f>
        <v/>
      </c>
      <c r="L1095" s="141" t="n">
        <v>1</v>
      </c>
      <c r="M1095" s="399" t="n">
        <v>1e-07</v>
      </c>
      <c r="N1095" s="154" t="n">
        <v>1</v>
      </c>
      <c r="O1095" s="155">
        <f>IF(AND(B1095="",C1095=""),"",IF(G1095&gt;=20000,0.05,IF(G1095&gt;=10000,0.1,IF(G1095&gt;=5000,0.2,IF(G1095&gt;=1000,0.3,IF(G1095&gt;=0,0.4,{0}))))))</f>
        <v/>
      </c>
      <c r="P1095" s="400">
        <f>IF(AND(B1095="",C1095=""),"",ROUND(H1095*O1095,2))</f>
        <v/>
      </c>
      <c r="Q1095" s="401" t="inlineStr">
        <is>
          <t>元件</t>
        </is>
      </c>
      <c r="R1095" s="168" t="inlineStr"/>
      <c r="S1095" s="168" t="inlineStr"/>
      <c r="T1095" s="168" t="inlineStr">
        <is>
          <t>0</t>
        </is>
      </c>
      <c r="U1095" s="168" t="inlineStr">
        <is>
          <t>XA2EVM5LC</t>
        </is>
      </c>
      <c r="V1095" s="402" t="n"/>
      <c r="W1095" s="402" t="n"/>
      <c r="X1095" s="170" t="inlineStr"/>
    </row>
    <row r="1096" s="308">
      <c r="A1096" s="64">
        <f>ROW()-ROW(A$1089)</f>
        <v/>
      </c>
      <c r="B1096" s="112" t="inlineStr">
        <is>
          <t>按钮</t>
        </is>
      </c>
      <c r="C1096" s="112" t="inlineStr">
        <is>
          <t>XB2BA31C</t>
        </is>
      </c>
      <c r="D1096" s="112" t="inlineStr">
        <is>
          <t>甲供/施耐德电气</t>
        </is>
      </c>
      <c r="E1096" s="114" t="inlineStr">
        <is>
          <t>只</t>
        </is>
      </c>
      <c r="F1096" s="114" t="n">
        <v>3</v>
      </c>
      <c r="G1096" s="396">
        <f>IF(AND(B1096="",C1096=""),"",ROUND(M1096*L1096*N1096,2))</f>
        <v/>
      </c>
      <c r="H1096" s="396">
        <f>IF(AND(B1096="",C1096=""),"",ROUND(F1096*G1096,2))</f>
        <v/>
      </c>
      <c r="I1096" s="150" t="inlineStr"/>
      <c r="J1096" s="397">
        <f>IF(AND(B1096="",C1096=""),"",ROUND(M1096*N1096,2))</f>
        <v/>
      </c>
      <c r="K1096" s="398">
        <f>IF(AND(B1096="",C1096=""),"",ROUND(J1096*F1096,2))</f>
        <v/>
      </c>
      <c r="L1096" s="141" t="n">
        <v>1</v>
      </c>
      <c r="M1096" s="399" t="n">
        <v>1e-07</v>
      </c>
      <c r="N1096" s="154" t="n">
        <v>1</v>
      </c>
      <c r="O1096" s="155">
        <f>IF(AND(B1096="",C1096=""),"",IF(G1096&gt;=20000,0.05,IF(G1096&gt;=10000,0.1,IF(G1096&gt;=5000,0.2,IF(G1096&gt;=1000,0.3,IF(G1096&gt;=0,0.4,{0}))))))</f>
        <v/>
      </c>
      <c r="P1096" s="400">
        <f>IF(AND(B1096="",C1096=""),"",ROUND(H1096*O1096,2))</f>
        <v/>
      </c>
      <c r="Q1096" s="401" t="inlineStr">
        <is>
          <t>元件</t>
        </is>
      </c>
      <c r="R1096" s="168" t="inlineStr"/>
      <c r="S1096" s="168" t="inlineStr"/>
      <c r="T1096" s="168" t="inlineStr">
        <is>
          <t>0</t>
        </is>
      </c>
      <c r="U1096" s="168" t="inlineStr">
        <is>
          <t>XB2BA31C</t>
        </is>
      </c>
      <c r="V1096" s="402" t="n"/>
      <c r="W1096" s="402" t="n"/>
      <c r="X1096" s="170" t="inlineStr">
        <is>
          <t>XA2EA31</t>
        </is>
      </c>
    </row>
    <row r="1097" s="308">
      <c r="A1097" s="64">
        <f>ROW()-ROW(A$1089)</f>
        <v/>
      </c>
      <c r="B1097" s="22" t="inlineStr">
        <is>
          <t>按钮</t>
        </is>
      </c>
      <c r="C1097" s="22" t="inlineStr">
        <is>
          <t>XB2BA42C</t>
        </is>
      </c>
      <c r="D1097" s="22" t="inlineStr">
        <is>
          <t>甲供/施耐德电气</t>
        </is>
      </c>
      <c r="E1097" s="23" t="inlineStr">
        <is>
          <t>只</t>
        </is>
      </c>
      <c r="F1097" s="23" t="n">
        <v>3</v>
      </c>
      <c r="G1097" s="349">
        <f>IF(AND(B1097="",C1097=""),"",ROUND(M1097*L1097*N1097,2))</f>
        <v/>
      </c>
      <c r="H1097" s="396">
        <f>IF(AND(B1097="",C1097=""),"",ROUND(F1097*G1097,2))</f>
        <v/>
      </c>
      <c r="I1097" s="150" t="inlineStr"/>
      <c r="J1097" s="397">
        <f>IF(AND(B1097="",C1097=""),"",ROUND(M1097*N1097,2))</f>
        <v/>
      </c>
      <c r="K1097" s="398">
        <f>IF(AND(B1097="",C1097=""),"",ROUND(J1097*F1097,2))</f>
        <v/>
      </c>
      <c r="L1097" s="141" t="n">
        <v>1</v>
      </c>
      <c r="M1097" s="399" t="n">
        <v>1e-07</v>
      </c>
      <c r="N1097" s="154" t="n">
        <v>1</v>
      </c>
      <c r="O1097" s="155">
        <f>IF(AND(B1097="",C1097=""),"",IF(G1097&gt;=20000,0.05,IF(G1097&gt;=10000,0.1,IF(G1097&gt;=5000,0.2,IF(G1097&gt;=1000,0.3,IF(G1097&gt;=0,0.4,{0}))))))</f>
        <v/>
      </c>
      <c r="P1097" s="400">
        <f>IF(AND(B1097="",C1097=""),"",ROUND(H1097*O1097,2))</f>
        <v/>
      </c>
      <c r="Q1097" s="401" t="inlineStr">
        <is>
          <t>元件</t>
        </is>
      </c>
      <c r="R1097" s="168" t="inlineStr"/>
      <c r="S1097" s="168" t="inlineStr"/>
      <c r="T1097" s="168" t="inlineStr">
        <is>
          <t>0</t>
        </is>
      </c>
      <c r="U1097" s="168" t="inlineStr">
        <is>
          <t>XB2BA42C</t>
        </is>
      </c>
      <c r="V1097" s="402" t="n"/>
      <c r="W1097" s="402" t="n"/>
      <c r="X1097" s="170" t="inlineStr">
        <is>
          <t>XA2EA41</t>
        </is>
      </c>
    </row>
    <row r="1098" s="308">
      <c r="A1098" s="64">
        <f>ROW()-ROW(A$1089)</f>
        <v/>
      </c>
      <c r="B1098" s="112" t="inlineStr">
        <is>
          <t>温湿度控制器</t>
        </is>
      </c>
      <c r="C1098" s="112" t="inlineStr">
        <is>
          <t>ATH48G-11</t>
        </is>
      </c>
      <c r="D1098" s="22" t="inlineStr">
        <is>
          <t>杭州安廷</t>
        </is>
      </c>
      <c r="E1098" s="23" t="inlineStr">
        <is>
          <t>套</t>
        </is>
      </c>
      <c r="F1098" s="23" t="n">
        <v>1</v>
      </c>
      <c r="G1098" s="349">
        <f>IF(AND(B1098="",C1098=""),"",ROUND(M1098*L1098*N1098,2))</f>
        <v/>
      </c>
      <c r="H1098" s="396">
        <f>IF(AND(B1098="",C1098=""),"",ROUND(F1098*G1098,2))</f>
        <v/>
      </c>
      <c r="I1098" s="150" t="inlineStr"/>
      <c r="J1098" s="397">
        <f>IF(AND(B1098="",C1098=""),"",ROUND(M1098*N1098,2))</f>
        <v/>
      </c>
      <c r="K1098" s="398">
        <f>IF(AND(B1098="",C1098=""),"",ROUND(J1098*F1098,2))</f>
        <v/>
      </c>
      <c r="L1098" s="141" t="n">
        <v>1</v>
      </c>
      <c r="M1098" s="399" t="n">
        <v>450</v>
      </c>
      <c r="N1098" s="154" t="n">
        <v>1</v>
      </c>
      <c r="O1098" s="155">
        <f>IF(AND(B1098="",C1098=""),"",IF(G1098&gt;=20000,0.05,IF(G1098&gt;=10000,0.1,IF(G1098&gt;=5000,0.2,IF(G1098&gt;=1000,0.3,IF(G1098&gt;=0,0.4,{0}))))))</f>
        <v/>
      </c>
      <c r="P1098" s="400">
        <f>IF(AND(B1098="",C1098=""),"",ROUND(H1098*O1098,2))</f>
        <v/>
      </c>
      <c r="Q1098" s="401" t="inlineStr">
        <is>
          <t>元件</t>
        </is>
      </c>
      <c r="R1098" s="168" t="inlineStr"/>
      <c r="S1098" s="168" t="inlineStr"/>
      <c r="T1098" s="168" t="inlineStr">
        <is>
          <t>0</t>
        </is>
      </c>
      <c r="U1098" s="168" t="inlineStr"/>
      <c r="V1098" s="402" t="n"/>
      <c r="W1098" s="402" t="n"/>
      <c r="X1098" s="170" t="inlineStr"/>
    </row>
    <row r="1099" s="308">
      <c r="A1099" s="64">
        <f>ROW()-ROW(A$1089)</f>
        <v/>
      </c>
      <c r="B1099" s="22" t="inlineStr">
        <is>
          <t>中间继电器</t>
        </is>
      </c>
      <c r="C1099" s="22" t="inlineStr">
        <is>
          <t>RXM4AB2P7+RXZE2S114M+RXZ400</t>
        </is>
      </c>
      <c r="D1099" s="22" t="inlineStr">
        <is>
          <t>甲供/施耐德电气</t>
        </is>
      </c>
      <c r="E1099" s="23" t="inlineStr">
        <is>
          <t>只</t>
        </is>
      </c>
      <c r="F1099" s="23" t="n">
        <v>6</v>
      </c>
      <c r="G1099" s="349">
        <f>IF(AND(B1099="",C1099=""),"",ROUND(M1099*L1099*N1099,2))</f>
        <v/>
      </c>
      <c r="H1099" s="349">
        <f>IF(AND(B1099="",C1099=""),"",ROUND(F1099*G1099,2))</f>
        <v/>
      </c>
      <c r="I1099" s="45" t="inlineStr"/>
      <c r="J1099" s="397">
        <f>IF(AND(B1099="",C1099=""),"",ROUND(M1099*N1099,2))</f>
        <v/>
      </c>
      <c r="K1099" s="398">
        <f>IF(AND(B1099="",C1099=""),"",ROUND(J1099*F1099,2))</f>
        <v/>
      </c>
      <c r="L1099" s="141" t="n">
        <v>1</v>
      </c>
      <c r="M1099" s="399" t="n">
        <v>1e-07</v>
      </c>
      <c r="N1099" s="154" t="n">
        <v>1</v>
      </c>
      <c r="O1099" s="155">
        <f>IF(AND(B1099="",C1099=""),"",IF(G1099&gt;=20000,0.05,IF(G1099&gt;=10000,0.1,IF(G1099&gt;=5000,0.2,IF(G1099&gt;=1000,0.3,IF(G1099&gt;=0,0.4,{0}))))))</f>
        <v/>
      </c>
      <c r="P1099" s="400">
        <f>IF(AND(B1099="",C1099=""),"",ROUND(H1099*O1099,2))</f>
        <v/>
      </c>
      <c r="Q1099" s="401" t="inlineStr">
        <is>
          <t>元件</t>
        </is>
      </c>
      <c r="R1099" s="168" t="inlineStr"/>
      <c r="S1099" s="168" t="inlineStr"/>
      <c r="T1099" s="168" t="inlineStr">
        <is>
          <t>0</t>
        </is>
      </c>
      <c r="U1099" s="168" t="inlineStr">
        <is>
          <t>RXM4AB2P7+RXZE2S114M+RXZ400</t>
        </is>
      </c>
      <c r="V1099" s="402" t="n"/>
      <c r="W1099" s="402" t="n"/>
      <c r="X1099" s="170" t="inlineStr">
        <is>
          <t>REL-IR-BL/L-230AC/4X21，含底座→RXM4AB2P7+RXZE2S114M+RXZ400→REL-IR-BL/L-230AC/4X21，含底座</t>
        </is>
      </c>
    </row>
    <row r="1100" customFormat="1" s="3">
      <c r="A1100" s="64">
        <f>ROW()-ROW(A$1089)</f>
        <v/>
      </c>
      <c r="B1100" s="22" t="inlineStr">
        <is>
          <t>带熔丝端子</t>
        </is>
      </c>
      <c r="C1100" s="22" t="inlineStr">
        <is>
          <t>UK 5-HESI</t>
        </is>
      </c>
      <c r="D1100" s="22" t="inlineStr">
        <is>
          <t>菲尼克斯</t>
        </is>
      </c>
      <c r="E1100" s="23" t="inlineStr">
        <is>
          <t>只</t>
        </is>
      </c>
      <c r="F1100" s="23" t="n">
        <v>12</v>
      </c>
      <c r="G1100" s="349">
        <f>IF(AND(B1100="",C1100=""),"",ROUND(M1100*L1100*N1100,2))</f>
        <v/>
      </c>
      <c r="H1100" s="349">
        <f>IF(AND(B1100="",C1100=""),"",ROUND(F1100*G1100,2))</f>
        <v/>
      </c>
      <c r="I1100" s="45" t="inlineStr"/>
      <c r="J1100" s="392">
        <f>IF(AND(B1100="",C1100=""),"",ROUND(M1100*N1100,2))</f>
        <v/>
      </c>
      <c r="K1100" s="393">
        <f>IF(AND(B1100="",C1100=""),"",ROUND(J1100*F1100,2))</f>
        <v/>
      </c>
      <c r="L1100" s="141" t="n">
        <v>1</v>
      </c>
      <c r="M1100" s="394" t="n">
        <v>7</v>
      </c>
      <c r="N1100" s="220" t="n">
        <v>1</v>
      </c>
      <c r="O1100" s="221">
        <f>IF(AND(B1100="",C1100=""),"",IF(G1100&gt;=20000,0.05,IF(G1100&gt;=10000,0.1,IF(G1100&gt;=5000,0.2,IF(G1100&gt;=1000,0.3,IF(G1100&gt;=0,0.4,{0}))))))</f>
        <v/>
      </c>
      <c r="P1100" s="419">
        <f>IF(AND(B1100="",C1100=""),"",ROUND(H1100*O1100,2))</f>
        <v/>
      </c>
      <c r="Q1100" s="420" t="inlineStr">
        <is>
          <t>元件</t>
        </is>
      </c>
      <c r="R1100" s="231" t="inlineStr"/>
      <c r="S1100" s="231" t="inlineStr"/>
      <c r="T1100" s="231" t="inlineStr">
        <is>
          <t>0</t>
        </is>
      </c>
      <c r="U1100" s="231" t="inlineStr">
        <is>
          <t>True</t>
        </is>
      </c>
      <c r="V1100" s="421" t="n"/>
      <c r="W1100" s="421" t="n"/>
      <c r="X1100" s="166" t="inlineStr"/>
    </row>
    <row r="1101" s="308">
      <c r="A1101" s="64">
        <f>ROW()-ROW(A$1089)</f>
        <v/>
      </c>
      <c r="B1101" s="22" t="inlineStr">
        <is>
          <t>水平母排</t>
        </is>
      </c>
      <c r="C1101" s="22" t="inlineStr">
        <is>
          <t>TMY 4*(4*150*5)+2*50*5</t>
        </is>
      </c>
      <c r="D1101" s="22" t="inlineStr">
        <is>
          <t>国产优质</t>
        </is>
      </c>
      <c r="E1101" s="23" t="inlineStr">
        <is>
          <t>米</t>
        </is>
      </c>
      <c r="F1101" s="23" t="n">
        <v>0.7</v>
      </c>
      <c r="G1101" s="349">
        <f>IF(AND(B1101="",C1101=""),"",ROUND(M1101*L1101*N1101,2))</f>
        <v/>
      </c>
      <c r="H1101" s="349">
        <f>IF(AND(B1101="",C1101=""),"",ROUND(F1101*G1101,2))</f>
        <v/>
      </c>
      <c r="I1101" s="45" t="inlineStr"/>
      <c r="J1101" s="397">
        <f>IF(AND(B1101="",C1101=""),"",ROUND(M1101*N1101,2))</f>
        <v/>
      </c>
      <c r="K1101" s="398">
        <f>IF(AND(B1101="",C1101=""),"",ROUND(J1101*F1101,2))</f>
        <v/>
      </c>
      <c r="L1101" s="200" t="n">
        <v>1</v>
      </c>
      <c r="M1101" s="399" t="n">
        <v>12026.68125</v>
      </c>
      <c r="N1101" s="154">
        <f>(6317.932*1*1+2684.8*1*1)/9002.732</f>
        <v/>
      </c>
      <c r="O1101" s="155">
        <f>IF(AND(B1101="",C1101=""),"",IF(J1101&gt;=20000,0.05,IF(J1101&gt;=10000,0.1,IF(J1101&gt;=5000,0.2,IF(J1101&gt;=1000,0.3,IF(J1101&gt;=0,0.4,{0}))))))</f>
        <v/>
      </c>
      <c r="P1101" s="400">
        <f>IF(AND(B1101="",C1101=""),"",ROUND(H1101*O1101,2))</f>
        <v/>
      </c>
      <c r="Q1101" s="401" t="inlineStr">
        <is>
          <t>母排</t>
        </is>
      </c>
      <c r="R1101" s="168" t="inlineStr"/>
      <c r="S1101" s="168" t="inlineStr"/>
      <c r="T1101" s="168" t="inlineStr">
        <is>
          <t>0</t>
        </is>
      </c>
      <c r="U1101" s="168" t="inlineStr"/>
      <c r="V1101" s="402" t="n"/>
      <c r="W1101" s="402" t="n"/>
      <c r="X1101" s="170" t="inlineStr"/>
    </row>
    <row r="1102" customFormat="1" s="5">
      <c r="A1102" s="64">
        <f>ROW()-ROW(A$1089)</f>
        <v/>
      </c>
      <c r="B1102" s="22" t="inlineStr">
        <is>
          <t>桩头排</t>
        </is>
      </c>
      <c r="C1102" s="22" t="inlineStr">
        <is>
          <t>TMY 3*80*5</t>
        </is>
      </c>
      <c r="D1102" s="22" t="inlineStr">
        <is>
          <t>国产优质</t>
        </is>
      </c>
      <c r="E1102" s="23" t="inlineStr">
        <is>
          <t>米</t>
        </is>
      </c>
      <c r="F1102" s="23" t="n">
        <v>4.5</v>
      </c>
      <c r="G1102" s="349">
        <f>IF(AND(B1102="",C1102=""),"",ROUND(M1102*L1102*N1102,2))</f>
        <v/>
      </c>
      <c r="H1102" s="349">
        <f>IF(AND(B1102="",C1102=""),"",ROUND(F1102*G1102,2))</f>
        <v/>
      </c>
      <c r="I1102" s="45" t="inlineStr"/>
      <c r="J1102" s="422">
        <f>IF(AND(B1102="",C1102=""),"",ROUND(M1102*N1102,2))</f>
        <v/>
      </c>
      <c r="K1102" s="423">
        <f>IF(AND(B1102="",C1102=""),"",ROUND(J1102*F1102,2))</f>
        <v/>
      </c>
      <c r="L1102" s="225" t="n">
        <v>1</v>
      </c>
      <c r="M1102" s="424" t="n">
        <v>1154.5614</v>
      </c>
      <c r="N1102" s="227" t="n">
        <v>1</v>
      </c>
      <c r="O1102" s="228">
        <f>IF(AND(B1102="",C1102=""),"",IF(G1102&gt;=20000,0.05,IF(G1102&gt;=10000,0.1,IF(G1102&gt;=5000,0.2,IF(G1102&gt;=1000,0.3,IF(G1102&gt;=0,0.4,{0}))))))</f>
        <v/>
      </c>
      <c r="P1102" s="425">
        <f>IF(AND(B1102="",C1102=""),"",ROUND(H1102*O1102,2))</f>
        <v/>
      </c>
      <c r="Q1102" s="426" t="inlineStr">
        <is>
          <t>母排</t>
        </is>
      </c>
      <c r="R1102" s="234" t="inlineStr"/>
      <c r="S1102" s="234" t="inlineStr"/>
      <c r="T1102" s="235" t="inlineStr">
        <is>
          <t>0</t>
        </is>
      </c>
      <c r="U1102" s="235" t="inlineStr"/>
      <c r="V1102" s="427" t="n"/>
      <c r="W1102" s="427" t="n"/>
      <c r="X1102" s="237" t="inlineStr">
        <is>
          <t>TMY 2*30*5→TMY 30*8</t>
        </is>
      </c>
    </row>
    <row r="1103" customFormat="1" s="5">
      <c r="A1103" s="64">
        <f>ROW()-ROW(A$1089)</f>
        <v/>
      </c>
      <c r="B1103" s="22" t="inlineStr">
        <is>
          <t>垂直排</t>
        </is>
      </c>
      <c r="C1103" s="22" t="inlineStr">
        <is>
          <t>TMY 3*2*80*5</t>
        </is>
      </c>
      <c r="D1103" s="22" t="inlineStr">
        <is>
          <t>国产优质</t>
        </is>
      </c>
      <c r="E1103" s="23" t="inlineStr">
        <is>
          <t>米</t>
        </is>
      </c>
      <c r="F1103" s="23" t="n">
        <v>2</v>
      </c>
      <c r="G1103" s="349">
        <f>IF(AND(B1103="",C1103=""),"",ROUND(M1103*L1103*N1103,2))</f>
        <v/>
      </c>
      <c r="H1103" s="349">
        <f>IF(AND(B1103="",C1103=""),"",ROUND(F1103*G1103,2))</f>
        <v/>
      </c>
      <c r="I1103" s="45" t="inlineStr"/>
      <c r="J1103" s="422">
        <f>IF(AND(B1103="",C1103=""),"",ROUND(M1103*N1103,2))</f>
        <v/>
      </c>
      <c r="K1103" s="423">
        <f>IF(AND(B1103="",C1103=""),"",ROUND(J1103*F1103,2))</f>
        <v/>
      </c>
      <c r="L1103" s="225" t="n">
        <v>1</v>
      </c>
      <c r="M1103" s="424" t="n">
        <v>2309.1228</v>
      </c>
      <c r="N1103" s="227" t="n">
        <v>1</v>
      </c>
      <c r="O1103" s="228">
        <f>IF(AND(B1103="",C1103=""),"",IF(G1103&gt;=20000,0.05,IF(G1103&gt;=10000,0.1,IF(G1103&gt;=5000,0.2,IF(G1103&gt;=1000,0.3,IF(G1103&gt;=0,0.4,{0}))))))</f>
        <v/>
      </c>
      <c r="P1103" s="425">
        <f>IF(AND(B1103="",C1103=""),"",ROUND(H1103*O1103,2))</f>
        <v/>
      </c>
      <c r="Q1103" s="426" t="inlineStr">
        <is>
          <t>母排</t>
        </is>
      </c>
      <c r="R1103" s="234" t="inlineStr"/>
      <c r="S1103" s="234" t="inlineStr"/>
      <c r="T1103" s="235" t="inlineStr">
        <is>
          <t>0</t>
        </is>
      </c>
      <c r="U1103" s="235" t="inlineStr"/>
      <c r="V1103" s="427" t="n"/>
      <c r="W1103" s="427" t="n"/>
      <c r="X1103" s="237" t="inlineStr">
        <is>
          <t>TMY 2*30*5→TMY 30*8</t>
        </is>
      </c>
    </row>
    <row r="1104" customFormat="1" s="5">
      <c r="A1104" s="64">
        <f>ROW()-ROW(A$1089)</f>
        <v/>
      </c>
      <c r="B1104" s="22" t="inlineStr">
        <is>
          <t>N排</t>
        </is>
      </c>
      <c r="C1104" s="22" t="inlineStr">
        <is>
          <t>TMY 2*60*10</t>
        </is>
      </c>
      <c r="D1104" s="22" t="inlineStr">
        <is>
          <t>国产优质</t>
        </is>
      </c>
      <c r="E1104" s="23" t="inlineStr">
        <is>
          <t>米</t>
        </is>
      </c>
      <c r="F1104" s="23" t="n">
        <v>3</v>
      </c>
      <c r="G1104" s="349">
        <f>IF(AND(B1104="",C1104=""),"",ROUND(M1104*L1104*N1104,2))</f>
        <v/>
      </c>
      <c r="H1104" s="349">
        <f>IF(AND(B1104="",C1104=""),"",ROUND(F1104*G1104,2))</f>
        <v/>
      </c>
      <c r="I1104" s="45" t="inlineStr"/>
      <c r="J1104" s="422">
        <f>IF(AND(B1104="",C1104=""),"",ROUND(M1104*N1104,2))</f>
        <v/>
      </c>
      <c r="K1104" s="423">
        <f>IF(AND(B1104="",C1104=""),"",ROUND(J1104*F1104,2))</f>
        <v/>
      </c>
      <c r="L1104" s="225" t="n">
        <v>1</v>
      </c>
      <c r="M1104" s="424" t="n">
        <v>1154.5614</v>
      </c>
      <c r="N1104" s="227" t="n">
        <v>1</v>
      </c>
      <c r="O1104" s="228">
        <f>IF(AND(B1104="",C1104=""),"",IF(G1104&gt;=20000,0.05,IF(G1104&gt;=10000,0.1,IF(G1104&gt;=5000,0.2,IF(G1104&gt;=1000,0.3,IF(G1104&gt;=0,0.4,{0}))))))</f>
        <v/>
      </c>
      <c r="P1104" s="425">
        <f>IF(AND(B1104="",C1104=""),"",ROUND(H1104*O1104,2))</f>
        <v/>
      </c>
      <c r="Q1104" s="426" t="inlineStr">
        <is>
          <t>母排</t>
        </is>
      </c>
      <c r="R1104" s="234" t="inlineStr"/>
      <c r="S1104" s="234" t="inlineStr"/>
      <c r="T1104" s="235" t="inlineStr">
        <is>
          <t>0</t>
        </is>
      </c>
      <c r="U1104" s="235" t="inlineStr"/>
      <c r="V1104" s="427" t="n"/>
      <c r="W1104" s="427" t="n"/>
      <c r="X1104" s="237" t="inlineStr">
        <is>
          <t>TMY 2*30*5→TMY 30*8</t>
        </is>
      </c>
    </row>
    <row r="1105" customFormat="1" s="5">
      <c r="A1105" s="64">
        <f>ROW()-ROW(A$1089)</f>
        <v/>
      </c>
      <c r="B1105" s="22" t="inlineStr">
        <is>
          <t>PE排</t>
        </is>
      </c>
      <c r="C1105" s="22" t="inlineStr">
        <is>
          <t>TMY 2*50*5</t>
        </is>
      </c>
      <c r="D1105" s="22" t="inlineStr">
        <is>
          <t>国产优质</t>
        </is>
      </c>
      <c r="E1105" s="23" t="inlineStr">
        <is>
          <t>米</t>
        </is>
      </c>
      <c r="F1105" s="23" t="n">
        <v>2</v>
      </c>
      <c r="G1105" s="349">
        <f>IF(AND(B1105="",C1105=""),"",ROUND(M1105*L1105*N1105,2))</f>
        <v/>
      </c>
      <c r="H1105" s="349">
        <f>IF(AND(B1105="",C1105=""),"",ROUND(F1105*G1105,2))</f>
        <v/>
      </c>
      <c r="I1105" s="45" t="inlineStr"/>
      <c r="J1105" s="422">
        <f>IF(AND(B1105="",C1105=""),"",ROUND(M1105*N1105,2))</f>
        <v/>
      </c>
      <c r="K1105" s="423">
        <f>IF(AND(B1105="",C1105=""),"",ROUND(J1105*F1105,2))</f>
        <v/>
      </c>
      <c r="L1105" s="225" t="n">
        <v>1</v>
      </c>
      <c r="M1105" s="424" t="n">
        <v>481.06725</v>
      </c>
      <c r="N1105" s="227" t="n">
        <v>1</v>
      </c>
      <c r="O1105" s="228">
        <f>IF(AND(B1105="",C1105=""),"",IF(G1105&gt;=20000,0.05,IF(G1105&gt;=10000,0.1,IF(G1105&gt;=5000,0.2,IF(G1105&gt;=1000,0.3,IF(G1105&gt;=0,0.4,{0}))))))</f>
        <v/>
      </c>
      <c r="P1105" s="425">
        <f>IF(AND(B1105="",C1105=""),"",ROUND(H1105*O1105,2))</f>
        <v/>
      </c>
      <c r="Q1105" s="426" t="inlineStr">
        <is>
          <t>母排</t>
        </is>
      </c>
      <c r="R1105" s="234" t="inlineStr"/>
      <c r="S1105" s="234" t="inlineStr"/>
      <c r="T1105" s="235" t="inlineStr">
        <is>
          <t>0</t>
        </is>
      </c>
      <c r="U1105" s="235" t="inlineStr"/>
      <c r="V1105" s="427" t="n"/>
      <c r="W1105" s="427" t="n"/>
      <c r="X1105" s="237" t="inlineStr">
        <is>
          <t>TMY 2*30*5→TMY 30*8</t>
        </is>
      </c>
    </row>
    <row r="1106" s="308">
      <c r="A1106" s="64">
        <f>ROW()-ROW(A$1089)</f>
        <v/>
      </c>
      <c r="B1106" s="112" t="inlineStr">
        <is>
          <t>辅料</t>
        </is>
      </c>
      <c r="C1106" s="112" t="inlineStr"/>
      <c r="D1106" s="112" t="inlineStr"/>
      <c r="E1106" s="114" t="inlineStr">
        <is>
          <t>套</t>
        </is>
      </c>
      <c r="F1106" s="114" t="n">
        <v>1</v>
      </c>
      <c r="G1106" s="396">
        <f>IF(AND(B1106="",C1106=""),"",ROUND(M1106*L1106*N1106,2))</f>
        <v/>
      </c>
      <c r="H1106" s="396">
        <f>IF(AND(B1106="",C1106=""),"",ROUND(F1106*G1106,2))</f>
        <v/>
      </c>
      <c r="I1106" s="219" t="inlineStr"/>
      <c r="J1106" s="397">
        <f>IF(AND(B1106="",C1106=""),"",ROUND(M1106*N1106,2))</f>
        <v/>
      </c>
      <c r="K1106" s="398">
        <f>IF(AND(B1106="",C1106=""),"",ROUND(J1106*F1106,2))</f>
        <v/>
      </c>
      <c r="L1106" s="200" t="n">
        <v>1</v>
      </c>
      <c r="M1106" s="399" t="n">
        <v>1050</v>
      </c>
      <c r="N1106" s="154" t="n">
        <v>1</v>
      </c>
      <c r="O1106" s="155">
        <f>IF(AND(B1106="",C1106=""),"",IF(G1106&gt;=20000,0.05,IF(G1106&gt;=10000,0.1,IF(G1106&gt;=5000,0.2,IF(G1106&gt;=1000,0.3,IF(G1106&gt;=0,0.4,{0}))))))</f>
        <v/>
      </c>
      <c r="P1106" s="400">
        <f>IF(AND(B1106="",C1106=""),"",ROUND(H1106*O1106,2))</f>
        <v/>
      </c>
      <c r="Q1106" s="401" t="inlineStr">
        <is>
          <t>辅料</t>
        </is>
      </c>
      <c r="R1106" s="168" t="inlineStr"/>
      <c r="S1106" s="168" t="inlineStr"/>
      <c r="T1106" s="168" t="inlineStr">
        <is>
          <t>0</t>
        </is>
      </c>
      <c r="U1106" s="168" t="inlineStr"/>
      <c r="V1106" s="402" t="n"/>
      <c r="W1106" s="402" t="n"/>
      <c r="X1106" s="170" t="inlineStr"/>
    </row>
    <row r="1107" s="308">
      <c r="A1107" s="64">
        <f>ROW()-ROW(A$1089)</f>
        <v/>
      </c>
      <c r="B1107" s="112" t="inlineStr">
        <is>
          <t>柜体Blokset</t>
        </is>
      </c>
      <c r="C1107" s="22" t="inlineStr">
        <is>
          <t>600W*1200D*2200H</t>
        </is>
      </c>
      <c r="D1107" s="112" t="inlineStr">
        <is>
          <t>清科</t>
        </is>
      </c>
      <c r="E1107" s="114" t="inlineStr">
        <is>
          <t>台</t>
        </is>
      </c>
      <c r="F1107" s="114" t="n">
        <v>1</v>
      </c>
      <c r="G1107" s="396">
        <f>IF(AND(B1107="",C1107=""),"",ROUND(M1107*L1107*N1107,2))</f>
        <v/>
      </c>
      <c r="H1107" s="396">
        <f>IF(AND(B1107="",C1107=""),"",ROUND(F1107*G1107,2))</f>
        <v/>
      </c>
      <c r="I1107" s="219" t="inlineStr"/>
      <c r="J1107" s="397">
        <f>IF(AND(B1107="",C1107=""),"",ROUND(M1107*N1107,2))</f>
        <v/>
      </c>
      <c r="K1107" s="398">
        <f>IF(AND(B1107="",C1107=""),"",ROUND(J1107*F1107,2))</f>
        <v/>
      </c>
      <c r="L1107" s="200" t="n">
        <v>1</v>
      </c>
      <c r="M1107" s="399" t="n">
        <v>5056</v>
      </c>
      <c r="N1107" s="154" t="n">
        <v>1</v>
      </c>
      <c r="O1107" s="155">
        <f>IF(AND(B1107="",C1107=""),"",IF(G1107&gt;=20000,0.05,IF(G1107&gt;=10000,0.1,IF(G1107&gt;=5000,0.2,IF(G1107&gt;=1000,0.3,IF(G1107&gt;=0,0.4,{0}))))))</f>
        <v/>
      </c>
      <c r="P1107" s="400">
        <f>IF(AND(B1107="",C1107=""),"",ROUND(H1107*O1107,2))</f>
        <v/>
      </c>
      <c r="Q1107" s="401" t="inlineStr">
        <is>
          <t>箱体</t>
        </is>
      </c>
      <c r="R1107" s="168" t="inlineStr"/>
      <c r="S1107" s="168" t="inlineStr"/>
      <c r="T1107" s="168" t="inlineStr">
        <is>
          <t>0</t>
        </is>
      </c>
      <c r="U1107" s="168" t="inlineStr"/>
      <c r="V1107" s="402" t="n"/>
      <c r="W1107" s="402" t="n"/>
      <c r="X1107" s="170" t="inlineStr">
        <is>
          <t>BlokSeT</t>
        </is>
      </c>
    </row>
    <row r="1108" s="308">
      <c r="A1108" s="64">
        <f>ROW()-ROW(A$1089)</f>
        <v/>
      </c>
      <c r="B1108" s="22" t="inlineStr"/>
      <c r="C1108" s="22" t="inlineStr"/>
      <c r="D1108" s="22" t="inlineStr"/>
      <c r="E1108" s="23" t="n"/>
      <c r="F1108" s="23">
        <f>IF(AND(B1108="",C1108=""),"",1)</f>
        <v/>
      </c>
      <c r="G1108" s="349">
        <f>IF(AND(B1108="",C1108=""),"",ROUND(M1108*L1108*N1108,2))</f>
        <v/>
      </c>
      <c r="H1108" s="349">
        <f>IF(AND(B1108="",C1108=""),"",ROUND(F1108*G1108,2))</f>
        <v/>
      </c>
      <c r="I1108" s="45" t="inlineStr"/>
      <c r="J1108" s="397">
        <f>IF(AND(B1108="",C1108=""),"",ROUND(M1108*N1108,2))</f>
        <v/>
      </c>
      <c r="K1108" s="398">
        <f>IF(AND(B1108="",C1108=""),"",ROUND(J1108*F1108,2))</f>
        <v/>
      </c>
      <c r="L1108" s="200">
        <f>IF(AND(B1108="",C1108=""),"",1)</f>
        <v/>
      </c>
      <c r="M1108" s="399" t="n"/>
      <c r="N1108" s="154">
        <f>IF(AND(B1108="",C1108=""),"",1)</f>
        <v/>
      </c>
      <c r="O1108" s="155">
        <f>IF(AND(B1108="",C1108=""),"",IF(J1108&gt;=20000,0.05,IF(J1108&gt;=10000,0.1,IF(J1108&gt;=5000,0.2,IF(J1108&gt;=1000,0.3,IF(J1108&gt;=0,0.4,{0}))))))</f>
        <v/>
      </c>
      <c r="P1108" s="400">
        <f>IF(AND(B1108="",C1108=""),"",ROUND(H1108*O1108,2))</f>
        <v/>
      </c>
      <c r="Q1108" s="401">
        <f>IF(AND(B1108="",C1108=""),"","元件")</f>
        <v/>
      </c>
      <c r="R1108" s="168" t="inlineStr"/>
      <c r="S1108" s="168" t="inlineStr"/>
      <c r="T1108" s="168" t="inlineStr"/>
      <c r="U1108" s="168" t="inlineStr"/>
      <c r="V1108" s="402" t="n"/>
      <c r="W1108" s="402" t="n"/>
      <c r="X1108" s="170" t="inlineStr"/>
    </row>
    <row r="1109" s="308">
      <c r="A1109" s="64">
        <f>ROW()-ROW(A$1089)</f>
        <v/>
      </c>
      <c r="B1109" s="171" t="inlineStr">
        <is>
          <t>小计</t>
        </is>
      </c>
      <c r="C1109" s="172" t="n"/>
      <c r="D1109" s="204" t="n"/>
      <c r="E1109" s="114" t="n"/>
      <c r="F1109" s="114" t="n"/>
      <c r="G1109" s="396" t="n"/>
      <c r="H1109" s="396">
        <f>ROUND(SUM(H1089:INDEX(H:H,ROW()-1)),2)</f>
        <v/>
      </c>
      <c r="I1109" s="45" t="inlineStr"/>
      <c r="J1109" s="397" t="n"/>
      <c r="K1109" s="398">
        <f>ROUND(SUM(K1089:INDEX(K:K,ROW()-1)),2)</f>
        <v/>
      </c>
      <c r="L1109" s="200" t="n"/>
      <c r="M1109" s="399" t="n"/>
      <c r="N1109" s="154" t="n"/>
      <c r="O1109" s="155" t="n"/>
      <c r="P1109" s="400" t="n"/>
      <c r="Q1109" s="401" t="n"/>
      <c r="R1109" s="168" t="inlineStr"/>
      <c r="S1109" s="168" t="inlineStr"/>
      <c r="T1109" s="168" t="inlineStr"/>
      <c r="U1109" s="168" t="inlineStr"/>
      <c r="V1109" s="402">
        <f>ROUND(SUMPRODUCT(F1089:INDEX(F:F,ROW()-1),V1089:INDEX(V:V,ROW()-1)),2)</f>
        <v/>
      </c>
      <c r="W1109" s="402">
        <f>ROUND(SUMPRODUCT(F1089:INDEX(F:F,ROW()-1),W1089:INDEX(W:W,ROW()-1)),2)</f>
        <v/>
      </c>
      <c r="X1109" s="170" t="inlineStr"/>
    </row>
    <row r="1110" s="308">
      <c r="A1110" s="64">
        <f>ROW()-ROW(A$1089)</f>
        <v/>
      </c>
      <c r="B1110" s="171" t="inlineStr">
        <is>
          <t>综合费(人工、管理、税金、利润等)</t>
        </is>
      </c>
      <c r="C1110" s="172" t="n"/>
      <c r="D1110" s="204" t="n"/>
      <c r="E1110" s="114" t="n"/>
      <c r="F1110" s="114" t="n"/>
      <c r="G1110" s="396" t="n"/>
      <c r="H1110" s="396">
        <f>2500</f>
        <v/>
      </c>
      <c r="I1110" s="45" t="inlineStr"/>
      <c r="J1110" s="397" t="n"/>
      <c r="K1110" s="398" t="n"/>
      <c r="L1110" s="200" t="n"/>
      <c r="M1110" s="399" t="n"/>
      <c r="N1110" s="154" t="n"/>
      <c r="O1110" s="155" t="n"/>
      <c r="P1110" s="400" t="n"/>
      <c r="Q1110" s="401" t="inlineStr">
        <is>
          <t>费用</t>
        </is>
      </c>
      <c r="R1110" s="168" t="inlineStr"/>
      <c r="S1110" s="168" t="inlineStr"/>
      <c r="T1110" s="168" t="inlineStr"/>
      <c r="U1110" s="168" t="inlineStr"/>
      <c r="V1110" s="402" t="n"/>
      <c r="W1110" s="402" t="n"/>
      <c r="X1110" s="170" t="inlineStr"/>
    </row>
    <row r="1111" s="308">
      <c r="A1111" s="64">
        <f>ROW()-ROW(A$1089)</f>
        <v/>
      </c>
      <c r="B1111" s="204" t="inlineStr">
        <is>
          <t>单台合计</t>
        </is>
      </c>
      <c r="C1111" s="172" t="n"/>
      <c r="D1111" s="204" t="n"/>
      <c r="E1111" s="114" t="n"/>
      <c r="F1111" s="114" t="n"/>
      <c r="G1111" s="396" t="n"/>
      <c r="H1111" s="396">
        <f>ROUND(SUM(H1109:H1110),2)</f>
        <v/>
      </c>
      <c r="I1111" s="181" t="n"/>
      <c r="J1111" s="397" t="n"/>
      <c r="K1111" s="398">
        <f>ROUND(SUM(K1109:K1110),2)</f>
        <v/>
      </c>
      <c r="L1111" s="209" t="n"/>
      <c r="M1111" s="399" t="n"/>
      <c r="N1111" s="210" t="n"/>
      <c r="O1111" s="211" t="n"/>
      <c r="P1111" s="400" t="n"/>
      <c r="Q1111" s="401" t="n"/>
      <c r="R1111" s="168" t="inlineStr"/>
      <c r="S1111" s="168" t="inlineStr"/>
      <c r="T1111" s="168" t="inlineStr"/>
      <c r="U1111" s="168" t="inlineStr"/>
      <c r="V1111" s="402" t="n"/>
      <c r="W1111" s="402" t="n"/>
      <c r="X1111" s="170" t="inlineStr"/>
    </row>
    <row r="1112" s="308">
      <c r="A1112" s="173" t="inlineStr">
        <is>
          <t>总计</t>
        </is>
      </c>
      <c r="B1112" s="205" t="n"/>
      <c r="C1112" s="175" t="n"/>
      <c r="D1112" s="206" t="n"/>
      <c r="E1112" s="206" t="inlineStr">
        <is>
          <t>台</t>
        </is>
      </c>
      <c r="F1112" s="206" t="n">
        <v>1</v>
      </c>
      <c r="G1112" s="414">
        <f>ROUND(H1111,2)</f>
        <v/>
      </c>
      <c r="H1112" s="414">
        <f>ROUND(F1112*G1112,2)</f>
        <v/>
      </c>
      <c r="I1112" s="185" t="n"/>
      <c r="J1112" s="415" t="n"/>
      <c r="K1112" s="416">
        <f>ROUND(K1111*F1112,2)</f>
        <v/>
      </c>
      <c r="L1112" s="214" t="n"/>
      <c r="M1112" s="417" t="n"/>
      <c r="N1112" s="216" t="n"/>
      <c r="O1112" s="217" t="n"/>
      <c r="P1112" s="418" t="n"/>
      <c r="Q1112" s="401" t="n"/>
      <c r="R1112" s="168" t="inlineStr"/>
      <c r="S1112" s="168" t="inlineStr"/>
      <c r="T1112" s="168" t="inlineStr"/>
      <c r="U1112" s="168" t="inlineStr"/>
      <c r="V1112" s="402" t="n"/>
      <c r="W1112" s="402" t="n"/>
      <c r="X1112" s="170" t="inlineStr"/>
    </row>
    <row r="1113" customFormat="1" s="4">
      <c r="A1113" s="6" t="n"/>
      <c r="B1113" s="195" t="inlineStr"/>
      <c r="C1113" s="195" t="inlineStr"/>
      <c r="D1113" s="195" t="inlineStr"/>
      <c r="Q1113" s="159" t="n"/>
      <c r="R1113" s="159" t="n"/>
      <c r="S1113" s="159" t="n"/>
      <c r="T1113" s="159" t="n"/>
      <c r="U1113" s="159" t="n"/>
      <c r="X1113" s="195" t="inlineStr"/>
    </row>
    <row r="1114" customFormat="1" s="4">
      <c r="A1114" s="6" t="n"/>
      <c r="B1114" s="195" t="inlineStr"/>
      <c r="C1114" s="195" t="inlineStr"/>
      <c r="D1114" s="195" t="inlineStr"/>
      <c r="Q1114" s="159" t="n"/>
      <c r="R1114" s="159" t="n"/>
      <c r="S1114" s="159" t="n"/>
      <c r="T1114" s="159" t="n"/>
      <c r="U1114" s="159" t="n"/>
      <c r="X1114" s="195" t="inlineStr"/>
    </row>
    <row r="1115" s="308">
      <c r="A1115" s="208">
        <f>CONCATENATE("报价人：",项目信息!$B$8)</f>
        <v/>
      </c>
      <c r="B1115" s="208" t="n"/>
      <c r="C1115" s="4" t="n"/>
      <c r="D1115" s="4" t="n"/>
      <c r="E1115" s="4" t="n"/>
      <c r="F1115" s="4" t="n"/>
      <c r="G1115" s="4" t="n"/>
      <c r="H1115" s="178">
        <f>项目信息!$B$9</f>
        <v/>
      </c>
      <c r="Q1115" s="159" t="n"/>
      <c r="R1115" s="159" t="n"/>
      <c r="S1115" s="159" t="n"/>
      <c r="T1115" s="159" t="n"/>
      <c r="U1115" s="159" t="n"/>
      <c r="X1115" s="203" t="inlineStr"/>
    </row>
    <row r="1116" s="308">
      <c r="A1116" s="8">
        <f>T(项目信息!$B$22)</f>
        <v/>
      </c>
      <c r="Q1116" s="159" t="n"/>
      <c r="R1116" s="159" t="n"/>
      <c r="S1116" s="159" t="n"/>
      <c r="T1116" s="159" t="n"/>
      <c r="U1116" s="159" t="n"/>
    </row>
    <row r="1117" s="308">
      <c r="A1117" s="9">
        <f>T(项目信息!$B$23)</f>
        <v/>
      </c>
      <c r="Q1117" s="159" t="n"/>
      <c r="R1117" s="159" t="n"/>
      <c r="S1117" s="159" t="n"/>
      <c r="T1117" s="159" t="n"/>
      <c r="U1117" s="159" t="n"/>
    </row>
    <row r="1118" s="308">
      <c r="A1118" s="97" t="inlineStr">
        <is>
          <t>成套产品报价明细表</t>
        </is>
      </c>
      <c r="B1118" s="378" t="n"/>
      <c r="C1118" s="378" t="n"/>
      <c r="D1118" s="378" t="n"/>
      <c r="E1118" s="378" t="n"/>
      <c r="F1118" s="378" t="n"/>
      <c r="G1118" s="378" t="n"/>
      <c r="H1118" s="378" t="n"/>
      <c r="I1118" s="378" t="n"/>
      <c r="Q1118" s="159" t="n"/>
      <c r="R1118" s="159" t="n"/>
      <c r="S1118" s="159" t="n"/>
      <c r="T1118" s="159" t="n"/>
      <c r="U1118" s="159" t="n"/>
    </row>
    <row r="1119" customFormat="1" s="2">
      <c r="A1119" s="98" t="inlineStr">
        <is>
          <t>柜号:</t>
        </is>
      </c>
      <c r="B1119" s="99" t="inlineStr">
        <is>
          <t>AAN9-01、BAN10-01、AAN11-01、BAN12-01</t>
        </is>
      </c>
      <c r="C1119" s="100" t="inlineStr">
        <is>
          <t>型号:</t>
        </is>
      </c>
      <c r="D1119" s="99" t="inlineStr">
        <is>
          <t>BlokSeT</t>
        </is>
      </c>
      <c r="E1119" s="379" t="n"/>
      <c r="F1119" s="101" t="inlineStr">
        <is>
          <t>名称:</t>
        </is>
      </c>
      <c r="G1119" s="99" t="inlineStr">
        <is>
          <t>进线柜</t>
        </is>
      </c>
      <c r="H1119" s="379" t="n"/>
      <c r="I1119" s="380" t="inlineStr"/>
      <c r="J1119" s="131" t="inlineStr">
        <is>
          <t>箱柜尺寸:</t>
        </is>
      </c>
      <c r="K1119" s="132" t="inlineStr">
        <is>
          <t>1200W*1200D*2200H</t>
        </is>
      </c>
      <c r="L1119" s="131" t="inlineStr">
        <is>
          <t>类别:</t>
        </is>
      </c>
      <c r="M1119" s="132" t="inlineStr">
        <is>
          <t>低压固定柜</t>
        </is>
      </c>
      <c r="N1119" s="381" t="inlineStr"/>
      <c r="Q1119" s="160" t="n"/>
      <c r="R1119" s="160" t="n"/>
      <c r="S1119" s="160" t="n"/>
      <c r="T1119" s="160" t="n"/>
      <c r="U1119" s="160" t="n"/>
    </row>
    <row r="1120" ht="20.1" customFormat="1" customHeight="1" s="3">
      <c r="A1120" s="102" t="inlineStr">
        <is>
          <t>序号</t>
        </is>
      </c>
      <c r="B1120" s="103" t="inlineStr">
        <is>
          <t>元件名称</t>
        </is>
      </c>
      <c r="C1120" s="103" t="inlineStr">
        <is>
          <t>型号规格</t>
        </is>
      </c>
      <c r="D1120" s="104" t="inlineStr">
        <is>
          <t>生产厂家</t>
        </is>
      </c>
      <c r="E1120" s="105" t="inlineStr">
        <is>
          <t>单位</t>
        </is>
      </c>
      <c r="F1120" s="105" t="inlineStr">
        <is>
          <t>数量</t>
        </is>
      </c>
      <c r="G1120" s="382" t="inlineStr">
        <is>
          <t>单   价</t>
        </is>
      </c>
      <c r="H1120" s="383" t="inlineStr">
        <is>
          <t>总   价</t>
        </is>
      </c>
      <c r="I1120" s="134" t="inlineStr">
        <is>
          <t>备注</t>
        </is>
      </c>
      <c r="J1120" s="384" t="inlineStr">
        <is>
          <t>成本单价</t>
        </is>
      </c>
      <c r="K1120" s="384" t="inlineStr">
        <is>
          <t>成本总价</t>
        </is>
      </c>
      <c r="L1120" s="136" t="inlineStr">
        <is>
          <t>报出
系数</t>
        </is>
      </c>
      <c r="M1120" s="384" t="inlineStr">
        <is>
          <t>表价</t>
        </is>
      </c>
      <c r="N1120" s="136" t="inlineStr">
        <is>
          <t>折扣
系数</t>
        </is>
      </c>
      <c r="O1120" s="137" t="inlineStr">
        <is>
          <t>取费
系数</t>
        </is>
      </c>
      <c r="P1120" s="384" t="inlineStr">
        <is>
          <t>成套费</t>
        </is>
      </c>
      <c r="Q1120" s="161" t="inlineStr">
        <is>
          <t>类别</t>
        </is>
      </c>
      <c r="R1120" s="161" t="inlineStr">
        <is>
          <t>物料编码</t>
        </is>
      </c>
      <c r="S1120" s="161" t="inlineStr">
        <is>
          <t>产地</t>
        </is>
      </c>
      <c r="T1120" s="161" t="inlineStr">
        <is>
          <t>加工费</t>
        </is>
      </c>
      <c r="U1120" s="161" t="inlineStr">
        <is>
          <t>订货号</t>
        </is>
      </c>
      <c r="V1120" s="161" t="inlineStr">
        <is>
          <t>人工</t>
        </is>
      </c>
      <c r="W1120" s="161" t="inlineStr">
        <is>
          <t>辅料</t>
        </is>
      </c>
      <c r="X1120" s="162" t="inlineStr"/>
    </row>
    <row r="1121" customFormat="1" s="3">
      <c r="A1121" s="108">
        <f>ROW()-ROW(A$1120)</f>
        <v/>
      </c>
      <c r="B1121" s="109" t="inlineStr">
        <is>
          <t>双电源</t>
        </is>
      </c>
      <c r="C1121" s="109" t="inlineStr">
        <is>
          <t>MT50 H1 3P MIC 6.0 D</t>
        </is>
      </c>
      <c r="D1121" s="22" t="inlineStr">
        <is>
          <t>甲供/施耐德电气</t>
        </is>
      </c>
      <c r="E1121" s="110" t="inlineStr">
        <is>
          <t>只</t>
        </is>
      </c>
      <c r="F1121" s="110" t="n">
        <v>1</v>
      </c>
      <c r="G1121" s="385">
        <f>IF(AND(B1121="",C1121=""),"",ROUND(M1121*L1121*N1121,2))</f>
        <v/>
      </c>
      <c r="H1121" s="385">
        <f>IF(AND(B1121="",C1121=""),"",ROUND(F1121*G1121,2))</f>
        <v/>
      </c>
      <c r="I1121" s="138" t="inlineStr"/>
      <c r="J1121" s="386">
        <f>IF(AND(B1121="",C1121=""),"",ROUND(M1121*N1121,2))</f>
        <v/>
      </c>
      <c r="K1121" s="387">
        <f>IF(AND(B1121="",C1121=""),"",ROUND(J1121*F1121,2))</f>
        <v/>
      </c>
      <c r="L1121" s="141" t="n">
        <v>1</v>
      </c>
      <c r="M1121" s="388" t="n">
        <v>1e-07</v>
      </c>
      <c r="N1121" s="143" t="n">
        <v>1</v>
      </c>
      <c r="O1121" s="144">
        <f>IF(AND(B1121="",C1121=""),"",IF(G1121&gt;=20000,0.05,IF(G1121&gt;=10000,0.1,IF(G1121&gt;=5000,0.2,IF(G1121&gt;=1000,0.3,IF(G1121&gt;=0,0.4,{0}))))))</f>
        <v/>
      </c>
      <c r="P1121" s="389">
        <f>IF(AND(B1121="",C1121=""),"",ROUND(H1121*O1121,2))</f>
        <v/>
      </c>
      <c r="Q1121" s="390" t="inlineStr">
        <is>
          <t>元件</t>
        </is>
      </c>
      <c r="R1121" s="164" t="inlineStr"/>
      <c r="S1121" s="164" t="inlineStr"/>
      <c r="T1121" s="164" t="inlineStr">
        <is>
          <t>0</t>
        </is>
      </c>
      <c r="U1121" s="164" t="inlineStr">
        <is>
          <t>48327+48500+33542+48527+48494+48484+48408+48603+48170+48175+48384</t>
        </is>
      </c>
      <c r="V1121" s="391" t="n"/>
      <c r="W1121" s="391" t="n"/>
      <c r="X1121"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1122" customFormat="1" s="3">
      <c r="A1122" s="64">
        <f>ROW()-ROW(A$1120)</f>
        <v/>
      </c>
      <c r="B1122" s="27" t="inlineStr">
        <is>
          <t>多功能表</t>
        </is>
      </c>
      <c r="C1122" s="22" t="inlineStr">
        <is>
          <t>PM5350P</t>
        </is>
      </c>
      <c r="D1122" s="22" t="inlineStr">
        <is>
          <t>甲供/施耐德电气</t>
        </is>
      </c>
      <c r="E1122" s="110" t="inlineStr">
        <is>
          <t>只</t>
        </is>
      </c>
      <c r="F1122" s="23" t="n">
        <v>1</v>
      </c>
      <c r="G1122" s="353">
        <f>IF(AND(B1122="",C1122=""),"",ROUND(M1122*L1122*N1122,2))</f>
        <v/>
      </c>
      <c r="H1122" s="349">
        <f>IF(AND(B1122="",C1122=""),"",ROUND(F1122*G1122,2))</f>
        <v/>
      </c>
      <c r="I1122" s="45" t="inlineStr"/>
      <c r="J1122" s="392">
        <f>IF(AND(B1122="",C1122=""),"",ROUND(M1122*N1122,2))</f>
        <v/>
      </c>
      <c r="K1122" s="393">
        <f>IF(AND(B1122="",C1122=""),"",ROUND(J1122*F1122,2))</f>
        <v/>
      </c>
      <c r="L1122" s="141" t="n">
        <v>1</v>
      </c>
      <c r="M1122" s="394" t="n">
        <v>1e-07</v>
      </c>
      <c r="N1122" s="143" t="n">
        <v>1</v>
      </c>
      <c r="O1122" s="144">
        <f>IF(AND(B1122="",C1122=""),"",IF(G1122&gt;=20000,0.05,IF(G1122&gt;=10000,0.1,IF(G1122&gt;=5000,0.2,IF(G1122&gt;=1000,0.3,IF(G1122&gt;=0,0.4,{0}))))))</f>
        <v/>
      </c>
      <c r="P1122" s="395">
        <f>IF(AND(B1122="",C1122=""),"",ROUND(H1122*O1122,2))</f>
        <v/>
      </c>
      <c r="Q1122" s="390" t="inlineStr">
        <is>
          <t>元件</t>
        </is>
      </c>
      <c r="R1122" s="164" t="inlineStr"/>
      <c r="S1122" s="164" t="inlineStr"/>
      <c r="T1122" s="164" t="inlineStr">
        <is>
          <t>0</t>
        </is>
      </c>
      <c r="U1122" s="164" t="inlineStr">
        <is>
          <t>True</t>
        </is>
      </c>
      <c r="V1122" s="391" t="n"/>
      <c r="W1122" s="391" t="n"/>
      <c r="X1122" s="166" t="inlineStr">
        <is>
          <t>PM→PM4633→PM4201</t>
        </is>
      </c>
    </row>
    <row r="1123" customFormat="1" s="3">
      <c r="A1123" s="64">
        <f>ROW()-ROW(A$1120)</f>
        <v/>
      </c>
      <c r="B1123" s="27" t="inlineStr">
        <is>
          <t>电流互感器</t>
        </is>
      </c>
      <c r="C1123" s="22" t="inlineStr">
        <is>
          <t>SD-0.66-160III-C 5000/5A</t>
        </is>
      </c>
      <c r="D1123" s="27" t="inlineStr">
        <is>
          <t>桑迪</t>
        </is>
      </c>
      <c r="E1123" s="110" t="inlineStr">
        <is>
          <t>只</t>
        </is>
      </c>
      <c r="F1123" s="23" t="n">
        <v>6</v>
      </c>
      <c r="G1123" s="349">
        <f>IF(AND(B1123="",C1123=""),"",ROUND(M1123*L1123*N1123,2))</f>
        <v/>
      </c>
      <c r="H1123" s="349">
        <f>IF(AND(B1123="",C1123=""),"",ROUND(F1123*G1123,2))</f>
        <v/>
      </c>
      <c r="I1123" s="45" t="inlineStr"/>
      <c r="J1123" s="392">
        <f>IF(AND(B1123="",C1123=""),"",ROUND(M1123*N1123,2))</f>
        <v/>
      </c>
      <c r="K1123" s="393">
        <f>IF(AND(B1123="",C1123=""),"",ROUND(J1123*F1123,2))</f>
        <v/>
      </c>
      <c r="L1123" s="141" t="n">
        <v>1</v>
      </c>
      <c r="M1123" s="394" t="n">
        <v>510.25</v>
      </c>
      <c r="N1123" s="143" t="n">
        <v>1</v>
      </c>
      <c r="O1123" s="144">
        <f>IF(AND(B1123="",C1123=""),"",IF(G1123&gt;=20000,0.05,IF(G1123&gt;=10000,0.1,IF(G1123&gt;=5000,0.2,IF(G1123&gt;=1000,0.3,IF(G1123&gt;=0,0.4,{0}))))))</f>
        <v/>
      </c>
      <c r="P1123" s="395">
        <f>IF(AND(B1123="",C1123=""),"",ROUND(H1123*O1123,2))</f>
        <v/>
      </c>
      <c r="Q1123" s="390" t="inlineStr">
        <is>
          <t>元件</t>
        </is>
      </c>
      <c r="R1123" s="164" t="inlineStr"/>
      <c r="S1123" s="164" t="inlineStr"/>
      <c r="T1123" s="164" t="inlineStr">
        <is>
          <t>0</t>
        </is>
      </c>
      <c r="U1123" s="164" t="inlineStr"/>
      <c r="V1123" s="391" t="n"/>
      <c r="W1123" s="391" t="n"/>
      <c r="X1123"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t>
        </is>
      </c>
    </row>
    <row r="1124" customFormat="1" s="3">
      <c r="A1124" s="64">
        <f>ROW()-ROW(A$1120)</f>
        <v/>
      </c>
      <c r="B1124" s="27" t="inlineStr">
        <is>
          <t>后备保护器</t>
        </is>
      </c>
      <c r="C1124" s="22" t="inlineStr">
        <is>
          <t>iSCB1 25L2 4P</t>
        </is>
      </c>
      <c r="D1124" s="22" t="inlineStr">
        <is>
          <t>甲供/施耐德万高</t>
        </is>
      </c>
      <c r="E1124" s="110" t="inlineStr">
        <is>
          <t>只</t>
        </is>
      </c>
      <c r="F1124" s="23" t="n">
        <v>1</v>
      </c>
      <c r="G1124" s="349">
        <f>IF(AND(B1124="",C1124=""),"",ROUND(M1124*L1124*N1124,2))</f>
        <v/>
      </c>
      <c r="H1124" s="349">
        <f>IF(AND(B1124="",C1124=""),"",ROUND(F1124*G1124,2))</f>
        <v/>
      </c>
      <c r="I1124" s="45" t="inlineStr"/>
      <c r="J1124" s="392">
        <f>IF(AND(B1124="",C1124=""),"",ROUND(M1124*N1124,2))</f>
        <v/>
      </c>
      <c r="K1124" s="393">
        <f>IF(AND(B1124="",C1124=""),"",ROUND(J1124*F1124,2))</f>
        <v/>
      </c>
      <c r="L1124" s="141" t="n">
        <v>1</v>
      </c>
      <c r="M1124" s="394" t="n">
        <v>1e-07</v>
      </c>
      <c r="N1124" s="143" t="n">
        <v>1</v>
      </c>
      <c r="O1124" s="144">
        <f>IF(AND(B1124="",C1124=""),"",IF(G1124&gt;=20000,0.05,IF(G1124&gt;=10000,0.1,IF(G1124&gt;=5000,0.2,IF(G1124&gt;=1000,0.3,IF(G1124&gt;=0,0.4,{0}))))))</f>
        <v/>
      </c>
      <c r="P1124" s="395">
        <f>IF(AND(B1124="",C1124=""),"",ROUND(H1124*O1124,2))</f>
        <v/>
      </c>
      <c r="Q1124" s="390" t="inlineStr">
        <is>
          <t>元件</t>
        </is>
      </c>
      <c r="R1124" s="164" t="inlineStr"/>
      <c r="S1124" s="164" t="inlineStr"/>
      <c r="T1124" s="164" t="inlineStr">
        <is>
          <t>0</t>
        </is>
      </c>
      <c r="U1124" s="164" t="inlineStr">
        <is>
          <t>A9L102554</t>
        </is>
      </c>
      <c r="V1124" s="391" t="n"/>
      <c r="W1124" s="391" t="n"/>
      <c r="X1124" s="166" t="inlineStr">
        <is>
          <t>iSCB1 25L1 4P→iSCB2 40H2 4P</t>
        </is>
      </c>
    </row>
    <row r="1125" customFormat="1" s="3">
      <c r="A1125" s="64">
        <f>ROW()-ROW(A$1120)</f>
        <v/>
      </c>
      <c r="B1125" s="27" t="inlineStr">
        <is>
          <t>电涌保护器</t>
        </is>
      </c>
      <c r="C1125" s="22" t="inlineStr">
        <is>
          <t>iPRF1 12.5r 3P+N</t>
        </is>
      </c>
      <c r="D1125" s="22" t="inlineStr">
        <is>
          <t>甲供/施耐德万高</t>
        </is>
      </c>
      <c r="E1125" s="110" t="inlineStr">
        <is>
          <t>只</t>
        </is>
      </c>
      <c r="F1125" s="23" t="n">
        <v>1</v>
      </c>
      <c r="G1125" s="349">
        <f>IF(AND(B1125="",C1125=""),"",ROUND(M1125*L1125*N1125,2))</f>
        <v/>
      </c>
      <c r="H1125" s="349">
        <f>IF(AND(B1125="",C1125=""),"",ROUND(F1125*G1125,2))</f>
        <v/>
      </c>
      <c r="I1125" s="45" t="inlineStr"/>
      <c r="J1125" s="392">
        <f>IF(AND(B1125="",C1125=""),"",ROUND(M1125*N1125,2))</f>
        <v/>
      </c>
      <c r="K1125" s="393">
        <f>IF(AND(B1125="",C1125=""),"",ROUND(J1125*F1125,2))</f>
        <v/>
      </c>
      <c r="L1125" s="141" t="n">
        <v>1</v>
      </c>
      <c r="M1125" s="394" t="n">
        <v>1e-07</v>
      </c>
      <c r="N1125" s="143" t="n">
        <v>1</v>
      </c>
      <c r="O1125" s="144">
        <f>IF(AND(B1125="",C1125=""),"",IF(G1125&gt;=20000,0.05,IF(G1125&gt;=10000,0.1,IF(G1125&gt;=5000,0.2,IF(G1125&gt;=1000,0.3,IF(G1125&gt;=0,0.4,{0}))))))</f>
        <v/>
      </c>
      <c r="P1125" s="395">
        <f>IF(AND(B1125="",C1125=""),"",ROUND(H1125*O1125,2))</f>
        <v/>
      </c>
      <c r="Q1125" s="390" t="inlineStr">
        <is>
          <t>元件</t>
        </is>
      </c>
      <c r="R1125" s="164" t="inlineStr"/>
      <c r="S1125" s="164" t="inlineStr"/>
      <c r="T1125" s="164" t="inlineStr">
        <is>
          <t>0</t>
        </is>
      </c>
      <c r="U1125" s="164" t="inlineStr">
        <is>
          <t>A9L620601</t>
        </is>
      </c>
      <c r="V1125" s="391" t="n"/>
      <c r="W1125" s="391" t="n"/>
      <c r="X1125" s="166" t="inlineStr">
        <is>
          <t>iPRF1 12.5r 3P+N→iPRU 40r 3P→iPRF1 12.5r 3P+N</t>
        </is>
      </c>
    </row>
    <row r="1126" customFormat="1" s="3">
      <c r="A1126" s="64">
        <f>ROW()-ROW(A$1120)</f>
        <v/>
      </c>
      <c r="B1126" s="27" t="inlineStr">
        <is>
          <t>微型断路器</t>
        </is>
      </c>
      <c r="C1126" s="22" t="inlineStr">
        <is>
          <t>iC65H 2P C16A</t>
        </is>
      </c>
      <c r="D1126" s="22" t="inlineStr">
        <is>
          <t>甲供/施耐德电气</t>
        </is>
      </c>
      <c r="E1126" s="110" t="inlineStr">
        <is>
          <t>只</t>
        </is>
      </c>
      <c r="F1126" s="23" t="n">
        <v>2</v>
      </c>
      <c r="G1126" s="349">
        <f>IF(AND(B1126="",C1126=""),"",ROUND(M1126*L1126*N1126,2))</f>
        <v/>
      </c>
      <c r="H1126" s="349">
        <f>IF(AND(B1126="",C1126=""),"",ROUND(F1126*G1126,2))</f>
        <v/>
      </c>
      <c r="I1126" s="45" t="inlineStr"/>
      <c r="J1126" s="392">
        <f>IF(AND(B1126="",C1126=""),"",ROUND(M1126*N1126,2))</f>
        <v/>
      </c>
      <c r="K1126" s="393">
        <f>IF(AND(B1126="",C1126=""),"",ROUND(J1126*F1126,2))</f>
        <v/>
      </c>
      <c r="L1126" s="141" t="n">
        <v>1</v>
      </c>
      <c r="M1126" s="394" t="n">
        <v>1e-07</v>
      </c>
      <c r="N1126" s="143" t="n">
        <v>1</v>
      </c>
      <c r="O1126" s="144">
        <f>IF(AND(B1126="",C1126=""),"",IF(G1126&gt;=20000,0.05,IF(G1126&gt;=10000,0.1,IF(G1126&gt;=5000,0.2,IF(G1126&gt;=1000,0.3,IF(G1126&gt;=0,0.4,{0}))))))</f>
        <v/>
      </c>
      <c r="P1126" s="395">
        <f>IF(AND(B1126="",C1126=""),"",ROUND(H1126*O1126,2))</f>
        <v/>
      </c>
      <c r="Q1126" s="390" t="inlineStr">
        <is>
          <t>元件</t>
        </is>
      </c>
      <c r="R1126" s="164" t="inlineStr"/>
      <c r="S1126" s="164" t="inlineStr"/>
      <c r="T1126" s="164" t="n">
        <v>0</v>
      </c>
      <c r="U1126" s="164" t="inlineStr"/>
      <c r="V1126" s="391" t="n"/>
      <c r="W1126" s="391" t="n"/>
      <c r="X1126" s="166" t="inlineStr"/>
    </row>
    <row r="1127" customFormat="1" s="3">
      <c r="A1127" s="64">
        <f>ROW()-ROW(A$1120)</f>
        <v/>
      </c>
      <c r="B1127" s="27" t="inlineStr">
        <is>
          <t>微型断路器</t>
        </is>
      </c>
      <c r="C1127" s="22" t="inlineStr">
        <is>
          <t>iC65H 3P C32A</t>
        </is>
      </c>
      <c r="D1127" s="22" t="inlineStr">
        <is>
          <t>甲供/施耐德电气</t>
        </is>
      </c>
      <c r="E1127" s="110" t="inlineStr">
        <is>
          <t>只</t>
        </is>
      </c>
      <c r="F1127" s="23" t="n">
        <v>2</v>
      </c>
      <c r="G1127" s="349">
        <f>IF(AND(B1127="",C1127=""),"",ROUND(M1127*L1127*N1127,2))</f>
        <v/>
      </c>
      <c r="H1127" s="349">
        <f>IF(AND(B1127="",C1127=""),"",ROUND(F1127*G1127,2))</f>
        <v/>
      </c>
      <c r="I1127" s="45" t="inlineStr"/>
      <c r="J1127" s="392">
        <f>IF(AND(B1127="",C1127=""),"",ROUND(M1127*N1127,2))</f>
        <v/>
      </c>
      <c r="K1127" s="393">
        <f>IF(AND(B1127="",C1127=""),"",ROUND(J1127*F1127,2))</f>
        <v/>
      </c>
      <c r="L1127" s="141" t="n">
        <v>1</v>
      </c>
      <c r="M1127" s="394" t="n">
        <v>1e-07</v>
      </c>
      <c r="N1127" s="143" t="n">
        <v>1</v>
      </c>
      <c r="O1127" s="144">
        <f>IF(AND(B1127="",C1127=""),"",IF(G1127&gt;=20000,0.05,IF(G1127&gt;=10000,0.1,IF(G1127&gt;=5000,0.2,IF(G1127&gt;=1000,0.3,IF(G1127&gt;=0,0.4,{0}))))))</f>
        <v/>
      </c>
      <c r="P1127" s="395">
        <f>IF(AND(B1127="",C1127=""),"",ROUND(H1127*O1127,2))</f>
        <v/>
      </c>
      <c r="Q1127" s="390" t="inlineStr">
        <is>
          <t>元件</t>
        </is>
      </c>
      <c r="R1127" s="164" t="inlineStr"/>
      <c r="S1127" s="164" t="inlineStr"/>
      <c r="T1127" s="164" t="n">
        <v>0</v>
      </c>
      <c r="U1127" s="164" t="inlineStr"/>
      <c r="V1127" s="391" t="n"/>
      <c r="W1127" s="391" t="n"/>
      <c r="X1127" s="166" t="inlineStr"/>
    </row>
    <row r="1128" customFormat="1" s="3">
      <c r="A1128" s="64">
        <f>ROW()-ROW(A$1120)</f>
        <v/>
      </c>
      <c r="B1128" s="27" t="inlineStr">
        <is>
          <t>熔断器+底座</t>
        </is>
      </c>
      <c r="C1128" s="22" t="inlineStr">
        <is>
          <t>NT00 gG 690V/160A、NT00（新底座）</t>
        </is>
      </c>
      <c r="D1128" s="22" t="inlineStr">
        <is>
          <t>茗熔</t>
        </is>
      </c>
      <c r="E1128" s="110" t="inlineStr">
        <is>
          <t>只</t>
        </is>
      </c>
      <c r="F1128" s="23" t="n">
        <v>12</v>
      </c>
      <c r="G1128" s="349">
        <f>IF(AND(B1128="",C1128=""),"",ROUND(M1128*L1128*N1128,2))</f>
        <v/>
      </c>
      <c r="H1128" s="349">
        <f>IF(AND(B1128="",C1128=""),"",ROUND(F1128*G1128,2))</f>
        <v/>
      </c>
      <c r="I1128" s="45" t="inlineStr"/>
      <c r="J1128" s="392">
        <f>IF(AND(B1128="",C1128=""),"",ROUND(M1128*N1128,2))</f>
        <v/>
      </c>
      <c r="K1128" s="393">
        <f>IF(AND(B1128="",C1128=""),"",ROUND(J1128*F1128,2))</f>
        <v/>
      </c>
      <c r="L1128" s="141" t="n">
        <v>1</v>
      </c>
      <c r="M1128" s="394" t="n">
        <v>23.8</v>
      </c>
      <c r="N1128" s="143" t="n">
        <v>1</v>
      </c>
      <c r="O1128" s="144">
        <f>IF(AND(B1128="",C1128=""),"",IF(G1128&gt;=20000,0.05,IF(G1128&gt;=10000,0.1,IF(G1128&gt;=5000,0.2,IF(G1128&gt;=1000,0.3,IF(G1128&gt;=0,0.4,{0}))))))</f>
        <v/>
      </c>
      <c r="P1128" s="395">
        <f>IF(AND(B1128="",C1128=""),"",ROUND(H1128*O1128,2))</f>
        <v/>
      </c>
      <c r="Q1128" s="390" t="inlineStr">
        <is>
          <t>元件</t>
        </is>
      </c>
      <c r="R1128" s="164" t="inlineStr"/>
      <c r="S1128" s="164" t="inlineStr"/>
      <c r="T1128" s="164" t="inlineStr">
        <is>
          <t>0</t>
        </is>
      </c>
      <c r="U1128" s="164" t="inlineStr">
        <is>
          <t>0</t>
        </is>
      </c>
      <c r="V1128" s="391" t="n"/>
      <c r="W1128" s="391" t="n"/>
      <c r="X1128" s="166" t="inlineStr"/>
    </row>
    <row r="1129" s="308">
      <c r="A1129" s="64">
        <f>ROW()-ROW(A$1120)</f>
        <v/>
      </c>
      <c r="B1129" s="112" t="inlineStr">
        <is>
          <t>温湿度控制器</t>
        </is>
      </c>
      <c r="C1129" s="112" t="inlineStr">
        <is>
          <t>ATH48G-11</t>
        </is>
      </c>
      <c r="D1129" s="22" t="inlineStr">
        <is>
          <t>杭州安廷</t>
        </is>
      </c>
      <c r="E1129" s="23" t="inlineStr">
        <is>
          <t>套</t>
        </is>
      </c>
      <c r="F1129" s="23" t="n">
        <v>1</v>
      </c>
      <c r="G1129" s="349">
        <f>IF(AND(B1129="",C1129=""),"",ROUND(M1129*L1129*N1129,2))</f>
        <v/>
      </c>
      <c r="H1129" s="396">
        <f>IF(AND(B1129="",C1129=""),"",ROUND(F1129*G1129,2))</f>
        <v/>
      </c>
      <c r="I1129" s="150" t="inlineStr"/>
      <c r="J1129" s="397">
        <f>IF(AND(B1129="",C1129=""),"",ROUND(M1129*N1129,2))</f>
        <v/>
      </c>
      <c r="K1129" s="398">
        <f>IF(AND(B1129="",C1129=""),"",ROUND(J1129*F1129,2))</f>
        <v/>
      </c>
      <c r="L1129" s="141" t="n">
        <v>1</v>
      </c>
      <c r="M1129" s="399" t="n">
        <v>450</v>
      </c>
      <c r="N1129" s="154" t="n">
        <v>1</v>
      </c>
      <c r="O1129" s="155">
        <f>IF(AND(B1129="",C1129=""),"",IF(G1129&gt;=20000,0.05,IF(G1129&gt;=10000,0.1,IF(G1129&gt;=5000,0.2,IF(G1129&gt;=1000,0.3,IF(G1129&gt;=0,0.4,{0}))))))</f>
        <v/>
      </c>
      <c r="P1129" s="400">
        <f>IF(AND(B1129="",C1129=""),"",ROUND(H1129*O1129,2))</f>
        <v/>
      </c>
      <c r="Q1129" s="401" t="inlineStr">
        <is>
          <t>元件</t>
        </is>
      </c>
      <c r="R1129" s="168" t="inlineStr"/>
      <c r="S1129" s="168" t="inlineStr"/>
      <c r="T1129" s="168" t="inlineStr">
        <is>
          <t>0</t>
        </is>
      </c>
      <c r="U1129" s="168" t="inlineStr"/>
      <c r="V1129" s="402" t="n"/>
      <c r="W1129" s="402" t="n"/>
      <c r="X1129" s="170" t="inlineStr"/>
    </row>
    <row r="1130" s="308">
      <c r="A1130" s="64">
        <f>ROW()-ROW(A$1120)</f>
        <v/>
      </c>
      <c r="B1130" s="112" t="inlineStr">
        <is>
          <t>指示灯</t>
        </is>
      </c>
      <c r="C1130" s="112" t="inlineStr">
        <is>
          <t>XB2BVM3LC</t>
        </is>
      </c>
      <c r="D1130" s="112" t="inlineStr">
        <is>
          <t>甲供/施耐德电气</t>
        </is>
      </c>
      <c r="E1130" s="114" t="inlineStr">
        <is>
          <t>只</t>
        </is>
      </c>
      <c r="F1130" s="114" t="n">
        <v>1</v>
      </c>
      <c r="G1130" s="396">
        <f>IF(AND(B1130="",C1130=""),"",ROUND(M1130*L1130*N1130,2))</f>
        <v/>
      </c>
      <c r="H1130" s="396">
        <f>IF(AND(B1130="",C1130=""),"",ROUND(F1130*G1130,2))</f>
        <v/>
      </c>
      <c r="I1130" s="150" t="inlineStr"/>
      <c r="J1130" s="397">
        <f>IF(AND(B1130="",C1130=""),"",ROUND(M1130*N1130,2))</f>
        <v/>
      </c>
      <c r="K1130" s="398">
        <f>IF(AND(B1130="",C1130=""),"",ROUND(J1130*F1130,2))</f>
        <v/>
      </c>
      <c r="L1130" s="141" t="n">
        <v>1</v>
      </c>
      <c r="M1130" s="399" t="n">
        <v>1e-07</v>
      </c>
      <c r="N1130" s="154" t="n">
        <v>1</v>
      </c>
      <c r="O1130" s="155">
        <f>IF(AND(B1130="",C1130=""),"",IF(G1130&gt;=20000,0.05,IF(G1130&gt;=10000,0.1,IF(G1130&gt;=5000,0.2,IF(G1130&gt;=1000,0.3,IF(G1130&gt;=0,0.4,{0}))))))</f>
        <v/>
      </c>
      <c r="P1130" s="400">
        <f>IF(AND(B1130="",C1130=""),"",ROUND(H1130*O1130,2))</f>
        <v/>
      </c>
      <c r="Q1130" s="401" t="inlineStr">
        <is>
          <t>元件</t>
        </is>
      </c>
      <c r="R1130" s="168" t="inlineStr"/>
      <c r="S1130" s="168" t="inlineStr"/>
      <c r="T1130" s="168" t="inlineStr">
        <is>
          <t>0</t>
        </is>
      </c>
      <c r="U1130" s="168" t="inlineStr">
        <is>
          <t>XA2EVM3LC</t>
        </is>
      </c>
      <c r="V1130" s="402" t="n"/>
      <c r="W1130" s="402" t="n"/>
      <c r="X1130" s="170" t="inlineStr"/>
    </row>
    <row r="1131" s="308">
      <c r="A1131" s="64">
        <f>ROW()-ROW(A$1120)</f>
        <v/>
      </c>
      <c r="B1131" s="112" t="inlineStr">
        <is>
          <t>指示灯</t>
        </is>
      </c>
      <c r="C1131" s="22" t="inlineStr">
        <is>
          <t>XB2BVM4LC</t>
        </is>
      </c>
      <c r="D1131" s="112" t="inlineStr">
        <is>
          <t>甲供/施耐德电气</t>
        </is>
      </c>
      <c r="E1131" s="114" t="inlineStr">
        <is>
          <t>只</t>
        </is>
      </c>
      <c r="F1131" s="114" t="n">
        <v>1</v>
      </c>
      <c r="G1131" s="396">
        <f>IF(AND(B1131="",C1131=""),"",ROUND(M1131*L1131*N1131,2))</f>
        <v/>
      </c>
      <c r="H1131" s="396">
        <f>IF(AND(B1131="",C1131=""),"",ROUND(F1131*G1131,2))</f>
        <v/>
      </c>
      <c r="I1131" s="150" t="inlineStr"/>
      <c r="J1131" s="397">
        <f>IF(AND(B1131="",C1131=""),"",ROUND(M1131*N1131,2))</f>
        <v/>
      </c>
      <c r="K1131" s="398">
        <f>IF(AND(B1131="",C1131=""),"",ROUND(J1131*F1131,2))</f>
        <v/>
      </c>
      <c r="L1131" s="141" t="n">
        <v>1</v>
      </c>
      <c r="M1131" s="399" t="n">
        <v>1e-07</v>
      </c>
      <c r="N1131" s="154" t="n">
        <v>1</v>
      </c>
      <c r="O1131" s="155">
        <f>IF(AND(B1131="",C1131=""),"",IF(G1131&gt;=20000,0.05,IF(G1131&gt;=10000,0.1,IF(G1131&gt;=5000,0.2,IF(G1131&gt;=1000,0.3,IF(G1131&gt;=0,0.4,{0}))))))</f>
        <v/>
      </c>
      <c r="P1131" s="400">
        <f>IF(AND(B1131="",C1131=""),"",ROUND(H1131*O1131,2))</f>
        <v/>
      </c>
      <c r="Q1131" s="401" t="inlineStr">
        <is>
          <t>元件</t>
        </is>
      </c>
      <c r="R1131" s="168" t="inlineStr"/>
      <c r="S1131" s="168" t="inlineStr"/>
      <c r="T1131" s="168" t="inlineStr">
        <is>
          <t>0</t>
        </is>
      </c>
      <c r="U1131" s="168" t="inlineStr">
        <is>
          <t>XA2EVM4LC</t>
        </is>
      </c>
      <c r="V1131" s="402" t="n"/>
      <c r="W1131" s="402" t="n"/>
      <c r="X1131" s="170" t="inlineStr"/>
    </row>
    <row r="1132" s="308">
      <c r="A1132" s="64">
        <f>ROW()-ROW(A$1120)</f>
        <v/>
      </c>
      <c r="B1132" s="112" t="inlineStr">
        <is>
          <t>指示灯</t>
        </is>
      </c>
      <c r="C1132" s="112" t="inlineStr">
        <is>
          <t>XB2BVM5LC</t>
        </is>
      </c>
      <c r="D1132" s="112" t="inlineStr">
        <is>
          <t>甲供/施耐德电气</t>
        </is>
      </c>
      <c r="E1132" s="114" t="inlineStr">
        <is>
          <t>只</t>
        </is>
      </c>
      <c r="F1132" s="114" t="n">
        <v>1</v>
      </c>
      <c r="G1132" s="396">
        <f>IF(AND(B1132="",C1132=""),"",ROUND(M1132*L1132*N1132,2))</f>
        <v/>
      </c>
      <c r="H1132" s="396">
        <f>IF(AND(B1132="",C1132=""),"",ROUND(F1132*G1132,2))</f>
        <v/>
      </c>
      <c r="I1132" s="150" t="inlineStr"/>
      <c r="J1132" s="397">
        <f>IF(AND(B1132="",C1132=""),"",ROUND(M1132*N1132,2))</f>
        <v/>
      </c>
      <c r="K1132" s="398">
        <f>IF(AND(B1132="",C1132=""),"",ROUND(J1132*F1132,2))</f>
        <v/>
      </c>
      <c r="L1132" s="141" t="n">
        <v>1</v>
      </c>
      <c r="M1132" s="399" t="n">
        <v>1e-07</v>
      </c>
      <c r="N1132" s="154" t="n">
        <v>1</v>
      </c>
      <c r="O1132" s="155">
        <f>IF(AND(B1132="",C1132=""),"",IF(G1132&gt;=20000,0.05,IF(G1132&gt;=10000,0.1,IF(G1132&gt;=5000,0.2,IF(G1132&gt;=1000,0.3,IF(G1132&gt;=0,0.4,{0}))))))</f>
        <v/>
      </c>
      <c r="P1132" s="400">
        <f>IF(AND(B1132="",C1132=""),"",ROUND(H1132*O1132,2))</f>
        <v/>
      </c>
      <c r="Q1132" s="401" t="inlineStr">
        <is>
          <t>元件</t>
        </is>
      </c>
      <c r="R1132" s="168" t="inlineStr"/>
      <c r="S1132" s="168" t="inlineStr"/>
      <c r="T1132" s="168" t="inlineStr">
        <is>
          <t>0</t>
        </is>
      </c>
      <c r="U1132" s="168" t="inlineStr">
        <is>
          <t>XA2EVM5LC</t>
        </is>
      </c>
      <c r="V1132" s="402" t="n"/>
      <c r="W1132" s="402" t="n"/>
      <c r="X1132" s="170" t="inlineStr"/>
    </row>
    <row r="1133" s="308">
      <c r="A1133" s="64">
        <f>ROW()-ROW(A$1120)</f>
        <v/>
      </c>
      <c r="B1133" s="112" t="inlineStr">
        <is>
          <t>按钮</t>
        </is>
      </c>
      <c r="C1133" s="112" t="inlineStr">
        <is>
          <t>XB2BA31C</t>
        </is>
      </c>
      <c r="D1133" s="112" t="inlineStr">
        <is>
          <t>甲供/施耐德电气</t>
        </is>
      </c>
      <c r="E1133" s="114" t="inlineStr">
        <is>
          <t>只</t>
        </is>
      </c>
      <c r="F1133" s="114" t="n">
        <v>1</v>
      </c>
      <c r="G1133" s="396">
        <f>IF(AND(B1133="",C1133=""),"",ROUND(M1133*L1133*N1133,2))</f>
        <v/>
      </c>
      <c r="H1133" s="396">
        <f>IF(AND(B1133="",C1133=""),"",ROUND(F1133*G1133,2))</f>
        <v/>
      </c>
      <c r="I1133" s="150" t="inlineStr"/>
      <c r="J1133" s="397">
        <f>IF(AND(B1133="",C1133=""),"",ROUND(M1133*N1133,2))</f>
        <v/>
      </c>
      <c r="K1133" s="398">
        <f>IF(AND(B1133="",C1133=""),"",ROUND(J1133*F1133,2))</f>
        <v/>
      </c>
      <c r="L1133" s="141" t="n">
        <v>1</v>
      </c>
      <c r="M1133" s="399" t="n">
        <v>1e-07</v>
      </c>
      <c r="N1133" s="154" t="n">
        <v>1</v>
      </c>
      <c r="O1133" s="155">
        <f>IF(AND(B1133="",C1133=""),"",IF(G1133&gt;=20000,0.05,IF(G1133&gt;=10000,0.1,IF(G1133&gt;=5000,0.2,IF(G1133&gt;=1000,0.3,IF(G1133&gt;=0,0.4,{0}))))))</f>
        <v/>
      </c>
      <c r="P1133" s="400">
        <f>IF(AND(B1133="",C1133=""),"",ROUND(H1133*O1133,2))</f>
        <v/>
      </c>
      <c r="Q1133" s="401" t="inlineStr">
        <is>
          <t>元件</t>
        </is>
      </c>
      <c r="R1133" s="168" t="inlineStr"/>
      <c r="S1133" s="168" t="inlineStr"/>
      <c r="T1133" s="168" t="inlineStr">
        <is>
          <t>0</t>
        </is>
      </c>
      <c r="U1133" s="168" t="inlineStr">
        <is>
          <t>XB2BA31C</t>
        </is>
      </c>
      <c r="V1133" s="402" t="n"/>
      <c r="W1133" s="402" t="n"/>
      <c r="X1133" s="170" t="inlineStr">
        <is>
          <t>XA2EA31</t>
        </is>
      </c>
    </row>
    <row r="1134" s="308">
      <c r="A1134" s="64">
        <f>ROW()-ROW(A$1120)</f>
        <v/>
      </c>
      <c r="B1134" s="22" t="inlineStr">
        <is>
          <t>按钮</t>
        </is>
      </c>
      <c r="C1134" s="22" t="inlineStr">
        <is>
          <t>XB2BA42C</t>
        </is>
      </c>
      <c r="D1134" s="22" t="inlineStr">
        <is>
          <t>甲供/施耐德电气</t>
        </is>
      </c>
      <c r="E1134" s="23" t="inlineStr">
        <is>
          <t>只</t>
        </is>
      </c>
      <c r="F1134" s="23" t="n">
        <v>1</v>
      </c>
      <c r="G1134" s="349">
        <f>IF(AND(B1134="",C1134=""),"",ROUND(M1134*L1134*N1134,2))</f>
        <v/>
      </c>
      <c r="H1134" s="396">
        <f>IF(AND(B1134="",C1134=""),"",ROUND(F1134*G1134,2))</f>
        <v/>
      </c>
      <c r="I1134" s="150" t="inlineStr"/>
      <c r="J1134" s="397">
        <f>IF(AND(B1134="",C1134=""),"",ROUND(M1134*N1134,2))</f>
        <v/>
      </c>
      <c r="K1134" s="398">
        <f>IF(AND(B1134="",C1134=""),"",ROUND(J1134*F1134,2))</f>
        <v/>
      </c>
      <c r="L1134" s="141" t="n">
        <v>1</v>
      </c>
      <c r="M1134" s="399" t="n">
        <v>1e-07</v>
      </c>
      <c r="N1134" s="154" t="n">
        <v>1</v>
      </c>
      <c r="O1134" s="155">
        <f>IF(AND(B1134="",C1134=""),"",IF(G1134&gt;=20000,0.05,IF(G1134&gt;=10000,0.1,IF(G1134&gt;=5000,0.2,IF(G1134&gt;=1000,0.3,IF(G1134&gt;=0,0.4,{0}))))))</f>
        <v/>
      </c>
      <c r="P1134" s="400">
        <f>IF(AND(B1134="",C1134=""),"",ROUND(H1134*O1134,2))</f>
        <v/>
      </c>
      <c r="Q1134" s="401" t="inlineStr">
        <is>
          <t>元件</t>
        </is>
      </c>
      <c r="R1134" s="168" t="inlineStr"/>
      <c r="S1134" s="168" t="inlineStr"/>
      <c r="T1134" s="168" t="inlineStr">
        <is>
          <t>0</t>
        </is>
      </c>
      <c r="U1134" s="168" t="inlineStr">
        <is>
          <t>XB2BA42C</t>
        </is>
      </c>
      <c r="V1134" s="402" t="n"/>
      <c r="W1134" s="402" t="n"/>
      <c r="X1134" s="170" t="inlineStr">
        <is>
          <t>XA2EA41</t>
        </is>
      </c>
    </row>
    <row r="1135" s="308">
      <c r="A1135" s="64">
        <f>ROW()-ROW(A$1120)</f>
        <v/>
      </c>
      <c r="B1135" s="112" t="inlineStr">
        <is>
          <t>带熔丝端子</t>
        </is>
      </c>
      <c r="C1135" s="112" t="inlineStr">
        <is>
          <t>UK 5-HESI</t>
        </is>
      </c>
      <c r="D1135" s="22" t="inlineStr">
        <is>
          <t>菲尼克斯</t>
        </is>
      </c>
      <c r="E1135" s="23" t="inlineStr">
        <is>
          <t>只</t>
        </is>
      </c>
      <c r="F1135" s="23" t="n">
        <v>7</v>
      </c>
      <c r="G1135" s="349">
        <f>IF(AND(B1135="",C1135=""),"",ROUND(M1135*L1135*N1135,2))</f>
        <v/>
      </c>
      <c r="H1135" s="396">
        <f>IF(AND(B1135="",C1135=""),"",ROUND(F1135*G1135,2))</f>
        <v/>
      </c>
      <c r="I1135" s="150" t="inlineStr"/>
      <c r="J1135" s="397">
        <f>IF(AND(B1135="",C1135=""),"",ROUND(M1135*N1135,2))</f>
        <v/>
      </c>
      <c r="K1135" s="398">
        <f>IF(AND(B1135="",C1135=""),"",ROUND(J1135*F1135,2))</f>
        <v/>
      </c>
      <c r="L1135" s="141" t="n">
        <v>1</v>
      </c>
      <c r="M1135" s="399" t="n">
        <v>7</v>
      </c>
      <c r="N1135" s="154" t="n">
        <v>1</v>
      </c>
      <c r="O1135" s="155">
        <f>IF(AND(B1135="",C1135=""),"",IF(G1135&gt;=20000,0.05,IF(G1135&gt;=10000,0.1,IF(G1135&gt;=5000,0.2,IF(G1135&gt;=1000,0.3,IF(G1135&gt;=0,0.4,{0}))))))</f>
        <v/>
      </c>
      <c r="P1135" s="400">
        <f>IF(AND(B1135="",C1135=""),"",ROUND(H1135*O1135,2))</f>
        <v/>
      </c>
      <c r="Q1135" s="401" t="inlineStr">
        <is>
          <t>元件</t>
        </is>
      </c>
      <c r="R1135" s="168" t="inlineStr"/>
      <c r="S1135" s="168" t="inlineStr"/>
      <c r="T1135" s="168" t="inlineStr">
        <is>
          <t>0</t>
        </is>
      </c>
      <c r="U1135" s="168" t="inlineStr"/>
      <c r="V1135" s="402" t="n"/>
      <c r="W1135" s="402" t="n"/>
      <c r="X1135" s="170" t="inlineStr"/>
    </row>
    <row r="1136" s="308">
      <c r="A1136" s="64">
        <f>ROW()-ROW(A$1120)</f>
        <v/>
      </c>
      <c r="B1136" s="112" t="inlineStr">
        <is>
          <t>L型端子</t>
        </is>
      </c>
      <c r="C1136" s="112" t="inlineStr">
        <is>
          <t>GH100710</t>
        </is>
      </c>
      <c r="D1136" s="22" t="inlineStr">
        <is>
          <t>施耐德电气</t>
        </is>
      </c>
      <c r="E1136" s="23" t="inlineStr">
        <is>
          <t>只</t>
        </is>
      </c>
      <c r="F1136" s="23" t="n">
        <v>6</v>
      </c>
      <c r="G1136" s="349">
        <f>IF(AND(B1136="",C1136=""),"",ROUND(M1136*L1136*N1136,2))</f>
        <v/>
      </c>
      <c r="H1136" s="396">
        <f>IF(AND(B1136="",C1136=""),"",ROUND(F1136*G1136,2))</f>
        <v/>
      </c>
      <c r="I1136" s="150" t="inlineStr"/>
      <c r="J1136" s="397">
        <f>IF(AND(B1136="",C1136=""),"",ROUND(M1136*N1136,2))</f>
        <v/>
      </c>
      <c r="K1136" s="398">
        <f>IF(AND(B1136="",C1136=""),"",ROUND(J1136*F1136,2))</f>
        <v/>
      </c>
      <c r="L1136" s="141" t="n">
        <v>1</v>
      </c>
      <c r="M1136" s="399" t="n">
        <v>1125.85</v>
      </c>
      <c r="N1136" s="154" t="n">
        <v>0.45</v>
      </c>
      <c r="O1136" s="155">
        <f>IF(AND(B1136="",C1136=""),"",IF(G1136&gt;=20000,0.05,IF(G1136&gt;=10000,0.1,IF(G1136&gt;=5000,0.2,IF(G1136&gt;=1000,0.3,IF(G1136&gt;=0,0.4,{0}))))))</f>
        <v/>
      </c>
      <c r="P1136" s="400">
        <f>IF(AND(B1136="",C1136=""),"",ROUND(H1136*O1136,2))</f>
        <v/>
      </c>
      <c r="Q1136" s="401" t="inlineStr">
        <is>
          <t>元件</t>
        </is>
      </c>
      <c r="R1136" s="168" t="inlineStr"/>
      <c r="S1136" s="168" t="inlineStr"/>
      <c r="T1136" s="168" t="inlineStr">
        <is>
          <t>0</t>
        </is>
      </c>
      <c r="U1136" s="168" t="inlineStr"/>
      <c r="V1136" s="402" t="n"/>
      <c r="W1136" s="402" t="n"/>
      <c r="X1136" s="170" t="inlineStr"/>
    </row>
    <row r="1137" s="308">
      <c r="A1137" s="64">
        <f>ROW()-ROW(A$1120)</f>
        <v/>
      </c>
      <c r="B1137" s="112" t="inlineStr">
        <is>
          <t>T型端子</t>
        </is>
      </c>
      <c r="C1137" s="112" t="inlineStr">
        <is>
          <t>87408</t>
        </is>
      </c>
      <c r="D1137" s="22" t="inlineStr">
        <is>
          <t>施耐德电气</t>
        </is>
      </c>
      <c r="E1137" s="23" t="inlineStr">
        <is>
          <t>只</t>
        </is>
      </c>
      <c r="F1137" s="23" t="n">
        <v>6</v>
      </c>
      <c r="G1137" s="349">
        <f>IF(AND(B1137="",C1137=""),"",ROUND(M1137*L1137*N1137,2))</f>
        <v/>
      </c>
      <c r="H1137" s="396">
        <f>IF(AND(B1137="",C1137=""),"",ROUND(F1137*G1137,2))</f>
        <v/>
      </c>
      <c r="I1137" s="150" t="inlineStr"/>
      <c r="J1137" s="397">
        <f>IF(AND(B1137="",C1137=""),"",ROUND(M1137*N1137,2))</f>
        <v/>
      </c>
      <c r="K1137" s="398">
        <f>IF(AND(B1137="",C1137=""),"",ROUND(J1137*F1137,2))</f>
        <v/>
      </c>
      <c r="L1137" s="141" t="n">
        <v>1</v>
      </c>
      <c r="M1137" s="399" t="n">
        <v>659.91</v>
      </c>
      <c r="N1137" s="154" t="n">
        <v>0.45</v>
      </c>
      <c r="O1137" s="155">
        <f>IF(AND(B1137="",C1137=""),"",IF(G1137&gt;=20000,0.05,IF(G1137&gt;=10000,0.1,IF(G1137&gt;=5000,0.2,IF(G1137&gt;=1000,0.3,IF(G1137&gt;=0,0.4,{0}))))))</f>
        <v/>
      </c>
      <c r="P1137" s="400">
        <f>IF(AND(B1137="",C1137=""),"",ROUND(H1137*O1137,2))</f>
        <v/>
      </c>
      <c r="Q1137" s="401" t="inlineStr">
        <is>
          <t>元件</t>
        </is>
      </c>
      <c r="R1137" s="168" t="inlineStr"/>
      <c r="S1137" s="168" t="inlineStr"/>
      <c r="T1137" s="168" t="inlineStr">
        <is>
          <t>0</t>
        </is>
      </c>
      <c r="U1137" s="168" t="inlineStr"/>
      <c r="V1137" s="402" t="n"/>
      <c r="W1137" s="402" t="n"/>
      <c r="X1137" s="170" t="inlineStr"/>
    </row>
    <row r="1138" s="308">
      <c r="A1138" s="64">
        <f>ROW()-ROW(A$1120)</f>
        <v/>
      </c>
      <c r="B1138" s="33" t="inlineStr">
        <is>
          <t>水平母排</t>
        </is>
      </c>
      <c r="C1138" s="22" t="inlineStr">
        <is>
          <t>TMY 4*(4*150*5)+2*50*5</t>
        </is>
      </c>
      <c r="D1138" s="22" t="inlineStr">
        <is>
          <t>国产优质</t>
        </is>
      </c>
      <c r="E1138" s="23" t="inlineStr">
        <is>
          <t>米</t>
        </is>
      </c>
      <c r="F1138" s="23" t="n">
        <v>1.2</v>
      </c>
      <c r="G1138" s="349">
        <f>IF(AND(B1138="",C1138=""),"",ROUND(M1138*L1138*N1138,2))</f>
        <v/>
      </c>
      <c r="H1138" s="349">
        <f>IF(AND(B1138="",C1138=""),"",ROUND(F1138*G1138,2))</f>
        <v/>
      </c>
      <c r="I1138" s="179" t="inlineStr"/>
      <c r="J1138" s="397">
        <f>IF(AND(B1138="",C1138=""),"",ROUND(M1138*N1138,2))</f>
        <v/>
      </c>
      <c r="K1138" s="398">
        <f>IF(AND(B1138="",C1138=""),"",ROUND(J1138*F1138,2))</f>
        <v/>
      </c>
      <c r="L1138" s="141" t="n">
        <v>1</v>
      </c>
      <c r="M1138" s="399" t="n">
        <v>12026.68125</v>
      </c>
      <c r="N1138" s="154">
        <f>(6317.932*1*1+2684.8*1*1)/9002.732</f>
        <v/>
      </c>
      <c r="O1138" s="155">
        <f>IF(AND(B1138="",C1138=""),"",IF(G1138&gt;=20000,0.05,IF(G1138&gt;=10000,0.1,IF(G1138&gt;=5000,0.2,IF(G1138&gt;=1000,0.3,IF(G1138&gt;=0,0.4,{0}))))))</f>
        <v/>
      </c>
      <c r="P1138" s="400">
        <f>IF(AND(B1138="",C1138=""),"",ROUND(H1138*O1138,2))</f>
        <v/>
      </c>
      <c r="Q1138" s="401" t="inlineStr">
        <is>
          <t>母排</t>
        </is>
      </c>
      <c r="R1138" s="168" t="inlineStr"/>
      <c r="S1138" s="168" t="inlineStr"/>
      <c r="T1138" s="168" t="inlineStr">
        <is>
          <t>0</t>
        </is>
      </c>
      <c r="U1138" s="168" t="inlineStr"/>
      <c r="V1138" s="402" t="n"/>
      <c r="W1138" s="402" t="n"/>
      <c r="X1138" s="170" t="inlineStr"/>
    </row>
    <row r="1139" customFormat="1" s="3">
      <c r="A1139" s="64">
        <f>ROW()-ROW(A$1120)</f>
        <v/>
      </c>
      <c r="B1139" s="27" t="inlineStr">
        <is>
          <t>铜排</t>
        </is>
      </c>
      <c r="C1139" s="27" t="inlineStr">
        <is>
          <t>TMY</t>
        </is>
      </c>
      <c r="D1139" s="22" t="inlineStr">
        <is>
          <t>国产优质</t>
        </is>
      </c>
      <c r="E1139" s="23" t="inlineStr">
        <is>
          <t>kg</t>
        </is>
      </c>
      <c r="F1139" s="28" t="n">
        <v>422</v>
      </c>
      <c r="G1139" s="353">
        <f>IF(AND(B1139="",C1139=""),"",ROUND(M1139*L1139*N1139,2))</f>
        <v/>
      </c>
      <c r="H1139" s="353">
        <f>IF(AND(B1139="",C1139=""),"",ROUND(F1139*G1139,2))</f>
        <v/>
      </c>
      <c r="I1139" s="180" t="inlineStr"/>
      <c r="J1139" s="392">
        <f>IF(AND(B1139="",C1139=""),"",ROUND(M1139*N1139,2))</f>
        <v/>
      </c>
      <c r="K1139" s="393">
        <f>IF(AND(B1139="",C1139=""),"",ROUND(J1139*F1139,2))</f>
        <v/>
      </c>
      <c r="L1139" s="141" t="n">
        <v>1</v>
      </c>
      <c r="M1139" s="394" t="n">
        <v>108.105</v>
      </c>
      <c r="N1139" s="143" t="n">
        <v>1</v>
      </c>
      <c r="O1139" s="144">
        <f>IF(AND(B1139="",C1139=""),"",IF(G1139&gt;=20000,0.05,IF(G1139&gt;=10000,0.1,IF(G1139&gt;=5000,0.2,IF(G1139&gt;=1000,0.3,IF(G1139&gt;=0,0.4,{0}))))))</f>
        <v/>
      </c>
      <c r="P1139" s="395">
        <f>IF(AND(B1139="",C1139=""),"",ROUND(H1139*O1139,2))</f>
        <v/>
      </c>
      <c r="Q1139" s="390" t="inlineStr">
        <is>
          <t>母排</t>
        </is>
      </c>
      <c r="R1139" s="164" t="inlineStr"/>
      <c r="S1139" s="164" t="inlineStr"/>
      <c r="T1139" s="164" t="inlineStr">
        <is>
          <t>0</t>
        </is>
      </c>
      <c r="U1139" s="164" t="inlineStr"/>
      <c r="V1139" s="391" t="n"/>
      <c r="W1139" s="391" t="n"/>
      <c r="X1139" s="166" t="inlineStr"/>
    </row>
    <row r="1140" s="308">
      <c r="A1140" s="64">
        <f>ROW()-ROW(A$1120)</f>
        <v/>
      </c>
      <c r="B1140" s="22" t="inlineStr">
        <is>
          <t>辅料</t>
        </is>
      </c>
      <c r="C1140" s="22" t="inlineStr"/>
      <c r="D1140" s="22" t="inlineStr"/>
      <c r="E1140" s="23" t="inlineStr">
        <is>
          <t>套</t>
        </is>
      </c>
      <c r="F1140" s="23" t="n">
        <v>1</v>
      </c>
      <c r="G1140" s="349">
        <f>IF(AND(B1140="",C1140=""),"",ROUND(M1140*L1140*N1140,2))</f>
        <v/>
      </c>
      <c r="H1140" s="349">
        <f>IF(AND(B1140="",C1140=""),"",ROUND(F1140*G1140,2))</f>
        <v/>
      </c>
      <c r="I1140" s="179" t="inlineStr"/>
      <c r="J1140" s="397">
        <f>IF(AND(B1140="",C1140=""),"",ROUND(M1140*N1140,2))</f>
        <v/>
      </c>
      <c r="K1140" s="398">
        <f>IF(AND(B1140="",C1140=""),"",ROUND(J1140*F1140,2))</f>
        <v/>
      </c>
      <c r="L1140" s="141" t="n">
        <v>1</v>
      </c>
      <c r="M1140" s="399" t="n">
        <v>550</v>
      </c>
      <c r="N1140" s="154" t="n">
        <v>1</v>
      </c>
      <c r="O1140" s="155">
        <f>IF(AND(B1140="",C1140=""),"",IF(G1140&gt;=20000,0.05,IF(G1140&gt;=10000,0.1,IF(G1140&gt;=5000,0.2,IF(G1140&gt;=1000,0.3,IF(G1140&gt;=0,0.4,{0}))))))</f>
        <v/>
      </c>
      <c r="P1140" s="400">
        <f>IF(AND(B1140="",C1140=""),"",ROUND(H1140*O1140,2))</f>
        <v/>
      </c>
      <c r="Q1140" s="401" t="inlineStr">
        <is>
          <t>辅料</t>
        </is>
      </c>
      <c r="R1140" s="168" t="inlineStr"/>
      <c r="S1140" s="168" t="inlineStr"/>
      <c r="T1140" s="168" t="inlineStr">
        <is>
          <t>0</t>
        </is>
      </c>
      <c r="U1140" s="168" t="inlineStr"/>
      <c r="V1140" s="402" t="n"/>
      <c r="W1140" s="402" t="n"/>
      <c r="X1140" s="170" t="inlineStr"/>
    </row>
    <row r="1141" s="308">
      <c r="A1141" s="64">
        <f>ROW()-ROW(A$1120)</f>
        <v/>
      </c>
      <c r="B1141" s="22" t="inlineStr">
        <is>
          <t>柜体Blokset</t>
        </is>
      </c>
      <c r="C1141" s="33" t="inlineStr">
        <is>
          <t>1200W*1200D*2200H</t>
        </is>
      </c>
      <c r="D1141" s="22" t="inlineStr">
        <is>
          <t>清科</t>
        </is>
      </c>
      <c r="E1141" s="23" t="inlineStr">
        <is>
          <t>台</t>
        </is>
      </c>
      <c r="F1141" s="23" t="n">
        <v>1</v>
      </c>
      <c r="G1141" s="349">
        <f>IF(AND(B1141="",C1141=""),"",ROUND(M1141*L1141*N1141,2))</f>
        <v/>
      </c>
      <c r="H1141" s="349">
        <f>IF(AND(B1141="",C1141=""),"",ROUND(F1141*G1141,2))</f>
        <v/>
      </c>
      <c r="I1141" s="179" t="inlineStr"/>
      <c r="J1141" s="397">
        <f>IF(AND(B1141="",C1141=""),"",ROUND(M1141*N1141,2))</f>
        <v/>
      </c>
      <c r="K1141" s="398">
        <f>IF(AND(B1141="",C1141=""),"",ROUND(J1141*F1141,2))</f>
        <v/>
      </c>
      <c r="L1141" s="141" t="n">
        <v>1</v>
      </c>
      <c r="M1141" s="399" t="n">
        <v>5676</v>
      </c>
      <c r="N1141" s="154" t="n">
        <v>1</v>
      </c>
      <c r="O1141" s="155">
        <f>IF(AND(B1141="",C1141=""),"",IF(G1141&gt;=20000,0.05,IF(G1141&gt;=10000,0.1,IF(G1141&gt;=5000,0.2,IF(G1141&gt;=1000,0.3,IF(G1141&gt;=0,0.4,{0}))))))</f>
        <v/>
      </c>
      <c r="P1141" s="400">
        <f>IF(AND(B1141="",C1141=""),"",ROUND(H1141*O1141,2))</f>
        <v/>
      </c>
      <c r="Q1141" s="401" t="inlineStr">
        <is>
          <t>箱体</t>
        </is>
      </c>
      <c r="R1141" s="168" t="inlineStr"/>
      <c r="S1141" s="168" t="inlineStr"/>
      <c r="T1141" s="168" t="inlineStr">
        <is>
          <t>0</t>
        </is>
      </c>
      <c r="U1141" s="168" t="inlineStr"/>
      <c r="V1141" s="402" t="n"/>
      <c r="W1141" s="402" t="n"/>
      <c r="X1141" s="170" t="inlineStr"/>
    </row>
    <row r="1142" customFormat="1" s="3">
      <c r="A1142" s="64">
        <f>ROW()-ROW(A$1120)</f>
        <v/>
      </c>
      <c r="B1142" s="27" t="inlineStr"/>
      <c r="C1142" s="27" t="inlineStr"/>
      <c r="D1142" s="27" t="inlineStr"/>
      <c r="E1142" s="28" t="n"/>
      <c r="F1142" s="28">
        <f>IF(AND(B1142="",C1142=""),"",1)</f>
        <v/>
      </c>
      <c r="G1142" s="353">
        <f>IF(AND(B1142="",C1142=""),"",ROUND(M1142*L1142*N1142,2))</f>
        <v/>
      </c>
      <c r="H1142" s="353">
        <f>IF(AND(B1142="",C1142=""),"",ROUND(F1142*G1142,2))</f>
        <v/>
      </c>
      <c r="I1142" s="180" t="inlineStr"/>
      <c r="J1142" s="392">
        <f>IF(AND(B1142="",C1142=""),"",ROUND(M1142*N1142,2))</f>
        <v/>
      </c>
      <c r="K1142" s="393">
        <f>IF(AND(B1142="",C1142=""),"",ROUND(J1142*F1142,2))</f>
        <v/>
      </c>
      <c r="L1142" s="141">
        <f>IF(AND(B1142="",C1142=""),"",1)</f>
        <v/>
      </c>
      <c r="M1142" s="394" t="n"/>
      <c r="N1142" s="143">
        <f>IF(AND(B1142="",C1142=""),"",1)</f>
        <v/>
      </c>
      <c r="O1142" s="144">
        <f>IF(AND(B1142="",C1142=""),"",IF(J1142&gt;=20000,0.05,IF(J1142&gt;=10000,0.1,IF(J1142&gt;=5000,0.2,IF(J1142&gt;=1000,0.3,IF(J1142&gt;=0,0.4,{0}))))))</f>
        <v/>
      </c>
      <c r="P1142" s="395">
        <f>IF(AND(B1142="",C1142=""),"",ROUND(H1142*O1142,2))</f>
        <v/>
      </c>
      <c r="Q1142" s="390">
        <f>IF(AND(B1142="",C1142=""),"","元件")</f>
        <v/>
      </c>
      <c r="R1142" s="164" t="inlineStr"/>
      <c r="S1142" s="164" t="inlineStr"/>
      <c r="T1142" s="164" t="inlineStr"/>
      <c r="U1142" s="164" t="inlineStr"/>
      <c r="V1142" s="391" t="n"/>
      <c r="W1142" s="391" t="n"/>
      <c r="X1142" s="166" t="inlineStr"/>
    </row>
    <row r="1143" customFormat="1" s="3">
      <c r="A1143" s="64">
        <f>ROW()-ROW(A$1120)</f>
        <v/>
      </c>
      <c r="B1143" s="27" t="inlineStr"/>
      <c r="C1143" s="27" t="inlineStr"/>
      <c r="D1143" s="27" t="inlineStr"/>
      <c r="E1143" s="28" t="n"/>
      <c r="F1143" s="28">
        <f>IF(AND(B1143="",C1143=""),"",1)</f>
        <v/>
      </c>
      <c r="G1143" s="353">
        <f>IF(AND(B1143="",C1143=""),"",ROUND(M1143*L1143*N1143,2))</f>
        <v/>
      </c>
      <c r="H1143" s="353">
        <f>IF(AND(B1143="",C1143=""),"",ROUND(F1143*G1143,2))</f>
        <v/>
      </c>
      <c r="I1143" s="180" t="inlineStr"/>
      <c r="J1143" s="392">
        <f>IF(AND(B1143="",C1143=""),"",ROUND(M1143*N1143,2))</f>
        <v/>
      </c>
      <c r="K1143" s="393">
        <f>IF(AND(B1143="",C1143=""),"",ROUND(J1143*F1143,2))</f>
        <v/>
      </c>
      <c r="L1143" s="141">
        <f>IF(AND(B1143="",C1143=""),"",1)</f>
        <v/>
      </c>
      <c r="M1143" s="394" t="n"/>
      <c r="N1143" s="143">
        <f>IF(AND(B1143="",C1143=""),"",1)</f>
        <v/>
      </c>
      <c r="O1143" s="144">
        <f>IF(AND(B1143="",C1143=""),"",IF(J1143&gt;=20000,0.05,IF(J1143&gt;=10000,0.1,IF(J1143&gt;=5000,0.2,IF(J1143&gt;=1000,0.3,IF(J1143&gt;=0,0.4,{0}))))))</f>
        <v/>
      </c>
      <c r="P1143" s="395">
        <f>IF(AND(B1143="",C1143=""),"",ROUND(H1143*O1143,2))</f>
        <v/>
      </c>
      <c r="Q1143" s="390">
        <f>IF(AND(B1143="",C1143=""),"","元件")</f>
        <v/>
      </c>
      <c r="R1143" s="164" t="inlineStr"/>
      <c r="S1143" s="164" t="inlineStr"/>
      <c r="T1143" s="164" t="inlineStr"/>
      <c r="U1143" s="164" t="inlineStr"/>
      <c r="V1143" s="391" t="n"/>
      <c r="W1143" s="391" t="n"/>
      <c r="X1143" s="166" t="inlineStr"/>
    </row>
    <row r="1144" customFormat="1" s="3">
      <c r="A1144" s="64">
        <f>ROW()-ROW(A$1120)</f>
        <v/>
      </c>
      <c r="B1144" s="171" t="inlineStr">
        <is>
          <t>小计</t>
        </is>
      </c>
      <c r="C1144" s="172" t="n"/>
      <c r="D1144" s="82" t="n"/>
      <c r="E1144" s="28" t="n"/>
      <c r="F1144" s="28" t="n"/>
      <c r="G1144" s="353" t="n"/>
      <c r="H1144" s="353">
        <f>ROUND(SUM(H1120:INDEX(H:H,ROW()-1)),2)</f>
        <v/>
      </c>
      <c r="I1144" s="45" t="inlineStr"/>
      <c r="J1144" s="392" t="n"/>
      <c r="K1144" s="393">
        <f>ROUND(SUM(K1120:INDEX(K:K,ROW()-1)),2)</f>
        <v/>
      </c>
      <c r="L1144" s="141" t="n"/>
      <c r="M1144" s="394" t="n"/>
      <c r="N1144" s="143" t="n"/>
      <c r="O1144" s="144" t="n"/>
      <c r="P1144" s="395" t="n"/>
      <c r="Q1144" s="390" t="n"/>
      <c r="R1144" s="164" t="inlineStr"/>
      <c r="S1144" s="164" t="inlineStr"/>
      <c r="T1144" s="164" t="inlineStr"/>
      <c r="U1144" s="164" t="inlineStr"/>
      <c r="V1144" s="391">
        <f>ROUND(SUMPRODUCT(F1120:INDEX(F:F,ROW()-1),V1120:INDEX(V:V,ROW()-1)),2)</f>
        <v/>
      </c>
      <c r="W1144" s="391">
        <f>ROUND(SUMPRODUCT(F1120:INDEX(F:F,ROW()-1),W1120:INDEX(W:W,ROW()-1)),2)</f>
        <v/>
      </c>
      <c r="X1144" s="166" t="inlineStr"/>
    </row>
    <row r="1145" customFormat="1" s="3">
      <c r="A1145" s="64">
        <f>ROW()-ROW(A$1120)</f>
        <v/>
      </c>
      <c r="B1145" s="171" t="inlineStr">
        <is>
          <t>综合费(人工、管理、税金、利润等)</t>
        </is>
      </c>
      <c r="C1145" s="172" t="n"/>
      <c r="D1145" s="82" t="n"/>
      <c r="E1145" s="28" t="n"/>
      <c r="F1145" s="28" t="n"/>
      <c r="G1145" s="353" t="n"/>
      <c r="H1145" s="353">
        <f>2500</f>
        <v/>
      </c>
      <c r="I1145" s="45" t="inlineStr"/>
      <c r="J1145" s="392" t="n"/>
      <c r="K1145" s="393" t="n"/>
      <c r="L1145" s="141" t="n"/>
      <c r="M1145" s="394" t="n"/>
      <c r="N1145" s="143" t="n"/>
      <c r="O1145" s="144" t="n"/>
      <c r="P1145" s="395" t="n"/>
      <c r="Q1145" s="390" t="inlineStr">
        <is>
          <t>费用</t>
        </is>
      </c>
      <c r="R1145" s="164" t="inlineStr"/>
      <c r="S1145" s="164" t="inlineStr"/>
      <c r="T1145" s="164" t="inlineStr"/>
      <c r="U1145" s="164" t="inlineStr"/>
      <c r="V1145" s="391" t="n"/>
      <c r="W1145" s="391" t="n"/>
      <c r="X1145" s="166" t="inlineStr"/>
    </row>
    <row r="1146" customFormat="1" s="3">
      <c r="A1146" s="64">
        <f>ROW()-ROW(A$1120)</f>
        <v/>
      </c>
      <c r="B1146" s="82" t="inlineStr">
        <is>
          <t>单台合计</t>
        </is>
      </c>
      <c r="C1146" s="172" t="n"/>
      <c r="D1146" s="82" t="n"/>
      <c r="E1146" s="28" t="n"/>
      <c r="F1146" s="28" t="n"/>
      <c r="G1146" s="353" t="n"/>
      <c r="H1146" s="353">
        <f>ROUND(SUM(H1144:H1145),2)</f>
        <v/>
      </c>
      <c r="I1146" s="181" t="n"/>
      <c r="J1146" s="392" t="n"/>
      <c r="K1146" s="393">
        <f>ROUND(SUM(K1144:K1145),2)</f>
        <v/>
      </c>
      <c r="L1146" s="182" t="n"/>
      <c r="M1146" s="394" t="n"/>
      <c r="N1146" s="183" t="n"/>
      <c r="O1146" s="184" t="n"/>
      <c r="P1146" s="395" t="n"/>
      <c r="Q1146" s="390" t="n"/>
      <c r="R1146" s="164" t="inlineStr"/>
      <c r="S1146" s="164" t="inlineStr"/>
      <c r="T1146" s="164" t="inlineStr"/>
      <c r="U1146" s="164" t="inlineStr"/>
      <c r="V1146" s="391" t="n"/>
      <c r="W1146" s="391" t="n"/>
      <c r="X1146" s="166" t="inlineStr"/>
    </row>
    <row r="1147" customFormat="1" s="3">
      <c r="A1147" s="173" t="inlineStr">
        <is>
          <t>总计</t>
        </is>
      </c>
      <c r="B1147" s="174" t="n"/>
      <c r="C1147" s="175" t="n"/>
      <c r="D1147" s="176" t="n"/>
      <c r="E1147" s="176" t="inlineStr">
        <is>
          <t>台</t>
        </is>
      </c>
      <c r="F1147" s="176" t="n">
        <v>4</v>
      </c>
      <c r="G1147" s="403">
        <f>ROUND(H1146,2)</f>
        <v/>
      </c>
      <c r="H1147" s="403">
        <f>ROUND(F1147*G1147,2)</f>
        <v/>
      </c>
      <c r="I1147" s="185" t="n"/>
      <c r="J1147" s="404" t="n"/>
      <c r="K1147" s="405">
        <f>ROUND(K1146*F1147,2)</f>
        <v/>
      </c>
      <c r="L1147" s="188" t="n"/>
      <c r="M1147" s="406" t="n"/>
      <c r="N1147" s="190" t="n"/>
      <c r="O1147" s="191" t="n"/>
      <c r="P1147" s="407" t="n"/>
      <c r="Q1147" s="390" t="n"/>
      <c r="R1147" s="164" t="inlineStr"/>
      <c r="S1147" s="164" t="inlineStr"/>
      <c r="T1147" s="164" t="inlineStr"/>
      <c r="U1147" s="164" t="inlineStr"/>
      <c r="V1147" s="391" t="n"/>
      <c r="W1147" s="391" t="n"/>
      <c r="X1147" s="166" t="inlineStr"/>
    </row>
    <row r="1148" customFormat="1" s="2">
      <c r="A1148" s="89" t="n"/>
      <c r="B1148" s="132" t="inlineStr"/>
      <c r="C1148" s="132" t="inlineStr"/>
      <c r="D1148" s="132" t="inlineStr"/>
      <c r="Q1148" s="160" t="n"/>
      <c r="R1148" s="160" t="n"/>
      <c r="S1148" s="160" t="n"/>
      <c r="T1148" s="160" t="n"/>
      <c r="U1148" s="160" t="n"/>
      <c r="X1148" s="132" t="inlineStr"/>
    </row>
    <row r="1149" customFormat="1" s="2">
      <c r="A1149" s="89" t="n"/>
      <c r="B1149" s="132" t="inlineStr"/>
      <c r="C1149" s="132" t="inlineStr"/>
      <c r="D1149" s="132" t="inlineStr"/>
      <c r="Q1149" s="160" t="n"/>
      <c r="R1149" s="160" t="n"/>
      <c r="S1149" s="160" t="n"/>
      <c r="T1149" s="160" t="n"/>
      <c r="U1149" s="160" t="n"/>
      <c r="X1149" s="132" t="inlineStr"/>
    </row>
    <row r="1150" customFormat="1" s="3">
      <c r="A1150" s="92">
        <f>CONCATENATE("报价人：",项目信息!$B$8)</f>
        <v/>
      </c>
      <c r="B1150" s="92" t="n"/>
      <c r="C1150" s="2" t="n"/>
      <c r="D1150" s="2" t="n"/>
      <c r="E1150" s="2" t="n"/>
      <c r="F1150" s="2" t="n"/>
      <c r="G1150" s="2" t="n"/>
      <c r="H1150" s="178">
        <f>项目信息!$B$9</f>
        <v/>
      </c>
      <c r="Q1150" s="160" t="n"/>
      <c r="R1150" s="160" t="n"/>
      <c r="S1150" s="160" t="n"/>
      <c r="T1150" s="160" t="n"/>
      <c r="U1150" s="160" t="n"/>
      <c r="X1150" s="162" t="inlineStr"/>
    </row>
    <row r="1151" s="308">
      <c r="A1151" s="8">
        <f>T(项目信息!$B$22)</f>
        <v/>
      </c>
      <c r="Q1151" s="159" t="n"/>
      <c r="R1151" s="159" t="n"/>
      <c r="S1151" s="159" t="n"/>
      <c r="T1151" s="159" t="n"/>
      <c r="U1151" s="159" t="n"/>
    </row>
    <row r="1152" s="308">
      <c r="A1152" s="9">
        <f>T(项目信息!$B$23)</f>
        <v/>
      </c>
      <c r="Q1152" s="159" t="n"/>
      <c r="R1152" s="159" t="n"/>
      <c r="S1152" s="159" t="n"/>
      <c r="T1152" s="159" t="n"/>
      <c r="U1152" s="159" t="n"/>
    </row>
    <row r="1153" s="308">
      <c r="A1153" s="97" t="inlineStr">
        <is>
          <t>成套产品报价明细表</t>
        </is>
      </c>
      <c r="B1153" s="378" t="n"/>
      <c r="C1153" s="378" t="n"/>
      <c r="D1153" s="378" t="n"/>
      <c r="E1153" s="378" t="n"/>
      <c r="F1153" s="378" t="n"/>
      <c r="G1153" s="378" t="n"/>
      <c r="H1153" s="378" t="n"/>
      <c r="I1153" s="378" t="n"/>
      <c r="Q1153" s="159" t="n"/>
      <c r="R1153" s="159" t="n"/>
      <c r="S1153" s="159" t="n"/>
      <c r="T1153" s="159" t="n"/>
      <c r="U1153" s="159" t="n"/>
    </row>
    <row r="1154" customFormat="1" s="2">
      <c r="A1154" s="98" t="inlineStr">
        <is>
          <t>柜号:</t>
        </is>
      </c>
      <c r="B1154" s="99" t="inlineStr">
        <is>
          <t>AAN9-02、BAN10-02、AAN11-02、BAN12-02</t>
        </is>
      </c>
      <c r="C1154" s="100" t="inlineStr">
        <is>
          <t>型号:</t>
        </is>
      </c>
      <c r="D1154" s="99" t="inlineStr">
        <is>
          <t>BlokSeT</t>
        </is>
      </c>
      <c r="E1154" s="379" t="n"/>
      <c r="F1154" s="101" t="inlineStr">
        <is>
          <t>名称:</t>
        </is>
      </c>
      <c r="G1154" s="99" t="inlineStr">
        <is>
          <t>联络柜</t>
        </is>
      </c>
      <c r="H1154" s="379" t="n"/>
      <c r="I1154" s="380" t="inlineStr"/>
      <c r="J1154" s="131" t="inlineStr">
        <is>
          <t>箱柜尺寸:</t>
        </is>
      </c>
      <c r="K1154" s="132" t="inlineStr">
        <is>
          <t>700W*1200D*2200H</t>
        </is>
      </c>
      <c r="L1154" s="131" t="inlineStr">
        <is>
          <t>类别:</t>
        </is>
      </c>
      <c r="M1154" s="132" t="inlineStr">
        <is>
          <t>低压固定柜</t>
        </is>
      </c>
      <c r="N1154" s="381" t="inlineStr"/>
      <c r="Q1154" s="160" t="n"/>
      <c r="R1154" s="160" t="n"/>
      <c r="S1154" s="160" t="n"/>
      <c r="T1154" s="160" t="n"/>
      <c r="U1154" s="160" t="n"/>
    </row>
    <row r="1155" ht="20.1" customFormat="1" customHeight="1" s="3">
      <c r="A1155" s="102" t="inlineStr">
        <is>
          <t>序号</t>
        </is>
      </c>
      <c r="B1155" s="103" t="inlineStr">
        <is>
          <t>元件名称</t>
        </is>
      </c>
      <c r="C1155" s="103" t="inlineStr">
        <is>
          <t>型号规格</t>
        </is>
      </c>
      <c r="D1155" s="104" t="inlineStr">
        <is>
          <t>生产厂家</t>
        </is>
      </c>
      <c r="E1155" s="105" t="inlineStr">
        <is>
          <t>单位</t>
        </is>
      </c>
      <c r="F1155" s="105" t="inlineStr">
        <is>
          <t>数量</t>
        </is>
      </c>
      <c r="G1155" s="382" t="inlineStr">
        <is>
          <t>单   价</t>
        </is>
      </c>
      <c r="H1155" s="383" t="inlineStr">
        <is>
          <t>总   价</t>
        </is>
      </c>
      <c r="I1155" s="134" t="inlineStr">
        <is>
          <t>备注</t>
        </is>
      </c>
      <c r="J1155" s="384" t="inlineStr">
        <is>
          <t>成本单价</t>
        </is>
      </c>
      <c r="K1155" s="384" t="inlineStr">
        <is>
          <t>成本总价</t>
        </is>
      </c>
      <c r="L1155" s="136" t="inlineStr">
        <is>
          <t>报出
系数</t>
        </is>
      </c>
      <c r="M1155" s="384" t="inlineStr">
        <is>
          <t>表价</t>
        </is>
      </c>
      <c r="N1155" s="136" t="inlineStr">
        <is>
          <t>折扣
系数</t>
        </is>
      </c>
      <c r="O1155" s="137" t="inlineStr">
        <is>
          <t>取费
系数</t>
        </is>
      </c>
      <c r="P1155" s="384" t="inlineStr">
        <is>
          <t>成套费</t>
        </is>
      </c>
      <c r="Q1155" s="161" t="inlineStr">
        <is>
          <t>类别</t>
        </is>
      </c>
      <c r="R1155" s="161" t="inlineStr">
        <is>
          <t>物料编码</t>
        </is>
      </c>
      <c r="S1155" s="161" t="inlineStr">
        <is>
          <t>产地</t>
        </is>
      </c>
      <c r="T1155" s="161" t="inlineStr">
        <is>
          <t>加工费</t>
        </is>
      </c>
      <c r="U1155" s="161" t="inlineStr">
        <is>
          <t>订货号</t>
        </is>
      </c>
      <c r="V1155" s="161" t="inlineStr">
        <is>
          <t>人工</t>
        </is>
      </c>
      <c r="W1155" s="161" t="inlineStr">
        <is>
          <t>辅料</t>
        </is>
      </c>
      <c r="X1155" s="162" t="inlineStr"/>
    </row>
    <row r="1156" customFormat="1" s="3">
      <c r="A1156" s="108">
        <f>ROW()-ROW(A$1155)</f>
        <v/>
      </c>
      <c r="B1156" s="109" t="inlineStr">
        <is>
          <t>双电源</t>
        </is>
      </c>
      <c r="C1156" s="109" t="inlineStr">
        <is>
          <t>MT40 H1 3P MIC 5.0 E</t>
        </is>
      </c>
      <c r="D1156" s="22" t="inlineStr">
        <is>
          <t>甲供/施耐德电气</t>
        </is>
      </c>
      <c r="E1156" s="110" t="inlineStr">
        <is>
          <t>只</t>
        </is>
      </c>
      <c r="F1156" s="110" t="n">
        <v>1</v>
      </c>
      <c r="G1156" s="385">
        <f>IF(AND(B1156="",C1156=""),"",ROUND(M1156*L1156*N1156,2))</f>
        <v/>
      </c>
      <c r="H1156" s="385">
        <f>IF(AND(B1156="",C1156=""),"",ROUND(F1156*G1156,2))</f>
        <v/>
      </c>
      <c r="I1156" s="138" t="inlineStr"/>
      <c r="J1156" s="386">
        <f>IF(AND(B1156="",C1156=""),"",ROUND(M1156*N1156,2))</f>
        <v/>
      </c>
      <c r="K1156" s="387">
        <f>IF(AND(B1156="",C1156=""),"",ROUND(J1156*F1156,2))</f>
        <v/>
      </c>
      <c r="L1156" s="141" t="n">
        <v>1</v>
      </c>
      <c r="M1156" s="388" t="n">
        <v>1e-07</v>
      </c>
      <c r="N1156" s="143" t="n">
        <v>1</v>
      </c>
      <c r="O1156" s="144">
        <f>IF(AND(B1156="",C1156=""),"",IF(G1156&gt;=20000,0.05,IF(G1156&gt;=10000,0.1,IF(G1156&gt;=5000,0.2,IF(G1156&gt;=1000,0.3,IF(G1156&gt;=0,0.4,{0}))))))</f>
        <v/>
      </c>
      <c r="P1156" s="389">
        <f>IF(AND(B1156="",C1156=""),"",ROUND(H1156*O1156,2))</f>
        <v/>
      </c>
      <c r="Q1156" s="390" t="inlineStr">
        <is>
          <t>元件</t>
        </is>
      </c>
      <c r="R1156" s="164" t="inlineStr"/>
      <c r="S1156" s="164" t="inlineStr"/>
      <c r="T1156" s="164" t="inlineStr">
        <is>
          <t>0</t>
        </is>
      </c>
      <c r="U1156" s="164" t="inlineStr">
        <is>
          <t>48327+48500+33542+48527+48494+48484+48408+48603+48170+48175+48384</t>
        </is>
      </c>
      <c r="V1156" s="391" t="n"/>
      <c r="W1156" s="391" t="n"/>
      <c r="X1156"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1157" customFormat="1" s="3">
      <c r="A1157" s="64">
        <f>ROW()-ROW(A$1155)</f>
        <v/>
      </c>
      <c r="B1157" s="27" t="inlineStr">
        <is>
          <t>多功能表</t>
        </is>
      </c>
      <c r="C1157" s="22" t="inlineStr">
        <is>
          <t>PM4101</t>
        </is>
      </c>
      <c r="D1157" s="22" t="inlineStr">
        <is>
          <t>甲供/施耐德电气</t>
        </is>
      </c>
      <c r="E1157" s="110" t="inlineStr">
        <is>
          <t>只</t>
        </is>
      </c>
      <c r="F1157" s="23" t="n">
        <v>1</v>
      </c>
      <c r="G1157" s="353">
        <f>IF(AND(B1157="",C1157=""),"",ROUND(M1157*L1157*N1157,2))</f>
        <v/>
      </c>
      <c r="H1157" s="349">
        <f>IF(AND(B1157="",C1157=""),"",ROUND(F1157*G1157,2))</f>
        <v/>
      </c>
      <c r="I1157" s="45" t="inlineStr"/>
      <c r="J1157" s="392">
        <f>IF(AND(B1157="",C1157=""),"",ROUND(M1157*N1157,2))</f>
        <v/>
      </c>
      <c r="K1157" s="393">
        <f>IF(AND(B1157="",C1157=""),"",ROUND(J1157*F1157,2))</f>
        <v/>
      </c>
      <c r="L1157" s="141" t="n">
        <v>1</v>
      </c>
      <c r="M1157" s="394" t="n">
        <v>1e-07</v>
      </c>
      <c r="N1157" s="143" t="n">
        <v>1</v>
      </c>
      <c r="O1157" s="144">
        <f>IF(AND(B1157="",C1157=""),"",IF(G1157&gt;=20000,0.05,IF(G1157&gt;=10000,0.1,IF(G1157&gt;=5000,0.2,IF(G1157&gt;=1000,0.3,IF(G1157&gt;=0,0.4,{0}))))))</f>
        <v/>
      </c>
      <c r="P1157" s="395">
        <f>IF(AND(B1157="",C1157=""),"",ROUND(H1157*O1157,2))</f>
        <v/>
      </c>
      <c r="Q1157" s="390" t="inlineStr">
        <is>
          <t>元件</t>
        </is>
      </c>
      <c r="R1157" s="164" t="inlineStr"/>
      <c r="S1157" s="164" t="inlineStr"/>
      <c r="T1157" s="164" t="inlineStr">
        <is>
          <t>0</t>
        </is>
      </c>
      <c r="U1157" s="164" t="inlineStr">
        <is>
          <t>True</t>
        </is>
      </c>
      <c r="V1157" s="391" t="n"/>
      <c r="W1157" s="391" t="n"/>
      <c r="X1157" s="166" t="inlineStr">
        <is>
          <t>PM→PM4633→PM4201</t>
        </is>
      </c>
    </row>
    <row r="1158" customFormat="1" s="3">
      <c r="A1158" s="64">
        <f>ROW()-ROW(A$1155)</f>
        <v/>
      </c>
      <c r="B1158" s="27" t="inlineStr">
        <is>
          <t>电流互感器</t>
        </is>
      </c>
      <c r="C1158" s="22" t="inlineStr">
        <is>
          <t>SD-0.66-130III-V 4000/5A</t>
        </is>
      </c>
      <c r="D1158" s="27" t="inlineStr">
        <is>
          <t>桑迪</t>
        </is>
      </c>
      <c r="E1158" s="110" t="inlineStr">
        <is>
          <t>只</t>
        </is>
      </c>
      <c r="F1158" s="23" t="n">
        <v>3</v>
      </c>
      <c r="G1158" s="349">
        <f>IF(AND(B1158="",C1158=""),"",ROUND(M1158*L1158*N1158,2))</f>
        <v/>
      </c>
      <c r="H1158" s="349">
        <f>IF(AND(B1158="",C1158=""),"",ROUND(F1158*G1158,2))</f>
        <v/>
      </c>
      <c r="I1158" s="45" t="inlineStr"/>
      <c r="J1158" s="392">
        <f>IF(AND(B1158="",C1158=""),"",ROUND(M1158*N1158,2))</f>
        <v/>
      </c>
      <c r="K1158" s="393">
        <f>IF(AND(B1158="",C1158=""),"",ROUND(J1158*F1158,2))</f>
        <v/>
      </c>
      <c r="L1158" s="141" t="n">
        <v>1</v>
      </c>
      <c r="M1158" s="394" t="n">
        <v>217.75</v>
      </c>
      <c r="N1158" s="143" t="n">
        <v>1</v>
      </c>
      <c r="O1158" s="144">
        <f>IF(AND(B1158="",C1158=""),"",IF(G1158&gt;=20000,0.05,IF(G1158&gt;=10000,0.1,IF(G1158&gt;=5000,0.2,IF(G1158&gt;=1000,0.3,IF(G1158&gt;=0,0.4,{0}))))))</f>
        <v/>
      </c>
      <c r="P1158" s="395">
        <f>IF(AND(B1158="",C1158=""),"",ROUND(H1158*O1158,2))</f>
        <v/>
      </c>
      <c r="Q1158" s="390" t="inlineStr">
        <is>
          <t>元件</t>
        </is>
      </c>
      <c r="R1158" s="164" t="inlineStr"/>
      <c r="S1158" s="164" t="inlineStr"/>
      <c r="T1158" s="164" t="inlineStr">
        <is>
          <t>0</t>
        </is>
      </c>
      <c r="U1158" s="164" t="inlineStr">
        <is>
          <t>710141426552500</t>
        </is>
      </c>
      <c r="V1158" s="391" t="n"/>
      <c r="W1158" s="391" t="n"/>
      <c r="X1158"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1600/5A→SD-0.66-160III-C 5000/5A</t>
        </is>
      </c>
    </row>
    <row r="1159" s="308">
      <c r="A1159" s="64">
        <f>ROW()-ROW(A$1155)</f>
        <v/>
      </c>
      <c r="B1159" s="112" t="inlineStr">
        <is>
          <t>温湿度控制器</t>
        </is>
      </c>
      <c r="C1159" s="112" t="inlineStr">
        <is>
          <t>ATH48G-11</t>
        </is>
      </c>
      <c r="D1159" s="22" t="inlineStr">
        <is>
          <t>杭州安廷</t>
        </is>
      </c>
      <c r="E1159" s="23" t="inlineStr">
        <is>
          <t>套</t>
        </is>
      </c>
      <c r="F1159" s="23" t="n">
        <v>1</v>
      </c>
      <c r="G1159" s="349">
        <f>IF(AND(B1159="",C1159=""),"",ROUND(M1159*L1159*N1159,2))</f>
        <v/>
      </c>
      <c r="H1159" s="396">
        <f>IF(AND(B1159="",C1159=""),"",ROUND(F1159*G1159,2))</f>
        <v/>
      </c>
      <c r="I1159" s="150" t="inlineStr"/>
      <c r="J1159" s="397">
        <f>IF(AND(B1159="",C1159=""),"",ROUND(M1159*N1159,2))</f>
        <v/>
      </c>
      <c r="K1159" s="398">
        <f>IF(AND(B1159="",C1159=""),"",ROUND(J1159*F1159,2))</f>
        <v/>
      </c>
      <c r="L1159" s="141" t="n">
        <v>1</v>
      </c>
      <c r="M1159" s="399" t="n">
        <v>450</v>
      </c>
      <c r="N1159" s="154" t="n">
        <v>1</v>
      </c>
      <c r="O1159" s="155">
        <f>IF(AND(B1159="",C1159=""),"",IF(G1159&gt;=20000,0.05,IF(G1159&gt;=10000,0.1,IF(G1159&gt;=5000,0.2,IF(G1159&gt;=1000,0.3,IF(G1159&gt;=0,0.4,{0}))))))</f>
        <v/>
      </c>
      <c r="P1159" s="400">
        <f>IF(AND(B1159="",C1159=""),"",ROUND(H1159*O1159,2))</f>
        <v/>
      </c>
      <c r="Q1159" s="401" t="inlineStr">
        <is>
          <t>元件</t>
        </is>
      </c>
      <c r="R1159" s="168" t="inlineStr"/>
      <c r="S1159" s="168" t="inlineStr"/>
      <c r="T1159" s="168" t="inlineStr">
        <is>
          <t>0</t>
        </is>
      </c>
      <c r="U1159" s="168" t="inlineStr"/>
      <c r="V1159" s="402" t="n"/>
      <c r="W1159" s="402" t="n"/>
      <c r="X1159" s="170" t="inlineStr"/>
    </row>
    <row r="1160" s="308">
      <c r="A1160" s="64">
        <f>ROW()-ROW(A$1155)</f>
        <v/>
      </c>
      <c r="B1160" s="112" t="inlineStr">
        <is>
          <t>指示灯</t>
        </is>
      </c>
      <c r="C1160" s="112" t="inlineStr">
        <is>
          <t>XB2BVM3LC</t>
        </is>
      </c>
      <c r="D1160" s="112" t="inlineStr">
        <is>
          <t>甲供/施耐德电气</t>
        </is>
      </c>
      <c r="E1160" s="114" t="inlineStr">
        <is>
          <t>只</t>
        </is>
      </c>
      <c r="F1160" s="114" t="n">
        <v>1</v>
      </c>
      <c r="G1160" s="396">
        <f>IF(AND(B1160="",C1160=""),"",ROUND(M1160*L1160*N1160,2))</f>
        <v/>
      </c>
      <c r="H1160" s="396">
        <f>IF(AND(B1160="",C1160=""),"",ROUND(F1160*G1160,2))</f>
        <v/>
      </c>
      <c r="I1160" s="150" t="inlineStr"/>
      <c r="J1160" s="397">
        <f>IF(AND(B1160="",C1160=""),"",ROUND(M1160*N1160,2))</f>
        <v/>
      </c>
      <c r="K1160" s="398">
        <f>IF(AND(B1160="",C1160=""),"",ROUND(J1160*F1160,2))</f>
        <v/>
      </c>
      <c r="L1160" s="141" t="n">
        <v>1</v>
      </c>
      <c r="M1160" s="399" t="n">
        <v>1e-07</v>
      </c>
      <c r="N1160" s="154" t="n">
        <v>1</v>
      </c>
      <c r="O1160" s="155">
        <f>IF(AND(B1160="",C1160=""),"",IF(G1160&gt;=20000,0.05,IF(G1160&gt;=10000,0.1,IF(G1160&gt;=5000,0.2,IF(G1160&gt;=1000,0.3,IF(G1160&gt;=0,0.4,{0}))))))</f>
        <v/>
      </c>
      <c r="P1160" s="400">
        <f>IF(AND(B1160="",C1160=""),"",ROUND(H1160*O1160,2))</f>
        <v/>
      </c>
      <c r="Q1160" s="401" t="inlineStr">
        <is>
          <t>元件</t>
        </is>
      </c>
      <c r="R1160" s="168" t="inlineStr"/>
      <c r="S1160" s="168" t="inlineStr"/>
      <c r="T1160" s="168" t="inlineStr">
        <is>
          <t>0</t>
        </is>
      </c>
      <c r="U1160" s="168" t="inlineStr">
        <is>
          <t>XA2EVM3LC</t>
        </is>
      </c>
      <c r="V1160" s="402" t="n"/>
      <c r="W1160" s="402" t="n"/>
      <c r="X1160" s="170" t="inlineStr"/>
    </row>
    <row r="1161" s="308">
      <c r="A1161" s="64">
        <f>ROW()-ROW(A$1155)</f>
        <v/>
      </c>
      <c r="B1161" s="112" t="inlineStr">
        <is>
          <t>指示灯</t>
        </is>
      </c>
      <c r="C1161" s="22" t="inlineStr">
        <is>
          <t>XB2BVM4LC</t>
        </is>
      </c>
      <c r="D1161" s="112" t="inlineStr">
        <is>
          <t>甲供/施耐德电气</t>
        </is>
      </c>
      <c r="E1161" s="114" t="inlineStr">
        <is>
          <t>只</t>
        </is>
      </c>
      <c r="F1161" s="114" t="n">
        <v>1</v>
      </c>
      <c r="G1161" s="396">
        <f>IF(AND(B1161="",C1161=""),"",ROUND(M1161*L1161*N1161,2))</f>
        <v/>
      </c>
      <c r="H1161" s="396">
        <f>IF(AND(B1161="",C1161=""),"",ROUND(F1161*G1161,2))</f>
        <v/>
      </c>
      <c r="I1161" s="150" t="inlineStr"/>
      <c r="J1161" s="397">
        <f>IF(AND(B1161="",C1161=""),"",ROUND(M1161*N1161,2))</f>
        <v/>
      </c>
      <c r="K1161" s="398">
        <f>IF(AND(B1161="",C1161=""),"",ROUND(J1161*F1161,2))</f>
        <v/>
      </c>
      <c r="L1161" s="141" t="n">
        <v>1</v>
      </c>
      <c r="M1161" s="399" t="n">
        <v>1e-07</v>
      </c>
      <c r="N1161" s="154" t="n">
        <v>1</v>
      </c>
      <c r="O1161" s="155">
        <f>IF(AND(B1161="",C1161=""),"",IF(G1161&gt;=20000,0.05,IF(G1161&gt;=10000,0.1,IF(G1161&gt;=5000,0.2,IF(G1161&gt;=1000,0.3,IF(G1161&gt;=0,0.4,{0}))))))</f>
        <v/>
      </c>
      <c r="P1161" s="400">
        <f>IF(AND(B1161="",C1161=""),"",ROUND(H1161*O1161,2))</f>
        <v/>
      </c>
      <c r="Q1161" s="401" t="inlineStr">
        <is>
          <t>元件</t>
        </is>
      </c>
      <c r="R1161" s="168" t="inlineStr"/>
      <c r="S1161" s="168" t="inlineStr"/>
      <c r="T1161" s="168" t="inlineStr">
        <is>
          <t>0</t>
        </is>
      </c>
      <c r="U1161" s="168" t="inlineStr">
        <is>
          <t>XA2EVM4LC</t>
        </is>
      </c>
      <c r="V1161" s="402" t="n"/>
      <c r="W1161" s="402" t="n"/>
      <c r="X1161" s="170" t="inlineStr"/>
    </row>
    <row r="1162" s="308">
      <c r="A1162" s="64">
        <f>ROW()-ROW(A$1155)</f>
        <v/>
      </c>
      <c r="B1162" s="112" t="inlineStr">
        <is>
          <t>指示灯</t>
        </is>
      </c>
      <c r="C1162" s="112" t="inlineStr">
        <is>
          <t>XB2BVM5LC</t>
        </is>
      </c>
      <c r="D1162" s="112" t="inlineStr">
        <is>
          <t>甲供/施耐德电气</t>
        </is>
      </c>
      <c r="E1162" s="114" t="inlineStr">
        <is>
          <t>只</t>
        </is>
      </c>
      <c r="F1162" s="114" t="n">
        <v>1</v>
      </c>
      <c r="G1162" s="396">
        <f>IF(AND(B1162="",C1162=""),"",ROUND(M1162*L1162*N1162,2))</f>
        <v/>
      </c>
      <c r="H1162" s="396">
        <f>IF(AND(B1162="",C1162=""),"",ROUND(F1162*G1162,2))</f>
        <v/>
      </c>
      <c r="I1162" s="150" t="inlineStr"/>
      <c r="J1162" s="397">
        <f>IF(AND(B1162="",C1162=""),"",ROUND(M1162*N1162,2))</f>
        <v/>
      </c>
      <c r="K1162" s="398">
        <f>IF(AND(B1162="",C1162=""),"",ROUND(J1162*F1162,2))</f>
        <v/>
      </c>
      <c r="L1162" s="141" t="n">
        <v>1</v>
      </c>
      <c r="M1162" s="399" t="n">
        <v>1e-07</v>
      </c>
      <c r="N1162" s="154" t="n">
        <v>1</v>
      </c>
      <c r="O1162" s="155">
        <f>IF(AND(B1162="",C1162=""),"",IF(G1162&gt;=20000,0.05,IF(G1162&gt;=10000,0.1,IF(G1162&gt;=5000,0.2,IF(G1162&gt;=1000,0.3,IF(G1162&gt;=0,0.4,{0}))))))</f>
        <v/>
      </c>
      <c r="P1162" s="400">
        <f>IF(AND(B1162="",C1162=""),"",ROUND(H1162*O1162,2))</f>
        <v/>
      </c>
      <c r="Q1162" s="401" t="inlineStr">
        <is>
          <t>元件</t>
        </is>
      </c>
      <c r="R1162" s="168" t="inlineStr"/>
      <c r="S1162" s="168" t="inlineStr"/>
      <c r="T1162" s="168" t="inlineStr">
        <is>
          <t>0</t>
        </is>
      </c>
      <c r="U1162" s="168" t="inlineStr">
        <is>
          <t>XA2EVM5LC</t>
        </is>
      </c>
      <c r="V1162" s="402" t="n"/>
      <c r="W1162" s="402" t="n"/>
      <c r="X1162" s="170" t="inlineStr"/>
    </row>
    <row r="1163" s="308">
      <c r="A1163" s="64">
        <f>ROW()-ROW(A$1155)</f>
        <v/>
      </c>
      <c r="B1163" s="112" t="inlineStr">
        <is>
          <t>按钮</t>
        </is>
      </c>
      <c r="C1163" s="112" t="inlineStr">
        <is>
          <t>XB2BA31C</t>
        </is>
      </c>
      <c r="D1163" s="112" t="inlineStr">
        <is>
          <t>甲供/施耐德电气</t>
        </is>
      </c>
      <c r="E1163" s="114" t="inlineStr">
        <is>
          <t>只</t>
        </is>
      </c>
      <c r="F1163" s="114" t="n">
        <v>1</v>
      </c>
      <c r="G1163" s="396">
        <f>IF(AND(B1163="",C1163=""),"",ROUND(M1163*L1163*N1163,2))</f>
        <v/>
      </c>
      <c r="H1163" s="396">
        <f>IF(AND(B1163="",C1163=""),"",ROUND(F1163*G1163,2))</f>
        <v/>
      </c>
      <c r="I1163" s="150" t="inlineStr"/>
      <c r="J1163" s="397">
        <f>IF(AND(B1163="",C1163=""),"",ROUND(M1163*N1163,2))</f>
        <v/>
      </c>
      <c r="K1163" s="398">
        <f>IF(AND(B1163="",C1163=""),"",ROUND(J1163*F1163,2))</f>
        <v/>
      </c>
      <c r="L1163" s="141" t="n">
        <v>1</v>
      </c>
      <c r="M1163" s="399" t="n">
        <v>1e-07</v>
      </c>
      <c r="N1163" s="154" t="n">
        <v>1</v>
      </c>
      <c r="O1163" s="155">
        <f>IF(AND(B1163="",C1163=""),"",IF(G1163&gt;=20000,0.05,IF(G1163&gt;=10000,0.1,IF(G1163&gt;=5000,0.2,IF(G1163&gt;=1000,0.3,IF(G1163&gt;=0,0.4,{0}))))))</f>
        <v/>
      </c>
      <c r="P1163" s="400">
        <f>IF(AND(B1163="",C1163=""),"",ROUND(H1163*O1163,2))</f>
        <v/>
      </c>
      <c r="Q1163" s="401" t="inlineStr">
        <is>
          <t>元件</t>
        </is>
      </c>
      <c r="R1163" s="168" t="inlineStr"/>
      <c r="S1163" s="168" t="inlineStr"/>
      <c r="T1163" s="168" t="inlineStr">
        <is>
          <t>0</t>
        </is>
      </c>
      <c r="U1163" s="168" t="inlineStr">
        <is>
          <t>XB2BA31C</t>
        </is>
      </c>
      <c r="V1163" s="402" t="n"/>
      <c r="W1163" s="402" t="n"/>
      <c r="X1163" s="170" t="inlineStr">
        <is>
          <t>XA2EA31</t>
        </is>
      </c>
    </row>
    <row r="1164" s="308">
      <c r="A1164" s="64">
        <f>ROW()-ROW(A$1155)</f>
        <v/>
      </c>
      <c r="B1164" s="22" t="inlineStr">
        <is>
          <t>按钮</t>
        </is>
      </c>
      <c r="C1164" s="22" t="inlineStr">
        <is>
          <t>XB2BA42C</t>
        </is>
      </c>
      <c r="D1164" s="22" t="inlineStr">
        <is>
          <t>甲供/施耐德电气</t>
        </is>
      </c>
      <c r="E1164" s="23" t="inlineStr">
        <is>
          <t>只</t>
        </is>
      </c>
      <c r="F1164" s="23" t="n">
        <v>1</v>
      </c>
      <c r="G1164" s="349">
        <f>IF(AND(B1164="",C1164=""),"",ROUND(M1164*L1164*N1164,2))</f>
        <v/>
      </c>
      <c r="H1164" s="396">
        <f>IF(AND(B1164="",C1164=""),"",ROUND(F1164*G1164,2))</f>
        <v/>
      </c>
      <c r="I1164" s="150" t="inlineStr"/>
      <c r="J1164" s="397">
        <f>IF(AND(B1164="",C1164=""),"",ROUND(M1164*N1164,2))</f>
        <v/>
      </c>
      <c r="K1164" s="398">
        <f>IF(AND(B1164="",C1164=""),"",ROUND(J1164*F1164,2))</f>
        <v/>
      </c>
      <c r="L1164" s="141" t="n">
        <v>1</v>
      </c>
      <c r="M1164" s="399" t="n">
        <v>1e-07</v>
      </c>
      <c r="N1164" s="154" t="n">
        <v>1</v>
      </c>
      <c r="O1164" s="155">
        <f>IF(AND(B1164="",C1164=""),"",IF(G1164&gt;=20000,0.05,IF(G1164&gt;=10000,0.1,IF(G1164&gt;=5000,0.2,IF(G1164&gt;=1000,0.3,IF(G1164&gt;=0,0.4,{0}))))))</f>
        <v/>
      </c>
      <c r="P1164" s="400">
        <f>IF(AND(B1164="",C1164=""),"",ROUND(H1164*O1164,2))</f>
        <v/>
      </c>
      <c r="Q1164" s="401" t="inlineStr">
        <is>
          <t>元件</t>
        </is>
      </c>
      <c r="R1164" s="168" t="inlineStr"/>
      <c r="S1164" s="168" t="inlineStr"/>
      <c r="T1164" s="168" t="inlineStr">
        <is>
          <t>0</t>
        </is>
      </c>
      <c r="U1164" s="168" t="inlineStr">
        <is>
          <t>XB2BA42C</t>
        </is>
      </c>
      <c r="V1164" s="402" t="n"/>
      <c r="W1164" s="402" t="n"/>
      <c r="X1164" s="170" t="inlineStr">
        <is>
          <t>XA2EA41</t>
        </is>
      </c>
    </row>
    <row r="1165" s="308">
      <c r="A1165" s="64">
        <f>ROW()-ROW(A$1155)</f>
        <v/>
      </c>
      <c r="B1165" s="112" t="inlineStr">
        <is>
          <t>带熔丝端子</t>
        </is>
      </c>
      <c r="C1165" s="112" t="inlineStr">
        <is>
          <t>UK 5-HESI</t>
        </is>
      </c>
      <c r="D1165" s="22" t="inlineStr">
        <is>
          <t>菲尼克斯</t>
        </is>
      </c>
      <c r="E1165" s="23" t="inlineStr">
        <is>
          <t>只</t>
        </is>
      </c>
      <c r="F1165" s="23" t="n">
        <v>7</v>
      </c>
      <c r="G1165" s="349">
        <f>IF(AND(B1165="",C1165=""),"",ROUND(M1165*L1165*N1165,2))</f>
        <v/>
      </c>
      <c r="H1165" s="396">
        <f>IF(AND(B1165="",C1165=""),"",ROUND(F1165*G1165,2))</f>
        <v/>
      </c>
      <c r="I1165" s="150" t="inlineStr"/>
      <c r="J1165" s="397">
        <f>IF(AND(B1165="",C1165=""),"",ROUND(M1165*N1165,2))</f>
        <v/>
      </c>
      <c r="K1165" s="398">
        <f>IF(AND(B1165="",C1165=""),"",ROUND(J1165*F1165,2))</f>
        <v/>
      </c>
      <c r="L1165" s="141" t="n">
        <v>1</v>
      </c>
      <c r="M1165" s="399" t="n">
        <v>7</v>
      </c>
      <c r="N1165" s="154" t="n">
        <v>1</v>
      </c>
      <c r="O1165" s="155">
        <f>IF(AND(B1165="",C1165=""),"",IF(G1165&gt;=20000,0.05,IF(G1165&gt;=10000,0.1,IF(G1165&gt;=5000,0.2,IF(G1165&gt;=1000,0.3,IF(G1165&gt;=0,0.4,{0}))))))</f>
        <v/>
      </c>
      <c r="P1165" s="400">
        <f>IF(AND(B1165="",C1165=""),"",ROUND(H1165*O1165,2))</f>
        <v/>
      </c>
      <c r="Q1165" s="401" t="inlineStr">
        <is>
          <t>元件</t>
        </is>
      </c>
      <c r="R1165" s="168" t="inlineStr"/>
      <c r="S1165" s="168" t="inlineStr"/>
      <c r="T1165" s="168" t="inlineStr">
        <is>
          <t>0</t>
        </is>
      </c>
      <c r="U1165" s="168" t="inlineStr"/>
      <c r="V1165" s="402" t="n"/>
      <c r="W1165" s="402" t="n"/>
      <c r="X1165" s="170" t="inlineStr"/>
    </row>
    <row r="1166" s="308">
      <c r="A1166" s="64">
        <f>ROW()-ROW(A$1155)</f>
        <v/>
      </c>
      <c r="B1166" s="112" t="inlineStr">
        <is>
          <t>L型端子</t>
        </is>
      </c>
      <c r="C1166" s="112" t="inlineStr">
        <is>
          <t>GH100710</t>
        </is>
      </c>
      <c r="D1166" s="22" t="inlineStr">
        <is>
          <t>施耐德电气</t>
        </is>
      </c>
      <c r="E1166" s="23" t="inlineStr">
        <is>
          <t>只</t>
        </is>
      </c>
      <c r="F1166" s="23" t="n">
        <v>3</v>
      </c>
      <c r="G1166" s="349">
        <f>IF(AND(B1166="",C1166=""),"",ROUND(M1166*L1166*N1166,2))</f>
        <v/>
      </c>
      <c r="H1166" s="396">
        <f>IF(AND(B1166="",C1166=""),"",ROUND(F1166*G1166,2))</f>
        <v/>
      </c>
      <c r="I1166" s="150" t="inlineStr"/>
      <c r="J1166" s="397">
        <f>IF(AND(B1166="",C1166=""),"",ROUND(M1166*N1166,2))</f>
        <v/>
      </c>
      <c r="K1166" s="398">
        <f>IF(AND(B1166="",C1166=""),"",ROUND(J1166*F1166,2))</f>
        <v/>
      </c>
      <c r="L1166" s="141" t="n">
        <v>1</v>
      </c>
      <c r="M1166" s="399" t="n">
        <v>1125.85</v>
      </c>
      <c r="N1166" s="154" t="n">
        <v>0.45</v>
      </c>
      <c r="O1166" s="155">
        <f>IF(AND(B1166="",C1166=""),"",IF(G1166&gt;=20000,0.05,IF(G1166&gt;=10000,0.1,IF(G1166&gt;=5000,0.2,IF(G1166&gt;=1000,0.3,IF(G1166&gt;=0,0.4,{0}))))))</f>
        <v/>
      </c>
      <c r="P1166" s="400">
        <f>IF(AND(B1166="",C1166=""),"",ROUND(H1166*O1166,2))</f>
        <v/>
      </c>
      <c r="Q1166" s="401" t="inlineStr">
        <is>
          <t>元件</t>
        </is>
      </c>
      <c r="R1166" s="168" t="inlineStr"/>
      <c r="S1166" s="168" t="inlineStr"/>
      <c r="T1166" s="168" t="inlineStr">
        <is>
          <t>0</t>
        </is>
      </c>
      <c r="U1166" s="168" t="inlineStr"/>
      <c r="V1166" s="402" t="n"/>
      <c r="W1166" s="402" t="n"/>
      <c r="X1166" s="170" t="inlineStr"/>
    </row>
    <row r="1167" s="308">
      <c r="A1167" s="64">
        <f>ROW()-ROW(A$1155)</f>
        <v/>
      </c>
      <c r="B1167" s="33" t="inlineStr">
        <is>
          <t>水平母排</t>
        </is>
      </c>
      <c r="C1167" s="22" t="inlineStr">
        <is>
          <t>TMY 4*(4*150*5)+2*50*5</t>
        </is>
      </c>
      <c r="D1167" s="22" t="inlineStr">
        <is>
          <t>国产优质</t>
        </is>
      </c>
      <c r="E1167" s="23" t="inlineStr">
        <is>
          <t>米</t>
        </is>
      </c>
      <c r="F1167" s="23" t="n">
        <v>0.8</v>
      </c>
      <c r="G1167" s="349">
        <f>IF(AND(B1167="",C1167=""),"",ROUND(M1167*L1167*N1167,2))</f>
        <v/>
      </c>
      <c r="H1167" s="349">
        <f>IF(AND(B1167="",C1167=""),"",ROUND(F1167*G1167,2))</f>
        <v/>
      </c>
      <c r="I1167" s="179" t="inlineStr"/>
      <c r="J1167" s="397">
        <f>IF(AND(B1167="",C1167=""),"",ROUND(M1167*N1167,2))</f>
        <v/>
      </c>
      <c r="K1167" s="398">
        <f>IF(AND(B1167="",C1167=""),"",ROUND(J1167*F1167,2))</f>
        <v/>
      </c>
      <c r="L1167" s="141" t="n">
        <v>1</v>
      </c>
      <c r="M1167" s="399" t="n">
        <v>12026.68125</v>
      </c>
      <c r="N1167" s="154">
        <f>(6317.932*1*1+2684.8*1*1)/9002.732</f>
        <v/>
      </c>
      <c r="O1167" s="155">
        <f>IF(AND(B1167="",C1167=""),"",IF(G1167&gt;=20000,0.05,IF(G1167&gt;=10000,0.1,IF(G1167&gt;=5000,0.2,IF(G1167&gt;=1000,0.3,IF(G1167&gt;=0,0.4,{0}))))))</f>
        <v/>
      </c>
      <c r="P1167" s="400">
        <f>IF(AND(B1167="",C1167=""),"",ROUND(H1167*O1167,2))</f>
        <v/>
      </c>
      <c r="Q1167" s="401" t="inlineStr">
        <is>
          <t>母排</t>
        </is>
      </c>
      <c r="R1167" s="168" t="inlineStr"/>
      <c r="S1167" s="168" t="inlineStr"/>
      <c r="T1167" s="168" t="inlineStr">
        <is>
          <t>0</t>
        </is>
      </c>
      <c r="U1167" s="168" t="inlineStr"/>
      <c r="V1167" s="402" t="n"/>
      <c r="W1167" s="402" t="n"/>
      <c r="X1167" s="170" t="inlineStr"/>
    </row>
    <row r="1168" customFormat="1" s="3">
      <c r="A1168" s="64">
        <f>ROW()-ROW(A$1155)</f>
        <v/>
      </c>
      <c r="B1168" s="27" t="inlineStr">
        <is>
          <t>铜排</t>
        </is>
      </c>
      <c r="C1168" s="27" t="inlineStr">
        <is>
          <t>TMY</t>
        </is>
      </c>
      <c r="D1168" s="22" t="inlineStr">
        <is>
          <t>国产优质</t>
        </is>
      </c>
      <c r="E1168" s="23" t="inlineStr">
        <is>
          <t>kg</t>
        </is>
      </c>
      <c r="F1168" s="28" t="n">
        <v>222</v>
      </c>
      <c r="G1168" s="353">
        <f>IF(AND(B1168="",C1168=""),"",ROUND(M1168*L1168*N1168,2))</f>
        <v/>
      </c>
      <c r="H1168" s="353">
        <f>IF(AND(B1168="",C1168=""),"",ROUND(F1168*G1168,2))</f>
        <v/>
      </c>
      <c r="I1168" s="180" t="inlineStr"/>
      <c r="J1168" s="392">
        <f>IF(AND(B1168="",C1168=""),"",ROUND(M1168*N1168,2))</f>
        <v/>
      </c>
      <c r="K1168" s="393">
        <f>IF(AND(B1168="",C1168=""),"",ROUND(J1168*F1168,2))</f>
        <v/>
      </c>
      <c r="L1168" s="141" t="n">
        <v>1</v>
      </c>
      <c r="M1168" s="394" t="n">
        <v>108.105</v>
      </c>
      <c r="N1168" s="143" t="n">
        <v>1</v>
      </c>
      <c r="O1168" s="144">
        <f>IF(AND(B1168="",C1168=""),"",IF(G1168&gt;=20000,0.05,IF(G1168&gt;=10000,0.1,IF(G1168&gt;=5000,0.2,IF(G1168&gt;=1000,0.3,IF(G1168&gt;=0,0.4,{0}))))))</f>
        <v/>
      </c>
      <c r="P1168" s="395">
        <f>IF(AND(B1168="",C1168=""),"",ROUND(H1168*O1168,2))</f>
        <v/>
      </c>
      <c r="Q1168" s="390" t="inlineStr">
        <is>
          <t>母排</t>
        </is>
      </c>
      <c r="R1168" s="164" t="inlineStr"/>
      <c r="S1168" s="164" t="inlineStr"/>
      <c r="T1168" s="164" t="inlineStr">
        <is>
          <t>0</t>
        </is>
      </c>
      <c r="U1168" s="164" t="inlineStr"/>
      <c r="V1168" s="391" t="n"/>
      <c r="W1168" s="391" t="n"/>
      <c r="X1168" s="166" t="inlineStr"/>
    </row>
    <row r="1169" s="308">
      <c r="A1169" s="64">
        <f>ROW()-ROW(A$1155)</f>
        <v/>
      </c>
      <c r="B1169" s="22" t="inlineStr">
        <is>
          <t>辅料</t>
        </is>
      </c>
      <c r="C1169" s="22" t="inlineStr"/>
      <c r="D1169" s="22" t="inlineStr"/>
      <c r="E1169" s="23" t="inlineStr">
        <is>
          <t>套</t>
        </is>
      </c>
      <c r="F1169" s="23" t="n">
        <v>1</v>
      </c>
      <c r="G1169" s="349">
        <f>IF(AND(B1169="",C1169=""),"",ROUND(M1169*L1169*N1169,2))</f>
        <v/>
      </c>
      <c r="H1169" s="349">
        <f>IF(AND(B1169="",C1169=""),"",ROUND(F1169*G1169,2))</f>
        <v/>
      </c>
      <c r="I1169" s="179" t="inlineStr"/>
      <c r="J1169" s="397">
        <f>IF(AND(B1169="",C1169=""),"",ROUND(M1169*N1169,2))</f>
        <v/>
      </c>
      <c r="K1169" s="398">
        <f>IF(AND(B1169="",C1169=""),"",ROUND(J1169*F1169,2))</f>
        <v/>
      </c>
      <c r="L1169" s="141" t="n">
        <v>1</v>
      </c>
      <c r="M1169" s="399" t="n">
        <v>550</v>
      </c>
      <c r="N1169" s="154" t="n">
        <v>1</v>
      </c>
      <c r="O1169" s="155">
        <f>IF(AND(B1169="",C1169=""),"",IF(G1169&gt;=20000,0.05,IF(G1169&gt;=10000,0.1,IF(G1169&gt;=5000,0.2,IF(G1169&gt;=1000,0.3,IF(G1169&gt;=0,0.4,{0}))))))</f>
        <v/>
      </c>
      <c r="P1169" s="400">
        <f>IF(AND(B1169="",C1169=""),"",ROUND(H1169*O1169,2))</f>
        <v/>
      </c>
      <c r="Q1169" s="401" t="inlineStr">
        <is>
          <t>辅料</t>
        </is>
      </c>
      <c r="R1169" s="168" t="inlineStr"/>
      <c r="S1169" s="168" t="inlineStr"/>
      <c r="T1169" s="168" t="inlineStr">
        <is>
          <t>0</t>
        </is>
      </c>
      <c r="U1169" s="168" t="inlineStr"/>
      <c r="V1169" s="402" t="n"/>
      <c r="W1169" s="402" t="n"/>
      <c r="X1169" s="170" t="inlineStr"/>
    </row>
    <row r="1170" s="308">
      <c r="A1170" s="64">
        <f>ROW()-ROW(A$1155)</f>
        <v/>
      </c>
      <c r="B1170" s="22" t="inlineStr">
        <is>
          <t>柜体Blokset</t>
        </is>
      </c>
      <c r="C1170" s="33" t="inlineStr">
        <is>
          <t>700W*1200D*2200H</t>
        </is>
      </c>
      <c r="D1170" s="22" t="inlineStr">
        <is>
          <t>清科</t>
        </is>
      </c>
      <c r="E1170" s="23" t="inlineStr">
        <is>
          <t>台</t>
        </is>
      </c>
      <c r="F1170" s="23" t="n">
        <v>1</v>
      </c>
      <c r="G1170" s="349">
        <f>IF(AND(B1170="",C1170=""),"",ROUND(M1170*L1170*N1170,2))</f>
        <v/>
      </c>
      <c r="H1170" s="349">
        <f>IF(AND(B1170="",C1170=""),"",ROUND(F1170*G1170,2))</f>
        <v/>
      </c>
      <c r="I1170" s="179" t="inlineStr"/>
      <c r="J1170" s="397">
        <f>IF(AND(B1170="",C1170=""),"",ROUND(M1170*N1170,2))</f>
        <v/>
      </c>
      <c r="K1170" s="398">
        <f>IF(AND(B1170="",C1170=""),"",ROUND(J1170*F1170,2))</f>
        <v/>
      </c>
      <c r="L1170" s="141" t="n">
        <v>1</v>
      </c>
      <c r="M1170" s="399" t="n">
        <v>4010</v>
      </c>
      <c r="N1170" s="154" t="n">
        <v>1</v>
      </c>
      <c r="O1170" s="155">
        <f>IF(AND(B1170="",C1170=""),"",IF(G1170&gt;=20000,0.05,IF(G1170&gt;=10000,0.1,IF(G1170&gt;=5000,0.2,IF(G1170&gt;=1000,0.3,IF(G1170&gt;=0,0.4,{0}))))))</f>
        <v/>
      </c>
      <c r="P1170" s="400">
        <f>IF(AND(B1170="",C1170=""),"",ROUND(H1170*O1170,2))</f>
        <v/>
      </c>
      <c r="Q1170" s="401" t="inlineStr">
        <is>
          <t>箱体</t>
        </is>
      </c>
      <c r="R1170" s="168" t="inlineStr"/>
      <c r="S1170" s="168" t="inlineStr"/>
      <c r="T1170" s="168" t="inlineStr">
        <is>
          <t>0</t>
        </is>
      </c>
      <c r="U1170" s="168" t="inlineStr"/>
      <c r="V1170" s="402" t="n"/>
      <c r="W1170" s="402" t="n"/>
      <c r="X1170" s="170" t="inlineStr"/>
    </row>
    <row r="1171" customFormat="1" s="3">
      <c r="A1171" s="64">
        <f>ROW()-ROW(A$1155)</f>
        <v/>
      </c>
      <c r="B1171" s="27" t="inlineStr"/>
      <c r="C1171" s="27" t="inlineStr"/>
      <c r="D1171" s="27" t="inlineStr"/>
      <c r="E1171" s="28" t="n"/>
      <c r="F1171" s="28">
        <f>IF(AND(B1171="",C1171=""),"",1)</f>
        <v/>
      </c>
      <c r="G1171" s="353">
        <f>IF(AND(B1171="",C1171=""),"",ROUND(M1171*L1171*N1171,2))</f>
        <v/>
      </c>
      <c r="H1171" s="353">
        <f>IF(AND(B1171="",C1171=""),"",ROUND(F1171*G1171,2))</f>
        <v/>
      </c>
      <c r="I1171" s="180" t="inlineStr"/>
      <c r="J1171" s="392">
        <f>IF(AND(B1171="",C1171=""),"",ROUND(M1171*N1171,2))</f>
        <v/>
      </c>
      <c r="K1171" s="393">
        <f>IF(AND(B1171="",C1171=""),"",ROUND(J1171*F1171,2))</f>
        <v/>
      </c>
      <c r="L1171" s="141">
        <f>IF(AND(B1171="",C1171=""),"",1)</f>
        <v/>
      </c>
      <c r="M1171" s="394" t="n"/>
      <c r="N1171" s="143">
        <f>IF(AND(B1171="",C1171=""),"",1)</f>
        <v/>
      </c>
      <c r="O1171" s="144">
        <f>IF(AND(B1171="",C1171=""),"",IF(J1171&gt;=20000,0.05,IF(J1171&gt;=10000,0.1,IF(J1171&gt;=5000,0.2,IF(J1171&gt;=1000,0.3,IF(J1171&gt;=0,0.4,{0}))))))</f>
        <v/>
      </c>
      <c r="P1171" s="395">
        <f>IF(AND(B1171="",C1171=""),"",ROUND(H1171*O1171,2))</f>
        <v/>
      </c>
      <c r="Q1171" s="390">
        <f>IF(AND(B1171="",C1171=""),"","元件")</f>
        <v/>
      </c>
      <c r="R1171" s="164" t="inlineStr"/>
      <c r="S1171" s="164" t="inlineStr"/>
      <c r="T1171" s="164" t="inlineStr"/>
      <c r="U1171" s="164" t="inlineStr"/>
      <c r="V1171" s="391" t="n"/>
      <c r="W1171" s="391" t="n"/>
      <c r="X1171" s="166" t="inlineStr"/>
    </row>
    <row r="1172" customFormat="1" s="3">
      <c r="A1172" s="64">
        <f>ROW()-ROW(A$1155)</f>
        <v/>
      </c>
      <c r="B1172" s="27" t="inlineStr"/>
      <c r="C1172" s="27" t="inlineStr"/>
      <c r="D1172" s="27" t="inlineStr"/>
      <c r="E1172" s="28" t="n"/>
      <c r="F1172" s="28">
        <f>IF(AND(B1172="",C1172=""),"",1)</f>
        <v/>
      </c>
      <c r="G1172" s="353">
        <f>IF(AND(B1172="",C1172=""),"",ROUND(M1172*L1172*N1172,2))</f>
        <v/>
      </c>
      <c r="H1172" s="353">
        <f>IF(AND(B1172="",C1172=""),"",ROUND(F1172*G1172,2))</f>
        <v/>
      </c>
      <c r="I1172" s="180" t="inlineStr"/>
      <c r="J1172" s="392">
        <f>IF(AND(B1172="",C1172=""),"",ROUND(M1172*N1172,2))</f>
        <v/>
      </c>
      <c r="K1172" s="393">
        <f>IF(AND(B1172="",C1172=""),"",ROUND(J1172*F1172,2))</f>
        <v/>
      </c>
      <c r="L1172" s="141">
        <f>IF(AND(B1172="",C1172=""),"",1)</f>
        <v/>
      </c>
      <c r="M1172" s="394" t="n"/>
      <c r="N1172" s="143">
        <f>IF(AND(B1172="",C1172=""),"",1)</f>
        <v/>
      </c>
      <c r="O1172" s="144">
        <f>IF(AND(B1172="",C1172=""),"",IF(J1172&gt;=20000,0.05,IF(J1172&gt;=10000,0.1,IF(J1172&gt;=5000,0.2,IF(J1172&gt;=1000,0.3,IF(J1172&gt;=0,0.4,{0}))))))</f>
        <v/>
      </c>
      <c r="P1172" s="395">
        <f>IF(AND(B1172="",C1172=""),"",ROUND(H1172*O1172,2))</f>
        <v/>
      </c>
      <c r="Q1172" s="390">
        <f>IF(AND(B1172="",C1172=""),"","元件")</f>
        <v/>
      </c>
      <c r="R1172" s="164" t="inlineStr"/>
      <c r="S1172" s="164" t="inlineStr"/>
      <c r="T1172" s="164" t="inlineStr"/>
      <c r="U1172" s="164" t="inlineStr"/>
      <c r="V1172" s="391" t="n"/>
      <c r="W1172" s="391" t="n"/>
      <c r="X1172" s="166" t="inlineStr"/>
    </row>
    <row r="1173" customFormat="1" s="3">
      <c r="A1173" s="64">
        <f>ROW()-ROW(A$1155)</f>
        <v/>
      </c>
      <c r="B1173" s="171" t="inlineStr">
        <is>
          <t>小计</t>
        </is>
      </c>
      <c r="C1173" s="172" t="n"/>
      <c r="D1173" s="82" t="n"/>
      <c r="E1173" s="28" t="n"/>
      <c r="F1173" s="28" t="n"/>
      <c r="G1173" s="353" t="n"/>
      <c r="H1173" s="353">
        <f>ROUND(SUM(H1155:INDEX(H:H,ROW()-1)),2)</f>
        <v/>
      </c>
      <c r="I1173" s="45" t="inlineStr"/>
      <c r="J1173" s="392" t="n"/>
      <c r="K1173" s="393">
        <f>ROUND(SUM(K1155:INDEX(K:K,ROW()-1)),2)</f>
        <v/>
      </c>
      <c r="L1173" s="141" t="n"/>
      <c r="M1173" s="394" t="n"/>
      <c r="N1173" s="143" t="n"/>
      <c r="O1173" s="144" t="n"/>
      <c r="P1173" s="395" t="n"/>
      <c r="Q1173" s="390" t="n"/>
      <c r="R1173" s="164" t="inlineStr"/>
      <c r="S1173" s="164" t="inlineStr"/>
      <c r="T1173" s="164" t="inlineStr"/>
      <c r="U1173" s="164" t="inlineStr"/>
      <c r="V1173" s="391">
        <f>ROUND(SUMPRODUCT(F1155:INDEX(F:F,ROW()-1),V1155:INDEX(V:V,ROW()-1)),2)</f>
        <v/>
      </c>
      <c r="W1173" s="391">
        <f>ROUND(SUMPRODUCT(F1155:INDEX(F:F,ROW()-1),W1155:INDEX(W:W,ROW()-1)),2)</f>
        <v/>
      </c>
      <c r="X1173" s="166" t="inlineStr"/>
    </row>
    <row r="1174" customFormat="1" s="3">
      <c r="A1174" s="64">
        <f>ROW()-ROW(A$1155)</f>
        <v/>
      </c>
      <c r="B1174" s="171" t="inlineStr">
        <is>
          <t>综合费(人工、管理、税金、利润等)</t>
        </is>
      </c>
      <c r="C1174" s="172" t="n"/>
      <c r="D1174" s="82" t="n"/>
      <c r="E1174" s="28" t="n"/>
      <c r="F1174" s="28" t="n"/>
      <c r="G1174" s="353" t="n"/>
      <c r="H1174" s="353">
        <f>2500</f>
        <v/>
      </c>
      <c r="I1174" s="45" t="inlineStr"/>
      <c r="J1174" s="392" t="n"/>
      <c r="K1174" s="393" t="n"/>
      <c r="L1174" s="141" t="n"/>
      <c r="M1174" s="394" t="n"/>
      <c r="N1174" s="143" t="n"/>
      <c r="O1174" s="144" t="n"/>
      <c r="P1174" s="395" t="n"/>
      <c r="Q1174" s="390" t="inlineStr">
        <is>
          <t>费用</t>
        </is>
      </c>
      <c r="R1174" s="164" t="inlineStr"/>
      <c r="S1174" s="164" t="inlineStr"/>
      <c r="T1174" s="164" t="inlineStr"/>
      <c r="U1174" s="164" t="inlineStr"/>
      <c r="V1174" s="391" t="n"/>
      <c r="W1174" s="391" t="n"/>
      <c r="X1174" s="166" t="inlineStr"/>
    </row>
    <row r="1175" customFormat="1" s="3">
      <c r="A1175" s="64">
        <f>ROW()-ROW(A$1155)</f>
        <v/>
      </c>
      <c r="B1175" s="82" t="inlineStr">
        <is>
          <t>单台合计</t>
        </is>
      </c>
      <c r="C1175" s="172" t="n"/>
      <c r="D1175" s="82" t="n"/>
      <c r="E1175" s="28" t="n"/>
      <c r="F1175" s="28" t="n"/>
      <c r="G1175" s="353" t="n"/>
      <c r="H1175" s="353">
        <f>ROUND(SUM(H1173:H1174),2)</f>
        <v/>
      </c>
      <c r="I1175" s="181" t="n"/>
      <c r="J1175" s="392" t="n"/>
      <c r="K1175" s="393">
        <f>ROUND(SUM(K1173:K1174),2)</f>
        <v/>
      </c>
      <c r="L1175" s="182" t="n"/>
      <c r="M1175" s="394" t="n"/>
      <c r="N1175" s="183" t="n"/>
      <c r="O1175" s="184" t="n"/>
      <c r="P1175" s="395" t="n"/>
      <c r="Q1175" s="390" t="n"/>
      <c r="R1175" s="164" t="inlineStr"/>
      <c r="S1175" s="164" t="inlineStr"/>
      <c r="T1175" s="164" t="inlineStr"/>
      <c r="U1175" s="164" t="inlineStr"/>
      <c r="V1175" s="391" t="n"/>
      <c r="W1175" s="391" t="n"/>
      <c r="X1175" s="166" t="inlineStr"/>
    </row>
    <row r="1176" customFormat="1" s="3">
      <c r="A1176" s="173" t="inlineStr">
        <is>
          <t>总计</t>
        </is>
      </c>
      <c r="B1176" s="174" t="n"/>
      <c r="C1176" s="175" t="n"/>
      <c r="D1176" s="176" t="n"/>
      <c r="E1176" s="176" t="inlineStr">
        <is>
          <t>台</t>
        </is>
      </c>
      <c r="F1176" s="176" t="n">
        <v>4</v>
      </c>
      <c r="G1176" s="403">
        <f>ROUND(H1175,2)</f>
        <v/>
      </c>
      <c r="H1176" s="403">
        <f>ROUND(F1176*G1176,2)</f>
        <v/>
      </c>
      <c r="I1176" s="185" t="n"/>
      <c r="J1176" s="404" t="n"/>
      <c r="K1176" s="405">
        <f>ROUND(K1175*F1176,2)</f>
        <v/>
      </c>
      <c r="L1176" s="188" t="n"/>
      <c r="M1176" s="406" t="n"/>
      <c r="N1176" s="190" t="n"/>
      <c r="O1176" s="191" t="n"/>
      <c r="P1176" s="407" t="n"/>
      <c r="Q1176" s="390" t="n"/>
      <c r="R1176" s="164" t="inlineStr"/>
      <c r="S1176" s="164" t="inlineStr"/>
      <c r="T1176" s="164" t="inlineStr"/>
      <c r="U1176" s="164" t="inlineStr"/>
      <c r="V1176" s="391" t="n"/>
      <c r="W1176" s="391" t="n"/>
      <c r="X1176" s="166" t="inlineStr"/>
    </row>
    <row r="1177" customFormat="1" s="2">
      <c r="A1177" s="89" t="n"/>
      <c r="B1177" s="132" t="inlineStr"/>
      <c r="C1177" s="132" t="inlineStr"/>
      <c r="D1177" s="132" t="inlineStr"/>
      <c r="Q1177" s="160" t="n"/>
      <c r="R1177" s="160" t="n"/>
      <c r="S1177" s="160" t="n"/>
      <c r="T1177" s="160" t="n"/>
      <c r="U1177" s="160" t="n"/>
      <c r="X1177" s="132" t="inlineStr"/>
    </row>
    <row r="1178" customFormat="1" s="2">
      <c r="A1178" s="89" t="n"/>
      <c r="B1178" s="132" t="inlineStr"/>
      <c r="C1178" s="132" t="inlineStr"/>
      <c r="D1178" s="132" t="inlineStr"/>
      <c r="Q1178" s="160" t="n"/>
      <c r="R1178" s="160" t="n"/>
      <c r="S1178" s="160" t="n"/>
      <c r="T1178" s="160" t="n"/>
      <c r="U1178" s="160" t="n"/>
      <c r="X1178" s="132" t="inlineStr"/>
    </row>
    <row r="1179" customFormat="1" s="3">
      <c r="A1179" s="92">
        <f>CONCATENATE("报价人：",项目信息!$B$8)</f>
        <v/>
      </c>
      <c r="B1179" s="92" t="n"/>
      <c r="C1179" s="2" t="n"/>
      <c r="D1179" s="2" t="n"/>
      <c r="E1179" s="2" t="n"/>
      <c r="F1179" s="2" t="n"/>
      <c r="G1179" s="2" t="n"/>
      <c r="H1179" s="178">
        <f>项目信息!$B$9</f>
        <v/>
      </c>
      <c r="Q1179" s="160" t="n"/>
      <c r="R1179" s="160" t="n"/>
      <c r="S1179" s="160" t="n"/>
      <c r="T1179" s="160" t="n"/>
      <c r="U1179" s="160" t="n"/>
      <c r="X1179" s="162" t="inlineStr"/>
    </row>
    <row r="1180" s="308">
      <c r="A1180" s="8">
        <f>T(项目信息!$B$22)</f>
        <v/>
      </c>
      <c r="Q1180" s="159" t="n"/>
      <c r="R1180" s="159" t="n"/>
      <c r="S1180" s="159" t="n"/>
      <c r="T1180" s="159" t="n"/>
      <c r="U1180" s="159" t="n"/>
    </row>
    <row r="1181" s="308">
      <c r="A1181" s="9">
        <f>T(项目信息!$B$23)</f>
        <v/>
      </c>
      <c r="Q1181" s="159" t="n"/>
      <c r="R1181" s="159" t="n"/>
      <c r="S1181" s="159" t="n"/>
      <c r="T1181" s="159" t="n"/>
      <c r="U1181" s="159" t="n"/>
    </row>
    <row r="1182" s="308">
      <c r="A1182" s="97" t="inlineStr">
        <is>
          <t>成套产品报价明细表</t>
        </is>
      </c>
      <c r="B1182" s="378" t="n"/>
      <c r="C1182" s="378" t="n"/>
      <c r="D1182" s="378" t="n"/>
      <c r="E1182" s="378" t="n"/>
      <c r="F1182" s="378" t="n"/>
      <c r="G1182" s="378" t="n"/>
      <c r="H1182" s="378" t="n"/>
      <c r="I1182" s="378" t="n"/>
      <c r="Q1182" s="159" t="n"/>
      <c r="R1182" s="159" t="n"/>
      <c r="S1182" s="159" t="n"/>
      <c r="T1182" s="159" t="n"/>
      <c r="U1182" s="159" t="n"/>
    </row>
    <row r="1183" customFormat="1" s="4">
      <c r="A1183" s="98" t="inlineStr">
        <is>
          <t>柜号:</t>
        </is>
      </c>
      <c r="B1183" s="99" t="inlineStr">
        <is>
          <t>AAN9-03、BAN10-03、AAN11-03、BAN12-03</t>
        </is>
      </c>
      <c r="C1183" s="100" t="inlineStr">
        <is>
          <t>型号:</t>
        </is>
      </c>
      <c r="D1183" s="99" t="inlineStr">
        <is>
          <t>BlokSeT</t>
        </is>
      </c>
      <c r="E1183" s="379" t="n"/>
      <c r="F1183" s="101" t="inlineStr">
        <is>
          <t>名称:</t>
        </is>
      </c>
      <c r="G1183" s="99" t="inlineStr">
        <is>
          <t>电容柜</t>
        </is>
      </c>
      <c r="H1183" s="379" t="n"/>
      <c r="I1183" s="408" t="inlineStr"/>
      <c r="J1183" s="194" t="inlineStr">
        <is>
          <t>箱柜尺寸:</t>
        </is>
      </c>
      <c r="K1183" s="195" t="inlineStr">
        <is>
          <t>800W*1200D*2200H</t>
        </is>
      </c>
      <c r="L1183" s="194" t="inlineStr">
        <is>
          <t>类别:</t>
        </is>
      </c>
      <c r="M1183" s="195" t="inlineStr">
        <is>
          <t>低压固定柜</t>
        </is>
      </c>
      <c r="N1183" s="409" t="inlineStr"/>
      <c r="Q1183" s="159" t="n"/>
      <c r="R1183" s="159" t="n"/>
      <c r="S1183" s="159" t="n"/>
      <c r="T1183" s="159" t="n"/>
      <c r="U1183" s="159" t="n"/>
    </row>
    <row r="1184" ht="20.1" customHeight="1" s="308">
      <c r="A1184" s="102" t="inlineStr">
        <is>
          <t>序号</t>
        </is>
      </c>
      <c r="B1184" s="103" t="inlineStr">
        <is>
          <t>元件名称</t>
        </is>
      </c>
      <c r="C1184" s="103" t="inlineStr">
        <is>
          <t>型号规格</t>
        </is>
      </c>
      <c r="D1184" s="104" t="inlineStr">
        <is>
          <t>生产厂家</t>
        </is>
      </c>
      <c r="E1184" s="105" t="inlineStr">
        <is>
          <t>单位</t>
        </is>
      </c>
      <c r="F1184" s="105" t="inlineStr">
        <is>
          <t>数量</t>
        </is>
      </c>
      <c r="G1184" s="382" t="inlineStr">
        <is>
          <t>单   价</t>
        </is>
      </c>
      <c r="H1184" s="383" t="inlineStr">
        <is>
          <t>总   价</t>
        </is>
      </c>
      <c r="I1184" s="134" t="inlineStr">
        <is>
          <t>备注</t>
        </is>
      </c>
      <c r="J1184" s="384" t="inlineStr">
        <is>
          <t>成本单价</t>
        </is>
      </c>
      <c r="K1184" s="384" t="inlineStr">
        <is>
          <t>成本总价</t>
        </is>
      </c>
      <c r="L1184" s="136" t="inlineStr">
        <is>
          <t>报出
系数</t>
        </is>
      </c>
      <c r="M1184" s="384" t="inlineStr">
        <is>
          <t>表价</t>
        </is>
      </c>
      <c r="N1184" s="136" t="inlineStr">
        <is>
          <t>折扣
系数</t>
        </is>
      </c>
      <c r="O1184" s="137" t="inlineStr">
        <is>
          <t>取费
系数</t>
        </is>
      </c>
      <c r="P1184" s="384" t="inlineStr">
        <is>
          <t>成套费</t>
        </is>
      </c>
      <c r="Q1184" s="161" t="inlineStr">
        <is>
          <t>类别</t>
        </is>
      </c>
      <c r="R1184" s="161" t="inlineStr">
        <is>
          <t>物料编码</t>
        </is>
      </c>
      <c r="S1184" s="161" t="inlineStr">
        <is>
          <t>产地</t>
        </is>
      </c>
      <c r="T1184" s="161" t="inlineStr">
        <is>
          <t>加工费</t>
        </is>
      </c>
      <c r="U1184" s="161" t="inlineStr">
        <is>
          <t>订货号</t>
        </is>
      </c>
      <c r="V1184" s="161" t="inlineStr">
        <is>
          <t>人工</t>
        </is>
      </c>
      <c r="W1184" s="161" t="inlineStr">
        <is>
          <t>辅料</t>
        </is>
      </c>
      <c r="X1184" s="203" t="inlineStr"/>
    </row>
    <row r="1185" s="308">
      <c r="A1185" s="108">
        <f>ROW()-ROW(A$1184)</f>
        <v/>
      </c>
      <c r="B1185" s="112" t="inlineStr">
        <is>
          <t>隔离开关熔断器组</t>
        </is>
      </c>
      <c r="C1185" s="109" t="inlineStr">
        <is>
          <t>GS630/3P3F+正面延伸旋转手柄 黑色+旋转手柄轴200mm/630-1250A</t>
        </is>
      </c>
      <c r="D1185" s="109" t="inlineStr">
        <is>
          <t>甲供/施耐德电气</t>
        </is>
      </c>
      <c r="E1185" s="110" t="inlineStr">
        <is>
          <t>只</t>
        </is>
      </c>
      <c r="F1185" s="110" t="n">
        <v>1</v>
      </c>
      <c r="G1185" s="385">
        <f>IF(AND(B1185="",C1185=""),"",ROUND(M1185*L1185*N1185,2))</f>
        <v/>
      </c>
      <c r="H1185" s="385">
        <f>IF(AND(B1185="",C1185=""),"",ROUND(F1185*G1185,2))</f>
        <v/>
      </c>
      <c r="I1185" s="197" t="inlineStr"/>
      <c r="J1185" s="410">
        <f>IF(AND(B1185="",C1185=""),"",ROUND(M1185*N1185,2))</f>
        <v/>
      </c>
      <c r="K1185" s="411">
        <f>IF(AND(B1185="",C1185=""),"",ROUND(J1185*F1185,2))</f>
        <v/>
      </c>
      <c r="L1185" s="200" t="n">
        <v>1</v>
      </c>
      <c r="M1185" s="412" t="n">
        <v>1e-07</v>
      </c>
      <c r="N1185" s="154" t="n">
        <v>1</v>
      </c>
      <c r="O1185" s="155">
        <f>IF(AND(B1185="",C1185=""),"",IF(G1185&gt;=20000,0.05,IF(G1185&gt;=10000,0.1,IF(G1185&gt;=5000,0.2,IF(G1185&gt;=1000,0.3,IF(G1185&gt;=0,0.4,{0}))))))</f>
        <v/>
      </c>
      <c r="P1185" s="413">
        <f>IF(AND(B1185="",C1185=""),"",ROUND(H1185*O1185,2))</f>
        <v/>
      </c>
      <c r="Q1185" s="401" t="inlineStr">
        <is>
          <t>元件</t>
        </is>
      </c>
      <c r="R1185" s="168" t="inlineStr"/>
      <c r="S1185" s="168" t="inlineStr"/>
      <c r="T1185" s="168" t="n">
        <v>0</v>
      </c>
      <c r="U1185" s="168" t="inlineStr">
        <is>
          <t>LV481453+GS2AH550+GS2AE52</t>
        </is>
      </c>
      <c r="V1185" s="402" t="n"/>
      <c r="W1185" s="402" t="n"/>
      <c r="X1185" s="170" t="inlineStr">
        <is>
          <t>GS800/3P3F 正面延伸旋转手柄 黑色+旋转手柄轴200mm/630-1250A→GS630/3P3F+正面延伸旋转手柄 黑色+旋转手柄轴200mm/630-1250A→WGR-500/3-FW→NSX630N Mic2.3 630A 3P3D P→NSX630N Mic5.3B 630A 3P3D P→GS800/3P3F+正面延伸旋转手柄 黑色+旋转手柄轴200mm/630-1250A</t>
        </is>
      </c>
    </row>
    <row r="1186" s="308">
      <c r="A1186" s="108">
        <f>ROW()-ROW(A$1184)</f>
        <v/>
      </c>
      <c r="B1186" s="112" t="inlineStr">
        <is>
          <t>熔断器</t>
        </is>
      </c>
      <c r="C1186" s="109" t="inlineStr">
        <is>
          <t>NH3 gG 690V/630A</t>
        </is>
      </c>
      <c r="D1186" s="109" t="inlineStr">
        <is>
          <t>茗熔</t>
        </is>
      </c>
      <c r="E1186" s="110" t="inlineStr">
        <is>
          <t>只</t>
        </is>
      </c>
      <c r="F1186" s="110" t="n">
        <v>3</v>
      </c>
      <c r="G1186" s="385">
        <f>IF(AND(B1186="",C1186=""),"",ROUND(M1186*L1186*N1186,2))</f>
        <v/>
      </c>
      <c r="H1186" s="385">
        <f>IF(AND(B1186="",C1186=""),"",ROUND(F1186*G1186,2))</f>
        <v/>
      </c>
      <c r="I1186" s="197" t="inlineStr"/>
      <c r="J1186" s="410">
        <f>IF(AND(B1186="",C1186=""),"",ROUND(M1186*N1186,2))</f>
        <v/>
      </c>
      <c r="K1186" s="411">
        <f>IF(AND(B1186="",C1186=""),"",ROUND(J1186*F1186,2))</f>
        <v/>
      </c>
      <c r="L1186" s="200" t="n">
        <v>1</v>
      </c>
      <c r="M1186" s="412" t="n">
        <v>62</v>
      </c>
      <c r="N1186" s="154" t="n">
        <v>1</v>
      </c>
      <c r="O1186" s="155">
        <f>IF(AND(B1186="",C1186=""),"",IF(G1186&gt;=20000,0.05,IF(G1186&gt;=10000,0.1,IF(G1186&gt;=5000,0.2,IF(G1186&gt;=1000,0.3,IF(G1186&gt;=0,0.4,{0}))))))</f>
        <v/>
      </c>
      <c r="P1186" s="413">
        <f>IF(AND(B1186="",C1186=""),"",ROUND(H1186*O1186,2))</f>
        <v/>
      </c>
      <c r="Q1186" s="401" t="inlineStr">
        <is>
          <t>元件</t>
        </is>
      </c>
      <c r="R1186" s="168" t="inlineStr"/>
      <c r="S1186" s="168" t="inlineStr"/>
      <c r="T1186" s="168" t="inlineStr">
        <is>
          <t>0</t>
        </is>
      </c>
      <c r="U1186" s="168" t="inlineStr">
        <is>
          <t>0</t>
        </is>
      </c>
      <c r="V1186" s="402" t="n"/>
      <c r="W1186" s="402" t="n"/>
      <c r="X1186" s="170" t="inlineStr">
        <is>
          <t>RT17(NT4) gG 400/690V 800A 3C</t>
        </is>
      </c>
    </row>
    <row r="1187" s="308">
      <c r="A1187" s="64">
        <f>ROW()-ROW(A$1184)</f>
        <v/>
      </c>
      <c r="B1187" s="22" t="inlineStr">
        <is>
          <t>多功能表</t>
        </is>
      </c>
      <c r="C1187" s="22" t="inlineStr">
        <is>
          <t>PM4101</t>
        </is>
      </c>
      <c r="D1187" s="109" t="inlineStr">
        <is>
          <t>甲供/施耐德电气</t>
        </is>
      </c>
      <c r="E1187" s="23" t="inlineStr">
        <is>
          <t>只</t>
        </is>
      </c>
      <c r="F1187" s="23" t="n">
        <v>1</v>
      </c>
      <c r="G1187" s="349">
        <f>IF(AND(B1187="",C1187=""),"",ROUND(M1187*L1187*N1187,2))</f>
        <v/>
      </c>
      <c r="H1187" s="349">
        <f>IF(AND(B1187="",C1187=""),"",ROUND(F1187*G1187,2))</f>
        <v/>
      </c>
      <c r="I1187" s="45" t="inlineStr"/>
      <c r="J1187" s="397">
        <f>IF(AND(B1187="",C1187=""),"",ROUND(M1187*N1187,2))</f>
        <v/>
      </c>
      <c r="K1187" s="398">
        <f>IF(AND(B1187="",C1187=""),"",ROUND(J1187*F1187,2))</f>
        <v/>
      </c>
      <c r="L1187" s="200" t="n">
        <v>1</v>
      </c>
      <c r="M1187" s="399" t="n">
        <v>1e-07</v>
      </c>
      <c r="N1187" s="154" t="n">
        <v>1</v>
      </c>
      <c r="O1187" s="155">
        <f>IF(AND(B1187="",C1187=""),"",IF(G1187&gt;=20000,0.05,IF(G1187&gt;=10000,0.1,IF(G1187&gt;=5000,0.2,IF(G1187&gt;=1000,0.3,IF(G1187&gt;=0,0.4,{0}))))))</f>
        <v/>
      </c>
      <c r="P1187" s="400">
        <f>IF(AND(B1187="",C1187=""),"",ROUND(H1187*O1187,2))</f>
        <v/>
      </c>
      <c r="Q1187" s="401" t="inlineStr">
        <is>
          <t>元件</t>
        </is>
      </c>
      <c r="R1187" s="168" t="inlineStr"/>
      <c r="S1187" s="168" t="inlineStr"/>
      <c r="T1187" s="168" t="inlineStr">
        <is>
          <t>0</t>
        </is>
      </c>
      <c r="U1187" s="168" t="inlineStr"/>
      <c r="V1187" s="402" t="n"/>
      <c r="W1187" s="402" t="n"/>
      <c r="X1187" s="170" t="inlineStr">
        <is>
          <t>PM→PM5350P</t>
        </is>
      </c>
    </row>
    <row r="1188" s="308">
      <c r="A1188" s="64">
        <f>ROW()-ROW(A$1184)</f>
        <v/>
      </c>
      <c r="B1188" s="112" t="inlineStr">
        <is>
          <t>电流互感器</t>
        </is>
      </c>
      <c r="C1188" s="22" t="inlineStr">
        <is>
          <t>SD-0.66-285III-C 5000/5A</t>
        </is>
      </c>
      <c r="D1188" s="112" t="inlineStr">
        <is>
          <t>桑迪</t>
        </is>
      </c>
      <c r="E1188" s="114" t="inlineStr">
        <is>
          <t>只</t>
        </is>
      </c>
      <c r="F1188" s="23" t="n">
        <v>3</v>
      </c>
      <c r="G1188" s="396">
        <f>IF(AND(B1188="",C1188=""),"",ROUND(M1188*L1188*N1188,2))</f>
        <v/>
      </c>
      <c r="H1188" s="349">
        <f>IF(AND(B1188="",C1188=""),"",ROUND(F1188*G1188,2))</f>
        <v/>
      </c>
      <c r="I1188" s="45" t="inlineStr"/>
      <c r="J1188" s="397">
        <f>IF(AND(B1188="",C1188=""),"",ROUND(M1188*N1188,2))</f>
        <v/>
      </c>
      <c r="K1188" s="398">
        <f>IF(AND(B1188="",C1188=""),"",ROUND(J1188*F1188,2))</f>
        <v/>
      </c>
      <c r="L1188" s="200" t="n">
        <v>1</v>
      </c>
      <c r="M1188" s="399" t="n">
        <v>1026.31</v>
      </c>
      <c r="N1188" s="154" t="n">
        <v>1</v>
      </c>
      <c r="O1188" s="155">
        <f>IF(AND(B1188="",C1188=""),"",IF(G1188&gt;=20000,0.05,IF(G1188&gt;=10000,0.1,IF(G1188&gt;=5000,0.2,IF(G1188&gt;=1000,0.3,IF(G1188&gt;=0,0.4,{0}))))))</f>
        <v/>
      </c>
      <c r="P1188" s="400">
        <f>IF(AND(B1188="",C1188=""),"",ROUND(H1188*O1188,2))</f>
        <v/>
      </c>
      <c r="Q1188" s="401" t="inlineStr">
        <is>
          <t>元件</t>
        </is>
      </c>
      <c r="R1188" s="168" t="inlineStr"/>
      <c r="S1188" s="168" t="inlineStr"/>
      <c r="T1188" s="168" t="inlineStr">
        <is>
          <t>0</t>
        </is>
      </c>
      <c r="U1188" s="168" t="inlineStr"/>
      <c r="V1188" s="402" t="n"/>
      <c r="W1188" s="402" t="n"/>
      <c r="X1188" s="170" t="inlineStr">
        <is>
          <t>BH-0.66/80C(P) 800/5A→SD-0.66-80II-V 800/5A→SD-0.66-40II-C 400/5A→SD-0.66-60II-C 600/5A→SD-0.66-60II-C 750/5A→SD-0.66-80II-V 800/5A→SD-0.66-60II-C 600/5A</t>
        </is>
      </c>
    </row>
    <row r="1189" s="308">
      <c r="A1189" s="64">
        <f>ROW()-ROW(A$1184)</f>
        <v/>
      </c>
      <c r="B1189" s="112" t="inlineStr">
        <is>
          <t>电流互感器</t>
        </is>
      </c>
      <c r="C1189" s="22" t="inlineStr">
        <is>
          <t>SD-0.66-60II-C 600/5A</t>
        </is>
      </c>
      <c r="D1189" s="112" t="inlineStr">
        <is>
          <t>桑迪</t>
        </is>
      </c>
      <c r="E1189" s="114" t="inlineStr">
        <is>
          <t>只</t>
        </is>
      </c>
      <c r="F1189" s="23" t="n">
        <v>3</v>
      </c>
      <c r="G1189" s="396">
        <f>IF(AND(B1189="",C1189=""),"",ROUND(M1189*L1189*N1189,2))</f>
        <v/>
      </c>
      <c r="H1189" s="349">
        <f>IF(AND(B1189="",C1189=""),"",ROUND(F1189*G1189,2))</f>
        <v/>
      </c>
      <c r="I1189" s="45" t="inlineStr"/>
      <c r="J1189" s="397">
        <f>IF(AND(B1189="",C1189=""),"",ROUND(M1189*N1189,2))</f>
        <v/>
      </c>
      <c r="K1189" s="398">
        <f>IF(AND(B1189="",C1189=""),"",ROUND(J1189*F1189,2))</f>
        <v/>
      </c>
      <c r="L1189" s="200" t="n">
        <v>1</v>
      </c>
      <c r="M1189" s="399" t="n">
        <v>63.7</v>
      </c>
      <c r="N1189" s="154" t="n">
        <v>1</v>
      </c>
      <c r="O1189" s="155">
        <f>IF(AND(B1189="",C1189=""),"",IF(G1189&gt;=20000,0.05,IF(G1189&gt;=10000,0.1,IF(G1189&gt;=5000,0.2,IF(G1189&gt;=1000,0.3,IF(G1189&gt;=0,0.4,{0}))))))</f>
        <v/>
      </c>
      <c r="P1189" s="400">
        <f>IF(AND(B1189="",C1189=""),"",ROUND(H1189*O1189,2))</f>
        <v/>
      </c>
      <c r="Q1189" s="401" t="inlineStr">
        <is>
          <t>元件</t>
        </is>
      </c>
      <c r="R1189" s="168" t="inlineStr"/>
      <c r="S1189" s="168" t="inlineStr"/>
      <c r="T1189" s="168" t="inlineStr">
        <is>
          <t>0</t>
        </is>
      </c>
      <c r="U1189" s="168" t="inlineStr"/>
      <c r="V1189" s="402" t="n"/>
      <c r="W1189" s="402" t="n"/>
      <c r="X1189" s="170" t="inlineStr">
        <is>
          <t>BH-0.66/80C(P) 800/5A→SD-0.66-80II-V 800/5A→SD-0.66-40II-C 400/5A→SD-0.66-60II-C 600/5A→SD-0.66-60II-C 750/5A→SD-0.66-80II-V 800/5A→SD-0.66-60II-C 600/5A→SD-0.66-60II-C 800/5A</t>
        </is>
      </c>
    </row>
    <row r="1190" s="308">
      <c r="A1190" s="64">
        <f>ROW()-ROW(A$1184)</f>
        <v/>
      </c>
      <c r="B1190" s="22" t="inlineStr">
        <is>
          <t>SVG</t>
        </is>
      </c>
      <c r="C1190" s="22" t="inlineStr">
        <is>
          <t>250kvar</t>
        </is>
      </c>
      <c r="D1190" s="27" t="inlineStr">
        <is>
          <t>甲供</t>
        </is>
      </c>
      <c r="E1190" s="23" t="inlineStr">
        <is>
          <t>套</t>
        </is>
      </c>
      <c r="F1190" s="23">
        <f>IF(AND(B1190="",C1190=""),"",1)</f>
        <v/>
      </c>
      <c r="G1190" s="349">
        <f>IF(AND(B1190="",C1190=""),"",ROUND(M1190*L1190*N1190,2))</f>
        <v/>
      </c>
      <c r="H1190" s="349">
        <f>IF(AND(B1190="",C1190=""),"",ROUND(F1190*G1190,2))</f>
        <v/>
      </c>
      <c r="I1190" s="45" t="inlineStr"/>
      <c r="J1190" s="397">
        <f>IF(AND(B1190="",C1190=""),"",ROUND(M1190*N1190,2))</f>
        <v/>
      </c>
      <c r="K1190" s="398">
        <f>IF(AND(B1190="",C1190=""),"",ROUND(J1190*F1190,2))</f>
        <v/>
      </c>
      <c r="L1190" s="200" t="n">
        <v>1</v>
      </c>
      <c r="M1190" s="399" t="n">
        <v>1e-07</v>
      </c>
      <c r="N1190" s="154" t="n">
        <v>1</v>
      </c>
      <c r="O1190" s="155">
        <f>IF(AND(B1190="",C1190=""),"",IF(G1190&gt;=20000,0.05,IF(G1190&gt;=10000,0.1,IF(G1190&gt;=5000,0.2,IF(G1190&gt;=1000,0.3,IF(G1190&gt;=0,0.4,{0}))))))</f>
        <v/>
      </c>
      <c r="P1190" s="400">
        <f>IF(AND(B1190="",C1190=""),"",ROUND(H1190*O1190,2))</f>
        <v/>
      </c>
      <c r="Q1190" s="401" t="inlineStr">
        <is>
          <t>元件</t>
        </is>
      </c>
      <c r="R1190" s="168" t="inlineStr"/>
      <c r="S1190" s="168" t="inlineStr"/>
      <c r="T1190" s="168" t="inlineStr">
        <is>
          <t>0</t>
        </is>
      </c>
      <c r="U1190" s="168" t="inlineStr"/>
      <c r="V1190" s="402" t="n"/>
      <c r="W1190" s="402" t="n"/>
      <c r="X1190" s="170" t="inlineStr"/>
    </row>
    <row r="1191" s="308">
      <c r="A1191" s="64">
        <f>ROW()-ROW(A$1184)</f>
        <v/>
      </c>
      <c r="B1191" s="112" t="inlineStr">
        <is>
          <t>避雷器</t>
        </is>
      </c>
      <c r="C1191" s="22" t="inlineStr">
        <is>
          <t>YH3W2-0.28/1.3</t>
        </is>
      </c>
      <c r="D1191" s="22" t="inlineStr">
        <is>
          <t>国产优质</t>
        </is>
      </c>
      <c r="E1191" s="114" t="inlineStr">
        <is>
          <t>只</t>
        </is>
      </c>
      <c r="F1191" s="23" t="n">
        <v>3</v>
      </c>
      <c r="G1191" s="396">
        <f>IF(AND(B1191="",C1191=""),"",ROUND(M1191*L1191*N1191,2))</f>
        <v/>
      </c>
      <c r="H1191" s="349">
        <f>IF(AND(B1191="",C1191=""),"",ROUND(F1191*G1191,2))</f>
        <v/>
      </c>
      <c r="I1191" s="45" t="inlineStr"/>
      <c r="J1191" s="397">
        <f>IF(AND(B1191="",C1191=""),"",ROUND(M1191*N1191,2))</f>
        <v/>
      </c>
      <c r="K1191" s="398">
        <f>IF(AND(B1191="",C1191=""),"",ROUND(J1191*F1191,2))</f>
        <v/>
      </c>
      <c r="L1191" s="200" t="n">
        <v>1</v>
      </c>
      <c r="M1191" s="399" t="n">
        <v>25</v>
      </c>
      <c r="N1191" s="154" t="n">
        <v>1</v>
      </c>
      <c r="O1191" s="155">
        <f>IF(AND(B1191="",C1191=""),"",IF(G1191&gt;=20000,0.05,IF(G1191&gt;=10000,0.1,IF(G1191&gt;=5000,0.2,IF(G1191&gt;=1000,0.3,IF(G1191&gt;=0,0.4,{0}))))))</f>
        <v/>
      </c>
      <c r="P1191" s="400">
        <f>IF(AND(B1191="",C1191=""),"",ROUND(H1191*O1191,2))</f>
        <v/>
      </c>
      <c r="Q1191" s="401" t="inlineStr">
        <is>
          <t>元件</t>
        </is>
      </c>
      <c r="R1191" s="168" t="inlineStr"/>
      <c r="S1191" s="168" t="inlineStr"/>
      <c r="T1191" s="168" t="inlineStr">
        <is>
          <t>0</t>
        </is>
      </c>
      <c r="U1191" s="168" t="inlineStr">
        <is>
          <t>A9L208044</t>
        </is>
      </c>
      <c r="V1191" s="402" t="n"/>
      <c r="W1191" s="402" t="n"/>
      <c r="X1191" s="170" t="inlineStr"/>
    </row>
    <row r="1192" s="308">
      <c r="A1192" s="64">
        <f>ROW()-ROW(A$1184)</f>
        <v/>
      </c>
      <c r="B1192" s="112" t="inlineStr">
        <is>
          <t>温湿度控制器</t>
        </is>
      </c>
      <c r="C1192" s="112" t="inlineStr">
        <is>
          <t>ATH48G-11</t>
        </is>
      </c>
      <c r="D1192" s="22" t="inlineStr">
        <is>
          <t>杭州安廷</t>
        </is>
      </c>
      <c r="E1192" s="23" t="inlineStr">
        <is>
          <t>套</t>
        </is>
      </c>
      <c r="F1192" s="23" t="n">
        <v>1</v>
      </c>
      <c r="G1192" s="349">
        <f>IF(AND(B1192="",C1192=""),"",ROUND(M1192*L1192*N1192,2))</f>
        <v/>
      </c>
      <c r="H1192" s="396">
        <f>IF(AND(B1192="",C1192=""),"",ROUND(F1192*G1192,2))</f>
        <v/>
      </c>
      <c r="I1192" s="150" t="inlineStr"/>
      <c r="J1192" s="397">
        <f>IF(AND(B1192="",C1192=""),"",ROUND(M1192*N1192,2))</f>
        <v/>
      </c>
      <c r="K1192" s="398">
        <f>IF(AND(B1192="",C1192=""),"",ROUND(J1192*F1192,2))</f>
        <v/>
      </c>
      <c r="L1192" s="141" t="n">
        <v>1</v>
      </c>
      <c r="M1192" s="399" t="n">
        <v>450</v>
      </c>
      <c r="N1192" s="154" t="n">
        <v>1</v>
      </c>
      <c r="O1192" s="155">
        <f>IF(AND(B1192="",C1192=""),"",IF(G1192&gt;=20000,0.05,IF(G1192&gt;=10000,0.1,IF(G1192&gt;=5000,0.2,IF(G1192&gt;=1000,0.3,IF(G1192&gt;=0,0.4,{0}))))))</f>
        <v/>
      </c>
      <c r="P1192" s="400">
        <f>IF(AND(B1192="",C1192=""),"",ROUND(H1192*O1192,2))</f>
        <v/>
      </c>
      <c r="Q1192" s="401" t="inlineStr">
        <is>
          <t>元件</t>
        </is>
      </c>
      <c r="R1192" s="168" t="inlineStr"/>
      <c r="S1192" s="168" t="inlineStr"/>
      <c r="T1192" s="168" t="inlineStr">
        <is>
          <t>0</t>
        </is>
      </c>
      <c r="U1192" s="168" t="inlineStr"/>
      <c r="V1192" s="402" t="n"/>
      <c r="W1192" s="402" t="n"/>
      <c r="X1192" s="170" t="inlineStr"/>
    </row>
    <row r="1193" s="308">
      <c r="A1193" s="64">
        <f>ROW()-ROW(A$1184)</f>
        <v/>
      </c>
      <c r="B1193" s="22" t="inlineStr">
        <is>
          <t>电容柜散热风扇</t>
        </is>
      </c>
      <c r="C1193" s="22" t="inlineStr">
        <is>
          <t>SF2208HA2BMT+SVF105SND</t>
        </is>
      </c>
      <c r="D1193" s="22" t="inlineStr">
        <is>
          <t>源顶</t>
        </is>
      </c>
      <c r="E1193" s="23" t="inlineStr">
        <is>
          <t>只</t>
        </is>
      </c>
      <c r="F1193" s="23" t="n">
        <v>2</v>
      </c>
      <c r="G1193" s="349">
        <f>IF(AND(B1193="",C1193=""),"",ROUND(M1193*L1193*N1193,2))</f>
        <v/>
      </c>
      <c r="H1193" s="349">
        <f>IF(AND(B1193="",C1193=""),"",ROUND(F1193*G1193,2))</f>
        <v/>
      </c>
      <c r="I1193" s="45" t="inlineStr"/>
      <c r="J1193" s="397">
        <f>IF(AND(B1193="",C1193=""),"",ROUND(M1193*N1193,2))</f>
        <v/>
      </c>
      <c r="K1193" s="398">
        <f>IF(AND(B1193="",C1193=""),"",ROUND(J1193*F1193,2))</f>
        <v/>
      </c>
      <c r="L1193" s="200" t="n">
        <v>1</v>
      </c>
      <c r="M1193" s="399" t="n">
        <v>241</v>
      </c>
      <c r="N1193" s="154" t="n">
        <v>1</v>
      </c>
      <c r="O1193" s="155">
        <f>IF(AND(B1193="",C1193=""),"",IF(G1193&gt;=20000,0.05,IF(G1193&gt;=10000,0.1,IF(G1193&gt;=5000,0.2,IF(G1193&gt;=1000,0.3,IF(G1193&gt;=0,0.4,{0}))))))</f>
        <v/>
      </c>
      <c r="P1193" s="400">
        <f>IF(AND(B1193="",C1193=""),"",ROUND(H1193*O1193,2))</f>
        <v/>
      </c>
      <c r="Q1193" s="401" t="inlineStr">
        <is>
          <t>元件</t>
        </is>
      </c>
      <c r="R1193" s="168" t="inlineStr"/>
      <c r="S1193" s="168" t="inlineStr"/>
      <c r="T1193" s="168" t="inlineStr">
        <is>
          <t>0</t>
        </is>
      </c>
      <c r="U1193" s="168" t="inlineStr">
        <is>
          <t>0</t>
        </is>
      </c>
      <c r="V1193" s="402" t="n"/>
      <c r="W1193" s="402" t="n"/>
      <c r="X1193" s="170" t="inlineStr">
        <is>
          <t>SF2208HA2BMT+SVF105SND</t>
        </is>
      </c>
    </row>
    <row r="1194" s="308">
      <c r="A1194" s="64">
        <f>ROW()-ROW(A$1184)</f>
        <v/>
      </c>
      <c r="B1194" s="22" t="inlineStr">
        <is>
          <t>带熔丝端子</t>
        </is>
      </c>
      <c r="C1194" s="22" t="inlineStr">
        <is>
          <t>UK 5-HESI</t>
        </is>
      </c>
      <c r="D1194" s="22" t="inlineStr">
        <is>
          <t>菲尼克斯</t>
        </is>
      </c>
      <c r="E1194" s="23" t="inlineStr">
        <is>
          <t>只</t>
        </is>
      </c>
      <c r="F1194" s="23" t="n">
        <v>10</v>
      </c>
      <c r="G1194" s="349">
        <f>IF(AND(B1194="",C1194=""),"",ROUND(M1194*L1194*N1194,2))</f>
        <v/>
      </c>
      <c r="H1194" s="349">
        <f>IF(AND(B1194="",C1194=""),"",ROUND(F1194*G1194,2))</f>
        <v/>
      </c>
      <c r="I1194" s="45" t="inlineStr"/>
      <c r="J1194" s="397">
        <f>IF(AND(B1194="",C1194=""),"",ROUND(M1194*N1194,2))</f>
        <v/>
      </c>
      <c r="K1194" s="398">
        <f>IF(AND(B1194="",C1194=""),"",ROUND(J1194*F1194,2))</f>
        <v/>
      </c>
      <c r="L1194" s="200" t="n">
        <v>1</v>
      </c>
      <c r="M1194" s="399" t="n">
        <v>7</v>
      </c>
      <c r="N1194" s="154" t="n">
        <v>1</v>
      </c>
      <c r="O1194" s="155">
        <f>IF(AND(B1194="",C1194=""),"",IF(G1194&gt;=20000,0.05,IF(G1194&gt;=10000,0.1,IF(G1194&gt;=5000,0.2,IF(G1194&gt;=1000,0.3,IF(G1194&gt;=0,0.4,{0}))))))</f>
        <v/>
      </c>
      <c r="P1194" s="400">
        <f>IF(AND(B1194="",C1194=""),"",ROUND(H1194*O1194,2))</f>
        <v/>
      </c>
      <c r="Q1194" s="401" t="inlineStr">
        <is>
          <t>元件</t>
        </is>
      </c>
      <c r="R1194" s="168" t="inlineStr"/>
      <c r="S1194" s="168" t="inlineStr"/>
      <c r="T1194" s="168" t="inlineStr">
        <is>
          <t>0</t>
        </is>
      </c>
      <c r="U1194" s="168" t="inlineStr">
        <is>
          <t>3004100</t>
        </is>
      </c>
      <c r="V1194" s="402" t="n"/>
      <c r="W1194" s="402" t="n"/>
      <c r="X1194" s="170" t="inlineStr"/>
    </row>
    <row r="1195" s="308">
      <c r="A1195" s="64">
        <f>ROW()-ROW(A$1184)</f>
        <v/>
      </c>
      <c r="B1195" s="22" t="inlineStr">
        <is>
          <t>水平母排</t>
        </is>
      </c>
      <c r="C1195" s="22" t="inlineStr">
        <is>
          <t>TMY 4*(4*150*5)+2*50*5</t>
        </is>
      </c>
      <c r="D1195" s="22" t="inlineStr">
        <is>
          <t>国产优质</t>
        </is>
      </c>
      <c r="E1195" s="23" t="inlineStr">
        <is>
          <t>米</t>
        </is>
      </c>
      <c r="F1195" s="23" t="n">
        <v>0.9</v>
      </c>
      <c r="G1195" s="349">
        <f>IF(AND(B1195="",C1195=""),"",ROUND(M1195*L1195*N1195,2))</f>
        <v/>
      </c>
      <c r="H1195" s="349">
        <f>IF(AND(B1195="",C1195=""),"",ROUND(F1195*G1195,2))</f>
        <v/>
      </c>
      <c r="I1195" s="45" t="inlineStr"/>
      <c r="J1195" s="397">
        <f>IF(AND(B1195="",C1195=""),"",ROUND(M1195*N1195,2))</f>
        <v/>
      </c>
      <c r="K1195" s="398">
        <f>IF(AND(B1195="",C1195=""),"",ROUND(J1195*F1195,2))</f>
        <v/>
      </c>
      <c r="L1195" s="200" t="n">
        <v>1</v>
      </c>
      <c r="M1195" s="399" t="n">
        <v>12026.68125</v>
      </c>
      <c r="N1195" s="154">
        <f>(6317.932*1*1+2684.8*1*1)/9002.732</f>
        <v/>
      </c>
      <c r="O1195" s="155">
        <f>IF(AND(B1195="",C1195=""),"",IF(G1195&gt;=20000,0.05,IF(G1195&gt;=10000,0.1,IF(G1195&gt;=5000,0.2,IF(G1195&gt;=1000,0.3,IF(G1195&gt;=0,0.4,{0}))))))</f>
        <v/>
      </c>
      <c r="P1195" s="400">
        <f>IF(AND(B1195="",C1195=""),"",ROUND(H1195*O1195,2))</f>
        <v/>
      </c>
      <c r="Q1195" s="401" t="inlineStr">
        <is>
          <t>母排</t>
        </is>
      </c>
      <c r="R1195" s="168" t="inlineStr"/>
      <c r="S1195" s="168" t="inlineStr"/>
      <c r="T1195" s="168" t="inlineStr">
        <is>
          <t>0</t>
        </is>
      </c>
      <c r="U1195" s="168" t="inlineStr">
        <is>
          <t>0</t>
        </is>
      </c>
      <c r="V1195" s="402" t="n"/>
      <c r="W1195" s="402" t="n"/>
      <c r="X1195" s="170" t="inlineStr"/>
    </row>
    <row r="1196" s="308">
      <c r="A1196" s="64">
        <f>ROW()-ROW(A$1184)</f>
        <v/>
      </c>
      <c r="B1196" s="22" t="inlineStr">
        <is>
          <t>铜排</t>
        </is>
      </c>
      <c r="C1196" s="27" t="inlineStr">
        <is>
          <t>TMY 30*8</t>
        </is>
      </c>
      <c r="D1196" s="22" t="inlineStr">
        <is>
          <t>国产优质</t>
        </is>
      </c>
      <c r="E1196" s="23" t="inlineStr">
        <is>
          <t>米</t>
        </is>
      </c>
      <c r="F1196" s="23" t="n">
        <v>3</v>
      </c>
      <c r="G1196" s="349">
        <f>IF(AND(B1196="",C1196=""),"",ROUND(M1196*L1196*N1196,2))</f>
        <v/>
      </c>
      <c r="H1196" s="349">
        <f>IF(AND(B1196="",C1196=""),"",ROUND(F1196*G1196,2))</f>
        <v/>
      </c>
      <c r="I1196" s="45" t="inlineStr"/>
      <c r="J1196" s="397">
        <f>IF(AND(B1196="",C1196=""),"",ROUND(M1196*N1196,2))</f>
        <v/>
      </c>
      <c r="K1196" s="398">
        <f>IF(AND(B1196="",C1196=""),"",ROUND(J1196*F1196,2))</f>
        <v/>
      </c>
      <c r="L1196" s="200" t="n">
        <v>1</v>
      </c>
      <c r="M1196" s="399" t="n">
        <v>230.91228</v>
      </c>
      <c r="N1196" s="154" t="n">
        <v>1</v>
      </c>
      <c r="O1196" s="155">
        <f>IF(AND(B1196="",C1196=""),"",IF(G1196&gt;=20000,0.05,IF(G1196&gt;=10000,0.1,IF(G1196&gt;=5000,0.2,IF(G1196&gt;=1000,0.3,IF(G1196&gt;=0,0.4,{0}))))))</f>
        <v/>
      </c>
      <c r="P1196" s="400">
        <f>IF(AND(B1196="",C1196=""),"",ROUND(H1196*O1196,2))</f>
        <v/>
      </c>
      <c r="Q1196" s="401" t="inlineStr">
        <is>
          <t>母排</t>
        </is>
      </c>
      <c r="R1196" s="168" t="inlineStr"/>
      <c r="S1196" s="168" t="inlineStr"/>
      <c r="T1196" s="168" t="inlineStr">
        <is>
          <t>0</t>
        </is>
      </c>
      <c r="U1196" s="168" t="inlineStr">
        <is>
          <t>0</t>
        </is>
      </c>
      <c r="V1196" s="402" t="n"/>
      <c r="W1196" s="402" t="n"/>
      <c r="X1196" s="170" t="inlineStr"/>
    </row>
    <row r="1197" s="308">
      <c r="A1197" s="64">
        <f>ROW()-ROW(A$1184)</f>
        <v/>
      </c>
      <c r="B1197" s="22" t="inlineStr">
        <is>
          <t>线缆</t>
        </is>
      </c>
      <c r="C1197" s="27" t="inlineStr">
        <is>
          <t>95mm²</t>
        </is>
      </c>
      <c r="D1197" s="22" t="inlineStr">
        <is>
          <t>凯布斯</t>
        </is>
      </c>
      <c r="E1197" s="23" t="inlineStr">
        <is>
          <t>米</t>
        </is>
      </c>
      <c r="F1197" s="23" t="n">
        <v>9</v>
      </c>
      <c r="G1197" s="349">
        <f>IF(AND(B1197="",C1197=""),"",ROUND(M1197*L1197*N1197,2))</f>
        <v/>
      </c>
      <c r="H1197" s="349">
        <f>IF(AND(B1197="",C1197=""),"",ROUND(F1197*G1197,2))</f>
        <v/>
      </c>
      <c r="I1197" s="45" t="inlineStr"/>
      <c r="J1197" s="397">
        <f>IF(AND(B1197="",C1197=""),"",ROUND(M1197*N1197,2))</f>
        <v/>
      </c>
      <c r="K1197" s="398">
        <f>IF(AND(B1197="",C1197=""),"",ROUND(J1197*F1197,2))</f>
        <v/>
      </c>
      <c r="L1197" s="200" t="n">
        <v>1</v>
      </c>
      <c r="M1197" s="399" t="n">
        <v>86.45</v>
      </c>
      <c r="N1197" s="154" t="n">
        <v>1</v>
      </c>
      <c r="O1197" s="155">
        <f>IF(AND(B1197="",C1197=""),"",IF(G1197&gt;=20000,0.05,IF(G1197&gt;=10000,0.1,IF(G1197&gt;=5000,0.2,IF(G1197&gt;=1000,0.3,IF(G1197&gt;=0,0.4,{0}))))))</f>
        <v/>
      </c>
      <c r="P1197" s="400">
        <f>IF(AND(B1197="",C1197=""),"",ROUND(H1197*O1197,2))</f>
        <v/>
      </c>
      <c r="Q1197" s="401" t="inlineStr">
        <is>
          <t>元件</t>
        </is>
      </c>
      <c r="R1197" s="168" t="inlineStr"/>
      <c r="S1197" s="168" t="inlineStr"/>
      <c r="T1197" s="168" t="inlineStr">
        <is>
          <t>0</t>
        </is>
      </c>
      <c r="U1197" s="168" t="inlineStr"/>
      <c r="V1197" s="402" t="n"/>
      <c r="W1197" s="402" t="n"/>
      <c r="X1197" s="170" t="inlineStr">
        <is>
          <t>TMY 60*5</t>
        </is>
      </c>
    </row>
    <row r="1198" s="308">
      <c r="A1198" s="64">
        <f>ROW()-ROW(A$1184)</f>
        <v/>
      </c>
      <c r="B1198" s="22" t="inlineStr">
        <is>
          <t>辅料</t>
        </is>
      </c>
      <c r="C1198" s="22" t="inlineStr"/>
      <c r="D1198" s="22" t="inlineStr"/>
      <c r="E1198" s="23" t="inlineStr">
        <is>
          <t>套</t>
        </is>
      </c>
      <c r="F1198" s="23" t="n">
        <v>1</v>
      </c>
      <c r="G1198" s="349">
        <f>IF(AND(B1198="",C1198=""),"",ROUND(M1198*L1198*N1198,2))</f>
        <v/>
      </c>
      <c r="H1198" s="349">
        <f>IF(AND(B1198="",C1198=""),"",ROUND(F1198*G1198,2))</f>
        <v/>
      </c>
      <c r="I1198" s="45" t="inlineStr"/>
      <c r="J1198" s="397">
        <f>IF(AND(B1198="",C1198=""),"",ROUND(M1198*N1198,2))</f>
        <v/>
      </c>
      <c r="K1198" s="398">
        <f>IF(AND(B1198="",C1198=""),"",ROUND(J1198*F1198,2))</f>
        <v/>
      </c>
      <c r="L1198" s="200" t="n">
        <v>1</v>
      </c>
      <c r="M1198" s="399" t="n">
        <v>1000</v>
      </c>
      <c r="N1198" s="154" t="n">
        <v>1</v>
      </c>
      <c r="O1198" s="155">
        <f>IF(AND(B1198="",C1198=""),"",IF(G1198&gt;=20000,0.05,IF(G1198&gt;=10000,0.1,IF(G1198&gt;=5000,0.2,IF(G1198&gt;=1000,0.3,IF(G1198&gt;=0,0.4,{0}))))))</f>
        <v/>
      </c>
      <c r="P1198" s="400">
        <f>IF(AND(B1198="",C1198=""),"",ROUND(H1198*O1198,2))</f>
        <v/>
      </c>
      <c r="Q1198" s="401" t="inlineStr">
        <is>
          <t>辅料</t>
        </is>
      </c>
      <c r="R1198" s="168" t="inlineStr"/>
      <c r="S1198" s="168" t="inlineStr"/>
      <c r="T1198" s="168" t="inlineStr">
        <is>
          <t>0</t>
        </is>
      </c>
      <c r="U1198" s="168" t="inlineStr">
        <is>
          <t>0</t>
        </is>
      </c>
      <c r="V1198" s="402" t="n"/>
      <c r="W1198" s="402" t="n"/>
      <c r="X1198" s="170" t="inlineStr"/>
    </row>
    <row r="1199" s="308">
      <c r="A1199" s="64">
        <f>ROW()-ROW(A$1184)</f>
        <v/>
      </c>
      <c r="B1199" s="22" t="inlineStr">
        <is>
          <t>柜体Blokset</t>
        </is>
      </c>
      <c r="C1199" s="22" t="inlineStr">
        <is>
          <t>800W*1200D*2200H</t>
        </is>
      </c>
      <c r="D1199" s="22" t="inlineStr">
        <is>
          <t>清科</t>
        </is>
      </c>
      <c r="E1199" s="23" t="inlineStr">
        <is>
          <t>台</t>
        </is>
      </c>
      <c r="F1199" s="23" t="n">
        <v>1</v>
      </c>
      <c r="G1199" s="349">
        <f>IF(AND(B1199="",C1199=""),"",ROUND(M1199*L1199*N1199,2))</f>
        <v/>
      </c>
      <c r="H1199" s="349">
        <f>IF(AND(B1199="",C1199=""),"",ROUND(F1199*G1199,2))</f>
        <v/>
      </c>
      <c r="I1199" s="45" t="inlineStr"/>
      <c r="J1199" s="397">
        <f>IF(AND(B1199="",C1199=""),"",ROUND(M1199*N1199,2))</f>
        <v/>
      </c>
      <c r="K1199" s="398">
        <f>IF(AND(B1199="",C1199=""),"",ROUND(J1199*F1199,2))</f>
        <v/>
      </c>
      <c r="L1199" s="200" t="n">
        <v>1</v>
      </c>
      <c r="M1199" s="399" t="n">
        <v>4346</v>
      </c>
      <c r="N1199" s="154" t="n">
        <v>1</v>
      </c>
      <c r="O1199" s="155">
        <f>IF(AND(B1199="",C1199=""),"",IF(G1199&gt;=20000,0.05,IF(G1199&gt;=10000,0.1,IF(G1199&gt;=5000,0.2,IF(G1199&gt;=1000,0.3,IF(G1199&gt;=0,0.4,{0}))))))</f>
        <v/>
      </c>
      <c r="P1199" s="400">
        <f>IF(AND(B1199="",C1199=""),"",ROUND(H1199*O1199,2))</f>
        <v/>
      </c>
      <c r="Q1199" s="401" t="inlineStr">
        <is>
          <t>箱体</t>
        </is>
      </c>
      <c r="R1199" s="168" t="inlineStr"/>
      <c r="S1199" s="168" t="inlineStr"/>
      <c r="T1199" s="168" t="inlineStr">
        <is>
          <t>0</t>
        </is>
      </c>
      <c r="U1199" s="168" t="inlineStr"/>
      <c r="V1199" s="402" t="n"/>
      <c r="W1199" s="402" t="n"/>
      <c r="X1199" s="170" t="inlineStr">
        <is>
          <t>1300W*1000D*2200H→800W*1000D*2200H BC</t>
        </is>
      </c>
    </row>
    <row r="1200" s="308">
      <c r="A1200" s="64">
        <f>ROW()-ROW(A$1184)</f>
        <v/>
      </c>
      <c r="B1200" s="22" t="inlineStr"/>
      <c r="C1200" s="22" t="inlineStr"/>
      <c r="D1200" s="22" t="inlineStr"/>
      <c r="E1200" s="23" t="n"/>
      <c r="F1200" s="23">
        <f>IF(AND(B1200="",C1200=""),"",1)</f>
        <v/>
      </c>
      <c r="G1200" s="349">
        <f>IF(AND(B1200="",C1200=""),"",ROUND(M1200*L1200*N1200,2))</f>
        <v/>
      </c>
      <c r="H1200" s="349">
        <f>IF(AND(B1200="",C1200=""),"",ROUND(F1200*G1200,2))</f>
        <v/>
      </c>
      <c r="I1200" s="45" t="inlineStr"/>
      <c r="J1200" s="397">
        <f>IF(AND(B1200="",C1200=""),"",ROUND(M1200*N1200,2))</f>
        <v/>
      </c>
      <c r="K1200" s="398">
        <f>IF(AND(B1200="",C1200=""),"",ROUND(J1200*F1200,2))</f>
        <v/>
      </c>
      <c r="L1200" s="200">
        <f>IF(AND(B1200="",C1200=""),"",1)</f>
        <v/>
      </c>
      <c r="M1200" s="399" t="n"/>
      <c r="N1200" s="154">
        <f>IF(AND(B1200="",C1200=""),"",1)</f>
        <v/>
      </c>
      <c r="O1200" s="155">
        <f>IF(AND(B1200="",C1200=""),"",IF(J1200&gt;=20000,0.05,IF(J1200&gt;=10000,0.1,IF(J1200&gt;=5000,0.2,IF(J1200&gt;=1000,0.3,IF(J1200&gt;=0,0.4,{0}))))))</f>
        <v/>
      </c>
      <c r="P1200" s="400">
        <f>IF(AND(B1200="",C1200=""),"",ROUND(H1200*O1200,2))</f>
        <v/>
      </c>
      <c r="Q1200" s="401">
        <f>IF(AND(B1200="",C1200=""),"","元件")</f>
        <v/>
      </c>
      <c r="R1200" s="168" t="inlineStr"/>
      <c r="S1200" s="168" t="inlineStr"/>
      <c r="T1200" s="168" t="inlineStr"/>
      <c r="U1200" s="168" t="inlineStr"/>
      <c r="V1200" s="402" t="n"/>
      <c r="W1200" s="402" t="n"/>
      <c r="X1200" s="170" t="inlineStr"/>
    </row>
    <row r="1201" s="308">
      <c r="A1201" s="64">
        <f>ROW()-ROW(A$1184)</f>
        <v/>
      </c>
      <c r="B1201" s="171" t="inlineStr">
        <is>
          <t>小计</t>
        </is>
      </c>
      <c r="C1201" s="172" t="n"/>
      <c r="D1201" s="204" t="n"/>
      <c r="E1201" s="114" t="n"/>
      <c r="F1201" s="114" t="n"/>
      <c r="G1201" s="396" t="n"/>
      <c r="H1201" s="396">
        <f>ROUND(SUM(H1184:INDEX(H:H,ROW()-1)),2)</f>
        <v/>
      </c>
      <c r="I1201" s="45" t="inlineStr"/>
      <c r="J1201" s="397" t="n"/>
      <c r="K1201" s="398">
        <f>ROUND(SUM(K1184:INDEX(K:K,ROW()-1)),2)</f>
        <v/>
      </c>
      <c r="L1201" s="200" t="n"/>
      <c r="M1201" s="399" t="n"/>
      <c r="N1201" s="154" t="n"/>
      <c r="O1201" s="155" t="n"/>
      <c r="P1201" s="400" t="n"/>
      <c r="Q1201" s="401" t="n"/>
      <c r="R1201" s="168" t="inlineStr"/>
      <c r="S1201" s="168" t="inlineStr"/>
      <c r="T1201" s="168" t="inlineStr"/>
      <c r="U1201" s="168" t="inlineStr"/>
      <c r="V1201" s="402">
        <f>ROUND(SUMPRODUCT(F1184:INDEX(F:F,ROW()-1),V1184:INDEX(V:V,ROW()-1)),2)</f>
        <v/>
      </c>
      <c r="W1201" s="402">
        <f>ROUND(SUMPRODUCT(F1184:INDEX(F:F,ROW()-1),W1184:INDEX(W:W,ROW()-1)),2)</f>
        <v/>
      </c>
      <c r="X1201" s="170" t="inlineStr"/>
    </row>
    <row r="1202" s="308">
      <c r="A1202" s="64">
        <f>ROW()-ROW(A$1184)</f>
        <v/>
      </c>
      <c r="B1202" s="171" t="inlineStr">
        <is>
          <t>综合费(人工、管理、税金、利润等)</t>
        </is>
      </c>
      <c r="C1202" s="172" t="n"/>
      <c r="D1202" s="204" t="n"/>
      <c r="E1202" s="114" t="n"/>
      <c r="F1202" s="114" t="n"/>
      <c r="G1202" s="396" t="n"/>
      <c r="H1202" s="396">
        <f>2500</f>
        <v/>
      </c>
      <c r="I1202" s="45" t="inlineStr"/>
      <c r="J1202" s="397" t="n"/>
      <c r="K1202" s="398" t="n"/>
      <c r="L1202" s="200" t="n"/>
      <c r="M1202" s="399" t="n"/>
      <c r="N1202" s="154" t="n"/>
      <c r="O1202" s="155" t="n"/>
      <c r="P1202" s="400" t="n"/>
      <c r="Q1202" s="401" t="inlineStr">
        <is>
          <t>费用</t>
        </is>
      </c>
      <c r="R1202" s="168" t="inlineStr"/>
      <c r="S1202" s="168" t="inlineStr"/>
      <c r="T1202" s="168" t="inlineStr"/>
      <c r="U1202" s="168" t="inlineStr"/>
      <c r="V1202" s="402" t="n"/>
      <c r="W1202" s="402" t="n"/>
      <c r="X1202" s="170" t="inlineStr"/>
    </row>
    <row r="1203" s="308">
      <c r="A1203" s="64">
        <f>ROW()-ROW(A$1184)</f>
        <v/>
      </c>
      <c r="B1203" s="204" t="inlineStr">
        <is>
          <t>单台合计</t>
        </is>
      </c>
      <c r="C1203" s="172" t="n"/>
      <c r="D1203" s="204" t="n"/>
      <c r="E1203" s="114" t="n"/>
      <c r="F1203" s="114" t="n"/>
      <c r="G1203" s="396" t="n"/>
      <c r="H1203" s="396">
        <f>ROUND(SUM(H1201:H1202),2)</f>
        <v/>
      </c>
      <c r="I1203" s="181" t="n"/>
      <c r="J1203" s="397" t="n"/>
      <c r="K1203" s="398">
        <f>ROUND(SUM(K1201:K1202),2)</f>
        <v/>
      </c>
      <c r="L1203" s="209" t="n"/>
      <c r="M1203" s="399" t="n"/>
      <c r="N1203" s="210" t="n"/>
      <c r="O1203" s="211" t="n"/>
      <c r="P1203" s="400" t="n"/>
      <c r="Q1203" s="401" t="n"/>
      <c r="R1203" s="168" t="inlineStr"/>
      <c r="S1203" s="168" t="inlineStr"/>
      <c r="T1203" s="168" t="inlineStr"/>
      <c r="U1203" s="168" t="inlineStr"/>
      <c r="V1203" s="402" t="n"/>
      <c r="W1203" s="402" t="n"/>
      <c r="X1203" s="170" t="inlineStr"/>
    </row>
    <row r="1204" s="308">
      <c r="A1204" s="173" t="inlineStr">
        <is>
          <t>总计</t>
        </is>
      </c>
      <c r="B1204" s="205" t="n"/>
      <c r="C1204" s="175" t="n"/>
      <c r="D1204" s="206" t="n"/>
      <c r="E1204" s="206" t="inlineStr">
        <is>
          <t>台</t>
        </is>
      </c>
      <c r="F1204" s="206" t="n">
        <v>4</v>
      </c>
      <c r="G1204" s="414">
        <f>ROUND(H1203,2)</f>
        <v/>
      </c>
      <c r="H1204" s="414">
        <f>ROUND(F1204*G1204,2)</f>
        <v/>
      </c>
      <c r="I1204" s="185" t="n"/>
      <c r="J1204" s="415" t="n"/>
      <c r="K1204" s="416">
        <f>ROUND(K1203*F1204,2)</f>
        <v/>
      </c>
      <c r="L1204" s="214" t="n"/>
      <c r="M1204" s="417" t="n"/>
      <c r="N1204" s="216" t="n"/>
      <c r="O1204" s="217" t="n"/>
      <c r="P1204" s="418" t="n"/>
      <c r="Q1204" s="401" t="n"/>
      <c r="R1204" s="168" t="inlineStr"/>
      <c r="S1204" s="168" t="inlineStr"/>
      <c r="T1204" s="168" t="inlineStr"/>
      <c r="U1204" s="168" t="inlineStr"/>
      <c r="V1204" s="402" t="n"/>
      <c r="W1204" s="402" t="n"/>
      <c r="X1204" s="170" t="inlineStr"/>
    </row>
    <row r="1205" customFormat="1" s="4">
      <c r="A1205" s="6" t="n"/>
      <c r="B1205" s="195" t="inlineStr"/>
      <c r="C1205" s="195" t="inlineStr"/>
      <c r="D1205" s="195" t="inlineStr"/>
      <c r="Q1205" s="159" t="n"/>
      <c r="R1205" s="159" t="n"/>
      <c r="S1205" s="159" t="n"/>
      <c r="T1205" s="159" t="n"/>
      <c r="U1205" s="159" t="n"/>
      <c r="X1205" s="195" t="inlineStr"/>
    </row>
    <row r="1206" customFormat="1" s="4">
      <c r="A1206" s="6" t="n"/>
      <c r="B1206" s="195" t="inlineStr"/>
      <c r="C1206" s="195" t="inlineStr"/>
      <c r="D1206" s="195" t="inlineStr"/>
      <c r="Q1206" s="159" t="n"/>
      <c r="R1206" s="159" t="n"/>
      <c r="S1206" s="159" t="n"/>
      <c r="T1206" s="159" t="n"/>
      <c r="U1206" s="159" t="n"/>
      <c r="X1206" s="195" t="inlineStr"/>
    </row>
    <row r="1207" s="308">
      <c r="A1207" s="208">
        <f>CONCATENATE("报价人：",项目信息!$B$8)</f>
        <v/>
      </c>
      <c r="B1207" s="208" t="n"/>
      <c r="C1207" s="4" t="n"/>
      <c r="D1207" s="4" t="n"/>
      <c r="E1207" s="4" t="n"/>
      <c r="F1207" s="4" t="n"/>
      <c r="G1207" s="4" t="n"/>
      <c r="H1207" s="178">
        <f>项目信息!$B$9</f>
        <v/>
      </c>
      <c r="Q1207" s="159" t="n"/>
      <c r="R1207" s="159" t="n"/>
      <c r="S1207" s="159" t="n"/>
      <c r="T1207" s="159" t="n"/>
      <c r="U1207" s="159" t="n"/>
      <c r="X1207" s="203" t="inlineStr"/>
    </row>
    <row r="1208" s="308">
      <c r="A1208" s="8">
        <f>T(项目信息!$B$22)</f>
        <v/>
      </c>
      <c r="Q1208" s="159" t="n"/>
      <c r="R1208" s="159" t="n"/>
      <c r="S1208" s="159" t="n"/>
      <c r="T1208" s="159" t="n"/>
      <c r="U1208" s="159" t="n"/>
    </row>
    <row r="1209" s="308">
      <c r="A1209" s="9">
        <f>T(项目信息!$B$23)</f>
        <v/>
      </c>
      <c r="Q1209" s="159" t="n"/>
      <c r="R1209" s="159" t="n"/>
      <c r="S1209" s="159" t="n"/>
      <c r="T1209" s="159" t="n"/>
      <c r="U1209" s="159" t="n"/>
    </row>
    <row r="1210" s="308">
      <c r="A1210" s="97" t="inlineStr">
        <is>
          <t>成套产品报价明细表</t>
        </is>
      </c>
      <c r="B1210" s="378" t="n"/>
      <c r="C1210" s="378" t="n"/>
      <c r="D1210" s="378" t="n"/>
      <c r="E1210" s="378" t="n"/>
      <c r="F1210" s="378" t="n"/>
      <c r="G1210" s="378" t="n"/>
      <c r="H1210" s="378" t="n"/>
      <c r="I1210" s="378" t="n"/>
      <c r="Q1210" s="159" t="n"/>
      <c r="R1210" s="159" t="n"/>
      <c r="S1210" s="159" t="n"/>
      <c r="T1210" s="159" t="n"/>
      <c r="U1210" s="159" t="n"/>
    </row>
    <row r="1211" customFormat="1" s="4">
      <c r="A1211" s="98" t="inlineStr">
        <is>
          <t>柜号:</t>
        </is>
      </c>
      <c r="B1211" s="99" t="inlineStr">
        <is>
          <t>AAN9-04</t>
        </is>
      </c>
      <c r="C1211" s="100" t="inlineStr">
        <is>
          <t>型号:</t>
        </is>
      </c>
      <c r="D1211" s="99" t="inlineStr">
        <is>
          <t>BlokSeT</t>
        </is>
      </c>
      <c r="E1211" s="379" t="n"/>
      <c r="F1211" s="101" t="inlineStr">
        <is>
          <t>名称:</t>
        </is>
      </c>
      <c r="G1211" s="99" t="inlineStr">
        <is>
          <t>馈线柜</t>
        </is>
      </c>
      <c r="H1211" s="379" t="n"/>
      <c r="I1211" s="408" t="inlineStr"/>
      <c r="J1211" s="194" t="inlineStr">
        <is>
          <t>箱柜尺寸:</t>
        </is>
      </c>
      <c r="K1211" s="195" t="inlineStr">
        <is>
          <t>600W*1200D*2200H</t>
        </is>
      </c>
      <c r="L1211" s="194" t="inlineStr">
        <is>
          <t>类别:</t>
        </is>
      </c>
      <c r="M1211" s="195" t="inlineStr">
        <is>
          <t>低压固定柜</t>
        </is>
      </c>
      <c r="N1211" s="409" t="inlineStr"/>
      <c r="Q1211" s="159" t="n"/>
      <c r="R1211" s="159" t="n"/>
      <c r="S1211" s="159" t="n"/>
      <c r="T1211" s="159" t="n"/>
      <c r="U1211" s="159" t="n"/>
    </row>
    <row r="1212" ht="20.1" customHeight="1" s="308">
      <c r="A1212" s="102" t="inlineStr">
        <is>
          <t>序号</t>
        </is>
      </c>
      <c r="B1212" s="103" t="inlineStr">
        <is>
          <t>元件名称</t>
        </is>
      </c>
      <c r="C1212" s="103" t="inlineStr">
        <is>
          <t>型号规格</t>
        </is>
      </c>
      <c r="D1212" s="104" t="inlineStr">
        <is>
          <t>生产厂家</t>
        </is>
      </c>
      <c r="E1212" s="105" t="inlineStr">
        <is>
          <t>单位</t>
        </is>
      </c>
      <c r="F1212" s="105" t="inlineStr">
        <is>
          <t>数量</t>
        </is>
      </c>
      <c r="G1212" s="382" t="inlineStr">
        <is>
          <t>单   价</t>
        </is>
      </c>
      <c r="H1212" s="383" t="inlineStr">
        <is>
          <t>总   价</t>
        </is>
      </c>
      <c r="I1212" s="134" t="inlineStr">
        <is>
          <t>备注</t>
        </is>
      </c>
      <c r="J1212" s="384" t="inlineStr">
        <is>
          <t>成本单价</t>
        </is>
      </c>
      <c r="K1212" s="384" t="inlineStr">
        <is>
          <t>成本总价</t>
        </is>
      </c>
      <c r="L1212" s="136" t="inlineStr">
        <is>
          <t>报出
系数</t>
        </is>
      </c>
      <c r="M1212" s="384" t="inlineStr">
        <is>
          <t>表价</t>
        </is>
      </c>
      <c r="N1212" s="136" t="inlineStr">
        <is>
          <t>折扣
系数</t>
        </is>
      </c>
      <c r="O1212" s="137" t="inlineStr">
        <is>
          <t>取费
系数</t>
        </is>
      </c>
      <c r="P1212" s="384" t="inlineStr">
        <is>
          <t>成套费</t>
        </is>
      </c>
      <c r="Q1212" s="161" t="inlineStr">
        <is>
          <t>类别</t>
        </is>
      </c>
      <c r="R1212" s="161" t="inlineStr">
        <is>
          <t>物料编码</t>
        </is>
      </c>
      <c r="S1212" s="161" t="inlineStr">
        <is>
          <t>产地</t>
        </is>
      </c>
      <c r="T1212" s="161" t="inlineStr">
        <is>
          <t>加工费</t>
        </is>
      </c>
      <c r="U1212" s="161" t="inlineStr">
        <is>
          <t>订货号</t>
        </is>
      </c>
      <c r="V1212" s="161" t="inlineStr">
        <is>
          <t>人工</t>
        </is>
      </c>
      <c r="W1212" s="161" t="inlineStr">
        <is>
          <t>辅料</t>
        </is>
      </c>
      <c r="X1212" s="203" t="inlineStr"/>
    </row>
    <row r="1213" s="308">
      <c r="A1213" s="64">
        <f>ROW()-ROW(A$1212)</f>
        <v/>
      </c>
      <c r="B1213" s="22" t="inlineStr">
        <is>
          <t>塑壳断路器</t>
        </is>
      </c>
      <c r="C1213" s="22" t="inlineStr">
        <is>
          <t>NSX160H TM160D 3P3D P</t>
        </is>
      </c>
      <c r="D1213" s="22" t="inlineStr">
        <is>
          <t>甲供/施耐德电气</t>
        </is>
      </c>
      <c r="E1213" s="23" t="inlineStr">
        <is>
          <t>只</t>
        </is>
      </c>
      <c r="F1213" s="23" t="n">
        <v>2</v>
      </c>
      <c r="G1213" s="349">
        <f>IF(AND(B1213="",C1213=""),"",ROUND(M1213*L1213*N1213,2))</f>
        <v/>
      </c>
      <c r="H1213" s="349">
        <f>IF(AND(B1213="",C1213=""),"",ROUND(F1213*G1213,2))</f>
        <v/>
      </c>
      <c r="I1213" s="45" t="inlineStr"/>
      <c r="J1213" s="397">
        <f>IF(AND(B1213="",C1213=""),"",ROUND(M1213*N1213,2))</f>
        <v/>
      </c>
      <c r="K1213" s="398">
        <f>IF(AND(B1213="",C1213=""),"",ROUND(J1213*F1213,2))</f>
        <v/>
      </c>
      <c r="L1213" s="200" t="n">
        <v>1</v>
      </c>
      <c r="M1213" s="399" t="n">
        <v>1e-07</v>
      </c>
      <c r="N1213" s="154" t="n">
        <v>1</v>
      </c>
      <c r="O1213" s="155">
        <f>IF(AND(B1213="",C1213=""),"",IF(G1213&gt;=20000,0.05,IF(G1213&gt;=10000,0.1,IF(G1213&gt;=5000,0.2,IF(G1213&gt;=1000,0.3,IF(G1213&gt;=0,0.4,{0}))))))</f>
        <v/>
      </c>
      <c r="P1213" s="400">
        <f>IF(AND(B1213="",C1213=""),"",ROUND(H1213*O1213,2))</f>
        <v/>
      </c>
      <c r="Q1213" s="401" t="inlineStr">
        <is>
          <t>元件</t>
        </is>
      </c>
      <c r="R1213" s="168" t="inlineStr"/>
      <c r="S1213" s="168" t="inlineStr"/>
      <c r="T1213" s="168" t="inlineStr">
        <is>
          <t>0</t>
        </is>
      </c>
      <c r="U1213" s="168" t="inlineStr">
        <is>
          <t>C16F32D160</t>
        </is>
      </c>
      <c r="V1213" s="402" t="n"/>
      <c r="W1213" s="402" t="n"/>
      <c r="X1213" s="170" t="inlineStr">
        <is>
          <t>NSX630N Mic2.3 630A 3P3D F→NSX630F MIC2.3 630 3P F→NSX630F MIC 2.3 630 3P F</t>
        </is>
      </c>
    </row>
    <row r="1214" s="308">
      <c r="A1214" s="64">
        <f>ROW()-ROW(A$1212)</f>
        <v/>
      </c>
      <c r="B1214" s="22" t="inlineStr">
        <is>
          <t>塑壳断路器</t>
        </is>
      </c>
      <c r="C1214" s="22" t="inlineStr">
        <is>
          <t>NSX250H TM250D 3P3D P</t>
        </is>
      </c>
      <c r="D1214" s="22" t="inlineStr">
        <is>
          <t>甲供/施耐德电气</t>
        </is>
      </c>
      <c r="E1214" s="23" t="inlineStr">
        <is>
          <t>只</t>
        </is>
      </c>
      <c r="F1214" s="23" t="n">
        <v>4</v>
      </c>
      <c r="G1214" s="349">
        <f>IF(AND(B1214="",C1214=""),"",ROUND(M1214*L1214*N1214,2))</f>
        <v/>
      </c>
      <c r="H1214" s="349">
        <f>IF(AND(B1214="",C1214=""),"",ROUND(F1214*G1214,2))</f>
        <v/>
      </c>
      <c r="I1214" s="45" t="inlineStr"/>
      <c r="J1214" s="397">
        <f>IF(AND(B1214="",C1214=""),"",ROUND(M1214*N1214,2))</f>
        <v/>
      </c>
      <c r="K1214" s="398">
        <f>IF(AND(B1214="",C1214=""),"",ROUND(J1214*F1214,2))</f>
        <v/>
      </c>
      <c r="L1214" s="200" t="n">
        <v>1</v>
      </c>
      <c r="M1214" s="399" t="n">
        <v>1e-07</v>
      </c>
      <c r="N1214" s="154" t="n">
        <v>1</v>
      </c>
      <c r="O1214" s="155">
        <f>IF(AND(B1214="",C1214=""),"",IF(G1214&gt;=20000,0.05,IF(G1214&gt;=10000,0.1,IF(G1214&gt;=5000,0.2,IF(G1214&gt;=1000,0.3,IF(G1214&gt;=0,0.4,{0}))))))</f>
        <v/>
      </c>
      <c r="P1214" s="400">
        <f>IF(AND(B1214="",C1214=""),"",ROUND(H1214*O1214,2))</f>
        <v/>
      </c>
      <c r="Q1214" s="401" t="inlineStr">
        <is>
          <t>元件</t>
        </is>
      </c>
      <c r="R1214" s="168" t="inlineStr"/>
      <c r="S1214" s="168" t="inlineStr"/>
      <c r="T1214" s="168" t="inlineStr">
        <is>
          <t>0</t>
        </is>
      </c>
      <c r="U1214" s="168" t="inlineStr">
        <is>
          <t>C16F32D160</t>
        </is>
      </c>
      <c r="V1214" s="402" t="n"/>
      <c r="W1214" s="402" t="n"/>
      <c r="X1214" s="170" t="inlineStr">
        <is>
          <t>NSX630N Mic2.3 630A 3P3D F→NSX630F MIC2.3 630 3P F→NSX630F MIC 2.3 630 3P F</t>
        </is>
      </c>
    </row>
    <row r="1215" s="308">
      <c r="A1215" s="64">
        <f>ROW()-ROW(A$1212)</f>
        <v/>
      </c>
      <c r="B1215" s="22" t="inlineStr">
        <is>
          <t>塑壳断路器</t>
        </is>
      </c>
      <c r="C1215" s="22" t="inlineStr">
        <is>
          <t>NSX400H Mic2.3 400A 3P3D P</t>
        </is>
      </c>
      <c r="D1215" s="22" t="inlineStr">
        <is>
          <t>甲供/施耐德电气</t>
        </is>
      </c>
      <c r="E1215" s="23" t="inlineStr">
        <is>
          <t>只</t>
        </is>
      </c>
      <c r="F1215" s="23" t="n">
        <v>2</v>
      </c>
      <c r="G1215" s="349">
        <f>IF(AND(B1215="",C1215=""),"",ROUND(M1215*L1215*N1215,2))</f>
        <v/>
      </c>
      <c r="H1215" s="349">
        <f>IF(AND(B1215="",C1215=""),"",ROUND(F1215*G1215,2))</f>
        <v/>
      </c>
      <c r="I1215" s="45" t="inlineStr"/>
      <c r="J1215" s="397">
        <f>IF(AND(B1215="",C1215=""),"",ROUND(M1215*N1215,2))</f>
        <v/>
      </c>
      <c r="K1215" s="398">
        <f>IF(AND(B1215="",C1215=""),"",ROUND(J1215*F1215,2))</f>
        <v/>
      </c>
      <c r="L1215" s="200" t="n">
        <v>1</v>
      </c>
      <c r="M1215" s="399" t="n">
        <v>1e-07</v>
      </c>
      <c r="N1215" s="154" t="n">
        <v>1</v>
      </c>
      <c r="O1215" s="155">
        <f>IF(AND(B1215="",C1215=""),"",IF(G1215&gt;=20000,0.05,IF(G1215&gt;=10000,0.1,IF(G1215&gt;=5000,0.2,IF(G1215&gt;=1000,0.3,IF(G1215&gt;=0,0.4,{0}))))))</f>
        <v/>
      </c>
      <c r="P1215" s="400">
        <f>IF(AND(B1215="",C1215=""),"",ROUND(H1215*O1215,2))</f>
        <v/>
      </c>
      <c r="Q1215" s="401" t="inlineStr">
        <is>
          <t>元件</t>
        </is>
      </c>
      <c r="R1215" s="168" t="inlineStr"/>
      <c r="S1215" s="168" t="inlineStr"/>
      <c r="T1215" s="168" t="inlineStr">
        <is>
          <t>0</t>
        </is>
      </c>
      <c r="U1215" s="168" t="inlineStr"/>
      <c r="V1215" s="402" t="n"/>
      <c r="W1215" s="402" t="n"/>
      <c r="X1215" s="170" t="inlineStr"/>
    </row>
    <row r="1216" s="308">
      <c r="A1216" s="64">
        <f>ROW()-ROW(A$1212)</f>
        <v/>
      </c>
      <c r="B1216" s="22" t="inlineStr">
        <is>
          <t>电流互感器</t>
        </is>
      </c>
      <c r="C1216" s="22" t="inlineStr">
        <is>
          <t>SD-0.66-30I 150/5A</t>
        </is>
      </c>
      <c r="D1216" s="22" t="inlineStr">
        <is>
          <t>桑迪</t>
        </is>
      </c>
      <c r="E1216" s="23" t="inlineStr">
        <is>
          <t>只</t>
        </is>
      </c>
      <c r="F1216" s="23" t="n">
        <v>6</v>
      </c>
      <c r="G1216" s="349">
        <f>IF(AND(B1216="",C1216=""),"",ROUND(M1216*L1216*N1216,2))</f>
        <v/>
      </c>
      <c r="H1216" s="396">
        <f>IF(AND(B1216="",C1216=""),"",ROUND(F1216*G1216,2))</f>
        <v/>
      </c>
      <c r="I1216" s="219" t="inlineStr"/>
      <c r="J1216" s="397">
        <f>IF(AND(B1216="",C1216=""),"",ROUND(M1216*N1216,2))</f>
        <v/>
      </c>
      <c r="K1216" s="398">
        <f>IF(AND(B1216="",C1216=""),"",ROUND(J1216*F1216,2))</f>
        <v/>
      </c>
      <c r="L1216" s="200" t="n">
        <v>1</v>
      </c>
      <c r="M1216" s="399" t="n">
        <v>29.95</v>
      </c>
      <c r="N1216" s="154" t="n">
        <v>1</v>
      </c>
      <c r="O1216" s="155">
        <f>IF(AND(B1216="",C1216=""),"",IF(G1216&gt;=20000,0.05,IF(G1216&gt;=10000,0.1,IF(G1216&gt;=5000,0.2,IF(G1216&gt;=1000,0.3,IF(G1216&gt;=0,0.4,{0}))))))</f>
        <v/>
      </c>
      <c r="P1216" s="400">
        <f>IF(AND(B1216="",C1216=""),"",ROUND(H1216*O1216,2))</f>
        <v/>
      </c>
      <c r="Q1216" s="401" t="inlineStr">
        <is>
          <t>元件</t>
        </is>
      </c>
      <c r="R1216" s="168" t="inlineStr"/>
      <c r="S1216" s="168" t="inlineStr"/>
      <c r="T1216" s="168" t="inlineStr">
        <is>
          <t>0</t>
        </is>
      </c>
      <c r="U1216" s="168" t="inlineStr">
        <is>
          <t>710140200000049</t>
        </is>
      </c>
      <c r="V1216" s="402" t="n"/>
      <c r="W1216" s="402" t="n"/>
      <c r="X1216" s="170" t="inlineStr">
        <is>
          <t>SD→SD-0.66-40II-C 400/5A→SD-0.66-30I 250/5A→SD-0.66-30I 150/5A→SD-0.66-60II-C 750/5A→SD-0.66-60II-C 600/5A→SD-0.66-30I 150/5A→SD-0.66-40II-C 400/5A→SD-0.66-100II-C 1600/5A→SD-0.66-80II-V 1000/5A</t>
        </is>
      </c>
    </row>
    <row r="1217" s="308">
      <c r="A1217" s="64">
        <f>ROW()-ROW(A$1212)</f>
        <v/>
      </c>
      <c r="B1217" s="22" t="inlineStr">
        <is>
          <t>电流互感器</t>
        </is>
      </c>
      <c r="C1217" s="22" t="inlineStr">
        <is>
          <t>SD-0.66-30I 250/5A</t>
        </is>
      </c>
      <c r="D1217" s="22" t="inlineStr">
        <is>
          <t>桑迪</t>
        </is>
      </c>
      <c r="E1217" s="23" t="inlineStr">
        <is>
          <t>只</t>
        </is>
      </c>
      <c r="F1217" s="23" t="n">
        <v>12</v>
      </c>
      <c r="G1217" s="349">
        <f>IF(AND(B1217="",C1217=""),"",ROUND(M1217*L1217*N1217,2))</f>
        <v/>
      </c>
      <c r="H1217" s="396">
        <f>IF(AND(B1217="",C1217=""),"",ROUND(F1217*G1217,2))</f>
        <v/>
      </c>
      <c r="I1217" s="219" t="inlineStr"/>
      <c r="J1217" s="397">
        <f>IF(AND(B1217="",C1217=""),"",ROUND(M1217*N1217,2))</f>
        <v/>
      </c>
      <c r="K1217" s="398">
        <f>IF(AND(B1217="",C1217=""),"",ROUND(J1217*F1217,2))</f>
        <v/>
      </c>
      <c r="L1217" s="200" t="n">
        <v>1</v>
      </c>
      <c r="M1217" s="399" t="n">
        <v>26.65</v>
      </c>
      <c r="N1217" s="154" t="n">
        <v>1</v>
      </c>
      <c r="O1217" s="155">
        <f>IF(AND(B1217="",C1217=""),"",IF(G1217&gt;=20000,0.05,IF(G1217&gt;=10000,0.1,IF(G1217&gt;=5000,0.2,IF(G1217&gt;=1000,0.3,IF(G1217&gt;=0,0.4,{0}))))))</f>
        <v/>
      </c>
      <c r="P1217" s="400">
        <f>IF(AND(B1217="",C1217=""),"",ROUND(H1217*O1217,2))</f>
        <v/>
      </c>
      <c r="Q1217" s="401" t="inlineStr">
        <is>
          <t>元件</t>
        </is>
      </c>
      <c r="R1217" s="168" t="inlineStr"/>
      <c r="S1217" s="168" t="inlineStr"/>
      <c r="T1217" s="168" t="inlineStr">
        <is>
          <t>0</t>
        </is>
      </c>
      <c r="U1217" s="168" t="inlineStr">
        <is>
          <t>710140200000049</t>
        </is>
      </c>
      <c r="V1217" s="402" t="n"/>
      <c r="W1217" s="402" t="n"/>
      <c r="X1217" s="170" t="inlineStr">
        <is>
          <t>SD→SD-0.66-40II-C 400/5A→SD-0.66-30I 250/5A→SD-0.66-30I 150/5A→SD-0.66-60II-C 750/5A→SD-0.66-60II-C 600/5A→SD-0.66-30I 150/5A→SD-0.66-40II-C 400/5A→SD-0.66-100II-C 1600/5A→SD-0.66-80II-V 1000/5A</t>
        </is>
      </c>
    </row>
    <row r="1218" s="308">
      <c r="A1218" s="64">
        <f>ROW()-ROW(A$1212)</f>
        <v/>
      </c>
      <c r="B1218" s="22" t="inlineStr">
        <is>
          <t>电流互感器</t>
        </is>
      </c>
      <c r="C1218" s="22" t="inlineStr">
        <is>
          <t>SD-0.66-40II-C 400/5A</t>
        </is>
      </c>
      <c r="D1218" s="22" t="inlineStr">
        <is>
          <t>桑迪</t>
        </is>
      </c>
      <c r="E1218" s="23" t="inlineStr">
        <is>
          <t>只</t>
        </is>
      </c>
      <c r="F1218" s="23" t="n">
        <v>6</v>
      </c>
      <c r="G1218" s="349">
        <f>IF(AND(B1218="",C1218=""),"",ROUND(M1218*L1218*N1218,2))</f>
        <v/>
      </c>
      <c r="H1218" s="396">
        <f>IF(AND(B1218="",C1218=""),"",ROUND(F1218*G1218,2))</f>
        <v/>
      </c>
      <c r="I1218" s="219" t="inlineStr"/>
      <c r="J1218" s="397">
        <f>IF(AND(B1218="",C1218=""),"",ROUND(M1218*N1218,2))</f>
        <v/>
      </c>
      <c r="K1218" s="398">
        <f>IF(AND(B1218="",C1218=""),"",ROUND(J1218*F1218,2))</f>
        <v/>
      </c>
      <c r="L1218" s="200" t="n">
        <v>1</v>
      </c>
      <c r="M1218" s="399" t="n">
        <v>52</v>
      </c>
      <c r="N1218" s="154" t="n">
        <v>1</v>
      </c>
      <c r="O1218" s="155">
        <f>IF(AND(B1218="",C1218=""),"",IF(G1218&gt;=20000,0.05,IF(G1218&gt;=10000,0.1,IF(G1218&gt;=5000,0.2,IF(G1218&gt;=1000,0.3,IF(G1218&gt;=0,0.4,{0}))))))</f>
        <v/>
      </c>
      <c r="P1218" s="400">
        <f>IF(AND(B1218="",C1218=""),"",ROUND(H1218*O1218,2))</f>
        <v/>
      </c>
      <c r="Q1218" s="401" t="inlineStr">
        <is>
          <t>元件</t>
        </is>
      </c>
      <c r="R1218" s="168" t="inlineStr"/>
      <c r="S1218" s="168" t="inlineStr"/>
      <c r="T1218" s="168" t="inlineStr">
        <is>
          <t>0</t>
        </is>
      </c>
      <c r="U1218" s="168" t="inlineStr">
        <is>
          <t>710140200000049</t>
        </is>
      </c>
      <c r="V1218" s="402" t="n"/>
      <c r="W1218" s="402" t="n"/>
      <c r="X1218" s="170" t="inlineStr">
        <is>
          <t>SD→SD-0.66-40II-C 400/5A→SD-0.66-30I 250/5A→SD-0.66-30I 150/5A→SD-0.66-60II-C 750/5A→SD-0.66-60II-C 600/5A→SD-0.66-30I 150/5A→SD-0.66-40II-C 400/5A→SD-0.66-100II-C 1600/5A→SD-0.66-80II-V 1000/5A</t>
        </is>
      </c>
    </row>
    <row r="1219" s="308">
      <c r="A1219" s="64">
        <f>ROW()-ROW(A$1212)</f>
        <v/>
      </c>
      <c r="B1219" s="112" t="inlineStr">
        <is>
          <t>多功能表</t>
        </is>
      </c>
      <c r="C1219" s="112" t="inlineStr">
        <is>
          <t>PM4101</t>
        </is>
      </c>
      <c r="D1219" s="112" t="inlineStr">
        <is>
          <t>甲供/施耐德电气</t>
        </is>
      </c>
      <c r="E1219" s="114" t="inlineStr">
        <is>
          <t>只</t>
        </is>
      </c>
      <c r="F1219" s="114" t="n">
        <v>8</v>
      </c>
      <c r="G1219" s="396">
        <f>IF(AND(B1219="",C1219=""),"",ROUND(M1219*L1219*N1219,2))</f>
        <v/>
      </c>
      <c r="H1219" s="349">
        <f>IF(AND(B1219="",C1219=""),"",ROUND(F1219*G1219,2))</f>
        <v/>
      </c>
      <c r="I1219" s="45" t="inlineStr"/>
      <c r="J1219" s="397">
        <f>IF(AND(B1219="",C1219=""),"",ROUND(M1219*N1219,2))</f>
        <v/>
      </c>
      <c r="K1219" s="398">
        <f>IF(AND(B1219="",C1219=""),"",ROUND(J1219*F1219,2))</f>
        <v/>
      </c>
      <c r="L1219" s="200" t="n">
        <v>1</v>
      </c>
      <c r="M1219" s="399" t="n">
        <v>1e-07</v>
      </c>
      <c r="N1219" s="154" t="n">
        <v>1</v>
      </c>
      <c r="O1219" s="155">
        <f>IF(AND(B1219="",C1219=""),"",IF(J1219&gt;=20000,0.05,IF(J1219&gt;=10000,0.1,IF(J1219&gt;=5000,0.2,IF(J1219&gt;=1000,0.3,IF(J1219&gt;=0,0.4,{0}))))))</f>
        <v/>
      </c>
      <c r="P1219" s="400">
        <f>IF(AND(B1219="",C1219=""),"",ROUND(H1219*O1219,2))</f>
        <v/>
      </c>
      <c r="Q1219" s="401" t="inlineStr">
        <is>
          <t>元件</t>
        </is>
      </c>
      <c r="R1219" s="168" t="inlineStr"/>
      <c r="S1219" s="168" t="inlineStr"/>
      <c r="T1219" s="168" t="inlineStr">
        <is>
          <t>0</t>
        </is>
      </c>
      <c r="U1219" s="168" t="inlineStr"/>
      <c r="V1219" s="402" t="n"/>
      <c r="W1219" s="402" t="n"/>
      <c r="X1219" s="170" t="inlineStr"/>
    </row>
    <row r="1220" customFormat="1" s="3">
      <c r="A1220" s="64">
        <f>ROW()-ROW(A$1212)</f>
        <v/>
      </c>
      <c r="B1220" s="22" t="inlineStr">
        <is>
          <t>指示灯</t>
        </is>
      </c>
      <c r="C1220" s="22" t="inlineStr">
        <is>
          <t>XB2BVM3LC</t>
        </is>
      </c>
      <c r="D1220" s="22" t="inlineStr">
        <is>
          <t>甲供/施耐德电气</t>
        </is>
      </c>
      <c r="E1220" s="23" t="inlineStr">
        <is>
          <t>只</t>
        </is>
      </c>
      <c r="F1220" s="23" t="n">
        <v>8</v>
      </c>
      <c r="G1220" s="349">
        <f>IF(AND(B1220="",C1220=""),"",ROUND(M1220*L1220*N1220,2))</f>
        <v/>
      </c>
      <c r="H1220" s="353">
        <f>IF(AND(B1220="",C1220=""),"",ROUND(F1220*G1220,2))</f>
        <v/>
      </c>
      <c r="I1220" s="180" t="inlineStr"/>
      <c r="J1220" s="392">
        <f>IF(AND(B1220="",C1220=""),"",ROUND(M1220*N1220,2))</f>
        <v/>
      </c>
      <c r="K1220" s="393">
        <f>IF(AND(B1220="",C1220=""),"",ROUND(J1220*F1220,2))</f>
        <v/>
      </c>
      <c r="L1220" s="141" t="n">
        <v>1</v>
      </c>
      <c r="M1220" s="394" t="n">
        <v>1e-07</v>
      </c>
      <c r="N1220" s="220" t="n">
        <v>1</v>
      </c>
      <c r="O1220" s="221">
        <f>IF(AND(B1220="",C1220=""),"",IF(G1220&gt;=20000,0.05,IF(G1220&gt;=10000,0.1,IF(G1220&gt;=5000,0.2,IF(G1220&gt;=1000,0.3,IF(G1220&gt;=0,0.4,{0}))))))</f>
        <v/>
      </c>
      <c r="P1220" s="419">
        <f>IF(AND(B1220="",C1220=""),"",ROUND(H1220*O1220,2))</f>
        <v/>
      </c>
      <c r="Q1220" s="420" t="inlineStr">
        <is>
          <t>元件</t>
        </is>
      </c>
      <c r="R1220" s="231" t="inlineStr"/>
      <c r="S1220" s="231" t="inlineStr"/>
      <c r="T1220" s="231" t="inlineStr">
        <is>
          <t>0</t>
        </is>
      </c>
      <c r="U1220" s="231" t="inlineStr">
        <is>
          <t>XB2BVM3LC</t>
        </is>
      </c>
      <c r="V1220" s="421" t="n"/>
      <c r="W1220" s="421" t="n"/>
      <c r="X1220" s="166" t="inlineStr">
        <is>
          <t>XA2EVM3LC</t>
        </is>
      </c>
    </row>
    <row r="1221" customFormat="1" s="3">
      <c r="A1221" s="64">
        <f>ROW()-ROW(A$1212)</f>
        <v/>
      </c>
      <c r="B1221" s="22" t="inlineStr">
        <is>
          <t>指示灯</t>
        </is>
      </c>
      <c r="C1221" s="22" t="inlineStr">
        <is>
          <t>XB2BVM4LC</t>
        </is>
      </c>
      <c r="D1221" s="22" t="inlineStr">
        <is>
          <t>甲供/施耐德电气</t>
        </is>
      </c>
      <c r="E1221" s="23" t="inlineStr">
        <is>
          <t>只</t>
        </is>
      </c>
      <c r="F1221" s="23" t="n">
        <v>8</v>
      </c>
      <c r="G1221" s="349">
        <f>IF(AND(B1221="",C1221=""),"",ROUND(M1221*L1221*N1221,2))</f>
        <v/>
      </c>
      <c r="H1221" s="353">
        <f>IF(AND(B1221="",C1221=""),"",ROUND(F1221*G1221,2))</f>
        <v/>
      </c>
      <c r="I1221" s="180" t="inlineStr"/>
      <c r="J1221" s="392">
        <f>IF(AND(B1221="",C1221=""),"",ROUND(M1221*N1221,2))</f>
        <v/>
      </c>
      <c r="K1221" s="393">
        <f>IF(AND(B1221="",C1221=""),"",ROUND(J1221*F1221,2))</f>
        <v/>
      </c>
      <c r="L1221" s="141" t="n">
        <v>1</v>
      </c>
      <c r="M1221" s="394" t="n">
        <v>1e-07</v>
      </c>
      <c r="N1221" s="220" t="n">
        <v>1</v>
      </c>
      <c r="O1221" s="221">
        <f>IF(AND(B1221="",C1221=""),"",IF(G1221&gt;=20000,0.05,IF(G1221&gt;=10000,0.1,IF(G1221&gt;=5000,0.2,IF(G1221&gt;=1000,0.3,IF(G1221&gt;=0,0.4,{0}))))))</f>
        <v/>
      </c>
      <c r="P1221" s="419">
        <f>IF(AND(B1221="",C1221=""),"",ROUND(H1221*O1221,2))</f>
        <v/>
      </c>
      <c r="Q1221" s="420" t="inlineStr">
        <is>
          <t>元件</t>
        </is>
      </c>
      <c r="R1221" s="231" t="inlineStr"/>
      <c r="S1221" s="231" t="inlineStr"/>
      <c r="T1221" s="231" t="inlineStr">
        <is>
          <t>0</t>
        </is>
      </c>
      <c r="U1221" s="231" t="inlineStr">
        <is>
          <t>XB2BVM4LC</t>
        </is>
      </c>
      <c r="V1221" s="421" t="n"/>
      <c r="W1221" s="421" t="n"/>
      <c r="X1221" s="166" t="inlineStr">
        <is>
          <t>XA2EVM4LC</t>
        </is>
      </c>
    </row>
    <row r="1222" s="308">
      <c r="A1222" s="64">
        <f>ROW()-ROW(A$1212)</f>
        <v/>
      </c>
      <c r="B1222" s="112" t="inlineStr">
        <is>
          <t>温湿度控制器</t>
        </is>
      </c>
      <c r="C1222" s="112" t="inlineStr">
        <is>
          <t>ATH48G-11</t>
        </is>
      </c>
      <c r="D1222" s="22" t="inlineStr">
        <is>
          <t>杭州安廷</t>
        </is>
      </c>
      <c r="E1222" s="23" t="inlineStr">
        <is>
          <t>套</t>
        </is>
      </c>
      <c r="F1222" s="23" t="n">
        <v>1</v>
      </c>
      <c r="G1222" s="349">
        <f>IF(AND(B1222="",C1222=""),"",ROUND(M1222*L1222*N1222,2))</f>
        <v/>
      </c>
      <c r="H1222" s="396">
        <f>IF(AND(B1222="",C1222=""),"",ROUND(F1222*G1222,2))</f>
        <v/>
      </c>
      <c r="I1222" s="150" t="inlineStr"/>
      <c r="J1222" s="397">
        <f>IF(AND(B1222="",C1222=""),"",ROUND(M1222*N1222,2))</f>
        <v/>
      </c>
      <c r="K1222" s="398">
        <f>IF(AND(B1222="",C1222=""),"",ROUND(J1222*F1222,2))</f>
        <v/>
      </c>
      <c r="L1222" s="141" t="n">
        <v>1</v>
      </c>
      <c r="M1222" s="399" t="n">
        <v>450</v>
      </c>
      <c r="N1222" s="154" t="n">
        <v>1</v>
      </c>
      <c r="O1222" s="155">
        <f>IF(AND(B1222="",C1222=""),"",IF(G1222&gt;=20000,0.05,IF(G1222&gt;=10000,0.1,IF(G1222&gt;=5000,0.2,IF(G1222&gt;=1000,0.3,IF(G1222&gt;=0,0.4,{0}))))))</f>
        <v/>
      </c>
      <c r="P1222" s="400">
        <f>IF(AND(B1222="",C1222=""),"",ROUND(H1222*O1222,2))</f>
        <v/>
      </c>
      <c r="Q1222" s="401" t="inlineStr">
        <is>
          <t>元件</t>
        </is>
      </c>
      <c r="R1222" s="168" t="inlineStr"/>
      <c r="S1222" s="168" t="inlineStr"/>
      <c r="T1222" s="168" t="inlineStr">
        <is>
          <t>0</t>
        </is>
      </c>
      <c r="U1222" s="168" t="inlineStr"/>
      <c r="V1222" s="402" t="n"/>
      <c r="W1222" s="402" t="n"/>
      <c r="X1222" s="170" t="inlineStr"/>
    </row>
    <row r="1223" s="308">
      <c r="A1223" s="64">
        <f>ROW()-ROW(A$1212)</f>
        <v/>
      </c>
      <c r="B1223" s="22" t="inlineStr">
        <is>
          <t>中间继电器</t>
        </is>
      </c>
      <c r="C1223" s="22" t="inlineStr">
        <is>
          <t>RXM4AB2P7+RXZE2S114M+RXZ400</t>
        </is>
      </c>
      <c r="D1223" s="22" t="inlineStr">
        <is>
          <t>甲供/施耐德电气</t>
        </is>
      </c>
      <c r="E1223" s="23" t="inlineStr">
        <is>
          <t>只</t>
        </is>
      </c>
      <c r="F1223" s="23" t="n">
        <v>16</v>
      </c>
      <c r="G1223" s="349">
        <f>IF(AND(B1223="",C1223=""),"",ROUND(M1223*L1223*N1223,2))</f>
        <v/>
      </c>
      <c r="H1223" s="349">
        <f>IF(AND(B1223="",C1223=""),"",ROUND(F1223*G1223,2))</f>
        <v/>
      </c>
      <c r="I1223" s="45" t="inlineStr"/>
      <c r="J1223" s="397">
        <f>IF(AND(B1223="",C1223=""),"",ROUND(M1223*N1223,2))</f>
        <v/>
      </c>
      <c r="K1223" s="398">
        <f>IF(AND(B1223="",C1223=""),"",ROUND(J1223*F1223,2))</f>
        <v/>
      </c>
      <c r="L1223" s="141" t="n">
        <v>1</v>
      </c>
      <c r="M1223" s="399" t="n">
        <v>1e-07</v>
      </c>
      <c r="N1223" s="154" t="n">
        <v>1</v>
      </c>
      <c r="O1223" s="155">
        <f>IF(AND(B1223="",C1223=""),"",IF(G1223&gt;=20000,0.05,IF(G1223&gt;=10000,0.1,IF(G1223&gt;=5000,0.2,IF(G1223&gt;=1000,0.3,IF(G1223&gt;=0,0.4,{0}))))))</f>
        <v/>
      </c>
      <c r="P1223" s="400">
        <f>IF(AND(B1223="",C1223=""),"",ROUND(H1223*O1223,2))</f>
        <v/>
      </c>
      <c r="Q1223" s="401" t="inlineStr">
        <is>
          <t>元件</t>
        </is>
      </c>
      <c r="R1223" s="168" t="inlineStr"/>
      <c r="S1223" s="168" t="inlineStr"/>
      <c r="T1223" s="168" t="inlineStr">
        <is>
          <t>0</t>
        </is>
      </c>
      <c r="U1223" s="168" t="inlineStr">
        <is>
          <t>RXM4AB2P7+RXZE2S114M+RXZ400</t>
        </is>
      </c>
      <c r="V1223" s="402" t="n"/>
      <c r="W1223" s="402" t="n"/>
      <c r="X1223" s="170" t="inlineStr">
        <is>
          <t>REL-IR-BL/L-230AC/4X21，含底座→RXM4AB2P7+RXZE2S114M+RXZ400→REL-IR-BL/L-230AC/4X21，含底座</t>
        </is>
      </c>
    </row>
    <row r="1224" customFormat="1" s="3">
      <c r="A1224" s="64">
        <f>ROW()-ROW(A$1212)</f>
        <v/>
      </c>
      <c r="B1224" s="22" t="inlineStr">
        <is>
          <t>带熔丝端子</t>
        </is>
      </c>
      <c r="C1224" s="22" t="inlineStr">
        <is>
          <t>UK 5-HESI</t>
        </is>
      </c>
      <c r="D1224" s="22" t="inlineStr">
        <is>
          <t>菲尼克斯</t>
        </is>
      </c>
      <c r="E1224" s="23" t="inlineStr">
        <is>
          <t>只</t>
        </is>
      </c>
      <c r="F1224" s="23" t="n">
        <v>32</v>
      </c>
      <c r="G1224" s="349">
        <f>IF(AND(B1224="",C1224=""),"",ROUND(M1224*L1224*N1224,2))</f>
        <v/>
      </c>
      <c r="H1224" s="349">
        <f>IF(AND(B1224="",C1224=""),"",ROUND(F1224*G1224,2))</f>
        <v/>
      </c>
      <c r="I1224" s="45" t="inlineStr"/>
      <c r="J1224" s="392">
        <f>IF(AND(B1224="",C1224=""),"",ROUND(M1224*N1224,2))</f>
        <v/>
      </c>
      <c r="K1224" s="393">
        <f>IF(AND(B1224="",C1224=""),"",ROUND(J1224*F1224,2))</f>
        <v/>
      </c>
      <c r="L1224" s="141" t="n">
        <v>1</v>
      </c>
      <c r="M1224" s="394" t="n">
        <v>7</v>
      </c>
      <c r="N1224" s="220" t="n">
        <v>1</v>
      </c>
      <c r="O1224" s="221">
        <f>IF(AND(B1224="",C1224=""),"",IF(G1224&gt;=20000,0.05,IF(G1224&gt;=10000,0.1,IF(G1224&gt;=5000,0.2,IF(G1224&gt;=1000,0.3,IF(G1224&gt;=0,0.4,{0}))))))</f>
        <v/>
      </c>
      <c r="P1224" s="419">
        <f>IF(AND(B1224="",C1224=""),"",ROUND(H1224*O1224,2))</f>
        <v/>
      </c>
      <c r="Q1224" s="420" t="inlineStr">
        <is>
          <t>元件</t>
        </is>
      </c>
      <c r="R1224" s="231" t="inlineStr"/>
      <c r="S1224" s="231" t="inlineStr"/>
      <c r="T1224" s="231" t="inlineStr">
        <is>
          <t>0</t>
        </is>
      </c>
      <c r="U1224" s="231" t="inlineStr">
        <is>
          <t>True</t>
        </is>
      </c>
      <c r="V1224" s="421" t="n"/>
      <c r="W1224" s="421" t="n"/>
      <c r="X1224" s="166" t="inlineStr"/>
    </row>
    <row r="1225" s="308">
      <c r="A1225" s="64">
        <f>ROW()-ROW(A$1212)</f>
        <v/>
      </c>
      <c r="B1225" s="22" t="inlineStr">
        <is>
          <t>水平母排</t>
        </is>
      </c>
      <c r="C1225" s="22" t="inlineStr">
        <is>
          <t>TMY 4*(4*150*5)+2*50*5</t>
        </is>
      </c>
      <c r="D1225" s="22" t="inlineStr">
        <is>
          <t>国产优质</t>
        </is>
      </c>
      <c r="E1225" s="23" t="inlineStr">
        <is>
          <t>米</t>
        </is>
      </c>
      <c r="F1225" s="23" t="n">
        <v>0.7</v>
      </c>
      <c r="G1225" s="349">
        <f>IF(AND(B1225="",C1225=""),"",ROUND(M1225*L1225*N1225,2))</f>
        <v/>
      </c>
      <c r="H1225" s="349">
        <f>IF(AND(B1225="",C1225=""),"",ROUND(F1225*G1225,2))</f>
        <v/>
      </c>
      <c r="I1225" s="45" t="inlineStr"/>
      <c r="J1225" s="397">
        <f>IF(AND(B1225="",C1225=""),"",ROUND(M1225*N1225,2))</f>
        <v/>
      </c>
      <c r="K1225" s="398">
        <f>IF(AND(B1225="",C1225=""),"",ROUND(J1225*F1225,2))</f>
        <v/>
      </c>
      <c r="L1225" s="200" t="n">
        <v>1</v>
      </c>
      <c r="M1225" s="399" t="n">
        <v>12026.68125</v>
      </c>
      <c r="N1225" s="154">
        <f>(6317.932*1*1+2684.8*1*1)/9002.732</f>
        <v/>
      </c>
      <c r="O1225" s="155">
        <f>IF(AND(B1225="",C1225=""),"",IF(J1225&gt;=20000,0.05,IF(J1225&gt;=10000,0.1,IF(J1225&gt;=5000,0.2,IF(J1225&gt;=1000,0.3,IF(J1225&gt;=0,0.4,{0}))))))</f>
        <v/>
      </c>
      <c r="P1225" s="400">
        <f>IF(AND(B1225="",C1225=""),"",ROUND(H1225*O1225,2))</f>
        <v/>
      </c>
      <c r="Q1225" s="401" t="inlineStr">
        <is>
          <t>母排</t>
        </is>
      </c>
      <c r="R1225" s="168" t="inlineStr"/>
      <c r="S1225" s="168" t="inlineStr"/>
      <c r="T1225" s="168" t="inlineStr">
        <is>
          <t>0</t>
        </is>
      </c>
      <c r="U1225" s="168" t="inlineStr"/>
      <c r="V1225" s="402" t="n"/>
      <c r="W1225" s="402" t="n"/>
      <c r="X1225" s="170" t="inlineStr"/>
    </row>
    <row r="1226" customFormat="1" s="5">
      <c r="A1226" s="64">
        <f>ROW()-ROW(A$1212)</f>
        <v/>
      </c>
      <c r="B1226" s="22" t="inlineStr">
        <is>
          <t>垂直排</t>
        </is>
      </c>
      <c r="C1226" s="22" t="inlineStr">
        <is>
          <t>TMY 3*2*80*5</t>
        </is>
      </c>
      <c r="D1226" s="22" t="inlineStr">
        <is>
          <t>国产优质</t>
        </is>
      </c>
      <c r="E1226" s="23" t="inlineStr">
        <is>
          <t>米</t>
        </is>
      </c>
      <c r="F1226" s="23" t="n">
        <v>2</v>
      </c>
      <c r="G1226" s="349">
        <f>IF(AND(B1226="",C1226=""),"",ROUND(M1226*L1226*N1226,2))</f>
        <v/>
      </c>
      <c r="H1226" s="349">
        <f>IF(AND(B1226="",C1226=""),"",ROUND(F1226*G1226,2))</f>
        <v/>
      </c>
      <c r="I1226" s="45" t="inlineStr"/>
      <c r="J1226" s="422">
        <f>IF(AND(B1226="",C1226=""),"",ROUND(M1226*N1226,2))</f>
        <v/>
      </c>
      <c r="K1226" s="423">
        <f>IF(AND(B1226="",C1226=""),"",ROUND(J1226*F1226,2))</f>
        <v/>
      </c>
      <c r="L1226" s="225" t="n">
        <v>1</v>
      </c>
      <c r="M1226" s="424" t="n">
        <v>2309.1228</v>
      </c>
      <c r="N1226" s="227" t="n">
        <v>1</v>
      </c>
      <c r="O1226" s="228">
        <f>IF(AND(B1226="",C1226=""),"",IF(G1226&gt;=20000,0.05,IF(G1226&gt;=10000,0.1,IF(G1226&gt;=5000,0.2,IF(G1226&gt;=1000,0.3,IF(G1226&gt;=0,0.4,{0}))))))</f>
        <v/>
      </c>
      <c r="P1226" s="425">
        <f>IF(AND(B1226="",C1226=""),"",ROUND(H1226*O1226,2))</f>
        <v/>
      </c>
      <c r="Q1226" s="426" t="inlineStr">
        <is>
          <t>母排</t>
        </is>
      </c>
      <c r="R1226" s="234" t="inlineStr"/>
      <c r="S1226" s="234" t="inlineStr"/>
      <c r="T1226" s="235" t="inlineStr">
        <is>
          <t>0</t>
        </is>
      </c>
      <c r="U1226" s="235" t="inlineStr"/>
      <c r="V1226" s="427" t="n"/>
      <c r="W1226" s="427" t="n"/>
      <c r="X1226" s="237" t="inlineStr">
        <is>
          <t>TMY 2*30*5→TMY 30*8</t>
        </is>
      </c>
    </row>
    <row r="1227" customFormat="1" s="5">
      <c r="A1227" s="64">
        <f>ROW()-ROW(A$1212)</f>
        <v/>
      </c>
      <c r="B1227" s="22" t="inlineStr">
        <is>
          <t>N排</t>
        </is>
      </c>
      <c r="C1227" s="22" t="inlineStr">
        <is>
          <t>TMY 80*10</t>
        </is>
      </c>
      <c r="D1227" s="22" t="inlineStr">
        <is>
          <t>国产优质</t>
        </is>
      </c>
      <c r="E1227" s="23" t="inlineStr">
        <is>
          <t>米</t>
        </is>
      </c>
      <c r="F1227" s="23" t="n">
        <v>3</v>
      </c>
      <c r="G1227" s="349">
        <f>IF(AND(B1227="",C1227=""),"",ROUND(M1227*L1227*N1227,2))</f>
        <v/>
      </c>
      <c r="H1227" s="349">
        <f>IF(AND(B1227="",C1227=""),"",ROUND(F1227*G1227,2))</f>
        <v/>
      </c>
      <c r="I1227" s="45" t="inlineStr"/>
      <c r="J1227" s="422">
        <f>IF(AND(B1227="",C1227=""),"",ROUND(M1227*N1227,2))</f>
        <v/>
      </c>
      <c r="K1227" s="423">
        <f>IF(AND(B1227="",C1227=""),"",ROUND(J1227*F1227,2))</f>
        <v/>
      </c>
      <c r="L1227" s="225" t="n">
        <v>1</v>
      </c>
      <c r="M1227" s="424" t="n">
        <v>769.7076</v>
      </c>
      <c r="N1227" s="227" t="n">
        <v>1</v>
      </c>
      <c r="O1227" s="228">
        <f>IF(AND(B1227="",C1227=""),"",IF(G1227&gt;=20000,0.05,IF(G1227&gt;=10000,0.1,IF(G1227&gt;=5000,0.2,IF(G1227&gt;=1000,0.3,IF(G1227&gt;=0,0.4,{0}))))))</f>
        <v/>
      </c>
      <c r="P1227" s="425">
        <f>IF(AND(B1227="",C1227=""),"",ROUND(H1227*O1227,2))</f>
        <v/>
      </c>
      <c r="Q1227" s="426" t="inlineStr">
        <is>
          <t>母排</t>
        </is>
      </c>
      <c r="R1227" s="234" t="inlineStr"/>
      <c r="S1227" s="234" t="inlineStr"/>
      <c r="T1227" s="235" t="inlineStr">
        <is>
          <t>0</t>
        </is>
      </c>
      <c r="U1227" s="235" t="inlineStr"/>
      <c r="V1227" s="427" t="n"/>
      <c r="W1227" s="427" t="n"/>
      <c r="X1227" s="237" t="inlineStr">
        <is>
          <t>TMY 2*30*5→TMY 30*8</t>
        </is>
      </c>
    </row>
    <row r="1228" customFormat="1" s="5">
      <c r="A1228" s="64">
        <f>ROW()-ROW(A$1212)</f>
        <v/>
      </c>
      <c r="B1228" s="22" t="inlineStr">
        <is>
          <t>PE排</t>
        </is>
      </c>
      <c r="C1228" s="22" t="inlineStr">
        <is>
          <t>TMY 2*50*5</t>
        </is>
      </c>
      <c r="D1228" s="22" t="inlineStr">
        <is>
          <t>国产优质</t>
        </is>
      </c>
      <c r="E1228" s="23" t="inlineStr">
        <is>
          <t>米</t>
        </is>
      </c>
      <c r="F1228" s="23" t="n">
        <v>2</v>
      </c>
      <c r="G1228" s="349">
        <f>IF(AND(B1228="",C1228=""),"",ROUND(M1228*L1228*N1228,2))</f>
        <v/>
      </c>
      <c r="H1228" s="349">
        <f>IF(AND(B1228="",C1228=""),"",ROUND(F1228*G1228,2))</f>
        <v/>
      </c>
      <c r="I1228" s="45" t="inlineStr"/>
      <c r="J1228" s="422">
        <f>IF(AND(B1228="",C1228=""),"",ROUND(M1228*N1228,2))</f>
        <v/>
      </c>
      <c r="K1228" s="423">
        <f>IF(AND(B1228="",C1228=""),"",ROUND(J1228*F1228,2))</f>
        <v/>
      </c>
      <c r="L1228" s="225" t="n">
        <v>1</v>
      </c>
      <c r="M1228" s="424" t="n">
        <v>481.06725</v>
      </c>
      <c r="N1228" s="227" t="n">
        <v>1</v>
      </c>
      <c r="O1228" s="228">
        <f>IF(AND(B1228="",C1228=""),"",IF(G1228&gt;=20000,0.05,IF(G1228&gt;=10000,0.1,IF(G1228&gt;=5000,0.2,IF(G1228&gt;=1000,0.3,IF(G1228&gt;=0,0.4,{0}))))))</f>
        <v/>
      </c>
      <c r="P1228" s="425">
        <f>IF(AND(B1228="",C1228=""),"",ROUND(H1228*O1228,2))</f>
        <v/>
      </c>
      <c r="Q1228" s="426" t="inlineStr">
        <is>
          <t>母排</t>
        </is>
      </c>
      <c r="R1228" s="234" t="inlineStr"/>
      <c r="S1228" s="234" t="inlineStr"/>
      <c r="T1228" s="235" t="inlineStr">
        <is>
          <t>0</t>
        </is>
      </c>
      <c r="U1228" s="235" t="inlineStr"/>
      <c r="V1228" s="427" t="n"/>
      <c r="W1228" s="427" t="n"/>
      <c r="X1228" s="237" t="inlineStr">
        <is>
          <t>TMY 2*30*5→TMY 30*8</t>
        </is>
      </c>
    </row>
    <row r="1229" customFormat="1" s="5">
      <c r="A1229" s="64">
        <f>ROW()-ROW(A$1212)</f>
        <v/>
      </c>
      <c r="B1229" s="22" t="inlineStr">
        <is>
          <t>400A铜排</t>
        </is>
      </c>
      <c r="C1229" s="22" t="inlineStr">
        <is>
          <t>TMY 30*5</t>
        </is>
      </c>
      <c r="D1229" s="22" t="inlineStr">
        <is>
          <t>国产优质</t>
        </is>
      </c>
      <c r="E1229" s="23" t="inlineStr">
        <is>
          <t>米</t>
        </is>
      </c>
      <c r="F1229" s="23" t="n">
        <v>6.4</v>
      </c>
      <c r="G1229" s="349">
        <f>IF(AND(B1229="",C1229=""),"",ROUND(M1229*L1229*N1229,2))</f>
        <v/>
      </c>
      <c r="H1229" s="349">
        <f>IF(AND(B1229="",C1229=""),"",ROUND(F1229*G1229,2))</f>
        <v/>
      </c>
      <c r="I1229" s="45" t="inlineStr"/>
      <c r="J1229" s="422">
        <f>IF(AND(B1229="",C1229=""),"",ROUND(M1229*N1229,2))</f>
        <v/>
      </c>
      <c r="K1229" s="423">
        <f>IF(AND(B1229="",C1229=""),"",ROUND(J1229*F1229,2))</f>
        <v/>
      </c>
      <c r="L1229" s="225" t="n">
        <v>1</v>
      </c>
      <c r="M1229" s="424" t="n">
        <v>144.320175</v>
      </c>
      <c r="N1229" s="227" t="n">
        <v>1</v>
      </c>
      <c r="O1229" s="228">
        <f>IF(AND(B1229="",C1229=""),"",IF(G1229&gt;=20000,0.05,IF(G1229&gt;=10000,0.1,IF(G1229&gt;=5000,0.2,IF(G1229&gt;=1000,0.3,IF(G1229&gt;=0,0.4,{0}))))))</f>
        <v/>
      </c>
      <c r="P1229" s="425">
        <f>IF(AND(B1229="",C1229=""),"",ROUND(H1229*O1229,2))</f>
        <v/>
      </c>
      <c r="Q1229" s="426" t="inlineStr">
        <is>
          <t>母排</t>
        </is>
      </c>
      <c r="R1229" s="234" t="inlineStr"/>
      <c r="S1229" s="234" t="inlineStr"/>
      <c r="T1229" s="235" t="inlineStr">
        <is>
          <t>0</t>
        </is>
      </c>
      <c r="U1229" s="235" t="inlineStr"/>
      <c r="V1229" s="427" t="n"/>
      <c r="W1229" s="427" t="n"/>
      <c r="X1229" s="237" t="inlineStr">
        <is>
          <t>TMY 2*30*5→TMY 30*8</t>
        </is>
      </c>
    </row>
    <row r="1230" s="308">
      <c r="A1230" s="64">
        <f>ROW()-ROW(A$1212)</f>
        <v/>
      </c>
      <c r="B1230" s="112" t="inlineStr">
        <is>
          <t>辅料</t>
        </is>
      </c>
      <c r="C1230" s="112" t="inlineStr"/>
      <c r="D1230" s="112" t="inlineStr"/>
      <c r="E1230" s="114" t="inlineStr">
        <is>
          <t>套</t>
        </is>
      </c>
      <c r="F1230" s="114" t="n">
        <v>1</v>
      </c>
      <c r="G1230" s="396">
        <f>IF(AND(B1230="",C1230=""),"",ROUND(M1230*L1230*N1230,2))</f>
        <v/>
      </c>
      <c r="H1230" s="396">
        <f>IF(AND(B1230="",C1230=""),"",ROUND(F1230*G1230,2))</f>
        <v/>
      </c>
      <c r="I1230" s="219" t="inlineStr"/>
      <c r="J1230" s="397">
        <f>IF(AND(B1230="",C1230=""),"",ROUND(M1230*N1230,2))</f>
        <v/>
      </c>
      <c r="K1230" s="398">
        <f>IF(AND(B1230="",C1230=""),"",ROUND(J1230*F1230,2))</f>
        <v/>
      </c>
      <c r="L1230" s="200" t="n">
        <v>1</v>
      </c>
      <c r="M1230" s="399" t="n">
        <v>2080.04</v>
      </c>
      <c r="N1230" s="154" t="n">
        <v>1</v>
      </c>
      <c r="O1230" s="155">
        <f>IF(AND(B1230="",C1230=""),"",IF(G1230&gt;=20000,0.05,IF(G1230&gt;=10000,0.1,IF(G1230&gt;=5000,0.2,IF(G1230&gt;=1000,0.3,IF(G1230&gt;=0,0.4,{0}))))))</f>
        <v/>
      </c>
      <c r="P1230" s="400">
        <f>IF(AND(B1230="",C1230=""),"",ROUND(H1230*O1230,2))</f>
        <v/>
      </c>
      <c r="Q1230" s="401" t="inlineStr">
        <is>
          <t>辅料</t>
        </is>
      </c>
      <c r="R1230" s="168" t="inlineStr"/>
      <c r="S1230" s="168" t="inlineStr"/>
      <c r="T1230" s="168" t="inlineStr">
        <is>
          <t>0</t>
        </is>
      </c>
      <c r="U1230" s="168" t="inlineStr"/>
      <c r="V1230" s="402" t="n"/>
      <c r="W1230" s="402" t="n"/>
      <c r="X1230" s="170" t="inlineStr"/>
    </row>
    <row r="1231" s="308">
      <c r="A1231" s="64">
        <f>ROW()-ROW(A$1212)</f>
        <v/>
      </c>
      <c r="B1231" s="112" t="inlineStr">
        <is>
          <t>柜体Blokset</t>
        </is>
      </c>
      <c r="C1231" s="22" t="inlineStr">
        <is>
          <t>600W*1200D*2200H</t>
        </is>
      </c>
      <c r="D1231" s="112" t="inlineStr">
        <is>
          <t>清科</t>
        </is>
      </c>
      <c r="E1231" s="114" t="inlineStr">
        <is>
          <t>台</t>
        </is>
      </c>
      <c r="F1231" s="114" t="n">
        <v>1</v>
      </c>
      <c r="G1231" s="396">
        <f>IF(AND(B1231="",C1231=""),"",ROUND(M1231*L1231*N1231,2))</f>
        <v/>
      </c>
      <c r="H1231" s="396">
        <f>IF(AND(B1231="",C1231=""),"",ROUND(F1231*G1231,2))</f>
        <v/>
      </c>
      <c r="I1231" s="219" t="inlineStr"/>
      <c r="J1231" s="397">
        <f>IF(AND(B1231="",C1231=""),"",ROUND(M1231*N1231,2))</f>
        <v/>
      </c>
      <c r="K1231" s="398">
        <f>IF(AND(B1231="",C1231=""),"",ROUND(J1231*F1231,2))</f>
        <v/>
      </c>
      <c r="L1231" s="200" t="n">
        <v>1</v>
      </c>
      <c r="M1231" s="399" t="n">
        <v>5875</v>
      </c>
      <c r="N1231" s="154" t="n">
        <v>1</v>
      </c>
      <c r="O1231" s="155">
        <f>IF(AND(B1231="",C1231=""),"",IF(G1231&gt;=20000,0.05,IF(G1231&gt;=10000,0.1,IF(G1231&gt;=5000,0.2,IF(G1231&gt;=1000,0.3,IF(G1231&gt;=0,0.4,{0}))))))</f>
        <v/>
      </c>
      <c r="P1231" s="400">
        <f>IF(AND(B1231="",C1231=""),"",ROUND(H1231*O1231,2))</f>
        <v/>
      </c>
      <c r="Q1231" s="401" t="inlineStr">
        <is>
          <t>箱体</t>
        </is>
      </c>
      <c r="R1231" s="168" t="inlineStr"/>
      <c r="S1231" s="168" t="inlineStr"/>
      <c r="T1231" s="168" t="inlineStr">
        <is>
          <t>0</t>
        </is>
      </c>
      <c r="U1231" s="168" t="inlineStr"/>
      <c r="V1231" s="402" t="n"/>
      <c r="W1231" s="402" t="n"/>
      <c r="X1231" s="170" t="inlineStr">
        <is>
          <t>BlokSeT</t>
        </is>
      </c>
    </row>
    <row r="1232" s="308">
      <c r="A1232" s="64">
        <f>ROW()-ROW(A$1212)</f>
        <v/>
      </c>
      <c r="B1232" s="22" t="inlineStr"/>
      <c r="C1232" s="22" t="inlineStr"/>
      <c r="D1232" s="22" t="inlineStr"/>
      <c r="E1232" s="23" t="n"/>
      <c r="F1232" s="23">
        <f>IF(AND(B1232="",C1232=""),"",1)</f>
        <v/>
      </c>
      <c r="G1232" s="349">
        <f>IF(AND(B1232="",C1232=""),"",ROUND(M1232*L1232*N1232,2))</f>
        <v/>
      </c>
      <c r="H1232" s="349">
        <f>IF(AND(B1232="",C1232=""),"",ROUND(F1232*G1232,2))</f>
        <v/>
      </c>
      <c r="I1232" s="45" t="inlineStr"/>
      <c r="J1232" s="397">
        <f>IF(AND(B1232="",C1232=""),"",ROUND(M1232*N1232,2))</f>
        <v/>
      </c>
      <c r="K1232" s="398">
        <f>IF(AND(B1232="",C1232=""),"",ROUND(J1232*F1232,2))</f>
        <v/>
      </c>
      <c r="L1232" s="200">
        <f>IF(AND(B1232="",C1232=""),"",1)</f>
        <v/>
      </c>
      <c r="M1232" s="399" t="n"/>
      <c r="N1232" s="154">
        <f>IF(AND(B1232="",C1232=""),"",1)</f>
        <v/>
      </c>
      <c r="O1232" s="155">
        <f>IF(AND(B1232="",C1232=""),"",IF(J1232&gt;=20000,0.05,IF(J1232&gt;=10000,0.1,IF(J1232&gt;=5000,0.2,IF(J1232&gt;=1000,0.3,IF(J1232&gt;=0,0.4,{0}))))))</f>
        <v/>
      </c>
      <c r="P1232" s="400">
        <f>IF(AND(B1232="",C1232=""),"",ROUND(H1232*O1232,2))</f>
        <v/>
      </c>
      <c r="Q1232" s="401">
        <f>IF(AND(B1232="",C1232=""),"","元件")</f>
        <v/>
      </c>
      <c r="R1232" s="168" t="inlineStr"/>
      <c r="S1232" s="168" t="inlineStr"/>
      <c r="T1232" s="168" t="inlineStr"/>
      <c r="U1232" s="168" t="inlineStr"/>
      <c r="V1232" s="402" t="n"/>
      <c r="W1232" s="402" t="n"/>
      <c r="X1232" s="170" t="inlineStr"/>
    </row>
    <row r="1233" s="308">
      <c r="A1233" s="64">
        <f>ROW()-ROW(A$1212)</f>
        <v/>
      </c>
      <c r="B1233" s="171" t="inlineStr">
        <is>
          <t>小计</t>
        </is>
      </c>
      <c r="C1233" s="172" t="n"/>
      <c r="D1233" s="204" t="n"/>
      <c r="E1233" s="114" t="n"/>
      <c r="F1233" s="114" t="n"/>
      <c r="G1233" s="396" t="n"/>
      <c r="H1233" s="396">
        <f>ROUND(SUM(H1212:INDEX(H:H,ROW()-1)),2)</f>
        <v/>
      </c>
      <c r="I1233" s="45" t="inlineStr"/>
      <c r="J1233" s="397" t="n"/>
      <c r="K1233" s="398">
        <f>ROUND(SUM(K1212:INDEX(K:K,ROW()-1)),2)</f>
        <v/>
      </c>
      <c r="L1233" s="200" t="n"/>
      <c r="M1233" s="399" t="n"/>
      <c r="N1233" s="154" t="n"/>
      <c r="O1233" s="155" t="n"/>
      <c r="P1233" s="400" t="n"/>
      <c r="Q1233" s="401" t="n"/>
      <c r="R1233" s="168" t="inlineStr"/>
      <c r="S1233" s="168" t="inlineStr"/>
      <c r="T1233" s="168" t="inlineStr"/>
      <c r="U1233" s="168" t="inlineStr"/>
      <c r="V1233" s="402">
        <f>ROUND(SUMPRODUCT(F1212:INDEX(F:F,ROW()-1),V1212:INDEX(V:V,ROW()-1)),2)</f>
        <v/>
      </c>
      <c r="W1233" s="402">
        <f>ROUND(SUMPRODUCT(F1212:INDEX(F:F,ROW()-1),W1212:INDEX(W:W,ROW()-1)),2)</f>
        <v/>
      </c>
      <c r="X1233" s="170" t="inlineStr"/>
    </row>
    <row r="1234" s="308">
      <c r="A1234" s="64">
        <f>ROW()-ROW(A$1212)</f>
        <v/>
      </c>
      <c r="B1234" s="171" t="inlineStr">
        <is>
          <t>综合费(人工、管理、税金、利润等)</t>
        </is>
      </c>
      <c r="C1234" s="172" t="n"/>
      <c r="D1234" s="204" t="n"/>
      <c r="E1234" s="114" t="n"/>
      <c r="F1234" s="114" t="n"/>
      <c r="G1234" s="396" t="n"/>
      <c r="H1234" s="396">
        <f>2500</f>
        <v/>
      </c>
      <c r="I1234" s="45" t="inlineStr"/>
      <c r="J1234" s="397" t="n"/>
      <c r="K1234" s="398" t="n"/>
      <c r="L1234" s="200" t="n"/>
      <c r="M1234" s="399" t="n"/>
      <c r="N1234" s="154" t="n"/>
      <c r="O1234" s="155" t="n"/>
      <c r="P1234" s="400" t="n"/>
      <c r="Q1234" s="401" t="inlineStr">
        <is>
          <t>费用</t>
        </is>
      </c>
      <c r="R1234" s="168" t="inlineStr"/>
      <c r="S1234" s="168" t="inlineStr"/>
      <c r="T1234" s="168" t="inlineStr"/>
      <c r="U1234" s="168" t="inlineStr"/>
      <c r="V1234" s="402" t="n"/>
      <c r="W1234" s="402" t="n"/>
      <c r="X1234" s="170" t="inlineStr"/>
    </row>
    <row r="1235" s="308">
      <c r="A1235" s="64">
        <f>ROW()-ROW(A$1212)</f>
        <v/>
      </c>
      <c r="B1235" s="204" t="inlineStr">
        <is>
          <t>单台合计</t>
        </is>
      </c>
      <c r="C1235" s="172" t="n"/>
      <c r="D1235" s="204" t="n"/>
      <c r="E1235" s="114" t="n"/>
      <c r="F1235" s="114" t="n"/>
      <c r="G1235" s="396" t="n"/>
      <c r="H1235" s="396">
        <f>ROUND(SUM(H1233:H1234),2)</f>
        <v/>
      </c>
      <c r="I1235" s="181" t="n"/>
      <c r="J1235" s="397" t="n"/>
      <c r="K1235" s="398">
        <f>ROUND(SUM(K1233:K1234),2)</f>
        <v/>
      </c>
      <c r="L1235" s="209" t="n"/>
      <c r="M1235" s="399" t="n"/>
      <c r="N1235" s="210" t="n"/>
      <c r="O1235" s="211" t="n"/>
      <c r="P1235" s="400" t="n"/>
      <c r="Q1235" s="401" t="n"/>
      <c r="R1235" s="168" t="inlineStr"/>
      <c r="S1235" s="168" t="inlineStr"/>
      <c r="T1235" s="168" t="inlineStr"/>
      <c r="U1235" s="168" t="inlineStr"/>
      <c r="V1235" s="402" t="n"/>
      <c r="W1235" s="402" t="n"/>
      <c r="X1235" s="170" t="inlineStr"/>
    </row>
    <row r="1236" s="308">
      <c r="A1236" s="173" t="inlineStr">
        <is>
          <t>总计</t>
        </is>
      </c>
      <c r="B1236" s="205" t="n"/>
      <c r="C1236" s="175" t="n"/>
      <c r="D1236" s="206" t="n"/>
      <c r="E1236" s="206" t="inlineStr">
        <is>
          <t>台</t>
        </is>
      </c>
      <c r="F1236" s="206" t="n">
        <v>1</v>
      </c>
      <c r="G1236" s="414">
        <f>ROUND(H1235,2)</f>
        <v/>
      </c>
      <c r="H1236" s="414">
        <f>ROUND(F1236*G1236,2)</f>
        <v/>
      </c>
      <c r="I1236" s="185" t="n"/>
      <c r="J1236" s="415" t="n"/>
      <c r="K1236" s="416">
        <f>ROUND(K1235*F1236,2)</f>
        <v/>
      </c>
      <c r="L1236" s="214" t="n"/>
      <c r="M1236" s="417" t="n"/>
      <c r="N1236" s="216" t="n"/>
      <c r="O1236" s="217" t="n"/>
      <c r="P1236" s="418" t="n"/>
      <c r="Q1236" s="401" t="n"/>
      <c r="R1236" s="168" t="inlineStr"/>
      <c r="S1236" s="168" t="inlineStr"/>
      <c r="T1236" s="168" t="inlineStr"/>
      <c r="U1236" s="168" t="inlineStr"/>
      <c r="V1236" s="402" t="n"/>
      <c r="W1236" s="402" t="n"/>
      <c r="X1236" s="170" t="inlineStr"/>
    </row>
    <row r="1237" customFormat="1" s="4">
      <c r="A1237" s="6" t="n"/>
      <c r="B1237" s="195" t="inlineStr"/>
      <c r="C1237" s="195" t="inlineStr"/>
      <c r="D1237" s="195" t="inlineStr"/>
      <c r="Q1237" s="159" t="n"/>
      <c r="R1237" s="159" t="n"/>
      <c r="S1237" s="159" t="n"/>
      <c r="T1237" s="159" t="n"/>
      <c r="U1237" s="159" t="n"/>
      <c r="X1237" s="195" t="inlineStr"/>
    </row>
    <row r="1238" customFormat="1" s="4">
      <c r="A1238" s="6" t="n"/>
      <c r="B1238" s="195" t="inlineStr"/>
      <c r="C1238" s="195" t="inlineStr"/>
      <c r="D1238" s="195" t="inlineStr"/>
      <c r="Q1238" s="159" t="n"/>
      <c r="R1238" s="159" t="n"/>
      <c r="S1238" s="159" t="n"/>
      <c r="T1238" s="159" t="n"/>
      <c r="U1238" s="159" t="n"/>
      <c r="X1238" s="195" t="inlineStr"/>
    </row>
    <row r="1239" s="308">
      <c r="A1239" s="208">
        <f>CONCATENATE("报价人：",项目信息!$B$8)</f>
        <v/>
      </c>
      <c r="B1239" s="208" t="n"/>
      <c r="C1239" s="4" t="n"/>
      <c r="D1239" s="4" t="n"/>
      <c r="E1239" s="4" t="n"/>
      <c r="F1239" s="4" t="n"/>
      <c r="G1239" s="4" t="n"/>
      <c r="H1239" s="178">
        <f>项目信息!$B$9</f>
        <v/>
      </c>
      <c r="Q1239" s="159" t="n"/>
      <c r="R1239" s="159" t="n"/>
      <c r="S1239" s="159" t="n"/>
      <c r="T1239" s="159" t="n"/>
      <c r="U1239" s="159" t="n"/>
      <c r="X1239" s="203" t="inlineStr"/>
    </row>
    <row r="1240" s="308">
      <c r="A1240" s="8">
        <f>T(项目信息!$B$22)</f>
        <v/>
      </c>
      <c r="Q1240" s="159" t="n"/>
      <c r="R1240" s="159" t="n"/>
      <c r="S1240" s="159" t="n"/>
      <c r="T1240" s="159" t="n"/>
      <c r="U1240" s="159" t="n"/>
    </row>
    <row r="1241" s="308">
      <c r="A1241" s="9">
        <f>T(项目信息!$B$23)</f>
        <v/>
      </c>
      <c r="Q1241" s="159" t="n"/>
      <c r="R1241" s="159" t="n"/>
      <c r="S1241" s="159" t="n"/>
      <c r="T1241" s="159" t="n"/>
      <c r="U1241" s="159" t="n"/>
    </row>
    <row r="1242" s="308">
      <c r="A1242" s="97" t="inlineStr">
        <is>
          <t>成套产品报价明细表</t>
        </is>
      </c>
      <c r="B1242" s="378" t="n"/>
      <c r="C1242" s="378" t="n"/>
      <c r="D1242" s="378" t="n"/>
      <c r="E1242" s="378" t="n"/>
      <c r="F1242" s="378" t="n"/>
      <c r="G1242" s="378" t="n"/>
      <c r="H1242" s="378" t="n"/>
      <c r="I1242" s="378" t="n"/>
      <c r="Q1242" s="159" t="n"/>
      <c r="R1242" s="159" t="n"/>
      <c r="S1242" s="159" t="n"/>
      <c r="T1242" s="159" t="n"/>
      <c r="U1242" s="159" t="n"/>
    </row>
    <row r="1243" customFormat="1" s="4">
      <c r="A1243" s="98" t="inlineStr">
        <is>
          <t>柜号:</t>
        </is>
      </c>
      <c r="B1243" s="99" t="inlineStr">
        <is>
          <t>AAN9-05、BAN10-05、AAN11-05、BAN12-05</t>
        </is>
      </c>
      <c r="C1243" s="100" t="inlineStr">
        <is>
          <t>型号:</t>
        </is>
      </c>
      <c r="D1243" s="99" t="inlineStr">
        <is>
          <t>BlokSeT</t>
        </is>
      </c>
      <c r="E1243" s="379" t="n"/>
      <c r="F1243" s="101" t="inlineStr">
        <is>
          <t>名称:</t>
        </is>
      </c>
      <c r="G1243" s="99" t="inlineStr">
        <is>
          <t>馈线柜</t>
        </is>
      </c>
      <c r="H1243" s="379" t="n"/>
      <c r="I1243" s="408" t="inlineStr"/>
      <c r="J1243" s="194" t="inlineStr">
        <is>
          <t>箱柜尺寸:</t>
        </is>
      </c>
      <c r="K1243" s="195" t="inlineStr">
        <is>
          <t>400W*1200D*2200H</t>
        </is>
      </c>
      <c r="L1243" s="194" t="inlineStr">
        <is>
          <t>类别:</t>
        </is>
      </c>
      <c r="M1243" s="195" t="inlineStr">
        <is>
          <t>低压固定柜</t>
        </is>
      </c>
      <c r="N1243" s="409" t="inlineStr"/>
      <c r="Q1243" s="159" t="n"/>
      <c r="R1243" s="159" t="n"/>
      <c r="S1243" s="159" t="n"/>
      <c r="T1243" s="159" t="n"/>
      <c r="U1243" s="159" t="n"/>
    </row>
    <row r="1244" ht="20.1" customHeight="1" s="308">
      <c r="A1244" s="102" t="inlineStr">
        <is>
          <t>序号</t>
        </is>
      </c>
      <c r="B1244" s="103" t="inlineStr">
        <is>
          <t>元件名称</t>
        </is>
      </c>
      <c r="C1244" s="103" t="inlineStr">
        <is>
          <t>型号规格</t>
        </is>
      </c>
      <c r="D1244" s="104" t="inlineStr">
        <is>
          <t>生产厂家</t>
        </is>
      </c>
      <c r="E1244" s="105" t="inlineStr">
        <is>
          <t>单位</t>
        </is>
      </c>
      <c r="F1244" s="105" t="inlineStr">
        <is>
          <t>数量</t>
        </is>
      </c>
      <c r="G1244" s="382" t="inlineStr">
        <is>
          <t>单   价</t>
        </is>
      </c>
      <c r="H1244" s="383" t="inlineStr">
        <is>
          <t>总   价</t>
        </is>
      </c>
      <c r="I1244" s="134" t="inlineStr">
        <is>
          <t>备注</t>
        </is>
      </c>
      <c r="J1244" s="384" t="inlineStr">
        <is>
          <t>成本单价</t>
        </is>
      </c>
      <c r="K1244" s="384" t="inlineStr">
        <is>
          <t>成本总价</t>
        </is>
      </c>
      <c r="L1244" s="136" t="inlineStr">
        <is>
          <t>报出
系数</t>
        </is>
      </c>
      <c r="M1244" s="384" t="inlineStr">
        <is>
          <t>表价</t>
        </is>
      </c>
      <c r="N1244" s="136" t="inlineStr">
        <is>
          <t>折扣
系数</t>
        </is>
      </c>
      <c r="O1244" s="137" t="inlineStr">
        <is>
          <t>取费
系数</t>
        </is>
      </c>
      <c r="P1244" s="384" t="inlineStr">
        <is>
          <t>成套费</t>
        </is>
      </c>
      <c r="Q1244" s="161" t="inlineStr">
        <is>
          <t>类别</t>
        </is>
      </c>
      <c r="R1244" s="161" t="inlineStr">
        <is>
          <t>物料编码</t>
        </is>
      </c>
      <c r="S1244" s="161" t="inlineStr">
        <is>
          <t>产地</t>
        </is>
      </c>
      <c r="T1244" s="161" t="inlineStr">
        <is>
          <t>加工费</t>
        </is>
      </c>
      <c r="U1244" s="161" t="inlineStr">
        <is>
          <t>订货号</t>
        </is>
      </c>
      <c r="V1244" s="161" t="inlineStr">
        <is>
          <t>人工</t>
        </is>
      </c>
      <c r="W1244" s="161" t="inlineStr">
        <is>
          <t>辅料</t>
        </is>
      </c>
      <c r="X1244" s="203" t="inlineStr"/>
    </row>
    <row r="1245" s="308">
      <c r="A1245" s="64">
        <f>ROW()-ROW(A$1244)</f>
        <v/>
      </c>
      <c r="B1245" s="22" t="inlineStr">
        <is>
          <t>框架断路器</t>
        </is>
      </c>
      <c r="C1245" s="22" t="inlineStr">
        <is>
          <t>MT12 N1a SG 3P MIC5.0 E</t>
        </is>
      </c>
      <c r="D1245" s="22" t="inlineStr">
        <is>
          <t>甲供/施耐德电气</t>
        </is>
      </c>
      <c r="E1245" s="23" t="inlineStr">
        <is>
          <t>只</t>
        </is>
      </c>
      <c r="F1245" s="23" t="n">
        <v>2</v>
      </c>
      <c r="G1245" s="349">
        <f>IF(AND(B1245="",C1245=""),"",ROUND(M1245*L1245*N1245,2))</f>
        <v/>
      </c>
      <c r="H1245" s="349">
        <f>IF(AND(B1245="",C1245=""),"",ROUND(F1245*G1245,2))</f>
        <v/>
      </c>
      <c r="I1245" s="45" t="inlineStr"/>
      <c r="J1245" s="397">
        <f>IF(AND(B1245="",C1245=""),"",ROUND(M1245*N1245,2))</f>
        <v/>
      </c>
      <c r="K1245" s="398">
        <f>IF(AND(B1245="",C1245=""),"",ROUND(J1245*F1245,2))</f>
        <v/>
      </c>
      <c r="L1245" s="200" t="n">
        <v>1</v>
      </c>
      <c r="M1245" s="399" t="n">
        <v>1e-07</v>
      </c>
      <c r="N1245" s="154" t="n">
        <v>1</v>
      </c>
      <c r="O1245" s="155">
        <f>IF(AND(B1245="",C1245=""),"",IF(G1245&gt;=20000,0.05,IF(G1245&gt;=10000,0.1,IF(G1245&gt;=5000,0.2,IF(G1245&gt;=1000,0.3,IF(G1245&gt;=0,0.4,{0}))))))</f>
        <v/>
      </c>
      <c r="P1245" s="400">
        <f>IF(AND(B1245="",C1245=""),"",ROUND(H1245*O1245,2))</f>
        <v/>
      </c>
      <c r="Q1245" s="401" t="inlineStr">
        <is>
          <t>元件</t>
        </is>
      </c>
      <c r="R1245" s="168" t="inlineStr"/>
      <c r="S1245" s="168" t="inlineStr"/>
      <c r="T1245" s="168" t="inlineStr">
        <is>
          <t>0</t>
        </is>
      </c>
      <c r="U1245" s="168" t="inlineStr">
        <is>
          <t>C16F32D160</t>
        </is>
      </c>
      <c r="V1245" s="402" t="n"/>
      <c r="W1245" s="402" t="n"/>
      <c r="X1245" s="170" t="inlineStr">
        <is>
          <t>NSX630N Mic2.3 630A 3P3D F→NSX630F MIC2.3 630 3P F→NSX630F MIC 2.3 630 3P F</t>
        </is>
      </c>
    </row>
    <row r="1246" s="308">
      <c r="A1246" s="64">
        <f>ROW()-ROW(A$1244)</f>
        <v/>
      </c>
      <c r="B1246" s="22" t="inlineStr">
        <is>
          <t>电流互感器</t>
        </is>
      </c>
      <c r="C1246" s="22" t="inlineStr">
        <is>
          <t>SD-0.66-80II-V 1250/5A</t>
        </is>
      </c>
      <c r="D1246" s="22" t="inlineStr">
        <is>
          <t>桑迪</t>
        </is>
      </c>
      <c r="E1246" s="23" t="inlineStr">
        <is>
          <t>只</t>
        </is>
      </c>
      <c r="F1246" s="23" t="n">
        <v>6</v>
      </c>
      <c r="G1246" s="349">
        <f>IF(AND(B1246="",C1246=""),"",ROUND(M1246*L1246*N1246,2))</f>
        <v/>
      </c>
      <c r="H1246" s="396">
        <f>IF(AND(B1246="",C1246=""),"",ROUND(F1246*G1246,2))</f>
        <v/>
      </c>
      <c r="I1246" s="219" t="inlineStr"/>
      <c r="J1246" s="397">
        <f>IF(AND(B1246="",C1246=""),"",ROUND(M1246*N1246,2))</f>
        <v/>
      </c>
      <c r="K1246" s="398">
        <f>IF(AND(B1246="",C1246=""),"",ROUND(J1246*F1246,2))</f>
        <v/>
      </c>
      <c r="L1246" s="200" t="n">
        <v>1</v>
      </c>
      <c r="M1246" s="399" t="n">
        <v>115.7</v>
      </c>
      <c r="N1246" s="154" t="n">
        <v>1</v>
      </c>
      <c r="O1246" s="155">
        <f>IF(AND(B1246="",C1246=""),"",IF(G1246&gt;=20000,0.05,IF(G1246&gt;=10000,0.1,IF(G1246&gt;=5000,0.2,IF(G1246&gt;=1000,0.3,IF(G1246&gt;=0,0.4,{0}))))))</f>
        <v/>
      </c>
      <c r="P1246" s="400">
        <f>IF(AND(B1246="",C1246=""),"",ROUND(H1246*O1246,2))</f>
        <v/>
      </c>
      <c r="Q1246" s="401" t="inlineStr">
        <is>
          <t>元件</t>
        </is>
      </c>
      <c r="R1246" s="168" t="inlineStr"/>
      <c r="S1246" s="168" t="inlineStr"/>
      <c r="T1246" s="168" t="inlineStr">
        <is>
          <t>0</t>
        </is>
      </c>
      <c r="U1246" s="168" t="inlineStr">
        <is>
          <t>710141426552500</t>
        </is>
      </c>
      <c r="V1246" s="402" t="n"/>
      <c r="W1246" s="402" t="n"/>
      <c r="X1246" s="170" t="inlineStr">
        <is>
          <t>SD→SD-0.66-40II-C 400/5A→SD-0.66-30I 250/5A→SD-0.66-30I 150/5A→SD-0.66-60II-C 750/5A→SD-0.66-60II-C 600/5A→SD-0.66-30I 150/5A→SD-0.66-40II-C 400/5A→SD-0.66-100II-C 1600/5A→SD-0.66-80II-V 1000/5A</t>
        </is>
      </c>
    </row>
    <row r="1247" s="308">
      <c r="A1247" s="64">
        <f>ROW()-ROW(A$1244)</f>
        <v/>
      </c>
      <c r="B1247" s="112" t="inlineStr">
        <is>
          <t>多功能表</t>
        </is>
      </c>
      <c r="C1247" s="112" t="inlineStr">
        <is>
          <t>PM4101</t>
        </is>
      </c>
      <c r="D1247" s="112" t="inlineStr">
        <is>
          <t>甲供/施耐德电气</t>
        </is>
      </c>
      <c r="E1247" s="114" t="inlineStr">
        <is>
          <t>只</t>
        </is>
      </c>
      <c r="F1247" s="114" t="n">
        <v>2</v>
      </c>
      <c r="G1247" s="396">
        <f>IF(AND(B1247="",C1247=""),"",ROUND(M1247*L1247*N1247,2))</f>
        <v/>
      </c>
      <c r="H1247" s="349">
        <f>IF(AND(B1247="",C1247=""),"",ROUND(F1247*G1247,2))</f>
        <v/>
      </c>
      <c r="I1247" s="45" t="inlineStr"/>
      <c r="J1247" s="397">
        <f>IF(AND(B1247="",C1247=""),"",ROUND(M1247*N1247,2))</f>
        <v/>
      </c>
      <c r="K1247" s="398">
        <f>IF(AND(B1247="",C1247=""),"",ROUND(J1247*F1247,2))</f>
        <v/>
      </c>
      <c r="L1247" s="200" t="n">
        <v>1</v>
      </c>
      <c r="M1247" s="399" t="n">
        <v>1e-07</v>
      </c>
      <c r="N1247" s="154" t="n">
        <v>1</v>
      </c>
      <c r="O1247" s="155">
        <f>IF(AND(B1247="",C1247=""),"",IF(J1247&gt;=20000,0.05,IF(J1247&gt;=10000,0.1,IF(J1247&gt;=5000,0.2,IF(J1247&gt;=1000,0.3,IF(J1247&gt;=0,0.4,{0}))))))</f>
        <v/>
      </c>
      <c r="P1247" s="400">
        <f>IF(AND(B1247="",C1247=""),"",ROUND(H1247*O1247,2))</f>
        <v/>
      </c>
      <c r="Q1247" s="401" t="inlineStr">
        <is>
          <t>元件</t>
        </is>
      </c>
      <c r="R1247" s="168" t="inlineStr"/>
      <c r="S1247" s="168" t="inlineStr"/>
      <c r="T1247" s="168" t="inlineStr">
        <is>
          <t>0</t>
        </is>
      </c>
      <c r="U1247" s="168" t="inlineStr"/>
      <c r="V1247" s="402" t="n"/>
      <c r="W1247" s="402" t="n"/>
      <c r="X1247" s="170" t="inlineStr"/>
    </row>
    <row r="1248" customFormat="1" s="3">
      <c r="A1248" s="64">
        <f>ROW()-ROW(A$1244)</f>
        <v/>
      </c>
      <c r="B1248" s="22" t="inlineStr">
        <is>
          <t>指示灯</t>
        </is>
      </c>
      <c r="C1248" s="22" t="inlineStr">
        <is>
          <t>XB2BVM3LC</t>
        </is>
      </c>
      <c r="D1248" s="22" t="inlineStr">
        <is>
          <t>甲供/施耐德电气</t>
        </is>
      </c>
      <c r="E1248" s="23" t="inlineStr">
        <is>
          <t>只</t>
        </is>
      </c>
      <c r="F1248" s="23" t="n">
        <v>2</v>
      </c>
      <c r="G1248" s="349">
        <f>IF(AND(B1248="",C1248=""),"",ROUND(M1248*L1248*N1248,2))</f>
        <v/>
      </c>
      <c r="H1248" s="353">
        <f>IF(AND(B1248="",C1248=""),"",ROUND(F1248*G1248,2))</f>
        <v/>
      </c>
      <c r="I1248" s="180" t="inlineStr"/>
      <c r="J1248" s="392">
        <f>IF(AND(B1248="",C1248=""),"",ROUND(M1248*N1248,2))</f>
        <v/>
      </c>
      <c r="K1248" s="393">
        <f>IF(AND(B1248="",C1248=""),"",ROUND(J1248*F1248,2))</f>
        <v/>
      </c>
      <c r="L1248" s="141" t="n">
        <v>1</v>
      </c>
      <c r="M1248" s="394" t="n">
        <v>1e-07</v>
      </c>
      <c r="N1248" s="220" t="n">
        <v>1</v>
      </c>
      <c r="O1248" s="221">
        <f>IF(AND(B1248="",C1248=""),"",IF(G1248&gt;=20000,0.05,IF(G1248&gt;=10000,0.1,IF(G1248&gt;=5000,0.2,IF(G1248&gt;=1000,0.3,IF(G1248&gt;=0,0.4,{0}))))))</f>
        <v/>
      </c>
      <c r="P1248" s="419">
        <f>IF(AND(B1248="",C1248=""),"",ROUND(H1248*O1248,2))</f>
        <v/>
      </c>
      <c r="Q1248" s="420" t="inlineStr">
        <is>
          <t>元件</t>
        </is>
      </c>
      <c r="R1248" s="231" t="inlineStr"/>
      <c r="S1248" s="231" t="inlineStr"/>
      <c r="T1248" s="231" t="inlineStr">
        <is>
          <t>0</t>
        </is>
      </c>
      <c r="U1248" s="231" t="inlineStr">
        <is>
          <t>XB2BVM3LC</t>
        </is>
      </c>
      <c r="V1248" s="421" t="n"/>
      <c r="W1248" s="421" t="n"/>
      <c r="X1248" s="166" t="inlineStr">
        <is>
          <t>XA2EVM3LC</t>
        </is>
      </c>
    </row>
    <row r="1249" customFormat="1" s="3">
      <c r="A1249" s="64">
        <f>ROW()-ROW(A$1244)</f>
        <v/>
      </c>
      <c r="B1249" s="22" t="inlineStr">
        <is>
          <t>指示灯</t>
        </is>
      </c>
      <c r="C1249" s="22" t="inlineStr">
        <is>
          <t>XB2BVM4LC</t>
        </is>
      </c>
      <c r="D1249" s="22" t="inlineStr">
        <is>
          <t>甲供/施耐德电气</t>
        </is>
      </c>
      <c r="E1249" s="23" t="inlineStr">
        <is>
          <t>只</t>
        </is>
      </c>
      <c r="F1249" s="23" t="n">
        <v>2</v>
      </c>
      <c r="G1249" s="349">
        <f>IF(AND(B1249="",C1249=""),"",ROUND(M1249*L1249*N1249,2))</f>
        <v/>
      </c>
      <c r="H1249" s="353">
        <f>IF(AND(B1249="",C1249=""),"",ROUND(F1249*G1249,2))</f>
        <v/>
      </c>
      <c r="I1249" s="180" t="inlineStr"/>
      <c r="J1249" s="392">
        <f>IF(AND(B1249="",C1249=""),"",ROUND(M1249*N1249,2))</f>
        <v/>
      </c>
      <c r="K1249" s="393">
        <f>IF(AND(B1249="",C1249=""),"",ROUND(J1249*F1249,2))</f>
        <v/>
      </c>
      <c r="L1249" s="141" t="n">
        <v>1</v>
      </c>
      <c r="M1249" s="394" t="n">
        <v>1e-07</v>
      </c>
      <c r="N1249" s="220" t="n">
        <v>1</v>
      </c>
      <c r="O1249" s="221">
        <f>IF(AND(B1249="",C1249=""),"",IF(G1249&gt;=20000,0.05,IF(G1249&gt;=10000,0.1,IF(G1249&gt;=5000,0.2,IF(G1249&gt;=1000,0.3,IF(G1249&gt;=0,0.4,{0}))))))</f>
        <v/>
      </c>
      <c r="P1249" s="419">
        <f>IF(AND(B1249="",C1249=""),"",ROUND(H1249*O1249,2))</f>
        <v/>
      </c>
      <c r="Q1249" s="420" t="inlineStr">
        <is>
          <t>元件</t>
        </is>
      </c>
      <c r="R1249" s="231" t="inlineStr"/>
      <c r="S1249" s="231" t="inlineStr"/>
      <c r="T1249" s="231" t="inlineStr">
        <is>
          <t>0</t>
        </is>
      </c>
      <c r="U1249" s="231" t="inlineStr">
        <is>
          <t>XB2BVM4LC</t>
        </is>
      </c>
      <c r="V1249" s="421" t="n"/>
      <c r="W1249" s="421" t="n"/>
      <c r="X1249" s="166" t="inlineStr">
        <is>
          <t>XA2EVM4LC</t>
        </is>
      </c>
    </row>
    <row r="1250" s="308">
      <c r="A1250" s="64">
        <f>ROW()-ROW(A$1244)</f>
        <v/>
      </c>
      <c r="B1250" s="112" t="inlineStr">
        <is>
          <t>指示灯</t>
        </is>
      </c>
      <c r="C1250" s="112" t="inlineStr">
        <is>
          <t>XB2BVM5LC</t>
        </is>
      </c>
      <c r="D1250" s="112" t="inlineStr">
        <is>
          <t>甲供/施耐德电气</t>
        </is>
      </c>
      <c r="E1250" s="114" t="inlineStr">
        <is>
          <t>只</t>
        </is>
      </c>
      <c r="F1250" s="114" t="n">
        <v>2</v>
      </c>
      <c r="G1250" s="396">
        <f>IF(AND(B1250="",C1250=""),"",ROUND(M1250*L1250*N1250,2))</f>
        <v/>
      </c>
      <c r="H1250" s="396">
        <f>IF(AND(B1250="",C1250=""),"",ROUND(F1250*G1250,2))</f>
        <v/>
      </c>
      <c r="I1250" s="150" t="inlineStr"/>
      <c r="J1250" s="397">
        <f>IF(AND(B1250="",C1250=""),"",ROUND(M1250*N1250,2))</f>
        <v/>
      </c>
      <c r="K1250" s="398">
        <f>IF(AND(B1250="",C1250=""),"",ROUND(J1250*F1250,2))</f>
        <v/>
      </c>
      <c r="L1250" s="141" t="n">
        <v>1</v>
      </c>
      <c r="M1250" s="399" t="n">
        <v>1e-07</v>
      </c>
      <c r="N1250" s="154" t="n">
        <v>1</v>
      </c>
      <c r="O1250" s="155">
        <f>IF(AND(B1250="",C1250=""),"",IF(G1250&gt;=20000,0.05,IF(G1250&gt;=10000,0.1,IF(G1250&gt;=5000,0.2,IF(G1250&gt;=1000,0.3,IF(G1250&gt;=0,0.4,{0}))))))</f>
        <v/>
      </c>
      <c r="P1250" s="400">
        <f>IF(AND(B1250="",C1250=""),"",ROUND(H1250*O1250,2))</f>
        <v/>
      </c>
      <c r="Q1250" s="401" t="inlineStr">
        <is>
          <t>元件</t>
        </is>
      </c>
      <c r="R1250" s="168" t="inlineStr"/>
      <c r="S1250" s="168" t="inlineStr"/>
      <c r="T1250" s="168" t="inlineStr">
        <is>
          <t>0</t>
        </is>
      </c>
      <c r="U1250" s="168" t="inlineStr">
        <is>
          <t>XA2EVM5LC</t>
        </is>
      </c>
      <c r="V1250" s="402" t="n"/>
      <c r="W1250" s="402" t="n"/>
      <c r="X1250" s="170" t="inlineStr"/>
    </row>
    <row r="1251" s="308">
      <c r="A1251" s="64">
        <f>ROW()-ROW(A$1244)</f>
        <v/>
      </c>
      <c r="B1251" s="112" t="inlineStr">
        <is>
          <t>按钮</t>
        </is>
      </c>
      <c r="C1251" s="112" t="inlineStr">
        <is>
          <t>XB2BA31C</t>
        </is>
      </c>
      <c r="D1251" s="112" t="inlineStr">
        <is>
          <t>甲供/施耐德电气</t>
        </is>
      </c>
      <c r="E1251" s="114" t="inlineStr">
        <is>
          <t>只</t>
        </is>
      </c>
      <c r="F1251" s="114" t="n">
        <v>2</v>
      </c>
      <c r="G1251" s="396">
        <f>IF(AND(B1251="",C1251=""),"",ROUND(M1251*L1251*N1251,2))</f>
        <v/>
      </c>
      <c r="H1251" s="396">
        <f>IF(AND(B1251="",C1251=""),"",ROUND(F1251*G1251,2))</f>
        <v/>
      </c>
      <c r="I1251" s="150" t="inlineStr"/>
      <c r="J1251" s="397">
        <f>IF(AND(B1251="",C1251=""),"",ROUND(M1251*N1251,2))</f>
        <v/>
      </c>
      <c r="K1251" s="398">
        <f>IF(AND(B1251="",C1251=""),"",ROUND(J1251*F1251,2))</f>
        <v/>
      </c>
      <c r="L1251" s="141" t="n">
        <v>1</v>
      </c>
      <c r="M1251" s="399" t="n">
        <v>1e-07</v>
      </c>
      <c r="N1251" s="154" t="n">
        <v>1</v>
      </c>
      <c r="O1251" s="155">
        <f>IF(AND(B1251="",C1251=""),"",IF(G1251&gt;=20000,0.05,IF(G1251&gt;=10000,0.1,IF(G1251&gt;=5000,0.2,IF(G1251&gt;=1000,0.3,IF(G1251&gt;=0,0.4,{0}))))))</f>
        <v/>
      </c>
      <c r="P1251" s="400">
        <f>IF(AND(B1251="",C1251=""),"",ROUND(H1251*O1251,2))</f>
        <v/>
      </c>
      <c r="Q1251" s="401" t="inlineStr">
        <is>
          <t>元件</t>
        </is>
      </c>
      <c r="R1251" s="168" t="inlineStr"/>
      <c r="S1251" s="168" t="inlineStr"/>
      <c r="T1251" s="168" t="inlineStr">
        <is>
          <t>0</t>
        </is>
      </c>
      <c r="U1251" s="168" t="inlineStr">
        <is>
          <t>XB2BA31C</t>
        </is>
      </c>
      <c r="V1251" s="402" t="n"/>
      <c r="W1251" s="402" t="n"/>
      <c r="X1251" s="170" t="inlineStr">
        <is>
          <t>XA2EA31</t>
        </is>
      </c>
    </row>
    <row r="1252" s="308">
      <c r="A1252" s="64">
        <f>ROW()-ROW(A$1244)</f>
        <v/>
      </c>
      <c r="B1252" s="22" t="inlineStr">
        <is>
          <t>按钮</t>
        </is>
      </c>
      <c r="C1252" s="22" t="inlineStr">
        <is>
          <t>XB2BA42C</t>
        </is>
      </c>
      <c r="D1252" s="22" t="inlineStr">
        <is>
          <t>甲供/施耐德电气</t>
        </is>
      </c>
      <c r="E1252" s="23" t="inlineStr">
        <is>
          <t>只</t>
        </is>
      </c>
      <c r="F1252" s="23" t="n">
        <v>2</v>
      </c>
      <c r="G1252" s="349">
        <f>IF(AND(B1252="",C1252=""),"",ROUND(M1252*L1252*N1252,2))</f>
        <v/>
      </c>
      <c r="H1252" s="396">
        <f>IF(AND(B1252="",C1252=""),"",ROUND(F1252*G1252,2))</f>
        <v/>
      </c>
      <c r="I1252" s="150" t="inlineStr"/>
      <c r="J1252" s="397">
        <f>IF(AND(B1252="",C1252=""),"",ROUND(M1252*N1252,2))</f>
        <v/>
      </c>
      <c r="K1252" s="398">
        <f>IF(AND(B1252="",C1252=""),"",ROUND(J1252*F1252,2))</f>
        <v/>
      </c>
      <c r="L1252" s="141" t="n">
        <v>1</v>
      </c>
      <c r="M1252" s="399" t="n">
        <v>1e-07</v>
      </c>
      <c r="N1252" s="154" t="n">
        <v>1</v>
      </c>
      <c r="O1252" s="155">
        <f>IF(AND(B1252="",C1252=""),"",IF(G1252&gt;=20000,0.05,IF(G1252&gt;=10000,0.1,IF(G1252&gt;=5000,0.2,IF(G1252&gt;=1000,0.3,IF(G1252&gt;=0,0.4,{0}))))))</f>
        <v/>
      </c>
      <c r="P1252" s="400">
        <f>IF(AND(B1252="",C1252=""),"",ROUND(H1252*O1252,2))</f>
        <v/>
      </c>
      <c r="Q1252" s="401" t="inlineStr">
        <is>
          <t>元件</t>
        </is>
      </c>
      <c r="R1252" s="168" t="inlineStr"/>
      <c r="S1252" s="168" t="inlineStr"/>
      <c r="T1252" s="168" t="inlineStr">
        <is>
          <t>0</t>
        </is>
      </c>
      <c r="U1252" s="168" t="inlineStr">
        <is>
          <t>XB2BA42C</t>
        </is>
      </c>
      <c r="V1252" s="402" t="n"/>
      <c r="W1252" s="402" t="n"/>
      <c r="X1252" s="170" t="inlineStr">
        <is>
          <t>XA2EA41</t>
        </is>
      </c>
    </row>
    <row r="1253" s="308">
      <c r="A1253" s="64">
        <f>ROW()-ROW(A$1244)</f>
        <v/>
      </c>
      <c r="B1253" s="112" t="inlineStr">
        <is>
          <t>温湿度控制器</t>
        </is>
      </c>
      <c r="C1253" s="112" t="inlineStr">
        <is>
          <t>ATH48G-11</t>
        </is>
      </c>
      <c r="D1253" s="22" t="inlineStr">
        <is>
          <t>杭州安廷</t>
        </is>
      </c>
      <c r="E1253" s="23" t="inlineStr">
        <is>
          <t>套</t>
        </is>
      </c>
      <c r="F1253" s="23" t="n">
        <v>1</v>
      </c>
      <c r="G1253" s="349">
        <f>IF(AND(B1253="",C1253=""),"",ROUND(M1253*L1253*N1253,2))</f>
        <v/>
      </c>
      <c r="H1253" s="396">
        <f>IF(AND(B1253="",C1253=""),"",ROUND(F1253*G1253,2))</f>
        <v/>
      </c>
      <c r="I1253" s="150" t="inlineStr"/>
      <c r="J1253" s="397">
        <f>IF(AND(B1253="",C1253=""),"",ROUND(M1253*N1253,2))</f>
        <v/>
      </c>
      <c r="K1253" s="398">
        <f>IF(AND(B1253="",C1253=""),"",ROUND(J1253*F1253,2))</f>
        <v/>
      </c>
      <c r="L1253" s="141" t="n">
        <v>1</v>
      </c>
      <c r="M1253" s="399" t="n">
        <v>450</v>
      </c>
      <c r="N1253" s="154" t="n">
        <v>1</v>
      </c>
      <c r="O1253" s="155">
        <f>IF(AND(B1253="",C1253=""),"",IF(G1253&gt;=20000,0.05,IF(G1253&gt;=10000,0.1,IF(G1253&gt;=5000,0.2,IF(G1253&gt;=1000,0.3,IF(G1253&gt;=0,0.4,{0}))))))</f>
        <v/>
      </c>
      <c r="P1253" s="400">
        <f>IF(AND(B1253="",C1253=""),"",ROUND(H1253*O1253,2))</f>
        <v/>
      </c>
      <c r="Q1253" s="401" t="inlineStr">
        <is>
          <t>元件</t>
        </is>
      </c>
      <c r="R1253" s="168" t="inlineStr"/>
      <c r="S1253" s="168" t="inlineStr"/>
      <c r="T1253" s="168" t="inlineStr">
        <is>
          <t>0</t>
        </is>
      </c>
      <c r="U1253" s="168" t="inlineStr"/>
      <c r="V1253" s="402" t="n"/>
      <c r="W1253" s="402" t="n"/>
      <c r="X1253" s="170" t="inlineStr"/>
    </row>
    <row r="1254" s="308">
      <c r="A1254" s="64">
        <f>ROW()-ROW(A$1244)</f>
        <v/>
      </c>
      <c r="B1254" s="22" t="inlineStr">
        <is>
          <t>中间继电器</t>
        </is>
      </c>
      <c r="C1254" s="22" t="inlineStr">
        <is>
          <t>RXM4AB2P7+RXZE2S114M+RXZ400</t>
        </is>
      </c>
      <c r="D1254" s="22" t="inlineStr">
        <is>
          <t>甲供/施耐德电气</t>
        </is>
      </c>
      <c r="E1254" s="23" t="inlineStr">
        <is>
          <t>只</t>
        </is>
      </c>
      <c r="F1254" s="23" t="n">
        <v>4</v>
      </c>
      <c r="G1254" s="349">
        <f>IF(AND(B1254="",C1254=""),"",ROUND(M1254*L1254*N1254,2))</f>
        <v/>
      </c>
      <c r="H1254" s="349">
        <f>IF(AND(B1254="",C1254=""),"",ROUND(F1254*G1254,2))</f>
        <v/>
      </c>
      <c r="I1254" s="45" t="inlineStr"/>
      <c r="J1254" s="397">
        <f>IF(AND(B1254="",C1254=""),"",ROUND(M1254*N1254,2))</f>
        <v/>
      </c>
      <c r="K1254" s="398">
        <f>IF(AND(B1254="",C1254=""),"",ROUND(J1254*F1254,2))</f>
        <v/>
      </c>
      <c r="L1254" s="141" t="n">
        <v>1</v>
      </c>
      <c r="M1254" s="399" t="n">
        <v>1e-07</v>
      </c>
      <c r="N1254" s="154" t="n">
        <v>1</v>
      </c>
      <c r="O1254" s="155">
        <f>IF(AND(B1254="",C1254=""),"",IF(G1254&gt;=20000,0.05,IF(G1254&gt;=10000,0.1,IF(G1254&gt;=5000,0.2,IF(G1254&gt;=1000,0.3,IF(G1254&gt;=0,0.4,{0}))))))</f>
        <v/>
      </c>
      <c r="P1254" s="400">
        <f>IF(AND(B1254="",C1254=""),"",ROUND(H1254*O1254,2))</f>
        <v/>
      </c>
      <c r="Q1254" s="401" t="inlineStr">
        <is>
          <t>元件</t>
        </is>
      </c>
      <c r="R1254" s="168" t="inlineStr"/>
      <c r="S1254" s="168" t="inlineStr"/>
      <c r="T1254" s="168" t="inlineStr">
        <is>
          <t>0</t>
        </is>
      </c>
      <c r="U1254" s="168" t="inlineStr">
        <is>
          <t>RXM4AB2P7+RXZE2S114M+RXZ400</t>
        </is>
      </c>
      <c r="V1254" s="402" t="n"/>
      <c r="W1254" s="402" t="n"/>
      <c r="X1254" s="170" t="inlineStr">
        <is>
          <t>REL-IR-BL/L-230AC/4X21，含底座→RXM4AB2P7+RXZE2S114M+RXZ400→REL-IR-BL/L-230AC/4X21，含底座</t>
        </is>
      </c>
    </row>
    <row r="1255" customFormat="1" s="3">
      <c r="A1255" s="64">
        <f>ROW()-ROW(A$1244)</f>
        <v/>
      </c>
      <c r="B1255" s="22" t="inlineStr">
        <is>
          <t>带熔丝端子</t>
        </is>
      </c>
      <c r="C1255" s="22" t="inlineStr">
        <is>
          <t>UK 5-HESI</t>
        </is>
      </c>
      <c r="D1255" s="22" t="inlineStr">
        <is>
          <t>菲尼克斯</t>
        </is>
      </c>
      <c r="E1255" s="23" t="inlineStr">
        <is>
          <t>只</t>
        </is>
      </c>
      <c r="F1255" s="23" t="n">
        <v>8</v>
      </c>
      <c r="G1255" s="349">
        <f>IF(AND(B1255="",C1255=""),"",ROUND(M1255*L1255*N1255,2))</f>
        <v/>
      </c>
      <c r="H1255" s="349">
        <f>IF(AND(B1255="",C1255=""),"",ROUND(F1255*G1255,2))</f>
        <v/>
      </c>
      <c r="I1255" s="45" t="inlineStr"/>
      <c r="J1255" s="392">
        <f>IF(AND(B1255="",C1255=""),"",ROUND(M1255*N1255,2))</f>
        <v/>
      </c>
      <c r="K1255" s="393">
        <f>IF(AND(B1255="",C1255=""),"",ROUND(J1255*F1255,2))</f>
        <v/>
      </c>
      <c r="L1255" s="141" t="n">
        <v>1</v>
      </c>
      <c r="M1255" s="394" t="n">
        <v>7</v>
      </c>
      <c r="N1255" s="220" t="n">
        <v>1</v>
      </c>
      <c r="O1255" s="221">
        <f>IF(AND(B1255="",C1255=""),"",IF(G1255&gt;=20000,0.05,IF(G1255&gt;=10000,0.1,IF(G1255&gt;=5000,0.2,IF(G1255&gt;=1000,0.3,IF(G1255&gt;=0,0.4,{0}))))))</f>
        <v/>
      </c>
      <c r="P1255" s="419">
        <f>IF(AND(B1255="",C1255=""),"",ROUND(H1255*O1255,2))</f>
        <v/>
      </c>
      <c r="Q1255" s="420" t="inlineStr">
        <is>
          <t>元件</t>
        </is>
      </c>
      <c r="R1255" s="231" t="inlineStr"/>
      <c r="S1255" s="231" t="inlineStr"/>
      <c r="T1255" s="231" t="inlineStr">
        <is>
          <t>0</t>
        </is>
      </c>
      <c r="U1255" s="231" t="inlineStr">
        <is>
          <t>True</t>
        </is>
      </c>
      <c r="V1255" s="421" t="n"/>
      <c r="W1255" s="421" t="n"/>
      <c r="X1255" s="166" t="inlineStr"/>
    </row>
    <row r="1256" s="308">
      <c r="A1256" s="64">
        <f>ROW()-ROW(A$1244)</f>
        <v/>
      </c>
      <c r="B1256" s="22" t="inlineStr">
        <is>
          <t>水平母排</t>
        </is>
      </c>
      <c r="C1256" s="22" t="inlineStr">
        <is>
          <t>TMY 4*(4*150*5)+2*50*5</t>
        </is>
      </c>
      <c r="D1256" s="22" t="inlineStr">
        <is>
          <t>国产优质</t>
        </is>
      </c>
      <c r="E1256" s="23" t="inlineStr">
        <is>
          <t>米</t>
        </is>
      </c>
      <c r="F1256" s="23" t="n">
        <v>0.5</v>
      </c>
      <c r="G1256" s="349">
        <f>IF(AND(B1256="",C1256=""),"",ROUND(M1256*L1256*N1256,2))</f>
        <v/>
      </c>
      <c r="H1256" s="349">
        <f>IF(AND(B1256="",C1256=""),"",ROUND(F1256*G1256,2))</f>
        <v/>
      </c>
      <c r="I1256" s="45" t="inlineStr"/>
      <c r="J1256" s="397">
        <f>IF(AND(B1256="",C1256=""),"",ROUND(M1256*N1256,2))</f>
        <v/>
      </c>
      <c r="K1256" s="398">
        <f>IF(AND(B1256="",C1256=""),"",ROUND(J1256*F1256,2))</f>
        <v/>
      </c>
      <c r="L1256" s="200" t="n">
        <v>1</v>
      </c>
      <c r="M1256" s="399" t="n">
        <v>12026.68125</v>
      </c>
      <c r="N1256" s="154">
        <f>(6317.932*1*1+2684.8*1*1)/9002.732</f>
        <v/>
      </c>
      <c r="O1256" s="155">
        <f>IF(AND(B1256="",C1256=""),"",IF(J1256&gt;=20000,0.05,IF(J1256&gt;=10000,0.1,IF(J1256&gt;=5000,0.2,IF(J1256&gt;=1000,0.3,IF(J1256&gt;=0,0.4,{0}))))))</f>
        <v/>
      </c>
      <c r="P1256" s="400">
        <f>IF(AND(B1256="",C1256=""),"",ROUND(H1256*O1256,2))</f>
        <v/>
      </c>
      <c r="Q1256" s="401" t="inlineStr">
        <is>
          <t>母排</t>
        </is>
      </c>
      <c r="R1256" s="168" t="inlineStr"/>
      <c r="S1256" s="168" t="inlineStr"/>
      <c r="T1256" s="168" t="inlineStr">
        <is>
          <t>0</t>
        </is>
      </c>
      <c r="U1256" s="168" t="inlineStr"/>
      <c r="V1256" s="402" t="n"/>
      <c r="W1256" s="402" t="n"/>
      <c r="X1256" s="170" t="inlineStr"/>
    </row>
    <row r="1257" customFormat="1" s="5">
      <c r="A1257" s="64">
        <f>ROW()-ROW(A$1244)</f>
        <v/>
      </c>
      <c r="B1257" s="22" t="inlineStr">
        <is>
          <t>桩头排</t>
        </is>
      </c>
      <c r="C1257" s="22" t="inlineStr">
        <is>
          <t>TMY 3*2*80*5</t>
        </is>
      </c>
      <c r="D1257" s="22" t="inlineStr">
        <is>
          <t>国产优质</t>
        </is>
      </c>
      <c r="E1257" s="23" t="inlineStr">
        <is>
          <t>米</t>
        </is>
      </c>
      <c r="F1257" s="23" t="n">
        <v>3</v>
      </c>
      <c r="G1257" s="349">
        <f>IF(AND(B1257="",C1257=""),"",ROUND(M1257*L1257*N1257,2))</f>
        <v/>
      </c>
      <c r="H1257" s="349">
        <f>IF(AND(B1257="",C1257=""),"",ROUND(F1257*G1257,2))</f>
        <v/>
      </c>
      <c r="I1257" s="45" t="inlineStr"/>
      <c r="J1257" s="422">
        <f>IF(AND(B1257="",C1257=""),"",ROUND(M1257*N1257,2))</f>
        <v/>
      </c>
      <c r="K1257" s="423">
        <f>IF(AND(B1257="",C1257=""),"",ROUND(J1257*F1257,2))</f>
        <v/>
      </c>
      <c r="L1257" s="225" t="n">
        <v>1</v>
      </c>
      <c r="M1257" s="424" t="n">
        <v>2309.1228</v>
      </c>
      <c r="N1257" s="227" t="n">
        <v>1</v>
      </c>
      <c r="O1257" s="228">
        <f>IF(AND(B1257="",C1257=""),"",IF(G1257&gt;=20000,0.05,IF(G1257&gt;=10000,0.1,IF(G1257&gt;=5000,0.2,IF(G1257&gt;=1000,0.3,IF(G1257&gt;=0,0.4,{0}))))))</f>
        <v/>
      </c>
      <c r="P1257" s="425">
        <f>IF(AND(B1257="",C1257=""),"",ROUND(H1257*O1257,2))</f>
        <v/>
      </c>
      <c r="Q1257" s="426" t="inlineStr">
        <is>
          <t>母排</t>
        </is>
      </c>
      <c r="R1257" s="234" t="inlineStr"/>
      <c r="S1257" s="234" t="inlineStr"/>
      <c r="T1257" s="235" t="inlineStr">
        <is>
          <t>0</t>
        </is>
      </c>
      <c r="U1257" s="235" t="inlineStr"/>
      <c r="V1257" s="427" t="n"/>
      <c r="W1257" s="427" t="n"/>
      <c r="X1257" s="237" t="inlineStr">
        <is>
          <t>TMY 2*30*5→TMY 30*8</t>
        </is>
      </c>
    </row>
    <row r="1258" customFormat="1" s="5">
      <c r="A1258" s="64">
        <f>ROW()-ROW(A$1244)</f>
        <v/>
      </c>
      <c r="B1258" s="22" t="inlineStr">
        <is>
          <t>垂直排</t>
        </is>
      </c>
      <c r="C1258" s="22" t="inlineStr">
        <is>
          <t>TMY 3*2*80*5</t>
        </is>
      </c>
      <c r="D1258" s="22" t="inlineStr">
        <is>
          <t>国产优质</t>
        </is>
      </c>
      <c r="E1258" s="23" t="inlineStr">
        <is>
          <t>米</t>
        </is>
      </c>
      <c r="F1258" s="23" t="n">
        <v>2</v>
      </c>
      <c r="G1258" s="349">
        <f>IF(AND(B1258="",C1258=""),"",ROUND(M1258*L1258*N1258,2))</f>
        <v/>
      </c>
      <c r="H1258" s="349">
        <f>IF(AND(B1258="",C1258=""),"",ROUND(F1258*G1258,2))</f>
        <v/>
      </c>
      <c r="I1258" s="45" t="inlineStr"/>
      <c r="J1258" s="422">
        <f>IF(AND(B1258="",C1258=""),"",ROUND(M1258*N1258,2))</f>
        <v/>
      </c>
      <c r="K1258" s="423">
        <f>IF(AND(B1258="",C1258=""),"",ROUND(J1258*F1258,2))</f>
        <v/>
      </c>
      <c r="L1258" s="225" t="n">
        <v>1</v>
      </c>
      <c r="M1258" s="424" t="n">
        <v>2309.1228</v>
      </c>
      <c r="N1258" s="227" t="n">
        <v>1</v>
      </c>
      <c r="O1258" s="228">
        <f>IF(AND(B1258="",C1258=""),"",IF(G1258&gt;=20000,0.05,IF(G1258&gt;=10000,0.1,IF(G1258&gt;=5000,0.2,IF(G1258&gt;=1000,0.3,IF(G1258&gt;=0,0.4,{0}))))))</f>
        <v/>
      </c>
      <c r="P1258" s="425">
        <f>IF(AND(B1258="",C1258=""),"",ROUND(H1258*O1258,2))</f>
        <v/>
      </c>
      <c r="Q1258" s="426" t="inlineStr">
        <is>
          <t>母排</t>
        </is>
      </c>
      <c r="R1258" s="234" t="inlineStr"/>
      <c r="S1258" s="234" t="inlineStr"/>
      <c r="T1258" s="235" t="inlineStr">
        <is>
          <t>0</t>
        </is>
      </c>
      <c r="U1258" s="235" t="inlineStr"/>
      <c r="V1258" s="427" t="n"/>
      <c r="W1258" s="427" t="n"/>
      <c r="X1258" s="237" t="inlineStr">
        <is>
          <t>TMY 2*30*5→TMY 30*8</t>
        </is>
      </c>
    </row>
    <row r="1259" customFormat="1" s="5">
      <c r="A1259" s="64">
        <f>ROW()-ROW(A$1244)</f>
        <v/>
      </c>
      <c r="B1259" s="22" t="inlineStr">
        <is>
          <t>N排</t>
        </is>
      </c>
      <c r="C1259" s="22" t="inlineStr">
        <is>
          <t>TMY 2*80*10</t>
        </is>
      </c>
      <c r="D1259" s="22" t="inlineStr">
        <is>
          <t>国产优质</t>
        </is>
      </c>
      <c r="E1259" s="23" t="inlineStr">
        <is>
          <t>米</t>
        </is>
      </c>
      <c r="F1259" s="23" t="n">
        <v>3</v>
      </c>
      <c r="G1259" s="349">
        <f>IF(AND(B1259="",C1259=""),"",ROUND(M1259*L1259*N1259,2))</f>
        <v/>
      </c>
      <c r="H1259" s="349">
        <f>IF(AND(B1259="",C1259=""),"",ROUND(F1259*G1259,2))</f>
        <v/>
      </c>
      <c r="I1259" s="45" t="inlineStr"/>
      <c r="J1259" s="422">
        <f>IF(AND(B1259="",C1259=""),"",ROUND(M1259*N1259,2))</f>
        <v/>
      </c>
      <c r="K1259" s="423">
        <f>IF(AND(B1259="",C1259=""),"",ROUND(J1259*F1259,2))</f>
        <v/>
      </c>
      <c r="L1259" s="225" t="n">
        <v>1</v>
      </c>
      <c r="M1259" s="424" t="n">
        <v>1539.4152</v>
      </c>
      <c r="N1259" s="227" t="n">
        <v>1</v>
      </c>
      <c r="O1259" s="228">
        <f>IF(AND(B1259="",C1259=""),"",IF(G1259&gt;=20000,0.05,IF(G1259&gt;=10000,0.1,IF(G1259&gt;=5000,0.2,IF(G1259&gt;=1000,0.3,IF(G1259&gt;=0,0.4,{0}))))))</f>
        <v/>
      </c>
      <c r="P1259" s="425">
        <f>IF(AND(B1259="",C1259=""),"",ROUND(H1259*O1259,2))</f>
        <v/>
      </c>
      <c r="Q1259" s="426" t="inlineStr">
        <is>
          <t>母排</t>
        </is>
      </c>
      <c r="R1259" s="234" t="inlineStr"/>
      <c r="S1259" s="234" t="inlineStr"/>
      <c r="T1259" s="235" t="inlineStr">
        <is>
          <t>0</t>
        </is>
      </c>
      <c r="U1259" s="235" t="inlineStr"/>
      <c r="V1259" s="427" t="n"/>
      <c r="W1259" s="427" t="n"/>
      <c r="X1259" s="237" t="inlineStr">
        <is>
          <t>TMY 2*30*5→TMY 30*8</t>
        </is>
      </c>
    </row>
    <row r="1260" customFormat="1" s="5">
      <c r="A1260" s="64">
        <f>ROW()-ROW(A$1244)</f>
        <v/>
      </c>
      <c r="B1260" s="22" t="inlineStr">
        <is>
          <t>PE排</t>
        </is>
      </c>
      <c r="C1260" s="22" t="inlineStr">
        <is>
          <t>TMY 2*50*5</t>
        </is>
      </c>
      <c r="D1260" s="22" t="inlineStr">
        <is>
          <t>国产优质</t>
        </is>
      </c>
      <c r="E1260" s="23" t="inlineStr">
        <is>
          <t>米</t>
        </is>
      </c>
      <c r="F1260" s="23" t="n">
        <v>2</v>
      </c>
      <c r="G1260" s="349">
        <f>IF(AND(B1260="",C1260=""),"",ROUND(M1260*L1260*N1260,2))</f>
        <v/>
      </c>
      <c r="H1260" s="349">
        <f>IF(AND(B1260="",C1260=""),"",ROUND(F1260*G1260,2))</f>
        <v/>
      </c>
      <c r="I1260" s="45" t="inlineStr"/>
      <c r="J1260" s="422">
        <f>IF(AND(B1260="",C1260=""),"",ROUND(M1260*N1260,2))</f>
        <v/>
      </c>
      <c r="K1260" s="423">
        <f>IF(AND(B1260="",C1260=""),"",ROUND(J1260*F1260,2))</f>
        <v/>
      </c>
      <c r="L1260" s="225" t="n">
        <v>1</v>
      </c>
      <c r="M1260" s="424" t="n">
        <v>481.06725</v>
      </c>
      <c r="N1260" s="227" t="n">
        <v>1</v>
      </c>
      <c r="O1260" s="228">
        <f>IF(AND(B1260="",C1260=""),"",IF(G1260&gt;=20000,0.05,IF(G1260&gt;=10000,0.1,IF(G1260&gt;=5000,0.2,IF(G1260&gt;=1000,0.3,IF(G1260&gt;=0,0.4,{0}))))))</f>
        <v/>
      </c>
      <c r="P1260" s="425">
        <f>IF(AND(B1260="",C1260=""),"",ROUND(H1260*O1260,2))</f>
        <v/>
      </c>
      <c r="Q1260" s="426" t="inlineStr">
        <is>
          <t>母排</t>
        </is>
      </c>
      <c r="R1260" s="234" t="inlineStr"/>
      <c r="S1260" s="234" t="inlineStr"/>
      <c r="T1260" s="235" t="inlineStr">
        <is>
          <t>0</t>
        </is>
      </c>
      <c r="U1260" s="235" t="inlineStr"/>
      <c r="V1260" s="427" t="n"/>
      <c r="W1260" s="427" t="n"/>
      <c r="X1260" s="237" t="inlineStr">
        <is>
          <t>TMY 2*30*5→TMY 30*8</t>
        </is>
      </c>
    </row>
    <row r="1261" s="308">
      <c r="A1261" s="64">
        <f>ROW()-ROW(A$1244)</f>
        <v/>
      </c>
      <c r="B1261" s="112" t="inlineStr">
        <is>
          <t>辅料</t>
        </is>
      </c>
      <c r="C1261" s="112" t="inlineStr"/>
      <c r="D1261" s="112" t="inlineStr"/>
      <c r="E1261" s="114" t="inlineStr">
        <is>
          <t>套</t>
        </is>
      </c>
      <c r="F1261" s="114" t="n">
        <v>1</v>
      </c>
      <c r="G1261" s="396">
        <f>IF(AND(B1261="",C1261=""),"",ROUND(M1261*L1261*N1261,2))</f>
        <v/>
      </c>
      <c r="H1261" s="396">
        <f>IF(AND(B1261="",C1261=""),"",ROUND(F1261*G1261,2))</f>
        <v/>
      </c>
      <c r="I1261" s="219" t="inlineStr"/>
      <c r="J1261" s="397">
        <f>IF(AND(B1261="",C1261=""),"",ROUND(M1261*N1261,2))</f>
        <v/>
      </c>
      <c r="K1261" s="398">
        <f>IF(AND(B1261="",C1261=""),"",ROUND(J1261*F1261,2))</f>
        <v/>
      </c>
      <c r="L1261" s="200" t="n">
        <v>1</v>
      </c>
      <c r="M1261" s="399" t="n">
        <v>800</v>
      </c>
      <c r="N1261" s="154" t="n">
        <v>1</v>
      </c>
      <c r="O1261" s="155">
        <f>IF(AND(B1261="",C1261=""),"",IF(G1261&gt;=20000,0.05,IF(G1261&gt;=10000,0.1,IF(G1261&gt;=5000,0.2,IF(G1261&gt;=1000,0.3,IF(G1261&gt;=0,0.4,{0}))))))</f>
        <v/>
      </c>
      <c r="P1261" s="400">
        <f>IF(AND(B1261="",C1261=""),"",ROUND(H1261*O1261,2))</f>
        <v/>
      </c>
      <c r="Q1261" s="401" t="inlineStr">
        <is>
          <t>辅料</t>
        </is>
      </c>
      <c r="R1261" s="168" t="inlineStr"/>
      <c r="S1261" s="168" t="inlineStr"/>
      <c r="T1261" s="168" t="inlineStr">
        <is>
          <t>0</t>
        </is>
      </c>
      <c r="U1261" s="168" t="inlineStr"/>
      <c r="V1261" s="402" t="n"/>
      <c r="W1261" s="402" t="n"/>
      <c r="X1261" s="170" t="inlineStr"/>
    </row>
    <row r="1262" s="308">
      <c r="A1262" s="64">
        <f>ROW()-ROW(A$1244)</f>
        <v/>
      </c>
      <c r="B1262" s="112" t="inlineStr">
        <is>
          <t>柜体Blokset</t>
        </is>
      </c>
      <c r="C1262" s="22" t="inlineStr">
        <is>
          <t>400W*1200D*2200H</t>
        </is>
      </c>
      <c r="D1262" s="112" t="inlineStr">
        <is>
          <t>清科</t>
        </is>
      </c>
      <c r="E1262" s="114" t="inlineStr">
        <is>
          <t>台</t>
        </is>
      </c>
      <c r="F1262" s="114" t="n">
        <v>1</v>
      </c>
      <c r="G1262" s="396">
        <f>IF(AND(B1262="",C1262=""),"",ROUND(M1262*L1262*N1262,2))</f>
        <v/>
      </c>
      <c r="H1262" s="396">
        <f>IF(AND(B1262="",C1262=""),"",ROUND(F1262*G1262,2))</f>
        <v/>
      </c>
      <c r="I1262" s="219" t="inlineStr"/>
      <c r="J1262" s="397">
        <f>IF(AND(B1262="",C1262=""),"",ROUND(M1262*N1262,2))</f>
        <v/>
      </c>
      <c r="K1262" s="398">
        <f>IF(AND(B1262="",C1262=""),"",ROUND(J1262*F1262,2))</f>
        <v/>
      </c>
      <c r="L1262" s="200" t="n">
        <v>1</v>
      </c>
      <c r="M1262" s="399" t="n">
        <v>4916</v>
      </c>
      <c r="N1262" s="154" t="n">
        <v>1</v>
      </c>
      <c r="O1262" s="155">
        <f>IF(AND(B1262="",C1262=""),"",IF(G1262&gt;=20000,0.05,IF(G1262&gt;=10000,0.1,IF(G1262&gt;=5000,0.2,IF(G1262&gt;=1000,0.3,IF(G1262&gt;=0,0.4,{0}))))))</f>
        <v/>
      </c>
      <c r="P1262" s="400">
        <f>IF(AND(B1262="",C1262=""),"",ROUND(H1262*O1262,2))</f>
        <v/>
      </c>
      <c r="Q1262" s="401" t="inlineStr">
        <is>
          <t>箱体</t>
        </is>
      </c>
      <c r="R1262" s="168" t="inlineStr"/>
      <c r="S1262" s="168" t="inlineStr"/>
      <c r="T1262" s="168" t="inlineStr">
        <is>
          <t>0</t>
        </is>
      </c>
      <c r="U1262" s="168" t="inlineStr"/>
      <c r="V1262" s="402" t="n"/>
      <c r="W1262" s="402" t="n"/>
      <c r="X1262" s="170" t="inlineStr">
        <is>
          <t>BlokSeT</t>
        </is>
      </c>
    </row>
    <row r="1263" s="308">
      <c r="A1263" s="64">
        <f>ROW()-ROW(A$1244)</f>
        <v/>
      </c>
      <c r="B1263" s="22" t="inlineStr"/>
      <c r="C1263" s="22" t="inlineStr"/>
      <c r="D1263" s="22" t="inlineStr"/>
      <c r="E1263" s="23" t="n"/>
      <c r="F1263" s="23">
        <f>IF(AND(B1263="",C1263=""),"",1)</f>
        <v/>
      </c>
      <c r="G1263" s="349">
        <f>IF(AND(B1263="",C1263=""),"",ROUND(M1263*L1263*N1263,2))</f>
        <v/>
      </c>
      <c r="H1263" s="349">
        <f>IF(AND(B1263="",C1263=""),"",ROUND(F1263*G1263,2))</f>
        <v/>
      </c>
      <c r="I1263" s="45" t="inlineStr"/>
      <c r="J1263" s="397">
        <f>IF(AND(B1263="",C1263=""),"",ROUND(M1263*N1263,2))</f>
        <v/>
      </c>
      <c r="K1263" s="398">
        <f>IF(AND(B1263="",C1263=""),"",ROUND(J1263*F1263,2))</f>
        <v/>
      </c>
      <c r="L1263" s="200">
        <f>IF(AND(B1263="",C1263=""),"",1)</f>
        <v/>
      </c>
      <c r="M1263" s="399" t="n"/>
      <c r="N1263" s="154">
        <f>IF(AND(B1263="",C1263=""),"",1)</f>
        <v/>
      </c>
      <c r="O1263" s="155">
        <f>IF(AND(B1263="",C1263=""),"",IF(J1263&gt;=20000,0.05,IF(J1263&gt;=10000,0.1,IF(J1263&gt;=5000,0.2,IF(J1263&gt;=1000,0.3,IF(J1263&gt;=0,0.4,{0}))))))</f>
        <v/>
      </c>
      <c r="P1263" s="400">
        <f>IF(AND(B1263="",C1263=""),"",ROUND(H1263*O1263,2))</f>
        <v/>
      </c>
      <c r="Q1263" s="401">
        <f>IF(AND(B1263="",C1263=""),"","元件")</f>
        <v/>
      </c>
      <c r="R1263" s="168" t="inlineStr"/>
      <c r="S1263" s="168" t="inlineStr"/>
      <c r="T1263" s="168" t="inlineStr"/>
      <c r="U1263" s="168" t="inlineStr"/>
      <c r="V1263" s="402" t="n"/>
      <c r="W1263" s="402" t="n"/>
      <c r="X1263" s="170" t="inlineStr"/>
    </row>
    <row r="1264" s="308">
      <c r="A1264" s="64">
        <f>ROW()-ROW(A$1244)</f>
        <v/>
      </c>
      <c r="B1264" s="171" t="inlineStr">
        <is>
          <t>小计</t>
        </is>
      </c>
      <c r="C1264" s="172" t="n"/>
      <c r="D1264" s="204" t="n"/>
      <c r="E1264" s="114" t="n"/>
      <c r="F1264" s="114" t="n"/>
      <c r="G1264" s="396" t="n"/>
      <c r="H1264" s="396">
        <f>ROUND(SUM(H1244:INDEX(H:H,ROW()-1)),2)</f>
        <v/>
      </c>
      <c r="I1264" s="45" t="inlineStr"/>
      <c r="J1264" s="397" t="n"/>
      <c r="K1264" s="398">
        <f>ROUND(SUM(K1244:INDEX(K:K,ROW()-1)),2)</f>
        <v/>
      </c>
      <c r="L1264" s="200" t="n"/>
      <c r="M1264" s="399" t="n"/>
      <c r="N1264" s="154" t="n"/>
      <c r="O1264" s="155" t="n"/>
      <c r="P1264" s="400" t="n"/>
      <c r="Q1264" s="401" t="n"/>
      <c r="R1264" s="168" t="inlineStr"/>
      <c r="S1264" s="168" t="inlineStr"/>
      <c r="T1264" s="168" t="inlineStr"/>
      <c r="U1264" s="168" t="inlineStr"/>
      <c r="V1264" s="402">
        <f>ROUND(SUMPRODUCT(F1244:INDEX(F:F,ROW()-1),V1244:INDEX(V:V,ROW()-1)),2)</f>
        <v/>
      </c>
      <c r="W1264" s="402">
        <f>ROUND(SUMPRODUCT(F1244:INDEX(F:F,ROW()-1),W1244:INDEX(W:W,ROW()-1)),2)</f>
        <v/>
      </c>
      <c r="X1264" s="170" t="inlineStr"/>
    </row>
    <row r="1265" s="308">
      <c r="A1265" s="64">
        <f>ROW()-ROW(A$1244)</f>
        <v/>
      </c>
      <c r="B1265" s="171" t="inlineStr">
        <is>
          <t>综合费(人工、管理、税金、利润等)</t>
        </is>
      </c>
      <c r="C1265" s="172" t="n"/>
      <c r="D1265" s="204" t="n"/>
      <c r="E1265" s="114" t="n"/>
      <c r="F1265" s="114" t="n"/>
      <c r="G1265" s="396" t="n"/>
      <c r="H1265" s="396">
        <f>2500</f>
        <v/>
      </c>
      <c r="I1265" s="45" t="inlineStr"/>
      <c r="J1265" s="397" t="n"/>
      <c r="K1265" s="398" t="n"/>
      <c r="L1265" s="200" t="n"/>
      <c r="M1265" s="399" t="n"/>
      <c r="N1265" s="154" t="n"/>
      <c r="O1265" s="155" t="n"/>
      <c r="P1265" s="400" t="n"/>
      <c r="Q1265" s="401" t="inlineStr">
        <is>
          <t>费用</t>
        </is>
      </c>
      <c r="R1265" s="168" t="inlineStr"/>
      <c r="S1265" s="168" t="inlineStr"/>
      <c r="T1265" s="168" t="inlineStr"/>
      <c r="U1265" s="168" t="inlineStr"/>
      <c r="V1265" s="402" t="n"/>
      <c r="W1265" s="402" t="n"/>
      <c r="X1265" s="170" t="inlineStr"/>
    </row>
    <row r="1266" s="308">
      <c r="A1266" s="64">
        <f>ROW()-ROW(A$1244)</f>
        <v/>
      </c>
      <c r="B1266" s="204" t="inlineStr">
        <is>
          <t>单台合计</t>
        </is>
      </c>
      <c r="C1266" s="172" t="n"/>
      <c r="D1266" s="204" t="n"/>
      <c r="E1266" s="114" t="n"/>
      <c r="F1266" s="114" t="n"/>
      <c r="G1266" s="396" t="n"/>
      <c r="H1266" s="396">
        <f>ROUND(SUM(H1264:H1265),2)</f>
        <v/>
      </c>
      <c r="I1266" s="181" t="n"/>
      <c r="J1266" s="397" t="n"/>
      <c r="K1266" s="398">
        <f>ROUND(SUM(K1264:K1265),2)</f>
        <v/>
      </c>
      <c r="L1266" s="209" t="n"/>
      <c r="M1266" s="399" t="n"/>
      <c r="N1266" s="210" t="n"/>
      <c r="O1266" s="211" t="n"/>
      <c r="P1266" s="400" t="n"/>
      <c r="Q1266" s="401" t="n"/>
      <c r="R1266" s="168" t="inlineStr"/>
      <c r="S1266" s="168" t="inlineStr"/>
      <c r="T1266" s="168" t="inlineStr"/>
      <c r="U1266" s="168" t="inlineStr"/>
      <c r="V1266" s="402" t="n"/>
      <c r="W1266" s="402" t="n"/>
      <c r="X1266" s="170" t="inlineStr"/>
    </row>
    <row r="1267" s="308">
      <c r="A1267" s="173" t="inlineStr">
        <is>
          <t>总计</t>
        </is>
      </c>
      <c r="B1267" s="205" t="n"/>
      <c r="C1267" s="175" t="n"/>
      <c r="D1267" s="206" t="n"/>
      <c r="E1267" s="206" t="inlineStr">
        <is>
          <t>台</t>
        </is>
      </c>
      <c r="F1267" s="206" t="n">
        <v>4</v>
      </c>
      <c r="G1267" s="414">
        <f>ROUND(H1266,2)</f>
        <v/>
      </c>
      <c r="H1267" s="414">
        <f>ROUND(F1267*G1267,2)</f>
        <v/>
      </c>
      <c r="I1267" s="185" t="n"/>
      <c r="J1267" s="415" t="n"/>
      <c r="K1267" s="416">
        <f>ROUND(K1266*F1267,2)</f>
        <v/>
      </c>
      <c r="L1267" s="214" t="n"/>
      <c r="M1267" s="417" t="n"/>
      <c r="N1267" s="216" t="n"/>
      <c r="O1267" s="217" t="n"/>
      <c r="P1267" s="418" t="n"/>
      <c r="Q1267" s="401" t="n"/>
      <c r="R1267" s="168" t="inlineStr"/>
      <c r="S1267" s="168" t="inlineStr"/>
      <c r="T1267" s="168" t="inlineStr"/>
      <c r="U1267" s="168" t="inlineStr"/>
      <c r="V1267" s="402" t="n"/>
      <c r="W1267" s="402" t="n"/>
      <c r="X1267" s="170" t="inlineStr"/>
    </row>
    <row r="1268" customFormat="1" s="4">
      <c r="A1268" s="6" t="n"/>
      <c r="B1268" s="195" t="inlineStr"/>
      <c r="C1268" s="195" t="inlineStr"/>
      <c r="D1268" s="195" t="inlineStr"/>
      <c r="Q1268" s="159" t="n"/>
      <c r="R1268" s="159" t="n"/>
      <c r="S1268" s="159" t="n"/>
      <c r="T1268" s="159" t="n"/>
      <c r="U1268" s="159" t="n"/>
      <c r="X1268" s="195" t="inlineStr"/>
    </row>
    <row r="1269" customFormat="1" s="4">
      <c r="A1269" s="6" t="n"/>
      <c r="B1269" s="195" t="inlineStr"/>
      <c r="C1269" s="195" t="inlineStr"/>
      <c r="D1269" s="195" t="inlineStr"/>
      <c r="Q1269" s="159" t="n"/>
      <c r="R1269" s="159" t="n"/>
      <c r="S1269" s="159" t="n"/>
      <c r="T1269" s="159" t="n"/>
      <c r="U1269" s="159" t="n"/>
      <c r="X1269" s="195" t="inlineStr"/>
    </row>
    <row r="1270" s="308">
      <c r="A1270" s="208">
        <f>CONCATENATE("报价人：",项目信息!$B$8)</f>
        <v/>
      </c>
      <c r="B1270" s="208" t="n"/>
      <c r="C1270" s="4" t="n"/>
      <c r="D1270" s="4" t="n"/>
      <c r="E1270" s="4" t="n"/>
      <c r="F1270" s="4" t="n"/>
      <c r="G1270" s="4" t="n"/>
      <c r="H1270" s="178">
        <f>项目信息!$B$9</f>
        <v/>
      </c>
      <c r="Q1270" s="159" t="n"/>
      <c r="R1270" s="159" t="n"/>
      <c r="S1270" s="159" t="n"/>
      <c r="T1270" s="159" t="n"/>
      <c r="U1270" s="159" t="n"/>
      <c r="X1270" s="203" t="inlineStr"/>
    </row>
    <row r="1271" s="308">
      <c r="A1271" s="8">
        <f>T(项目信息!$B$22)</f>
        <v/>
      </c>
      <c r="Q1271" s="159" t="n"/>
      <c r="R1271" s="159" t="n"/>
      <c r="S1271" s="159" t="n"/>
      <c r="T1271" s="159" t="n"/>
      <c r="U1271" s="159" t="n"/>
    </row>
    <row r="1272" s="308">
      <c r="A1272" s="9">
        <f>T(项目信息!$B$23)</f>
        <v/>
      </c>
      <c r="Q1272" s="159" t="n"/>
      <c r="R1272" s="159" t="n"/>
      <c r="S1272" s="159" t="n"/>
      <c r="T1272" s="159" t="n"/>
      <c r="U1272" s="159" t="n"/>
    </row>
    <row r="1273" s="308">
      <c r="A1273" s="97" t="inlineStr">
        <is>
          <t>成套产品报价明细表</t>
        </is>
      </c>
      <c r="B1273" s="378" t="n"/>
      <c r="C1273" s="378" t="n"/>
      <c r="D1273" s="378" t="n"/>
      <c r="E1273" s="378" t="n"/>
      <c r="F1273" s="378" t="n"/>
      <c r="G1273" s="378" t="n"/>
      <c r="H1273" s="378" t="n"/>
      <c r="I1273" s="378" t="n"/>
      <c r="Q1273" s="159" t="n"/>
      <c r="R1273" s="159" t="n"/>
      <c r="S1273" s="159" t="n"/>
      <c r="T1273" s="159" t="n"/>
      <c r="U1273" s="159" t="n"/>
    </row>
    <row r="1274" customFormat="1" s="4">
      <c r="A1274" s="98" t="inlineStr">
        <is>
          <t>柜号:</t>
        </is>
      </c>
      <c r="B1274" s="99" t="inlineStr">
        <is>
          <t>AAN9-06、BAN10-06、AAN11-06、BAN12-06</t>
        </is>
      </c>
      <c r="C1274" s="100" t="inlineStr">
        <is>
          <t>型号:</t>
        </is>
      </c>
      <c r="D1274" s="99" t="inlineStr">
        <is>
          <t>BlokSeT</t>
        </is>
      </c>
      <c r="E1274" s="379" t="n"/>
      <c r="F1274" s="101" t="inlineStr">
        <is>
          <t>名称:</t>
        </is>
      </c>
      <c r="G1274" s="99" t="inlineStr">
        <is>
          <t>馈线柜</t>
        </is>
      </c>
      <c r="H1274" s="379" t="n"/>
      <c r="I1274" s="408" t="inlineStr"/>
      <c r="J1274" s="194" t="inlineStr">
        <is>
          <t>箱柜尺寸:</t>
        </is>
      </c>
      <c r="K1274" s="195" t="inlineStr">
        <is>
          <t>600W*1200D*2200H</t>
        </is>
      </c>
      <c r="L1274" s="194" t="inlineStr">
        <is>
          <t>类别:</t>
        </is>
      </c>
      <c r="M1274" s="195" t="inlineStr">
        <is>
          <t>低压固定柜</t>
        </is>
      </c>
      <c r="N1274" s="409" t="inlineStr"/>
      <c r="Q1274" s="159" t="n"/>
      <c r="R1274" s="159" t="n"/>
      <c r="S1274" s="159" t="n"/>
      <c r="T1274" s="159" t="n"/>
      <c r="U1274" s="159" t="n"/>
    </row>
    <row r="1275" ht="20.1" customHeight="1" s="308">
      <c r="A1275" s="102" t="inlineStr">
        <is>
          <t>序号</t>
        </is>
      </c>
      <c r="B1275" s="103" t="inlineStr">
        <is>
          <t>元件名称</t>
        </is>
      </c>
      <c r="C1275" s="103" t="inlineStr">
        <is>
          <t>型号规格</t>
        </is>
      </c>
      <c r="D1275" s="104" t="inlineStr">
        <is>
          <t>生产厂家</t>
        </is>
      </c>
      <c r="E1275" s="105" t="inlineStr">
        <is>
          <t>单位</t>
        </is>
      </c>
      <c r="F1275" s="105" t="inlineStr">
        <is>
          <t>数量</t>
        </is>
      </c>
      <c r="G1275" s="382" t="inlineStr">
        <is>
          <t>单   价</t>
        </is>
      </c>
      <c r="H1275" s="383" t="inlineStr">
        <is>
          <t>总   价</t>
        </is>
      </c>
      <c r="I1275" s="134" t="inlineStr">
        <is>
          <t>备注</t>
        </is>
      </c>
      <c r="J1275" s="384" t="inlineStr">
        <is>
          <t>成本单价</t>
        </is>
      </c>
      <c r="K1275" s="384" t="inlineStr">
        <is>
          <t>成本总价</t>
        </is>
      </c>
      <c r="L1275" s="136" t="inlineStr">
        <is>
          <t>报出
系数</t>
        </is>
      </c>
      <c r="M1275" s="384" t="inlineStr">
        <is>
          <t>表价</t>
        </is>
      </c>
      <c r="N1275" s="136" t="inlineStr">
        <is>
          <t>折扣
系数</t>
        </is>
      </c>
      <c r="O1275" s="137" t="inlineStr">
        <is>
          <t>取费
系数</t>
        </is>
      </c>
      <c r="P1275" s="384" t="inlineStr">
        <is>
          <t>成套费</t>
        </is>
      </c>
      <c r="Q1275" s="161" t="inlineStr">
        <is>
          <t>类别</t>
        </is>
      </c>
      <c r="R1275" s="161" t="inlineStr">
        <is>
          <t>物料编码</t>
        </is>
      </c>
      <c r="S1275" s="161" t="inlineStr">
        <is>
          <t>产地</t>
        </is>
      </c>
      <c r="T1275" s="161" t="inlineStr">
        <is>
          <t>加工费</t>
        </is>
      </c>
      <c r="U1275" s="161" t="inlineStr">
        <is>
          <t>订货号</t>
        </is>
      </c>
      <c r="V1275" s="161" t="inlineStr">
        <is>
          <t>人工</t>
        </is>
      </c>
      <c r="W1275" s="161" t="inlineStr">
        <is>
          <t>辅料</t>
        </is>
      </c>
      <c r="X1275" s="203" t="inlineStr"/>
    </row>
    <row r="1276" s="308">
      <c r="A1276" s="64">
        <f>ROW()-ROW(A$1275)</f>
        <v/>
      </c>
      <c r="B1276" s="22" t="inlineStr">
        <is>
          <t>框架断路器</t>
        </is>
      </c>
      <c r="C1276" s="22" t="inlineStr">
        <is>
          <t>MT10 N1a SG 3P MIC5.0 E</t>
        </is>
      </c>
      <c r="D1276" s="22" t="inlineStr">
        <is>
          <t>甲供/施耐德电气</t>
        </is>
      </c>
      <c r="E1276" s="23" t="inlineStr">
        <is>
          <t>只</t>
        </is>
      </c>
      <c r="F1276" s="23" t="n">
        <v>2</v>
      </c>
      <c r="G1276" s="349">
        <f>IF(AND(B1276="",C1276=""),"",ROUND(M1276*L1276*N1276,2))</f>
        <v/>
      </c>
      <c r="H1276" s="349">
        <f>IF(AND(B1276="",C1276=""),"",ROUND(F1276*G1276,2))</f>
        <v/>
      </c>
      <c r="I1276" s="45" t="inlineStr"/>
      <c r="J1276" s="397">
        <f>IF(AND(B1276="",C1276=""),"",ROUND(M1276*N1276,2))</f>
        <v/>
      </c>
      <c r="K1276" s="398">
        <f>IF(AND(B1276="",C1276=""),"",ROUND(J1276*F1276,2))</f>
        <v/>
      </c>
      <c r="L1276" s="200" t="n">
        <v>1</v>
      </c>
      <c r="M1276" s="399" t="n">
        <v>1e-07</v>
      </c>
      <c r="N1276" s="154" t="n">
        <v>1</v>
      </c>
      <c r="O1276" s="155">
        <f>IF(AND(B1276="",C1276=""),"",IF(G1276&gt;=20000,0.05,IF(G1276&gt;=10000,0.1,IF(G1276&gt;=5000,0.2,IF(G1276&gt;=1000,0.3,IF(G1276&gt;=0,0.4,{0}))))))</f>
        <v/>
      </c>
      <c r="P1276" s="400">
        <f>IF(AND(B1276="",C1276=""),"",ROUND(H1276*O1276,2))</f>
        <v/>
      </c>
      <c r="Q1276" s="401" t="inlineStr">
        <is>
          <t>元件</t>
        </is>
      </c>
      <c r="R1276" s="168" t="inlineStr"/>
      <c r="S1276" s="168" t="inlineStr"/>
      <c r="T1276" s="168" t="inlineStr">
        <is>
          <t>0</t>
        </is>
      </c>
      <c r="U1276" s="168" t="inlineStr">
        <is>
          <t>C16F32D160</t>
        </is>
      </c>
      <c r="V1276" s="402" t="n"/>
      <c r="W1276" s="402" t="n"/>
      <c r="X1276" s="170" t="inlineStr">
        <is>
          <t>NSX630N Mic2.3 630A 3P3D F→NSX630F MIC2.3 630 3P F→NSX630F MIC 2.3 630 3P F</t>
        </is>
      </c>
    </row>
    <row r="1277" s="308">
      <c r="A1277" s="64">
        <f>ROW()-ROW(A$1275)</f>
        <v/>
      </c>
      <c r="B1277" s="22" t="inlineStr">
        <is>
          <t>框架断路器</t>
        </is>
      </c>
      <c r="C1277" s="22" t="inlineStr">
        <is>
          <t>MT12 N1a SG 3P MIC5.0 E</t>
        </is>
      </c>
      <c r="D1277" s="22" t="inlineStr">
        <is>
          <t>甲供/施耐德电气</t>
        </is>
      </c>
      <c r="E1277" s="23" t="inlineStr">
        <is>
          <t>只</t>
        </is>
      </c>
      <c r="F1277" s="23" t="n">
        <v>1</v>
      </c>
      <c r="G1277" s="349">
        <f>IF(AND(B1277="",C1277=""),"",ROUND(M1277*L1277*N1277,2))</f>
        <v/>
      </c>
      <c r="H1277" s="349">
        <f>IF(AND(B1277="",C1277=""),"",ROUND(F1277*G1277,2))</f>
        <v/>
      </c>
      <c r="I1277" s="45" t="inlineStr"/>
      <c r="J1277" s="397">
        <f>IF(AND(B1277="",C1277=""),"",ROUND(M1277*N1277,2))</f>
        <v/>
      </c>
      <c r="K1277" s="398">
        <f>IF(AND(B1277="",C1277=""),"",ROUND(J1277*F1277,2))</f>
        <v/>
      </c>
      <c r="L1277" s="200" t="n">
        <v>1</v>
      </c>
      <c r="M1277" s="399" t="n">
        <v>1e-07</v>
      </c>
      <c r="N1277" s="154" t="n">
        <v>1</v>
      </c>
      <c r="O1277" s="155">
        <f>IF(AND(B1277="",C1277=""),"",IF(G1277&gt;=20000,0.05,IF(G1277&gt;=10000,0.1,IF(G1277&gt;=5000,0.2,IF(G1277&gt;=1000,0.3,IF(G1277&gt;=0,0.4,{0}))))))</f>
        <v/>
      </c>
      <c r="P1277" s="400">
        <f>IF(AND(B1277="",C1277=""),"",ROUND(H1277*O1277,2))</f>
        <v/>
      </c>
      <c r="Q1277" s="401" t="inlineStr">
        <is>
          <t>元件</t>
        </is>
      </c>
      <c r="R1277" s="168" t="inlineStr"/>
      <c r="S1277" s="168" t="inlineStr"/>
      <c r="T1277" s="168" t="inlineStr">
        <is>
          <t>0</t>
        </is>
      </c>
      <c r="U1277" s="168" t="inlineStr">
        <is>
          <t>C16F32D160</t>
        </is>
      </c>
      <c r="V1277" s="402" t="n"/>
      <c r="W1277" s="402" t="n"/>
      <c r="X1277" s="170" t="inlineStr">
        <is>
          <t>NSX630N Mic2.3 630A 3P3D F→NSX630F MIC2.3 630 3P F→NSX630F MIC 2.3 630 3P F</t>
        </is>
      </c>
    </row>
    <row r="1278" s="308">
      <c r="A1278" s="64">
        <f>ROW()-ROW(A$1275)</f>
        <v/>
      </c>
      <c r="B1278" s="22" t="inlineStr">
        <is>
          <t>电流互感器</t>
        </is>
      </c>
      <c r="C1278" s="22" t="inlineStr">
        <is>
          <t>SD-0.66-80II-V 1000/5A</t>
        </is>
      </c>
      <c r="D1278" s="22" t="inlineStr">
        <is>
          <t>桑迪</t>
        </is>
      </c>
      <c r="E1278" s="23" t="inlineStr">
        <is>
          <t>只</t>
        </is>
      </c>
      <c r="F1278" s="23" t="n">
        <v>6</v>
      </c>
      <c r="G1278" s="349">
        <f>IF(AND(B1278="",C1278=""),"",ROUND(M1278*L1278*N1278,2))</f>
        <v/>
      </c>
      <c r="H1278" s="396">
        <f>IF(AND(B1278="",C1278=""),"",ROUND(F1278*G1278,2))</f>
        <v/>
      </c>
      <c r="I1278" s="219" t="inlineStr"/>
      <c r="J1278" s="397">
        <f>IF(AND(B1278="",C1278=""),"",ROUND(M1278*N1278,2))</f>
        <v/>
      </c>
      <c r="K1278" s="398">
        <f>IF(AND(B1278="",C1278=""),"",ROUND(J1278*F1278,2))</f>
        <v/>
      </c>
      <c r="L1278" s="200" t="n">
        <v>1</v>
      </c>
      <c r="M1278" s="399" t="n">
        <v>91.65000000000001</v>
      </c>
      <c r="N1278" s="154" t="n">
        <v>1</v>
      </c>
      <c r="O1278" s="155">
        <f>IF(AND(B1278="",C1278=""),"",IF(G1278&gt;=20000,0.05,IF(G1278&gt;=10000,0.1,IF(G1278&gt;=5000,0.2,IF(G1278&gt;=1000,0.3,IF(G1278&gt;=0,0.4,{0}))))))</f>
        <v/>
      </c>
      <c r="P1278" s="400">
        <f>IF(AND(B1278="",C1278=""),"",ROUND(H1278*O1278,2))</f>
        <v/>
      </c>
      <c r="Q1278" s="401" t="inlineStr">
        <is>
          <t>元件</t>
        </is>
      </c>
      <c r="R1278" s="168" t="inlineStr"/>
      <c r="S1278" s="168" t="inlineStr"/>
      <c r="T1278" s="168" t="inlineStr">
        <is>
          <t>0</t>
        </is>
      </c>
      <c r="U1278" s="168" t="inlineStr">
        <is>
          <t>710141426552500</t>
        </is>
      </c>
      <c r="V1278" s="402" t="n"/>
      <c r="W1278" s="402" t="n"/>
      <c r="X1278" s="170" t="inlineStr">
        <is>
          <t>SD→SD-0.66-40II-C 400/5A→SD-0.66-30I 250/5A→SD-0.66-30I 150/5A→SD-0.66-60II-C 750/5A→SD-0.66-60II-C 600/5A→SD-0.66-30I 150/5A→SD-0.66-40II-C 400/5A→SD-0.66-100II-C 1600/5A</t>
        </is>
      </c>
    </row>
    <row r="1279" s="308">
      <c r="A1279" s="64">
        <f>ROW()-ROW(A$1275)</f>
        <v/>
      </c>
      <c r="B1279" s="22" t="inlineStr">
        <is>
          <t>电流互感器</t>
        </is>
      </c>
      <c r="C1279" s="22" t="inlineStr">
        <is>
          <t>SD-0.66-80II-V 1250/5A</t>
        </is>
      </c>
      <c r="D1279" s="22" t="inlineStr">
        <is>
          <t>桑迪</t>
        </is>
      </c>
      <c r="E1279" s="23" t="inlineStr">
        <is>
          <t>只</t>
        </is>
      </c>
      <c r="F1279" s="23" t="n">
        <v>3</v>
      </c>
      <c r="G1279" s="349">
        <f>IF(AND(B1279="",C1279=""),"",ROUND(M1279*L1279*N1279,2))</f>
        <v/>
      </c>
      <c r="H1279" s="396">
        <f>IF(AND(B1279="",C1279=""),"",ROUND(F1279*G1279,2))</f>
        <v/>
      </c>
      <c r="I1279" s="219" t="inlineStr"/>
      <c r="J1279" s="397">
        <f>IF(AND(B1279="",C1279=""),"",ROUND(M1279*N1279,2))</f>
        <v/>
      </c>
      <c r="K1279" s="398">
        <f>IF(AND(B1279="",C1279=""),"",ROUND(J1279*F1279,2))</f>
        <v/>
      </c>
      <c r="L1279" s="200" t="n">
        <v>1</v>
      </c>
      <c r="M1279" s="399" t="n">
        <v>115.7</v>
      </c>
      <c r="N1279" s="154" t="n">
        <v>1</v>
      </c>
      <c r="O1279" s="155">
        <f>IF(AND(B1279="",C1279=""),"",IF(G1279&gt;=20000,0.05,IF(G1279&gt;=10000,0.1,IF(G1279&gt;=5000,0.2,IF(G1279&gt;=1000,0.3,IF(G1279&gt;=0,0.4,{0}))))))</f>
        <v/>
      </c>
      <c r="P1279" s="400">
        <f>IF(AND(B1279="",C1279=""),"",ROUND(H1279*O1279,2))</f>
        <v/>
      </c>
      <c r="Q1279" s="401" t="inlineStr">
        <is>
          <t>元件</t>
        </is>
      </c>
      <c r="R1279" s="168" t="inlineStr"/>
      <c r="S1279" s="168" t="inlineStr"/>
      <c r="T1279" s="168" t="inlineStr">
        <is>
          <t>0</t>
        </is>
      </c>
      <c r="U1279" s="168" t="inlineStr">
        <is>
          <t>710141426552500</t>
        </is>
      </c>
      <c r="V1279" s="402" t="n"/>
      <c r="W1279" s="402" t="n"/>
      <c r="X1279" s="170" t="inlineStr">
        <is>
          <t>SD→SD-0.66-40II-C 400/5A→SD-0.66-30I 250/5A→SD-0.66-30I 150/5A→SD-0.66-60II-C 750/5A→SD-0.66-60II-C 600/5A→SD-0.66-30I 150/5A→SD-0.66-40II-C 400/5A→SD-0.66-100II-C 1600/5A→SD-0.66-80II-V 1000/5A</t>
        </is>
      </c>
    </row>
    <row r="1280" s="308">
      <c r="A1280" s="64">
        <f>ROW()-ROW(A$1275)</f>
        <v/>
      </c>
      <c r="B1280" s="112" t="inlineStr">
        <is>
          <t>多功能表</t>
        </is>
      </c>
      <c r="C1280" s="112" t="inlineStr">
        <is>
          <t>PM4101</t>
        </is>
      </c>
      <c r="D1280" s="112" t="inlineStr">
        <is>
          <t>甲供/施耐德电气</t>
        </is>
      </c>
      <c r="E1280" s="114" t="inlineStr">
        <is>
          <t>只</t>
        </is>
      </c>
      <c r="F1280" s="114" t="n">
        <v>3</v>
      </c>
      <c r="G1280" s="396">
        <f>IF(AND(B1280="",C1280=""),"",ROUND(M1280*L1280*N1280,2))</f>
        <v/>
      </c>
      <c r="H1280" s="349">
        <f>IF(AND(B1280="",C1280=""),"",ROUND(F1280*G1280,2))</f>
        <v/>
      </c>
      <c r="I1280" s="45" t="inlineStr"/>
      <c r="J1280" s="397">
        <f>IF(AND(B1280="",C1280=""),"",ROUND(M1280*N1280,2))</f>
        <v/>
      </c>
      <c r="K1280" s="398">
        <f>IF(AND(B1280="",C1280=""),"",ROUND(J1280*F1280,2))</f>
        <v/>
      </c>
      <c r="L1280" s="200" t="n">
        <v>1</v>
      </c>
      <c r="M1280" s="399" t="n">
        <v>1e-07</v>
      </c>
      <c r="N1280" s="154" t="n">
        <v>1</v>
      </c>
      <c r="O1280" s="155">
        <f>IF(AND(B1280="",C1280=""),"",IF(J1280&gt;=20000,0.05,IF(J1280&gt;=10000,0.1,IF(J1280&gt;=5000,0.2,IF(J1280&gt;=1000,0.3,IF(J1280&gt;=0,0.4,{0}))))))</f>
        <v/>
      </c>
      <c r="P1280" s="400">
        <f>IF(AND(B1280="",C1280=""),"",ROUND(H1280*O1280,2))</f>
        <v/>
      </c>
      <c r="Q1280" s="401" t="inlineStr">
        <is>
          <t>元件</t>
        </is>
      </c>
      <c r="R1280" s="168" t="inlineStr"/>
      <c r="S1280" s="168" t="inlineStr"/>
      <c r="T1280" s="168" t="inlineStr">
        <is>
          <t>0</t>
        </is>
      </c>
      <c r="U1280" s="168" t="inlineStr"/>
      <c r="V1280" s="402" t="n"/>
      <c r="W1280" s="402" t="n"/>
      <c r="X1280" s="170" t="inlineStr"/>
    </row>
    <row r="1281" customFormat="1" s="3">
      <c r="A1281" s="64">
        <f>ROW()-ROW(A$1275)</f>
        <v/>
      </c>
      <c r="B1281" s="22" t="inlineStr">
        <is>
          <t>指示灯</t>
        </is>
      </c>
      <c r="C1281" s="22" t="inlineStr">
        <is>
          <t>XB2BVM3LC</t>
        </is>
      </c>
      <c r="D1281" s="22" t="inlineStr">
        <is>
          <t>甲供/施耐德电气</t>
        </is>
      </c>
      <c r="E1281" s="23" t="inlineStr">
        <is>
          <t>只</t>
        </is>
      </c>
      <c r="F1281" s="23" t="n">
        <v>3</v>
      </c>
      <c r="G1281" s="349">
        <f>IF(AND(B1281="",C1281=""),"",ROUND(M1281*L1281*N1281,2))</f>
        <v/>
      </c>
      <c r="H1281" s="353">
        <f>IF(AND(B1281="",C1281=""),"",ROUND(F1281*G1281,2))</f>
        <v/>
      </c>
      <c r="I1281" s="180" t="inlineStr"/>
      <c r="J1281" s="392">
        <f>IF(AND(B1281="",C1281=""),"",ROUND(M1281*N1281,2))</f>
        <v/>
      </c>
      <c r="K1281" s="393">
        <f>IF(AND(B1281="",C1281=""),"",ROUND(J1281*F1281,2))</f>
        <v/>
      </c>
      <c r="L1281" s="141" t="n">
        <v>1</v>
      </c>
      <c r="M1281" s="394" t="n">
        <v>1e-07</v>
      </c>
      <c r="N1281" s="220" t="n">
        <v>1</v>
      </c>
      <c r="O1281" s="221">
        <f>IF(AND(B1281="",C1281=""),"",IF(G1281&gt;=20000,0.05,IF(G1281&gt;=10000,0.1,IF(G1281&gt;=5000,0.2,IF(G1281&gt;=1000,0.3,IF(G1281&gt;=0,0.4,{0}))))))</f>
        <v/>
      </c>
      <c r="P1281" s="419">
        <f>IF(AND(B1281="",C1281=""),"",ROUND(H1281*O1281,2))</f>
        <v/>
      </c>
      <c r="Q1281" s="420" t="inlineStr">
        <is>
          <t>元件</t>
        </is>
      </c>
      <c r="R1281" s="231" t="inlineStr"/>
      <c r="S1281" s="231" t="inlineStr"/>
      <c r="T1281" s="231" t="inlineStr">
        <is>
          <t>0</t>
        </is>
      </c>
      <c r="U1281" s="231" t="inlineStr">
        <is>
          <t>XB2BVM3LC</t>
        </is>
      </c>
      <c r="V1281" s="421" t="n"/>
      <c r="W1281" s="421" t="n"/>
      <c r="X1281" s="166" t="inlineStr">
        <is>
          <t>XA2EVM3LC</t>
        </is>
      </c>
    </row>
    <row r="1282" customFormat="1" s="3">
      <c r="A1282" s="64">
        <f>ROW()-ROW(A$1275)</f>
        <v/>
      </c>
      <c r="B1282" s="22" t="inlineStr">
        <is>
          <t>指示灯</t>
        </is>
      </c>
      <c r="C1282" s="22" t="inlineStr">
        <is>
          <t>XB2BVM4LC</t>
        </is>
      </c>
      <c r="D1282" s="22" t="inlineStr">
        <is>
          <t>甲供/施耐德电气</t>
        </is>
      </c>
      <c r="E1282" s="23" t="inlineStr">
        <is>
          <t>只</t>
        </is>
      </c>
      <c r="F1282" s="23" t="n">
        <v>3</v>
      </c>
      <c r="G1282" s="349">
        <f>IF(AND(B1282="",C1282=""),"",ROUND(M1282*L1282*N1282,2))</f>
        <v/>
      </c>
      <c r="H1282" s="353">
        <f>IF(AND(B1282="",C1282=""),"",ROUND(F1282*G1282,2))</f>
        <v/>
      </c>
      <c r="I1282" s="180" t="inlineStr"/>
      <c r="J1282" s="392">
        <f>IF(AND(B1282="",C1282=""),"",ROUND(M1282*N1282,2))</f>
        <v/>
      </c>
      <c r="K1282" s="393">
        <f>IF(AND(B1282="",C1282=""),"",ROUND(J1282*F1282,2))</f>
        <v/>
      </c>
      <c r="L1282" s="141" t="n">
        <v>1</v>
      </c>
      <c r="M1282" s="394" t="n">
        <v>1e-07</v>
      </c>
      <c r="N1282" s="220" t="n">
        <v>1</v>
      </c>
      <c r="O1282" s="221">
        <f>IF(AND(B1282="",C1282=""),"",IF(G1282&gt;=20000,0.05,IF(G1282&gt;=10000,0.1,IF(G1282&gt;=5000,0.2,IF(G1282&gt;=1000,0.3,IF(G1282&gt;=0,0.4,{0}))))))</f>
        <v/>
      </c>
      <c r="P1282" s="419">
        <f>IF(AND(B1282="",C1282=""),"",ROUND(H1282*O1282,2))</f>
        <v/>
      </c>
      <c r="Q1282" s="420" t="inlineStr">
        <is>
          <t>元件</t>
        </is>
      </c>
      <c r="R1282" s="231" t="inlineStr"/>
      <c r="S1282" s="231" t="inlineStr"/>
      <c r="T1282" s="231" t="inlineStr">
        <is>
          <t>0</t>
        </is>
      </c>
      <c r="U1282" s="231" t="inlineStr">
        <is>
          <t>XB2BVM4LC</t>
        </is>
      </c>
      <c r="V1282" s="421" t="n"/>
      <c r="W1282" s="421" t="n"/>
      <c r="X1282" s="166" t="inlineStr">
        <is>
          <t>XA2EVM4LC</t>
        </is>
      </c>
    </row>
    <row r="1283" s="308">
      <c r="A1283" s="64">
        <f>ROW()-ROW(A$1275)</f>
        <v/>
      </c>
      <c r="B1283" s="112" t="inlineStr">
        <is>
          <t>指示灯</t>
        </is>
      </c>
      <c r="C1283" s="112" t="inlineStr">
        <is>
          <t>XB2BVM5LC</t>
        </is>
      </c>
      <c r="D1283" s="112" t="inlineStr">
        <is>
          <t>甲供/施耐德电气</t>
        </is>
      </c>
      <c r="E1283" s="114" t="inlineStr">
        <is>
          <t>只</t>
        </is>
      </c>
      <c r="F1283" s="114" t="n">
        <v>3</v>
      </c>
      <c r="G1283" s="396">
        <f>IF(AND(B1283="",C1283=""),"",ROUND(M1283*L1283*N1283,2))</f>
        <v/>
      </c>
      <c r="H1283" s="396">
        <f>IF(AND(B1283="",C1283=""),"",ROUND(F1283*G1283,2))</f>
        <v/>
      </c>
      <c r="I1283" s="150" t="inlineStr"/>
      <c r="J1283" s="397">
        <f>IF(AND(B1283="",C1283=""),"",ROUND(M1283*N1283,2))</f>
        <v/>
      </c>
      <c r="K1283" s="398">
        <f>IF(AND(B1283="",C1283=""),"",ROUND(J1283*F1283,2))</f>
        <v/>
      </c>
      <c r="L1283" s="141" t="n">
        <v>1</v>
      </c>
      <c r="M1283" s="399" t="n">
        <v>1e-07</v>
      </c>
      <c r="N1283" s="154" t="n">
        <v>1</v>
      </c>
      <c r="O1283" s="155">
        <f>IF(AND(B1283="",C1283=""),"",IF(G1283&gt;=20000,0.05,IF(G1283&gt;=10000,0.1,IF(G1283&gt;=5000,0.2,IF(G1283&gt;=1000,0.3,IF(G1283&gt;=0,0.4,{0}))))))</f>
        <v/>
      </c>
      <c r="P1283" s="400">
        <f>IF(AND(B1283="",C1283=""),"",ROUND(H1283*O1283,2))</f>
        <v/>
      </c>
      <c r="Q1283" s="401" t="inlineStr">
        <is>
          <t>元件</t>
        </is>
      </c>
      <c r="R1283" s="168" t="inlineStr"/>
      <c r="S1283" s="168" t="inlineStr"/>
      <c r="T1283" s="168" t="inlineStr">
        <is>
          <t>0</t>
        </is>
      </c>
      <c r="U1283" s="168" t="inlineStr">
        <is>
          <t>XA2EVM5LC</t>
        </is>
      </c>
      <c r="V1283" s="402" t="n"/>
      <c r="W1283" s="402" t="n"/>
      <c r="X1283" s="170" t="inlineStr"/>
    </row>
    <row r="1284" s="308">
      <c r="A1284" s="64">
        <f>ROW()-ROW(A$1275)</f>
        <v/>
      </c>
      <c r="B1284" s="112" t="inlineStr">
        <is>
          <t>按钮</t>
        </is>
      </c>
      <c r="C1284" s="112" t="inlineStr">
        <is>
          <t>XB2BA31C</t>
        </is>
      </c>
      <c r="D1284" s="112" t="inlineStr">
        <is>
          <t>甲供/施耐德电气</t>
        </is>
      </c>
      <c r="E1284" s="114" t="inlineStr">
        <is>
          <t>只</t>
        </is>
      </c>
      <c r="F1284" s="114" t="n">
        <v>3</v>
      </c>
      <c r="G1284" s="396">
        <f>IF(AND(B1284="",C1284=""),"",ROUND(M1284*L1284*N1284,2))</f>
        <v/>
      </c>
      <c r="H1284" s="396">
        <f>IF(AND(B1284="",C1284=""),"",ROUND(F1284*G1284,2))</f>
        <v/>
      </c>
      <c r="I1284" s="150" t="inlineStr"/>
      <c r="J1284" s="397">
        <f>IF(AND(B1284="",C1284=""),"",ROUND(M1284*N1284,2))</f>
        <v/>
      </c>
      <c r="K1284" s="398">
        <f>IF(AND(B1284="",C1284=""),"",ROUND(J1284*F1284,2))</f>
        <v/>
      </c>
      <c r="L1284" s="141" t="n">
        <v>1</v>
      </c>
      <c r="M1284" s="399" t="n">
        <v>1e-07</v>
      </c>
      <c r="N1284" s="154" t="n">
        <v>1</v>
      </c>
      <c r="O1284" s="155">
        <f>IF(AND(B1284="",C1284=""),"",IF(G1284&gt;=20000,0.05,IF(G1284&gt;=10000,0.1,IF(G1284&gt;=5000,0.2,IF(G1284&gt;=1000,0.3,IF(G1284&gt;=0,0.4,{0}))))))</f>
        <v/>
      </c>
      <c r="P1284" s="400">
        <f>IF(AND(B1284="",C1284=""),"",ROUND(H1284*O1284,2))</f>
        <v/>
      </c>
      <c r="Q1284" s="401" t="inlineStr">
        <is>
          <t>元件</t>
        </is>
      </c>
      <c r="R1284" s="168" t="inlineStr"/>
      <c r="S1284" s="168" t="inlineStr"/>
      <c r="T1284" s="168" t="inlineStr">
        <is>
          <t>0</t>
        </is>
      </c>
      <c r="U1284" s="168" t="inlineStr">
        <is>
          <t>XB2BA31C</t>
        </is>
      </c>
      <c r="V1284" s="402" t="n"/>
      <c r="W1284" s="402" t="n"/>
      <c r="X1284" s="170" t="inlineStr">
        <is>
          <t>XA2EA31</t>
        </is>
      </c>
    </row>
    <row r="1285" s="308">
      <c r="A1285" s="64">
        <f>ROW()-ROW(A$1275)</f>
        <v/>
      </c>
      <c r="B1285" s="22" t="inlineStr">
        <is>
          <t>按钮</t>
        </is>
      </c>
      <c r="C1285" s="22" t="inlineStr">
        <is>
          <t>XB2BA42C</t>
        </is>
      </c>
      <c r="D1285" s="22" t="inlineStr">
        <is>
          <t>甲供/施耐德电气</t>
        </is>
      </c>
      <c r="E1285" s="23" t="inlineStr">
        <is>
          <t>只</t>
        </is>
      </c>
      <c r="F1285" s="23" t="n">
        <v>3</v>
      </c>
      <c r="G1285" s="349">
        <f>IF(AND(B1285="",C1285=""),"",ROUND(M1285*L1285*N1285,2))</f>
        <v/>
      </c>
      <c r="H1285" s="396">
        <f>IF(AND(B1285="",C1285=""),"",ROUND(F1285*G1285,2))</f>
        <v/>
      </c>
      <c r="I1285" s="150" t="inlineStr"/>
      <c r="J1285" s="397">
        <f>IF(AND(B1285="",C1285=""),"",ROUND(M1285*N1285,2))</f>
        <v/>
      </c>
      <c r="K1285" s="398">
        <f>IF(AND(B1285="",C1285=""),"",ROUND(J1285*F1285,2))</f>
        <v/>
      </c>
      <c r="L1285" s="141" t="n">
        <v>1</v>
      </c>
      <c r="M1285" s="399" t="n">
        <v>1e-07</v>
      </c>
      <c r="N1285" s="154" t="n">
        <v>1</v>
      </c>
      <c r="O1285" s="155">
        <f>IF(AND(B1285="",C1285=""),"",IF(G1285&gt;=20000,0.05,IF(G1285&gt;=10000,0.1,IF(G1285&gt;=5000,0.2,IF(G1285&gt;=1000,0.3,IF(G1285&gt;=0,0.4,{0}))))))</f>
        <v/>
      </c>
      <c r="P1285" s="400">
        <f>IF(AND(B1285="",C1285=""),"",ROUND(H1285*O1285,2))</f>
        <v/>
      </c>
      <c r="Q1285" s="401" t="inlineStr">
        <is>
          <t>元件</t>
        </is>
      </c>
      <c r="R1285" s="168" t="inlineStr"/>
      <c r="S1285" s="168" t="inlineStr"/>
      <c r="T1285" s="168" t="inlineStr">
        <is>
          <t>0</t>
        </is>
      </c>
      <c r="U1285" s="168" t="inlineStr">
        <is>
          <t>XB2BA42C</t>
        </is>
      </c>
      <c r="V1285" s="402" t="n"/>
      <c r="W1285" s="402" t="n"/>
      <c r="X1285" s="170" t="inlineStr">
        <is>
          <t>XA2EA41</t>
        </is>
      </c>
    </row>
    <row r="1286" s="308">
      <c r="A1286" s="64">
        <f>ROW()-ROW(A$1275)</f>
        <v/>
      </c>
      <c r="B1286" s="112" t="inlineStr">
        <is>
          <t>温湿度控制器</t>
        </is>
      </c>
      <c r="C1286" s="112" t="inlineStr">
        <is>
          <t>ATH48G-11</t>
        </is>
      </c>
      <c r="D1286" s="22" t="inlineStr">
        <is>
          <t>杭州安廷</t>
        </is>
      </c>
      <c r="E1286" s="23" t="inlineStr">
        <is>
          <t>套</t>
        </is>
      </c>
      <c r="F1286" s="23" t="n">
        <v>1</v>
      </c>
      <c r="G1286" s="349">
        <f>IF(AND(B1286="",C1286=""),"",ROUND(M1286*L1286*N1286,2))</f>
        <v/>
      </c>
      <c r="H1286" s="396">
        <f>IF(AND(B1286="",C1286=""),"",ROUND(F1286*G1286,2))</f>
        <v/>
      </c>
      <c r="I1286" s="150" t="inlineStr"/>
      <c r="J1286" s="397">
        <f>IF(AND(B1286="",C1286=""),"",ROUND(M1286*N1286,2))</f>
        <v/>
      </c>
      <c r="K1286" s="398">
        <f>IF(AND(B1286="",C1286=""),"",ROUND(J1286*F1286,2))</f>
        <v/>
      </c>
      <c r="L1286" s="141" t="n">
        <v>1</v>
      </c>
      <c r="M1286" s="399" t="n">
        <v>450</v>
      </c>
      <c r="N1286" s="154" t="n">
        <v>1</v>
      </c>
      <c r="O1286" s="155">
        <f>IF(AND(B1286="",C1286=""),"",IF(G1286&gt;=20000,0.05,IF(G1286&gt;=10000,0.1,IF(G1286&gt;=5000,0.2,IF(G1286&gt;=1000,0.3,IF(G1286&gt;=0,0.4,{0}))))))</f>
        <v/>
      </c>
      <c r="P1286" s="400">
        <f>IF(AND(B1286="",C1286=""),"",ROUND(H1286*O1286,2))</f>
        <v/>
      </c>
      <c r="Q1286" s="401" t="inlineStr">
        <is>
          <t>元件</t>
        </is>
      </c>
      <c r="R1286" s="168" t="inlineStr"/>
      <c r="S1286" s="168" t="inlineStr"/>
      <c r="T1286" s="168" t="inlineStr">
        <is>
          <t>0</t>
        </is>
      </c>
      <c r="U1286" s="168" t="inlineStr"/>
      <c r="V1286" s="402" t="n"/>
      <c r="W1286" s="402" t="n"/>
      <c r="X1286" s="170" t="inlineStr"/>
    </row>
    <row r="1287" s="308">
      <c r="A1287" s="64">
        <f>ROW()-ROW(A$1275)</f>
        <v/>
      </c>
      <c r="B1287" s="22" t="inlineStr">
        <is>
          <t>中间继电器</t>
        </is>
      </c>
      <c r="C1287" s="22" t="inlineStr">
        <is>
          <t>RXM4AB2P7+RXZE2S114M+RXZ400</t>
        </is>
      </c>
      <c r="D1287" s="22" t="inlineStr">
        <is>
          <t>甲供/施耐德电气</t>
        </is>
      </c>
      <c r="E1287" s="23" t="inlineStr">
        <is>
          <t>只</t>
        </is>
      </c>
      <c r="F1287" s="23" t="n">
        <v>6</v>
      </c>
      <c r="G1287" s="349">
        <f>IF(AND(B1287="",C1287=""),"",ROUND(M1287*L1287*N1287,2))</f>
        <v/>
      </c>
      <c r="H1287" s="349">
        <f>IF(AND(B1287="",C1287=""),"",ROUND(F1287*G1287,2))</f>
        <v/>
      </c>
      <c r="I1287" s="45" t="inlineStr"/>
      <c r="J1287" s="397">
        <f>IF(AND(B1287="",C1287=""),"",ROUND(M1287*N1287,2))</f>
        <v/>
      </c>
      <c r="K1287" s="398">
        <f>IF(AND(B1287="",C1287=""),"",ROUND(J1287*F1287,2))</f>
        <v/>
      </c>
      <c r="L1287" s="141" t="n">
        <v>1</v>
      </c>
      <c r="M1287" s="399" t="n">
        <v>1e-07</v>
      </c>
      <c r="N1287" s="154" t="n">
        <v>1</v>
      </c>
      <c r="O1287" s="155">
        <f>IF(AND(B1287="",C1287=""),"",IF(G1287&gt;=20000,0.05,IF(G1287&gt;=10000,0.1,IF(G1287&gt;=5000,0.2,IF(G1287&gt;=1000,0.3,IF(G1287&gt;=0,0.4,{0}))))))</f>
        <v/>
      </c>
      <c r="P1287" s="400">
        <f>IF(AND(B1287="",C1287=""),"",ROUND(H1287*O1287,2))</f>
        <v/>
      </c>
      <c r="Q1287" s="401" t="inlineStr">
        <is>
          <t>元件</t>
        </is>
      </c>
      <c r="R1287" s="168" t="inlineStr"/>
      <c r="S1287" s="168" t="inlineStr"/>
      <c r="T1287" s="168" t="inlineStr">
        <is>
          <t>0</t>
        </is>
      </c>
      <c r="U1287" s="168" t="inlineStr">
        <is>
          <t>RXM4AB2P7+RXZE2S114M+RXZ400</t>
        </is>
      </c>
      <c r="V1287" s="402" t="n"/>
      <c r="W1287" s="402" t="n"/>
      <c r="X1287" s="170" t="inlineStr">
        <is>
          <t>REL-IR-BL/L-230AC/4X21，含底座→RXM4AB2P7+RXZE2S114M+RXZ400→REL-IR-BL/L-230AC/4X21，含底座</t>
        </is>
      </c>
    </row>
    <row r="1288" customFormat="1" s="3">
      <c r="A1288" s="64">
        <f>ROW()-ROW(A$1275)</f>
        <v/>
      </c>
      <c r="B1288" s="22" t="inlineStr">
        <is>
          <t>带熔丝端子</t>
        </is>
      </c>
      <c r="C1288" s="22" t="inlineStr">
        <is>
          <t>UK 5-HESI</t>
        </is>
      </c>
      <c r="D1288" s="22" t="inlineStr">
        <is>
          <t>菲尼克斯</t>
        </is>
      </c>
      <c r="E1288" s="23" t="inlineStr">
        <is>
          <t>只</t>
        </is>
      </c>
      <c r="F1288" s="23" t="n">
        <v>12</v>
      </c>
      <c r="G1288" s="349">
        <f>IF(AND(B1288="",C1288=""),"",ROUND(M1288*L1288*N1288,2))</f>
        <v/>
      </c>
      <c r="H1288" s="349">
        <f>IF(AND(B1288="",C1288=""),"",ROUND(F1288*G1288,2))</f>
        <v/>
      </c>
      <c r="I1288" s="45" t="inlineStr"/>
      <c r="J1288" s="392">
        <f>IF(AND(B1288="",C1288=""),"",ROUND(M1288*N1288,2))</f>
        <v/>
      </c>
      <c r="K1288" s="393">
        <f>IF(AND(B1288="",C1288=""),"",ROUND(J1288*F1288,2))</f>
        <v/>
      </c>
      <c r="L1288" s="141" t="n">
        <v>1</v>
      </c>
      <c r="M1288" s="394" t="n">
        <v>7</v>
      </c>
      <c r="N1288" s="220" t="n">
        <v>1</v>
      </c>
      <c r="O1288" s="221">
        <f>IF(AND(B1288="",C1288=""),"",IF(G1288&gt;=20000,0.05,IF(G1288&gt;=10000,0.1,IF(G1288&gt;=5000,0.2,IF(G1288&gt;=1000,0.3,IF(G1288&gt;=0,0.4,{0}))))))</f>
        <v/>
      </c>
      <c r="P1288" s="419">
        <f>IF(AND(B1288="",C1288=""),"",ROUND(H1288*O1288,2))</f>
        <v/>
      </c>
      <c r="Q1288" s="420" t="inlineStr">
        <is>
          <t>元件</t>
        </is>
      </c>
      <c r="R1288" s="231" t="inlineStr"/>
      <c r="S1288" s="231" t="inlineStr"/>
      <c r="T1288" s="231" t="inlineStr">
        <is>
          <t>0</t>
        </is>
      </c>
      <c r="U1288" s="231" t="inlineStr">
        <is>
          <t>True</t>
        </is>
      </c>
      <c r="V1288" s="421" t="n"/>
      <c r="W1288" s="421" t="n"/>
      <c r="X1288" s="166" t="inlineStr"/>
    </row>
    <row r="1289" s="308">
      <c r="A1289" s="64">
        <f>ROW()-ROW(A$1275)</f>
        <v/>
      </c>
      <c r="B1289" s="22" t="inlineStr">
        <is>
          <t>水平母排</t>
        </is>
      </c>
      <c r="C1289" s="22" t="inlineStr">
        <is>
          <t>TMY 4*(4*150*5)+2*50*5</t>
        </is>
      </c>
      <c r="D1289" s="22" t="inlineStr">
        <is>
          <t>国产优质</t>
        </is>
      </c>
      <c r="E1289" s="23" t="inlineStr">
        <is>
          <t>米</t>
        </is>
      </c>
      <c r="F1289" s="23" t="n">
        <v>0.7</v>
      </c>
      <c r="G1289" s="349">
        <f>IF(AND(B1289="",C1289=""),"",ROUND(M1289*L1289*N1289,2))</f>
        <v/>
      </c>
      <c r="H1289" s="349">
        <f>IF(AND(B1289="",C1289=""),"",ROUND(F1289*G1289,2))</f>
        <v/>
      </c>
      <c r="I1289" s="45" t="inlineStr"/>
      <c r="J1289" s="397">
        <f>IF(AND(B1289="",C1289=""),"",ROUND(M1289*N1289,2))</f>
        <v/>
      </c>
      <c r="K1289" s="398">
        <f>IF(AND(B1289="",C1289=""),"",ROUND(J1289*F1289,2))</f>
        <v/>
      </c>
      <c r="L1289" s="200" t="n">
        <v>1</v>
      </c>
      <c r="M1289" s="399" t="n">
        <v>12026.68125</v>
      </c>
      <c r="N1289" s="154">
        <f>(6317.932*1*1+2684.8*1*1)/9002.732</f>
        <v/>
      </c>
      <c r="O1289" s="155">
        <f>IF(AND(B1289="",C1289=""),"",IF(J1289&gt;=20000,0.05,IF(J1289&gt;=10000,0.1,IF(J1289&gt;=5000,0.2,IF(J1289&gt;=1000,0.3,IF(J1289&gt;=0,0.4,{0}))))))</f>
        <v/>
      </c>
      <c r="P1289" s="400">
        <f>IF(AND(B1289="",C1289=""),"",ROUND(H1289*O1289,2))</f>
        <v/>
      </c>
      <c r="Q1289" s="401" t="inlineStr">
        <is>
          <t>母排</t>
        </is>
      </c>
      <c r="R1289" s="168" t="inlineStr"/>
      <c r="S1289" s="168" t="inlineStr"/>
      <c r="T1289" s="168" t="inlineStr">
        <is>
          <t>0</t>
        </is>
      </c>
      <c r="U1289" s="168" t="inlineStr"/>
      <c r="V1289" s="402" t="n"/>
      <c r="W1289" s="402" t="n"/>
      <c r="X1289" s="170" t="inlineStr"/>
    </row>
    <row r="1290" customFormat="1" s="5">
      <c r="A1290" s="64">
        <f>ROW()-ROW(A$1275)</f>
        <v/>
      </c>
      <c r="B1290" s="22" t="inlineStr">
        <is>
          <t>桩头排</t>
        </is>
      </c>
      <c r="C1290" s="22" t="inlineStr">
        <is>
          <t>TMY 3*80*5</t>
        </is>
      </c>
      <c r="D1290" s="22" t="inlineStr">
        <is>
          <t>国产优质</t>
        </is>
      </c>
      <c r="E1290" s="23" t="inlineStr">
        <is>
          <t>米</t>
        </is>
      </c>
      <c r="F1290" s="23" t="n">
        <v>3</v>
      </c>
      <c r="G1290" s="349">
        <f>IF(AND(B1290="",C1290=""),"",ROUND(M1290*L1290*N1290,2))</f>
        <v/>
      </c>
      <c r="H1290" s="349">
        <f>IF(AND(B1290="",C1290=""),"",ROUND(F1290*G1290,2))</f>
        <v/>
      </c>
      <c r="I1290" s="45" t="inlineStr"/>
      <c r="J1290" s="422">
        <f>IF(AND(B1290="",C1290=""),"",ROUND(M1290*N1290,2))</f>
        <v/>
      </c>
      <c r="K1290" s="423">
        <f>IF(AND(B1290="",C1290=""),"",ROUND(J1290*F1290,2))</f>
        <v/>
      </c>
      <c r="L1290" s="225" t="n">
        <v>1</v>
      </c>
      <c r="M1290" s="424" t="n">
        <v>1154.5614</v>
      </c>
      <c r="N1290" s="227" t="n">
        <v>1</v>
      </c>
      <c r="O1290" s="228">
        <f>IF(AND(B1290="",C1290=""),"",IF(G1290&gt;=20000,0.05,IF(G1290&gt;=10000,0.1,IF(G1290&gt;=5000,0.2,IF(G1290&gt;=1000,0.3,IF(G1290&gt;=0,0.4,{0}))))))</f>
        <v/>
      </c>
      <c r="P1290" s="425">
        <f>IF(AND(B1290="",C1290=""),"",ROUND(H1290*O1290,2))</f>
        <v/>
      </c>
      <c r="Q1290" s="426" t="inlineStr">
        <is>
          <t>母排</t>
        </is>
      </c>
      <c r="R1290" s="234" t="inlineStr"/>
      <c r="S1290" s="234" t="inlineStr"/>
      <c r="T1290" s="235" t="inlineStr">
        <is>
          <t>0</t>
        </is>
      </c>
      <c r="U1290" s="235" t="inlineStr"/>
      <c r="V1290" s="427" t="n"/>
      <c r="W1290" s="427" t="n"/>
      <c r="X1290" s="237" t="inlineStr">
        <is>
          <t>TMY 2*30*5→TMY 30*8</t>
        </is>
      </c>
    </row>
    <row r="1291" customFormat="1" s="5">
      <c r="A1291" s="64">
        <f>ROW()-ROW(A$1275)</f>
        <v/>
      </c>
      <c r="B1291" s="22" t="inlineStr">
        <is>
          <t>桩头排</t>
        </is>
      </c>
      <c r="C1291" s="22" t="inlineStr">
        <is>
          <t>TMY 3*2*80*5</t>
        </is>
      </c>
      <c r="D1291" s="22" t="inlineStr">
        <is>
          <t>国产优质</t>
        </is>
      </c>
      <c r="E1291" s="23" t="inlineStr">
        <is>
          <t>米</t>
        </is>
      </c>
      <c r="F1291" s="23" t="n">
        <v>1.5</v>
      </c>
      <c r="G1291" s="349">
        <f>IF(AND(B1291="",C1291=""),"",ROUND(M1291*L1291*N1291,2))</f>
        <v/>
      </c>
      <c r="H1291" s="349">
        <f>IF(AND(B1291="",C1291=""),"",ROUND(F1291*G1291,2))</f>
        <v/>
      </c>
      <c r="I1291" s="45" t="inlineStr"/>
      <c r="J1291" s="422">
        <f>IF(AND(B1291="",C1291=""),"",ROUND(M1291*N1291,2))</f>
        <v/>
      </c>
      <c r="K1291" s="423">
        <f>IF(AND(B1291="",C1291=""),"",ROUND(J1291*F1291,2))</f>
        <v/>
      </c>
      <c r="L1291" s="225" t="n">
        <v>1</v>
      </c>
      <c r="M1291" s="424" t="n">
        <v>2309.1228</v>
      </c>
      <c r="N1291" s="227" t="n">
        <v>1</v>
      </c>
      <c r="O1291" s="228">
        <f>IF(AND(B1291="",C1291=""),"",IF(G1291&gt;=20000,0.05,IF(G1291&gt;=10000,0.1,IF(G1291&gt;=5000,0.2,IF(G1291&gt;=1000,0.3,IF(G1291&gt;=0,0.4,{0}))))))</f>
        <v/>
      </c>
      <c r="P1291" s="425">
        <f>IF(AND(B1291="",C1291=""),"",ROUND(H1291*O1291,2))</f>
        <v/>
      </c>
      <c r="Q1291" s="426" t="inlineStr">
        <is>
          <t>母排</t>
        </is>
      </c>
      <c r="R1291" s="234" t="inlineStr"/>
      <c r="S1291" s="234" t="inlineStr"/>
      <c r="T1291" s="235" t="inlineStr">
        <is>
          <t>0</t>
        </is>
      </c>
      <c r="U1291" s="235" t="inlineStr"/>
      <c r="V1291" s="427" t="n"/>
      <c r="W1291" s="427" t="n"/>
      <c r="X1291" s="237" t="inlineStr">
        <is>
          <t>TMY 2*30*5→TMY 30*8</t>
        </is>
      </c>
    </row>
    <row r="1292" customFormat="1" s="5">
      <c r="A1292" s="64">
        <f>ROW()-ROW(A$1275)</f>
        <v/>
      </c>
      <c r="B1292" s="22" t="inlineStr">
        <is>
          <t>垂直排</t>
        </is>
      </c>
      <c r="C1292" s="22" t="inlineStr">
        <is>
          <t>TMY 3*2*80*5</t>
        </is>
      </c>
      <c r="D1292" s="22" t="inlineStr">
        <is>
          <t>国产优质</t>
        </is>
      </c>
      <c r="E1292" s="23" t="inlineStr">
        <is>
          <t>米</t>
        </is>
      </c>
      <c r="F1292" s="23" t="n">
        <v>2</v>
      </c>
      <c r="G1292" s="349">
        <f>IF(AND(B1292="",C1292=""),"",ROUND(M1292*L1292*N1292,2))</f>
        <v/>
      </c>
      <c r="H1292" s="349">
        <f>IF(AND(B1292="",C1292=""),"",ROUND(F1292*G1292,2))</f>
        <v/>
      </c>
      <c r="I1292" s="45" t="inlineStr"/>
      <c r="J1292" s="422">
        <f>IF(AND(B1292="",C1292=""),"",ROUND(M1292*N1292,2))</f>
        <v/>
      </c>
      <c r="K1292" s="423">
        <f>IF(AND(B1292="",C1292=""),"",ROUND(J1292*F1292,2))</f>
        <v/>
      </c>
      <c r="L1292" s="225" t="n">
        <v>1</v>
      </c>
      <c r="M1292" s="424" t="n">
        <v>2309.1228</v>
      </c>
      <c r="N1292" s="227" t="n">
        <v>1</v>
      </c>
      <c r="O1292" s="228">
        <f>IF(AND(B1292="",C1292=""),"",IF(G1292&gt;=20000,0.05,IF(G1292&gt;=10000,0.1,IF(G1292&gt;=5000,0.2,IF(G1292&gt;=1000,0.3,IF(G1292&gt;=0,0.4,{0}))))))</f>
        <v/>
      </c>
      <c r="P1292" s="425">
        <f>IF(AND(B1292="",C1292=""),"",ROUND(H1292*O1292,2))</f>
        <v/>
      </c>
      <c r="Q1292" s="426" t="inlineStr">
        <is>
          <t>母排</t>
        </is>
      </c>
      <c r="R1292" s="234" t="inlineStr"/>
      <c r="S1292" s="234" t="inlineStr"/>
      <c r="T1292" s="235" t="inlineStr">
        <is>
          <t>0</t>
        </is>
      </c>
      <c r="U1292" s="235" t="inlineStr"/>
      <c r="V1292" s="427" t="n"/>
      <c r="W1292" s="427" t="n"/>
      <c r="X1292" s="237" t="inlineStr">
        <is>
          <t>TMY 2*30*5→TMY 30*8</t>
        </is>
      </c>
    </row>
    <row r="1293" customFormat="1" s="5">
      <c r="A1293" s="64">
        <f>ROW()-ROW(A$1275)</f>
        <v/>
      </c>
      <c r="B1293" s="22" t="inlineStr">
        <is>
          <t>N排</t>
        </is>
      </c>
      <c r="C1293" s="22" t="inlineStr">
        <is>
          <t>TMY 2*80*10</t>
        </is>
      </c>
      <c r="D1293" s="22" t="inlineStr">
        <is>
          <t>国产优质</t>
        </is>
      </c>
      <c r="E1293" s="23" t="inlineStr">
        <is>
          <t>米</t>
        </is>
      </c>
      <c r="F1293" s="23" t="n">
        <v>3</v>
      </c>
      <c r="G1293" s="349">
        <f>IF(AND(B1293="",C1293=""),"",ROUND(M1293*L1293*N1293,2))</f>
        <v/>
      </c>
      <c r="H1293" s="349">
        <f>IF(AND(B1293="",C1293=""),"",ROUND(F1293*G1293,2))</f>
        <v/>
      </c>
      <c r="I1293" s="45" t="inlineStr"/>
      <c r="J1293" s="422">
        <f>IF(AND(B1293="",C1293=""),"",ROUND(M1293*N1293,2))</f>
        <v/>
      </c>
      <c r="K1293" s="423">
        <f>IF(AND(B1293="",C1293=""),"",ROUND(J1293*F1293,2))</f>
        <v/>
      </c>
      <c r="L1293" s="225" t="n">
        <v>1</v>
      </c>
      <c r="M1293" s="424" t="n">
        <v>1539.4152</v>
      </c>
      <c r="N1293" s="227" t="n">
        <v>1</v>
      </c>
      <c r="O1293" s="228">
        <f>IF(AND(B1293="",C1293=""),"",IF(G1293&gt;=20000,0.05,IF(G1293&gt;=10000,0.1,IF(G1293&gt;=5000,0.2,IF(G1293&gt;=1000,0.3,IF(G1293&gt;=0,0.4,{0}))))))</f>
        <v/>
      </c>
      <c r="P1293" s="425">
        <f>IF(AND(B1293="",C1293=""),"",ROUND(H1293*O1293,2))</f>
        <v/>
      </c>
      <c r="Q1293" s="426" t="inlineStr">
        <is>
          <t>母排</t>
        </is>
      </c>
      <c r="R1293" s="234" t="inlineStr"/>
      <c r="S1293" s="234" t="inlineStr"/>
      <c r="T1293" s="235" t="inlineStr">
        <is>
          <t>0</t>
        </is>
      </c>
      <c r="U1293" s="235" t="inlineStr"/>
      <c r="V1293" s="427" t="n"/>
      <c r="W1293" s="427" t="n"/>
      <c r="X1293" s="237" t="inlineStr">
        <is>
          <t>TMY 2*30*5→TMY 30*8</t>
        </is>
      </c>
    </row>
    <row r="1294" customFormat="1" s="5">
      <c r="A1294" s="64">
        <f>ROW()-ROW(A$1275)</f>
        <v/>
      </c>
      <c r="B1294" s="22" t="inlineStr">
        <is>
          <t>PE排</t>
        </is>
      </c>
      <c r="C1294" s="22" t="inlineStr">
        <is>
          <t>TMY 2*50*5</t>
        </is>
      </c>
      <c r="D1294" s="22" t="inlineStr">
        <is>
          <t>国产优质</t>
        </is>
      </c>
      <c r="E1294" s="23" t="inlineStr">
        <is>
          <t>米</t>
        </is>
      </c>
      <c r="F1294" s="23" t="n">
        <v>2</v>
      </c>
      <c r="G1294" s="349">
        <f>IF(AND(B1294="",C1294=""),"",ROUND(M1294*L1294*N1294,2))</f>
        <v/>
      </c>
      <c r="H1294" s="349">
        <f>IF(AND(B1294="",C1294=""),"",ROUND(F1294*G1294,2))</f>
        <v/>
      </c>
      <c r="I1294" s="45" t="inlineStr"/>
      <c r="J1294" s="422">
        <f>IF(AND(B1294="",C1294=""),"",ROUND(M1294*N1294,2))</f>
        <v/>
      </c>
      <c r="K1294" s="423">
        <f>IF(AND(B1294="",C1294=""),"",ROUND(J1294*F1294,2))</f>
        <v/>
      </c>
      <c r="L1294" s="225" t="n">
        <v>1</v>
      </c>
      <c r="M1294" s="424" t="n">
        <v>481.06725</v>
      </c>
      <c r="N1294" s="227" t="n">
        <v>1</v>
      </c>
      <c r="O1294" s="228">
        <f>IF(AND(B1294="",C1294=""),"",IF(G1294&gt;=20000,0.05,IF(G1294&gt;=10000,0.1,IF(G1294&gt;=5000,0.2,IF(G1294&gt;=1000,0.3,IF(G1294&gt;=0,0.4,{0}))))))</f>
        <v/>
      </c>
      <c r="P1294" s="425">
        <f>IF(AND(B1294="",C1294=""),"",ROUND(H1294*O1294,2))</f>
        <v/>
      </c>
      <c r="Q1294" s="426" t="inlineStr">
        <is>
          <t>母排</t>
        </is>
      </c>
      <c r="R1294" s="234" t="inlineStr"/>
      <c r="S1294" s="234" t="inlineStr"/>
      <c r="T1294" s="235" t="inlineStr">
        <is>
          <t>0</t>
        </is>
      </c>
      <c r="U1294" s="235" t="inlineStr"/>
      <c r="V1294" s="427" t="n"/>
      <c r="W1294" s="427" t="n"/>
      <c r="X1294" s="237" t="inlineStr">
        <is>
          <t>TMY 2*30*5→TMY 30*8</t>
        </is>
      </c>
    </row>
    <row r="1295" s="308">
      <c r="A1295" s="64">
        <f>ROW()-ROW(A$1275)</f>
        <v/>
      </c>
      <c r="B1295" s="112" t="inlineStr">
        <is>
          <t>辅料</t>
        </is>
      </c>
      <c r="C1295" s="112" t="inlineStr"/>
      <c r="D1295" s="112" t="inlineStr"/>
      <c r="E1295" s="114" t="inlineStr">
        <is>
          <t>套</t>
        </is>
      </c>
      <c r="F1295" s="114" t="n">
        <v>1</v>
      </c>
      <c r="G1295" s="396">
        <f>IF(AND(B1295="",C1295=""),"",ROUND(M1295*L1295*N1295,2))</f>
        <v/>
      </c>
      <c r="H1295" s="396">
        <f>IF(AND(B1295="",C1295=""),"",ROUND(F1295*G1295,2))</f>
        <v/>
      </c>
      <c r="I1295" s="219" t="inlineStr"/>
      <c r="J1295" s="397">
        <f>IF(AND(B1295="",C1295=""),"",ROUND(M1295*N1295,2))</f>
        <v/>
      </c>
      <c r="K1295" s="398">
        <f>IF(AND(B1295="",C1295=""),"",ROUND(J1295*F1295,2))</f>
        <v/>
      </c>
      <c r="L1295" s="200" t="n">
        <v>1</v>
      </c>
      <c r="M1295" s="399" t="n">
        <v>1050</v>
      </c>
      <c r="N1295" s="154" t="n">
        <v>1</v>
      </c>
      <c r="O1295" s="155">
        <f>IF(AND(B1295="",C1295=""),"",IF(G1295&gt;=20000,0.05,IF(G1295&gt;=10000,0.1,IF(G1295&gt;=5000,0.2,IF(G1295&gt;=1000,0.3,IF(G1295&gt;=0,0.4,{0}))))))</f>
        <v/>
      </c>
      <c r="P1295" s="400">
        <f>IF(AND(B1295="",C1295=""),"",ROUND(H1295*O1295,2))</f>
        <v/>
      </c>
      <c r="Q1295" s="401" t="inlineStr">
        <is>
          <t>辅料</t>
        </is>
      </c>
      <c r="R1295" s="168" t="inlineStr"/>
      <c r="S1295" s="168" t="inlineStr"/>
      <c r="T1295" s="168" t="inlineStr">
        <is>
          <t>0</t>
        </is>
      </c>
      <c r="U1295" s="168" t="inlineStr"/>
      <c r="V1295" s="402" t="n"/>
      <c r="W1295" s="402" t="n"/>
      <c r="X1295" s="170" t="inlineStr"/>
    </row>
    <row r="1296" s="308">
      <c r="A1296" s="64">
        <f>ROW()-ROW(A$1275)</f>
        <v/>
      </c>
      <c r="B1296" s="112" t="inlineStr">
        <is>
          <t>柜体Blokset</t>
        </is>
      </c>
      <c r="C1296" s="22" t="inlineStr">
        <is>
          <t>600W*1200D*2200H</t>
        </is>
      </c>
      <c r="D1296" s="112" t="inlineStr">
        <is>
          <t>清科</t>
        </is>
      </c>
      <c r="E1296" s="114" t="inlineStr">
        <is>
          <t>台</t>
        </is>
      </c>
      <c r="F1296" s="114" t="n">
        <v>1</v>
      </c>
      <c r="G1296" s="396">
        <f>IF(AND(B1296="",C1296=""),"",ROUND(M1296*L1296*N1296,2))</f>
        <v/>
      </c>
      <c r="H1296" s="396">
        <f>IF(AND(B1296="",C1296=""),"",ROUND(F1296*G1296,2))</f>
        <v/>
      </c>
      <c r="I1296" s="219" t="inlineStr"/>
      <c r="J1296" s="397">
        <f>IF(AND(B1296="",C1296=""),"",ROUND(M1296*N1296,2))</f>
        <v/>
      </c>
      <c r="K1296" s="398">
        <f>IF(AND(B1296="",C1296=""),"",ROUND(J1296*F1296,2))</f>
        <v/>
      </c>
      <c r="L1296" s="200" t="n">
        <v>1</v>
      </c>
      <c r="M1296" s="399" t="n">
        <v>5056</v>
      </c>
      <c r="N1296" s="154" t="n">
        <v>1</v>
      </c>
      <c r="O1296" s="155">
        <f>IF(AND(B1296="",C1296=""),"",IF(G1296&gt;=20000,0.05,IF(G1296&gt;=10000,0.1,IF(G1296&gt;=5000,0.2,IF(G1296&gt;=1000,0.3,IF(G1296&gt;=0,0.4,{0}))))))</f>
        <v/>
      </c>
      <c r="P1296" s="400">
        <f>IF(AND(B1296="",C1296=""),"",ROUND(H1296*O1296,2))</f>
        <v/>
      </c>
      <c r="Q1296" s="401" t="inlineStr">
        <is>
          <t>箱体</t>
        </is>
      </c>
      <c r="R1296" s="168" t="inlineStr"/>
      <c r="S1296" s="168" t="inlineStr"/>
      <c r="T1296" s="168" t="inlineStr">
        <is>
          <t>0</t>
        </is>
      </c>
      <c r="U1296" s="168" t="inlineStr"/>
      <c r="V1296" s="402" t="n"/>
      <c r="W1296" s="402" t="n"/>
      <c r="X1296" s="170" t="inlineStr">
        <is>
          <t>BlokSeT</t>
        </is>
      </c>
    </row>
    <row r="1297" s="308">
      <c r="A1297" s="64">
        <f>ROW()-ROW(A$1275)</f>
        <v/>
      </c>
      <c r="B1297" s="22" t="inlineStr"/>
      <c r="C1297" s="22" t="inlineStr"/>
      <c r="D1297" s="22" t="inlineStr"/>
      <c r="E1297" s="23" t="n"/>
      <c r="F1297" s="23">
        <f>IF(AND(B1297="",C1297=""),"",1)</f>
        <v/>
      </c>
      <c r="G1297" s="349">
        <f>IF(AND(B1297="",C1297=""),"",ROUND(M1297*L1297*N1297,2))</f>
        <v/>
      </c>
      <c r="H1297" s="349">
        <f>IF(AND(B1297="",C1297=""),"",ROUND(F1297*G1297,2))</f>
        <v/>
      </c>
      <c r="I1297" s="45" t="inlineStr"/>
      <c r="J1297" s="397">
        <f>IF(AND(B1297="",C1297=""),"",ROUND(M1297*N1297,2))</f>
        <v/>
      </c>
      <c r="K1297" s="398">
        <f>IF(AND(B1297="",C1297=""),"",ROUND(J1297*F1297,2))</f>
        <v/>
      </c>
      <c r="L1297" s="200">
        <f>IF(AND(B1297="",C1297=""),"",1)</f>
        <v/>
      </c>
      <c r="M1297" s="399" t="n"/>
      <c r="N1297" s="154">
        <f>IF(AND(B1297="",C1297=""),"",1)</f>
        <v/>
      </c>
      <c r="O1297" s="155">
        <f>IF(AND(B1297="",C1297=""),"",IF(J1297&gt;=20000,0.05,IF(J1297&gt;=10000,0.1,IF(J1297&gt;=5000,0.2,IF(J1297&gt;=1000,0.3,IF(J1297&gt;=0,0.4,{0}))))))</f>
        <v/>
      </c>
      <c r="P1297" s="400">
        <f>IF(AND(B1297="",C1297=""),"",ROUND(H1297*O1297,2))</f>
        <v/>
      </c>
      <c r="Q1297" s="401">
        <f>IF(AND(B1297="",C1297=""),"","元件")</f>
        <v/>
      </c>
      <c r="R1297" s="168" t="inlineStr"/>
      <c r="S1297" s="168" t="inlineStr"/>
      <c r="T1297" s="168" t="inlineStr"/>
      <c r="U1297" s="168" t="inlineStr"/>
      <c r="V1297" s="402" t="n"/>
      <c r="W1297" s="402" t="n"/>
      <c r="X1297" s="170" t="inlineStr"/>
    </row>
    <row r="1298" s="308">
      <c r="A1298" s="64">
        <f>ROW()-ROW(A$1275)</f>
        <v/>
      </c>
      <c r="B1298" s="171" t="inlineStr">
        <is>
          <t>小计</t>
        </is>
      </c>
      <c r="C1298" s="172" t="n"/>
      <c r="D1298" s="204" t="n"/>
      <c r="E1298" s="114" t="n"/>
      <c r="F1298" s="114" t="n"/>
      <c r="G1298" s="396" t="n"/>
      <c r="H1298" s="396">
        <f>ROUND(SUM(H1275:INDEX(H:H,ROW()-1)),2)</f>
        <v/>
      </c>
      <c r="I1298" s="45" t="inlineStr"/>
      <c r="J1298" s="397" t="n"/>
      <c r="K1298" s="398">
        <f>ROUND(SUM(K1275:INDEX(K:K,ROW()-1)),2)</f>
        <v/>
      </c>
      <c r="L1298" s="200" t="n"/>
      <c r="M1298" s="399" t="n"/>
      <c r="N1298" s="154" t="n"/>
      <c r="O1298" s="155" t="n"/>
      <c r="P1298" s="400" t="n"/>
      <c r="Q1298" s="401" t="n"/>
      <c r="R1298" s="168" t="inlineStr"/>
      <c r="S1298" s="168" t="inlineStr"/>
      <c r="T1298" s="168" t="inlineStr"/>
      <c r="U1298" s="168" t="inlineStr"/>
      <c r="V1298" s="402">
        <f>ROUND(SUMPRODUCT(F1275:INDEX(F:F,ROW()-1),V1275:INDEX(V:V,ROW()-1)),2)</f>
        <v/>
      </c>
      <c r="W1298" s="402">
        <f>ROUND(SUMPRODUCT(F1275:INDEX(F:F,ROW()-1),W1275:INDEX(W:W,ROW()-1)),2)</f>
        <v/>
      </c>
      <c r="X1298" s="170" t="inlineStr"/>
    </row>
    <row r="1299" s="308">
      <c r="A1299" s="64">
        <f>ROW()-ROW(A$1275)</f>
        <v/>
      </c>
      <c r="B1299" s="171" t="inlineStr">
        <is>
          <t>综合费(人工、管理、税金、利润等)</t>
        </is>
      </c>
      <c r="C1299" s="172" t="n"/>
      <c r="D1299" s="204" t="n"/>
      <c r="E1299" s="114" t="n"/>
      <c r="F1299" s="114" t="n"/>
      <c r="G1299" s="396" t="n"/>
      <c r="H1299" s="396">
        <f>2500</f>
        <v/>
      </c>
      <c r="I1299" s="45" t="inlineStr"/>
      <c r="J1299" s="397" t="n"/>
      <c r="K1299" s="398" t="n"/>
      <c r="L1299" s="200" t="n"/>
      <c r="M1299" s="399" t="n"/>
      <c r="N1299" s="154" t="n"/>
      <c r="O1299" s="155" t="n"/>
      <c r="P1299" s="400" t="n"/>
      <c r="Q1299" s="401" t="inlineStr">
        <is>
          <t>费用</t>
        </is>
      </c>
      <c r="R1299" s="168" t="inlineStr"/>
      <c r="S1299" s="168" t="inlineStr"/>
      <c r="T1299" s="168" t="inlineStr"/>
      <c r="U1299" s="168" t="inlineStr"/>
      <c r="V1299" s="402" t="n"/>
      <c r="W1299" s="402" t="n"/>
      <c r="X1299" s="170" t="inlineStr"/>
    </row>
    <row r="1300" s="308">
      <c r="A1300" s="64">
        <f>ROW()-ROW(A$1275)</f>
        <v/>
      </c>
      <c r="B1300" s="204" t="inlineStr">
        <is>
          <t>单台合计</t>
        </is>
      </c>
      <c r="C1300" s="172" t="n"/>
      <c r="D1300" s="204" t="n"/>
      <c r="E1300" s="114" t="n"/>
      <c r="F1300" s="114" t="n"/>
      <c r="G1300" s="396" t="n"/>
      <c r="H1300" s="396">
        <f>ROUND(SUM(H1298:H1299),2)</f>
        <v/>
      </c>
      <c r="I1300" s="181" t="n"/>
      <c r="J1300" s="397" t="n"/>
      <c r="K1300" s="398">
        <f>ROUND(SUM(K1298:K1299),2)</f>
        <v/>
      </c>
      <c r="L1300" s="209" t="n"/>
      <c r="M1300" s="399" t="n"/>
      <c r="N1300" s="210" t="n"/>
      <c r="O1300" s="211" t="n"/>
      <c r="P1300" s="400" t="n"/>
      <c r="Q1300" s="401" t="n"/>
      <c r="R1300" s="168" t="inlineStr"/>
      <c r="S1300" s="168" t="inlineStr"/>
      <c r="T1300" s="168" t="inlineStr"/>
      <c r="U1300" s="168" t="inlineStr"/>
      <c r="V1300" s="402" t="n"/>
      <c r="W1300" s="402" t="n"/>
      <c r="X1300" s="170" t="inlineStr"/>
    </row>
    <row r="1301" s="308">
      <c r="A1301" s="173" t="inlineStr">
        <is>
          <t>总计</t>
        </is>
      </c>
      <c r="B1301" s="205" t="n"/>
      <c r="C1301" s="175" t="n"/>
      <c r="D1301" s="206" t="n"/>
      <c r="E1301" s="206" t="inlineStr">
        <is>
          <t>台</t>
        </is>
      </c>
      <c r="F1301" s="206" t="n">
        <v>4</v>
      </c>
      <c r="G1301" s="414">
        <f>ROUND(H1300,2)</f>
        <v/>
      </c>
      <c r="H1301" s="414">
        <f>ROUND(F1301*G1301,2)</f>
        <v/>
      </c>
      <c r="I1301" s="185" t="n"/>
      <c r="J1301" s="415" t="n"/>
      <c r="K1301" s="416">
        <f>ROUND(K1300*F1301,2)</f>
        <v/>
      </c>
      <c r="L1301" s="214" t="n"/>
      <c r="M1301" s="417" t="n"/>
      <c r="N1301" s="216" t="n"/>
      <c r="O1301" s="217" t="n"/>
      <c r="P1301" s="418" t="n"/>
      <c r="Q1301" s="401" t="n"/>
      <c r="R1301" s="168" t="inlineStr"/>
      <c r="S1301" s="168" t="inlineStr"/>
      <c r="T1301" s="168" t="inlineStr"/>
      <c r="U1301" s="168" t="inlineStr"/>
      <c r="V1301" s="402" t="n"/>
      <c r="W1301" s="402" t="n"/>
      <c r="X1301" s="170" t="inlineStr"/>
    </row>
    <row r="1302" customFormat="1" s="4">
      <c r="A1302" s="6" t="n"/>
      <c r="B1302" s="195" t="inlineStr"/>
      <c r="C1302" s="195" t="inlineStr"/>
      <c r="D1302" s="195" t="inlineStr"/>
      <c r="Q1302" s="159" t="n"/>
      <c r="R1302" s="159" t="n"/>
      <c r="S1302" s="159" t="n"/>
      <c r="T1302" s="159" t="n"/>
      <c r="U1302" s="159" t="n"/>
      <c r="X1302" s="195" t="inlineStr"/>
    </row>
    <row r="1303" customFormat="1" s="4">
      <c r="A1303" s="6" t="n"/>
      <c r="B1303" s="195" t="inlineStr"/>
      <c r="C1303" s="195" t="inlineStr"/>
      <c r="D1303" s="195" t="inlineStr"/>
      <c r="Q1303" s="159" t="n"/>
      <c r="R1303" s="159" t="n"/>
      <c r="S1303" s="159" t="n"/>
      <c r="T1303" s="159" t="n"/>
      <c r="U1303" s="159" t="n"/>
      <c r="X1303" s="195" t="inlineStr"/>
    </row>
    <row r="1304" s="308">
      <c r="A1304" s="208">
        <f>CONCATENATE("报价人：",项目信息!$B$8)</f>
        <v/>
      </c>
      <c r="B1304" s="208" t="n"/>
      <c r="C1304" s="4" t="n"/>
      <c r="D1304" s="4" t="n"/>
      <c r="E1304" s="4" t="n"/>
      <c r="F1304" s="4" t="n"/>
      <c r="G1304" s="4" t="n"/>
      <c r="H1304" s="178">
        <f>项目信息!$B$9</f>
        <v/>
      </c>
      <c r="Q1304" s="159" t="n"/>
      <c r="R1304" s="159" t="n"/>
      <c r="S1304" s="159" t="n"/>
      <c r="T1304" s="159" t="n"/>
      <c r="U1304" s="159" t="n"/>
      <c r="X1304" s="203" t="inlineStr"/>
    </row>
    <row r="1305" s="308">
      <c r="A1305" s="8">
        <f>T(项目信息!$B$22)</f>
        <v/>
      </c>
      <c r="Q1305" s="159" t="n"/>
      <c r="R1305" s="159" t="n"/>
      <c r="S1305" s="159" t="n"/>
      <c r="T1305" s="159" t="n"/>
      <c r="U1305" s="159" t="n"/>
    </row>
    <row r="1306" s="308">
      <c r="A1306" s="9">
        <f>T(项目信息!$B$23)</f>
        <v/>
      </c>
      <c r="Q1306" s="159" t="n"/>
      <c r="R1306" s="159" t="n"/>
      <c r="S1306" s="159" t="n"/>
      <c r="T1306" s="159" t="n"/>
      <c r="U1306" s="159" t="n"/>
    </row>
    <row r="1307" s="308">
      <c r="A1307" s="97" t="inlineStr">
        <is>
          <t>成套产品报价明细表</t>
        </is>
      </c>
      <c r="B1307" s="378" t="n"/>
      <c r="C1307" s="378" t="n"/>
      <c r="D1307" s="378" t="n"/>
      <c r="E1307" s="378" t="n"/>
      <c r="F1307" s="378" t="n"/>
      <c r="G1307" s="378" t="n"/>
      <c r="H1307" s="378" t="n"/>
      <c r="I1307" s="378" t="n"/>
      <c r="Q1307" s="159" t="n"/>
      <c r="R1307" s="159" t="n"/>
      <c r="S1307" s="159" t="n"/>
      <c r="T1307" s="159" t="n"/>
      <c r="U1307" s="159" t="n"/>
    </row>
    <row r="1308" customFormat="1" s="4">
      <c r="A1308" s="98" t="inlineStr">
        <is>
          <t>柜号:</t>
        </is>
      </c>
      <c r="B1308" s="99" t="inlineStr">
        <is>
          <t>AAN9-07、BAN10-07、AAN11-07、BAN12-07</t>
        </is>
      </c>
      <c r="C1308" s="100" t="inlineStr">
        <is>
          <t>型号:</t>
        </is>
      </c>
      <c r="D1308" s="99" t="inlineStr">
        <is>
          <t>BlokSeT</t>
        </is>
      </c>
      <c r="E1308" s="379" t="n"/>
      <c r="F1308" s="101" t="inlineStr">
        <is>
          <t>名称:</t>
        </is>
      </c>
      <c r="G1308" s="99" t="inlineStr">
        <is>
          <t>馈线柜</t>
        </is>
      </c>
      <c r="H1308" s="379" t="n"/>
      <c r="I1308" s="408" t="inlineStr"/>
      <c r="J1308" s="194" t="inlineStr">
        <is>
          <t>箱柜尺寸:</t>
        </is>
      </c>
      <c r="K1308" s="195" t="inlineStr">
        <is>
          <t>700W*1200D*2200H</t>
        </is>
      </c>
      <c r="L1308" s="194" t="inlineStr">
        <is>
          <t>类别:</t>
        </is>
      </c>
      <c r="M1308" s="195" t="inlineStr">
        <is>
          <t>低压固定柜</t>
        </is>
      </c>
      <c r="N1308" s="409" t="inlineStr"/>
      <c r="Q1308" s="159" t="n"/>
      <c r="R1308" s="159" t="n"/>
      <c r="S1308" s="159" t="n"/>
      <c r="T1308" s="159" t="n"/>
      <c r="U1308" s="159" t="n"/>
    </row>
    <row r="1309" ht="20.1" customHeight="1" s="308">
      <c r="A1309" s="102" t="inlineStr">
        <is>
          <t>序号</t>
        </is>
      </c>
      <c r="B1309" s="103" t="inlineStr">
        <is>
          <t>元件名称</t>
        </is>
      </c>
      <c r="C1309" s="103" t="inlineStr">
        <is>
          <t>型号规格</t>
        </is>
      </c>
      <c r="D1309" s="104" t="inlineStr">
        <is>
          <t>生产厂家</t>
        </is>
      </c>
      <c r="E1309" s="105" t="inlineStr">
        <is>
          <t>单位</t>
        </is>
      </c>
      <c r="F1309" s="105" t="inlineStr">
        <is>
          <t>数量</t>
        </is>
      </c>
      <c r="G1309" s="382" t="inlineStr">
        <is>
          <t>单   价</t>
        </is>
      </c>
      <c r="H1309" s="383" t="inlineStr">
        <is>
          <t>总   价</t>
        </is>
      </c>
      <c r="I1309" s="134" t="inlineStr">
        <is>
          <t>备注</t>
        </is>
      </c>
      <c r="J1309" s="384" t="inlineStr">
        <is>
          <t>成本单价</t>
        </is>
      </c>
      <c r="K1309" s="384" t="inlineStr">
        <is>
          <t>成本总价</t>
        </is>
      </c>
      <c r="L1309" s="136" t="inlineStr">
        <is>
          <t>报出
系数</t>
        </is>
      </c>
      <c r="M1309" s="384" t="inlineStr">
        <is>
          <t>表价</t>
        </is>
      </c>
      <c r="N1309" s="136" t="inlineStr">
        <is>
          <t>折扣
系数</t>
        </is>
      </c>
      <c r="O1309" s="137" t="inlineStr">
        <is>
          <t>取费
系数</t>
        </is>
      </c>
      <c r="P1309" s="384" t="inlineStr">
        <is>
          <t>成套费</t>
        </is>
      </c>
      <c r="Q1309" s="161" t="inlineStr">
        <is>
          <t>类别</t>
        </is>
      </c>
      <c r="R1309" s="161" t="inlineStr">
        <is>
          <t>物料编码</t>
        </is>
      </c>
      <c r="S1309" s="161" t="inlineStr">
        <is>
          <t>产地</t>
        </is>
      </c>
      <c r="T1309" s="161" t="inlineStr">
        <is>
          <t>加工费</t>
        </is>
      </c>
      <c r="U1309" s="161" t="inlineStr">
        <is>
          <t>订货号</t>
        </is>
      </c>
      <c r="V1309" s="161" t="inlineStr">
        <is>
          <t>人工</t>
        </is>
      </c>
      <c r="W1309" s="161" t="inlineStr">
        <is>
          <t>辅料</t>
        </is>
      </c>
      <c r="X1309" s="203" t="inlineStr"/>
    </row>
    <row r="1310" s="308">
      <c r="A1310" s="64">
        <f>ROW()-ROW(A$1309)</f>
        <v/>
      </c>
      <c r="B1310" s="22" t="inlineStr">
        <is>
          <t>框架断路器</t>
        </is>
      </c>
      <c r="C1310" s="22" t="inlineStr">
        <is>
          <t>MT32 H1 4P MIC5.0 E</t>
        </is>
      </c>
      <c r="D1310" s="22" t="inlineStr">
        <is>
          <t>甲供/施耐德电气</t>
        </is>
      </c>
      <c r="E1310" s="23" t="inlineStr">
        <is>
          <t>只</t>
        </is>
      </c>
      <c r="F1310" s="23" t="n">
        <v>1</v>
      </c>
      <c r="G1310" s="349">
        <f>IF(AND(B1310="",C1310=""),"",ROUND(M1310*L1310*N1310,2))</f>
        <v/>
      </c>
      <c r="H1310" s="349">
        <f>IF(AND(B1310="",C1310=""),"",ROUND(F1310*G1310,2))</f>
        <v/>
      </c>
      <c r="I1310" s="45" t="inlineStr"/>
      <c r="J1310" s="397">
        <f>IF(AND(B1310="",C1310=""),"",ROUND(M1310*N1310,2))</f>
        <v/>
      </c>
      <c r="K1310" s="398">
        <f>IF(AND(B1310="",C1310=""),"",ROUND(J1310*F1310,2))</f>
        <v/>
      </c>
      <c r="L1310" s="200" t="n">
        <v>1</v>
      </c>
      <c r="M1310" s="399" t="n">
        <v>1e-07</v>
      </c>
      <c r="N1310" s="154" t="n">
        <v>1</v>
      </c>
      <c r="O1310" s="155">
        <f>IF(AND(B1310="",C1310=""),"",IF(G1310&gt;=20000,0.05,IF(G1310&gt;=10000,0.1,IF(G1310&gt;=5000,0.2,IF(G1310&gt;=1000,0.3,IF(G1310&gt;=0,0.4,{0}))))))</f>
        <v/>
      </c>
      <c r="P1310" s="400">
        <f>IF(AND(B1310="",C1310=""),"",ROUND(H1310*O1310,2))</f>
        <v/>
      </c>
      <c r="Q1310" s="401" t="inlineStr">
        <is>
          <t>元件</t>
        </is>
      </c>
      <c r="R1310" s="168" t="inlineStr"/>
      <c r="S1310" s="168" t="inlineStr"/>
      <c r="T1310" s="168" t="inlineStr">
        <is>
          <t>0</t>
        </is>
      </c>
      <c r="U1310" s="168" t="inlineStr">
        <is>
          <t>C16F32D160</t>
        </is>
      </c>
      <c r="V1310" s="402" t="n"/>
      <c r="W1310" s="402" t="n"/>
      <c r="X1310" s="170" t="inlineStr">
        <is>
          <t>NSX630N Mic2.3 630A 3P3D F→NSX630F MIC2.3 630 3P F→NSX630F MIC 2.3 630 3P F</t>
        </is>
      </c>
    </row>
    <row r="1311" s="308">
      <c r="A1311" s="64">
        <f>ROW()-ROW(A$1309)</f>
        <v/>
      </c>
      <c r="B1311" s="22" t="inlineStr">
        <is>
          <t>电流互感器</t>
        </is>
      </c>
      <c r="C1311" s="22" t="inlineStr">
        <is>
          <t>SD-0.66-130III-V 3000/5A</t>
        </is>
      </c>
      <c r="D1311" s="22" t="inlineStr">
        <is>
          <t>桑迪</t>
        </is>
      </c>
      <c r="E1311" s="23" t="inlineStr">
        <is>
          <t>只</t>
        </is>
      </c>
      <c r="F1311" s="23" t="n">
        <v>3</v>
      </c>
      <c r="G1311" s="349">
        <f>IF(AND(B1311="",C1311=""),"",ROUND(M1311*L1311*N1311,2))</f>
        <v/>
      </c>
      <c r="H1311" s="396">
        <f>IF(AND(B1311="",C1311=""),"",ROUND(F1311*G1311,2))</f>
        <v/>
      </c>
      <c r="I1311" s="219" t="inlineStr"/>
      <c r="J1311" s="397">
        <f>IF(AND(B1311="",C1311=""),"",ROUND(M1311*N1311,2))</f>
        <v/>
      </c>
      <c r="K1311" s="398">
        <f>IF(AND(B1311="",C1311=""),"",ROUND(J1311*F1311,2))</f>
        <v/>
      </c>
      <c r="L1311" s="200" t="n">
        <v>1</v>
      </c>
      <c r="M1311" s="399" t="n">
        <v>182.65</v>
      </c>
      <c r="N1311" s="154" t="n">
        <v>1</v>
      </c>
      <c r="O1311" s="155">
        <f>IF(AND(B1311="",C1311=""),"",IF(G1311&gt;=20000,0.05,IF(G1311&gt;=10000,0.1,IF(G1311&gt;=5000,0.2,IF(G1311&gt;=1000,0.3,IF(G1311&gt;=0,0.4,{0}))))))</f>
        <v/>
      </c>
      <c r="P1311" s="400">
        <f>IF(AND(B1311="",C1311=""),"",ROUND(H1311*O1311,2))</f>
        <v/>
      </c>
      <c r="Q1311" s="401" t="inlineStr">
        <is>
          <t>元件</t>
        </is>
      </c>
      <c r="R1311" s="168" t="inlineStr"/>
      <c r="S1311" s="168" t="inlineStr"/>
      <c r="T1311" s="168" t="inlineStr">
        <is>
          <t>0</t>
        </is>
      </c>
      <c r="U1311" s="168" t="inlineStr">
        <is>
          <t>710141426552500</t>
        </is>
      </c>
      <c r="V1311" s="402" t="n"/>
      <c r="W1311" s="402" t="n"/>
      <c r="X1311" s="170" t="inlineStr">
        <is>
          <t>SD→SD-0.66-40II-C 400/5A→SD-0.66-30I 250/5A→SD-0.66-30I 150/5A→SD-0.66-60II-C 750/5A→SD-0.66-60II-C 600/5A→SD-0.66-30I 150/5A→SD-0.66-40II-C 400/5A→SD-0.66-100II-C 1600/5A→SD-0.66-80II-V 1000/5A→SD-0.66-80II-V 1250/5A</t>
        </is>
      </c>
    </row>
    <row r="1312" s="308">
      <c r="A1312" s="64">
        <f>ROW()-ROW(A$1309)</f>
        <v/>
      </c>
      <c r="B1312" s="112" t="inlineStr">
        <is>
          <t>多功能表</t>
        </is>
      </c>
      <c r="C1312" s="112" t="inlineStr">
        <is>
          <t>PM4101</t>
        </is>
      </c>
      <c r="D1312" s="112" t="inlineStr">
        <is>
          <t>甲供/施耐德电气</t>
        </is>
      </c>
      <c r="E1312" s="114" t="inlineStr">
        <is>
          <t>只</t>
        </is>
      </c>
      <c r="F1312" s="114" t="n">
        <v>1</v>
      </c>
      <c r="G1312" s="396">
        <f>IF(AND(B1312="",C1312=""),"",ROUND(M1312*L1312*N1312,2))</f>
        <v/>
      </c>
      <c r="H1312" s="349">
        <f>IF(AND(B1312="",C1312=""),"",ROUND(F1312*G1312,2))</f>
        <v/>
      </c>
      <c r="I1312" s="45" t="inlineStr"/>
      <c r="J1312" s="397">
        <f>IF(AND(B1312="",C1312=""),"",ROUND(M1312*N1312,2))</f>
        <v/>
      </c>
      <c r="K1312" s="398">
        <f>IF(AND(B1312="",C1312=""),"",ROUND(J1312*F1312,2))</f>
        <v/>
      </c>
      <c r="L1312" s="200" t="n">
        <v>1</v>
      </c>
      <c r="M1312" s="399" t="n">
        <v>1e-07</v>
      </c>
      <c r="N1312" s="154" t="n">
        <v>1</v>
      </c>
      <c r="O1312" s="155">
        <f>IF(AND(B1312="",C1312=""),"",IF(J1312&gt;=20000,0.05,IF(J1312&gt;=10000,0.1,IF(J1312&gt;=5000,0.2,IF(J1312&gt;=1000,0.3,IF(J1312&gt;=0,0.4,{0}))))))</f>
        <v/>
      </c>
      <c r="P1312" s="400">
        <f>IF(AND(B1312="",C1312=""),"",ROUND(H1312*O1312,2))</f>
        <v/>
      </c>
      <c r="Q1312" s="401" t="inlineStr">
        <is>
          <t>元件</t>
        </is>
      </c>
      <c r="R1312" s="168" t="inlineStr"/>
      <c r="S1312" s="168" t="inlineStr"/>
      <c r="T1312" s="168" t="inlineStr">
        <is>
          <t>0</t>
        </is>
      </c>
      <c r="U1312" s="168" t="inlineStr"/>
      <c r="V1312" s="402" t="n"/>
      <c r="W1312" s="402" t="n"/>
      <c r="X1312" s="170" t="inlineStr"/>
    </row>
    <row r="1313" customFormat="1" s="3">
      <c r="A1313" s="64">
        <f>ROW()-ROW(A$1309)</f>
        <v/>
      </c>
      <c r="B1313" s="22" t="inlineStr">
        <is>
          <t>指示灯</t>
        </is>
      </c>
      <c r="C1313" s="22" t="inlineStr">
        <is>
          <t>XB2BVM3LC</t>
        </is>
      </c>
      <c r="D1313" s="22" t="inlineStr">
        <is>
          <t>甲供/施耐德电气</t>
        </is>
      </c>
      <c r="E1313" s="23" t="inlineStr">
        <is>
          <t>只</t>
        </is>
      </c>
      <c r="F1313" s="23" t="n">
        <v>1</v>
      </c>
      <c r="G1313" s="349">
        <f>IF(AND(B1313="",C1313=""),"",ROUND(M1313*L1313*N1313,2))</f>
        <v/>
      </c>
      <c r="H1313" s="353">
        <f>IF(AND(B1313="",C1313=""),"",ROUND(F1313*G1313,2))</f>
        <v/>
      </c>
      <c r="I1313" s="180" t="inlineStr"/>
      <c r="J1313" s="392">
        <f>IF(AND(B1313="",C1313=""),"",ROUND(M1313*N1313,2))</f>
        <v/>
      </c>
      <c r="K1313" s="393">
        <f>IF(AND(B1313="",C1313=""),"",ROUND(J1313*F1313,2))</f>
        <v/>
      </c>
      <c r="L1313" s="141" t="n">
        <v>1</v>
      </c>
      <c r="M1313" s="394" t="n">
        <v>1e-07</v>
      </c>
      <c r="N1313" s="220" t="n">
        <v>1</v>
      </c>
      <c r="O1313" s="221">
        <f>IF(AND(B1313="",C1313=""),"",IF(G1313&gt;=20000,0.05,IF(G1313&gt;=10000,0.1,IF(G1313&gt;=5000,0.2,IF(G1313&gt;=1000,0.3,IF(G1313&gt;=0,0.4,{0}))))))</f>
        <v/>
      </c>
      <c r="P1313" s="419">
        <f>IF(AND(B1313="",C1313=""),"",ROUND(H1313*O1313,2))</f>
        <v/>
      </c>
      <c r="Q1313" s="420" t="inlineStr">
        <is>
          <t>元件</t>
        </is>
      </c>
      <c r="R1313" s="231" t="inlineStr"/>
      <c r="S1313" s="231" t="inlineStr"/>
      <c r="T1313" s="231" t="inlineStr">
        <is>
          <t>0</t>
        </is>
      </c>
      <c r="U1313" s="231" t="inlineStr">
        <is>
          <t>XB2BVM3LC</t>
        </is>
      </c>
      <c r="V1313" s="421" t="n"/>
      <c r="W1313" s="421" t="n"/>
      <c r="X1313" s="166" t="inlineStr">
        <is>
          <t>XA2EVM3LC</t>
        </is>
      </c>
    </row>
    <row r="1314" customFormat="1" s="3">
      <c r="A1314" s="64">
        <f>ROW()-ROW(A$1309)</f>
        <v/>
      </c>
      <c r="B1314" s="22" t="inlineStr">
        <is>
          <t>指示灯</t>
        </is>
      </c>
      <c r="C1314" s="22" t="inlineStr">
        <is>
          <t>XB2BVM4LC</t>
        </is>
      </c>
      <c r="D1314" s="22" t="inlineStr">
        <is>
          <t>甲供/施耐德电气</t>
        </is>
      </c>
      <c r="E1314" s="23" t="inlineStr">
        <is>
          <t>只</t>
        </is>
      </c>
      <c r="F1314" s="23" t="n">
        <v>1</v>
      </c>
      <c r="G1314" s="349">
        <f>IF(AND(B1314="",C1314=""),"",ROUND(M1314*L1314*N1314,2))</f>
        <v/>
      </c>
      <c r="H1314" s="353">
        <f>IF(AND(B1314="",C1314=""),"",ROUND(F1314*G1314,2))</f>
        <v/>
      </c>
      <c r="I1314" s="180" t="inlineStr"/>
      <c r="J1314" s="392">
        <f>IF(AND(B1314="",C1314=""),"",ROUND(M1314*N1314,2))</f>
        <v/>
      </c>
      <c r="K1314" s="393">
        <f>IF(AND(B1314="",C1314=""),"",ROUND(J1314*F1314,2))</f>
        <v/>
      </c>
      <c r="L1314" s="141" t="n">
        <v>1</v>
      </c>
      <c r="M1314" s="394" t="n">
        <v>1e-07</v>
      </c>
      <c r="N1314" s="220" t="n">
        <v>1</v>
      </c>
      <c r="O1314" s="221">
        <f>IF(AND(B1314="",C1314=""),"",IF(G1314&gt;=20000,0.05,IF(G1314&gt;=10000,0.1,IF(G1314&gt;=5000,0.2,IF(G1314&gt;=1000,0.3,IF(G1314&gt;=0,0.4,{0}))))))</f>
        <v/>
      </c>
      <c r="P1314" s="419">
        <f>IF(AND(B1314="",C1314=""),"",ROUND(H1314*O1314,2))</f>
        <v/>
      </c>
      <c r="Q1314" s="420" t="inlineStr">
        <is>
          <t>元件</t>
        </is>
      </c>
      <c r="R1314" s="231" t="inlineStr"/>
      <c r="S1314" s="231" t="inlineStr"/>
      <c r="T1314" s="231" t="inlineStr">
        <is>
          <t>0</t>
        </is>
      </c>
      <c r="U1314" s="231" t="inlineStr">
        <is>
          <t>XB2BVM4LC</t>
        </is>
      </c>
      <c r="V1314" s="421" t="n"/>
      <c r="W1314" s="421" t="n"/>
      <c r="X1314" s="166" t="inlineStr">
        <is>
          <t>XA2EVM4LC</t>
        </is>
      </c>
    </row>
    <row r="1315" s="308">
      <c r="A1315" s="64">
        <f>ROW()-ROW(A$1309)</f>
        <v/>
      </c>
      <c r="B1315" s="112" t="inlineStr">
        <is>
          <t>指示灯</t>
        </is>
      </c>
      <c r="C1315" s="112" t="inlineStr">
        <is>
          <t>XB2BVM5LC</t>
        </is>
      </c>
      <c r="D1315" s="112" t="inlineStr">
        <is>
          <t>甲供/施耐德电气</t>
        </is>
      </c>
      <c r="E1315" s="114" t="inlineStr">
        <is>
          <t>只</t>
        </is>
      </c>
      <c r="F1315" s="114" t="n">
        <v>1</v>
      </c>
      <c r="G1315" s="396">
        <f>IF(AND(B1315="",C1315=""),"",ROUND(M1315*L1315*N1315,2))</f>
        <v/>
      </c>
      <c r="H1315" s="396">
        <f>IF(AND(B1315="",C1315=""),"",ROUND(F1315*G1315,2))</f>
        <v/>
      </c>
      <c r="I1315" s="150" t="inlineStr"/>
      <c r="J1315" s="397">
        <f>IF(AND(B1315="",C1315=""),"",ROUND(M1315*N1315,2))</f>
        <v/>
      </c>
      <c r="K1315" s="398">
        <f>IF(AND(B1315="",C1315=""),"",ROUND(J1315*F1315,2))</f>
        <v/>
      </c>
      <c r="L1315" s="141" t="n">
        <v>1</v>
      </c>
      <c r="M1315" s="399" t="n">
        <v>1e-07</v>
      </c>
      <c r="N1315" s="154" t="n">
        <v>1</v>
      </c>
      <c r="O1315" s="155">
        <f>IF(AND(B1315="",C1315=""),"",IF(G1315&gt;=20000,0.05,IF(G1315&gt;=10000,0.1,IF(G1315&gt;=5000,0.2,IF(G1315&gt;=1000,0.3,IF(G1315&gt;=0,0.4,{0}))))))</f>
        <v/>
      </c>
      <c r="P1315" s="400">
        <f>IF(AND(B1315="",C1315=""),"",ROUND(H1315*O1315,2))</f>
        <v/>
      </c>
      <c r="Q1315" s="401" t="inlineStr">
        <is>
          <t>元件</t>
        </is>
      </c>
      <c r="R1315" s="168" t="inlineStr"/>
      <c r="S1315" s="168" t="inlineStr"/>
      <c r="T1315" s="168" t="inlineStr">
        <is>
          <t>0</t>
        </is>
      </c>
      <c r="U1315" s="168" t="inlineStr">
        <is>
          <t>XA2EVM5LC</t>
        </is>
      </c>
      <c r="V1315" s="402" t="n"/>
      <c r="W1315" s="402" t="n"/>
      <c r="X1315" s="170" t="inlineStr"/>
    </row>
    <row r="1316" s="308">
      <c r="A1316" s="64">
        <f>ROW()-ROW(A$1309)</f>
        <v/>
      </c>
      <c r="B1316" s="112" t="inlineStr">
        <is>
          <t>按钮</t>
        </is>
      </c>
      <c r="C1316" s="112" t="inlineStr">
        <is>
          <t>XB2BA31C</t>
        </is>
      </c>
      <c r="D1316" s="112" t="inlineStr">
        <is>
          <t>甲供/施耐德电气</t>
        </is>
      </c>
      <c r="E1316" s="114" t="inlineStr">
        <is>
          <t>只</t>
        </is>
      </c>
      <c r="F1316" s="114" t="n">
        <v>1</v>
      </c>
      <c r="G1316" s="396">
        <f>IF(AND(B1316="",C1316=""),"",ROUND(M1316*L1316*N1316,2))</f>
        <v/>
      </c>
      <c r="H1316" s="396">
        <f>IF(AND(B1316="",C1316=""),"",ROUND(F1316*G1316,2))</f>
        <v/>
      </c>
      <c r="I1316" s="150" t="inlineStr"/>
      <c r="J1316" s="397">
        <f>IF(AND(B1316="",C1316=""),"",ROUND(M1316*N1316,2))</f>
        <v/>
      </c>
      <c r="K1316" s="398">
        <f>IF(AND(B1316="",C1316=""),"",ROUND(J1316*F1316,2))</f>
        <v/>
      </c>
      <c r="L1316" s="141" t="n">
        <v>1</v>
      </c>
      <c r="M1316" s="399" t="n">
        <v>1e-07</v>
      </c>
      <c r="N1316" s="154" t="n">
        <v>1</v>
      </c>
      <c r="O1316" s="155">
        <f>IF(AND(B1316="",C1316=""),"",IF(G1316&gt;=20000,0.05,IF(G1316&gt;=10000,0.1,IF(G1316&gt;=5000,0.2,IF(G1316&gt;=1000,0.3,IF(G1316&gt;=0,0.4,{0}))))))</f>
        <v/>
      </c>
      <c r="P1316" s="400">
        <f>IF(AND(B1316="",C1316=""),"",ROUND(H1316*O1316,2))</f>
        <v/>
      </c>
      <c r="Q1316" s="401" t="inlineStr">
        <is>
          <t>元件</t>
        </is>
      </c>
      <c r="R1316" s="168" t="inlineStr"/>
      <c r="S1316" s="168" t="inlineStr"/>
      <c r="T1316" s="168" t="inlineStr">
        <is>
          <t>0</t>
        </is>
      </c>
      <c r="U1316" s="168" t="inlineStr">
        <is>
          <t>XB2BA31C</t>
        </is>
      </c>
      <c r="V1316" s="402" t="n"/>
      <c r="W1316" s="402" t="n"/>
      <c r="X1316" s="170" t="inlineStr">
        <is>
          <t>XA2EA31</t>
        </is>
      </c>
    </row>
    <row r="1317" s="308">
      <c r="A1317" s="64">
        <f>ROW()-ROW(A$1309)</f>
        <v/>
      </c>
      <c r="B1317" s="22" t="inlineStr">
        <is>
          <t>按钮</t>
        </is>
      </c>
      <c r="C1317" s="22" t="inlineStr">
        <is>
          <t>XB2BA42C</t>
        </is>
      </c>
      <c r="D1317" s="22" t="inlineStr">
        <is>
          <t>甲供/施耐德电气</t>
        </is>
      </c>
      <c r="E1317" s="23" t="inlineStr">
        <is>
          <t>只</t>
        </is>
      </c>
      <c r="F1317" s="23" t="n">
        <v>1</v>
      </c>
      <c r="G1317" s="349">
        <f>IF(AND(B1317="",C1317=""),"",ROUND(M1317*L1317*N1317,2))</f>
        <v/>
      </c>
      <c r="H1317" s="396">
        <f>IF(AND(B1317="",C1317=""),"",ROUND(F1317*G1317,2))</f>
        <v/>
      </c>
      <c r="I1317" s="150" t="inlineStr"/>
      <c r="J1317" s="397">
        <f>IF(AND(B1317="",C1317=""),"",ROUND(M1317*N1317,2))</f>
        <v/>
      </c>
      <c r="K1317" s="398">
        <f>IF(AND(B1317="",C1317=""),"",ROUND(J1317*F1317,2))</f>
        <v/>
      </c>
      <c r="L1317" s="141" t="n">
        <v>1</v>
      </c>
      <c r="M1317" s="399" t="n">
        <v>1e-07</v>
      </c>
      <c r="N1317" s="154" t="n">
        <v>1</v>
      </c>
      <c r="O1317" s="155">
        <f>IF(AND(B1317="",C1317=""),"",IF(G1317&gt;=20000,0.05,IF(G1317&gt;=10000,0.1,IF(G1317&gt;=5000,0.2,IF(G1317&gt;=1000,0.3,IF(G1317&gt;=0,0.4,{0}))))))</f>
        <v/>
      </c>
      <c r="P1317" s="400">
        <f>IF(AND(B1317="",C1317=""),"",ROUND(H1317*O1317,2))</f>
        <v/>
      </c>
      <c r="Q1317" s="401" t="inlineStr">
        <is>
          <t>元件</t>
        </is>
      </c>
      <c r="R1317" s="168" t="inlineStr"/>
      <c r="S1317" s="168" t="inlineStr"/>
      <c r="T1317" s="168" t="inlineStr">
        <is>
          <t>0</t>
        </is>
      </c>
      <c r="U1317" s="168" t="inlineStr">
        <is>
          <t>XB2BA42C</t>
        </is>
      </c>
      <c r="V1317" s="402" t="n"/>
      <c r="W1317" s="402" t="n"/>
      <c r="X1317" s="170" t="inlineStr">
        <is>
          <t>XA2EA41</t>
        </is>
      </c>
    </row>
    <row r="1318" s="308">
      <c r="A1318" s="64">
        <f>ROW()-ROW(A$1309)</f>
        <v/>
      </c>
      <c r="B1318" s="112" t="inlineStr">
        <is>
          <t>温湿度控制器</t>
        </is>
      </c>
      <c r="C1318" s="112" t="inlineStr">
        <is>
          <t>ATH48G-11</t>
        </is>
      </c>
      <c r="D1318" s="22" t="inlineStr">
        <is>
          <t>杭州安廷</t>
        </is>
      </c>
      <c r="E1318" s="23" t="inlineStr">
        <is>
          <t>套</t>
        </is>
      </c>
      <c r="F1318" s="23" t="n">
        <v>1</v>
      </c>
      <c r="G1318" s="349">
        <f>IF(AND(B1318="",C1318=""),"",ROUND(M1318*L1318*N1318,2))</f>
        <v/>
      </c>
      <c r="H1318" s="396">
        <f>IF(AND(B1318="",C1318=""),"",ROUND(F1318*G1318,2))</f>
        <v/>
      </c>
      <c r="I1318" s="150" t="inlineStr"/>
      <c r="J1318" s="397">
        <f>IF(AND(B1318="",C1318=""),"",ROUND(M1318*N1318,2))</f>
        <v/>
      </c>
      <c r="K1318" s="398">
        <f>IF(AND(B1318="",C1318=""),"",ROUND(J1318*F1318,2))</f>
        <v/>
      </c>
      <c r="L1318" s="141" t="n">
        <v>1</v>
      </c>
      <c r="M1318" s="399" t="n">
        <v>450</v>
      </c>
      <c r="N1318" s="154" t="n">
        <v>1</v>
      </c>
      <c r="O1318" s="155">
        <f>IF(AND(B1318="",C1318=""),"",IF(G1318&gt;=20000,0.05,IF(G1318&gt;=10000,0.1,IF(G1318&gt;=5000,0.2,IF(G1318&gt;=1000,0.3,IF(G1318&gt;=0,0.4,{0}))))))</f>
        <v/>
      </c>
      <c r="P1318" s="400">
        <f>IF(AND(B1318="",C1318=""),"",ROUND(H1318*O1318,2))</f>
        <v/>
      </c>
      <c r="Q1318" s="401" t="inlineStr">
        <is>
          <t>元件</t>
        </is>
      </c>
      <c r="R1318" s="168" t="inlineStr"/>
      <c r="S1318" s="168" t="inlineStr"/>
      <c r="T1318" s="168" t="inlineStr">
        <is>
          <t>0</t>
        </is>
      </c>
      <c r="U1318" s="168" t="inlineStr"/>
      <c r="V1318" s="402" t="n"/>
      <c r="W1318" s="402" t="n"/>
      <c r="X1318" s="170" t="inlineStr"/>
    </row>
    <row r="1319" s="308">
      <c r="A1319" s="64">
        <f>ROW()-ROW(A$1309)</f>
        <v/>
      </c>
      <c r="B1319" s="22" t="inlineStr">
        <is>
          <t>中间继电器</t>
        </is>
      </c>
      <c r="C1319" s="22" t="inlineStr">
        <is>
          <t>RXM4AB2P7+RXZE2S114M+RXZ400</t>
        </is>
      </c>
      <c r="D1319" s="22" t="inlineStr">
        <is>
          <t>甲供/施耐德电气</t>
        </is>
      </c>
      <c r="E1319" s="23" t="inlineStr">
        <is>
          <t>只</t>
        </is>
      </c>
      <c r="F1319" s="23" t="n">
        <v>2</v>
      </c>
      <c r="G1319" s="349">
        <f>IF(AND(B1319="",C1319=""),"",ROUND(M1319*L1319*N1319,2))</f>
        <v/>
      </c>
      <c r="H1319" s="349">
        <f>IF(AND(B1319="",C1319=""),"",ROUND(F1319*G1319,2))</f>
        <v/>
      </c>
      <c r="I1319" s="45" t="inlineStr"/>
      <c r="J1319" s="397">
        <f>IF(AND(B1319="",C1319=""),"",ROUND(M1319*N1319,2))</f>
        <v/>
      </c>
      <c r="K1319" s="398">
        <f>IF(AND(B1319="",C1319=""),"",ROUND(J1319*F1319,2))</f>
        <v/>
      </c>
      <c r="L1319" s="141" t="n">
        <v>1</v>
      </c>
      <c r="M1319" s="399" t="n">
        <v>1e-07</v>
      </c>
      <c r="N1319" s="154" t="n">
        <v>1</v>
      </c>
      <c r="O1319" s="155">
        <f>IF(AND(B1319="",C1319=""),"",IF(G1319&gt;=20000,0.05,IF(G1319&gt;=10000,0.1,IF(G1319&gt;=5000,0.2,IF(G1319&gt;=1000,0.3,IF(G1319&gt;=0,0.4,{0}))))))</f>
        <v/>
      </c>
      <c r="P1319" s="400">
        <f>IF(AND(B1319="",C1319=""),"",ROUND(H1319*O1319,2))</f>
        <v/>
      </c>
      <c r="Q1319" s="401" t="inlineStr">
        <is>
          <t>元件</t>
        </is>
      </c>
      <c r="R1319" s="168" t="inlineStr"/>
      <c r="S1319" s="168" t="inlineStr"/>
      <c r="T1319" s="168" t="inlineStr">
        <is>
          <t>0</t>
        </is>
      </c>
      <c r="U1319" s="168" t="inlineStr">
        <is>
          <t>RXM4AB2P7+RXZE2S114M+RXZ400</t>
        </is>
      </c>
      <c r="V1319" s="402" t="n"/>
      <c r="W1319" s="402" t="n"/>
      <c r="X1319" s="170" t="inlineStr">
        <is>
          <t>REL-IR-BL/L-230AC/4X21，含底座→RXM4AB2P7+RXZE2S114M+RXZ400→REL-IR-BL/L-230AC/4X21，含底座</t>
        </is>
      </c>
    </row>
    <row r="1320" customFormat="1" s="3">
      <c r="A1320" s="64">
        <f>ROW()-ROW(A$1309)</f>
        <v/>
      </c>
      <c r="B1320" s="22" t="inlineStr">
        <is>
          <t>带熔丝端子</t>
        </is>
      </c>
      <c r="C1320" s="22" t="inlineStr">
        <is>
          <t>UK 5-HESI</t>
        </is>
      </c>
      <c r="D1320" s="22" t="inlineStr">
        <is>
          <t>菲尼克斯</t>
        </is>
      </c>
      <c r="E1320" s="23" t="inlineStr">
        <is>
          <t>只</t>
        </is>
      </c>
      <c r="F1320" s="23" t="n">
        <v>4</v>
      </c>
      <c r="G1320" s="349">
        <f>IF(AND(B1320="",C1320=""),"",ROUND(M1320*L1320*N1320,2))</f>
        <v/>
      </c>
      <c r="H1320" s="349">
        <f>IF(AND(B1320="",C1320=""),"",ROUND(F1320*G1320,2))</f>
        <v/>
      </c>
      <c r="I1320" s="45" t="inlineStr"/>
      <c r="J1320" s="392">
        <f>IF(AND(B1320="",C1320=""),"",ROUND(M1320*N1320,2))</f>
        <v/>
      </c>
      <c r="K1320" s="393">
        <f>IF(AND(B1320="",C1320=""),"",ROUND(J1320*F1320,2))</f>
        <v/>
      </c>
      <c r="L1320" s="141" t="n">
        <v>1</v>
      </c>
      <c r="M1320" s="394" t="n">
        <v>7</v>
      </c>
      <c r="N1320" s="220" t="n">
        <v>1</v>
      </c>
      <c r="O1320" s="221">
        <f>IF(AND(B1320="",C1320=""),"",IF(G1320&gt;=20000,0.05,IF(G1320&gt;=10000,0.1,IF(G1320&gt;=5000,0.2,IF(G1320&gt;=1000,0.3,IF(G1320&gt;=0,0.4,{0}))))))</f>
        <v/>
      </c>
      <c r="P1320" s="419">
        <f>IF(AND(B1320="",C1320=""),"",ROUND(H1320*O1320,2))</f>
        <v/>
      </c>
      <c r="Q1320" s="420" t="inlineStr">
        <is>
          <t>元件</t>
        </is>
      </c>
      <c r="R1320" s="231" t="inlineStr"/>
      <c r="S1320" s="231" t="inlineStr"/>
      <c r="T1320" s="231" t="inlineStr">
        <is>
          <t>0</t>
        </is>
      </c>
      <c r="U1320" s="231" t="inlineStr">
        <is>
          <t>True</t>
        </is>
      </c>
      <c r="V1320" s="421" t="n"/>
      <c r="W1320" s="421" t="n"/>
      <c r="X1320" s="166" t="inlineStr"/>
    </row>
    <row r="1321" customFormat="1" s="3">
      <c r="A1321" s="64">
        <f>ROW()-ROW(A$1309)</f>
        <v/>
      </c>
      <c r="B1321" s="22" t="inlineStr">
        <is>
          <t>L型端子</t>
        </is>
      </c>
      <c r="C1321" s="22" t="inlineStr">
        <is>
          <t>GH100710</t>
        </is>
      </c>
      <c r="D1321" s="22" t="inlineStr">
        <is>
          <t>施耐德电气</t>
        </is>
      </c>
      <c r="E1321" s="23" t="inlineStr">
        <is>
          <t>只</t>
        </is>
      </c>
      <c r="F1321" s="23" t="n">
        <v>4</v>
      </c>
      <c r="G1321" s="349">
        <f>IF(AND(B1321="",C1321=""),"",ROUND(M1321*L1321*N1321,2))</f>
        <v/>
      </c>
      <c r="H1321" s="349">
        <f>IF(AND(B1321="",C1321=""),"",ROUND(F1321*G1321,2))</f>
        <v/>
      </c>
      <c r="I1321" s="45" t="inlineStr"/>
      <c r="J1321" s="392">
        <f>IF(AND(B1321="",C1321=""),"",ROUND(M1321*N1321,2))</f>
        <v/>
      </c>
      <c r="K1321" s="393">
        <f>IF(AND(B1321="",C1321=""),"",ROUND(J1321*F1321,2))</f>
        <v/>
      </c>
      <c r="L1321" s="141" t="n">
        <v>1</v>
      </c>
      <c r="M1321" s="394" t="n">
        <v>1125.85</v>
      </c>
      <c r="N1321" s="220" t="n">
        <v>0.45</v>
      </c>
      <c r="O1321" s="221">
        <f>IF(AND(B1321="",C1321=""),"",IF(G1321&gt;=20000,0.05,IF(G1321&gt;=10000,0.1,IF(G1321&gt;=5000,0.2,IF(G1321&gt;=1000,0.3,IF(G1321&gt;=0,0.4,{0}))))))</f>
        <v/>
      </c>
      <c r="P1321" s="419">
        <f>IF(AND(B1321="",C1321=""),"",ROUND(H1321*O1321,2))</f>
        <v/>
      </c>
      <c r="Q1321" s="420" t="inlineStr">
        <is>
          <t>元件</t>
        </is>
      </c>
      <c r="R1321" s="231" t="inlineStr"/>
      <c r="S1321" s="231" t="inlineStr"/>
      <c r="T1321" s="231" t="inlineStr">
        <is>
          <t>0</t>
        </is>
      </c>
      <c r="U1321" s="231" t="inlineStr"/>
      <c r="V1321" s="421" t="n"/>
      <c r="W1321" s="421" t="n"/>
      <c r="X1321" s="166" t="inlineStr"/>
    </row>
    <row r="1322" s="308">
      <c r="A1322" s="64">
        <f>ROW()-ROW(A$1309)</f>
        <v/>
      </c>
      <c r="B1322" s="22" t="inlineStr">
        <is>
          <t>水平母排</t>
        </is>
      </c>
      <c r="C1322" s="22" t="inlineStr">
        <is>
          <t>TMY 4*(4*150*5)+2*50*5</t>
        </is>
      </c>
      <c r="D1322" s="22" t="inlineStr">
        <is>
          <t>国产优质</t>
        </is>
      </c>
      <c r="E1322" s="23" t="inlineStr">
        <is>
          <t>米</t>
        </is>
      </c>
      <c r="F1322" s="23" t="n">
        <v>0.8</v>
      </c>
      <c r="G1322" s="349">
        <f>IF(AND(B1322="",C1322=""),"",ROUND(M1322*L1322*N1322,2))</f>
        <v/>
      </c>
      <c r="H1322" s="349">
        <f>IF(AND(B1322="",C1322=""),"",ROUND(F1322*G1322,2))</f>
        <v/>
      </c>
      <c r="I1322" s="45" t="inlineStr"/>
      <c r="J1322" s="397">
        <f>IF(AND(B1322="",C1322=""),"",ROUND(M1322*N1322,2))</f>
        <v/>
      </c>
      <c r="K1322" s="398">
        <f>IF(AND(B1322="",C1322=""),"",ROUND(J1322*F1322,2))</f>
        <v/>
      </c>
      <c r="L1322" s="200" t="n">
        <v>1</v>
      </c>
      <c r="M1322" s="399" t="n">
        <v>12026.68125</v>
      </c>
      <c r="N1322" s="154">
        <f>(6317.932*1*1+2684.8*1*1)/9002.732</f>
        <v/>
      </c>
      <c r="O1322" s="155">
        <f>IF(AND(B1322="",C1322=""),"",IF(J1322&gt;=20000,0.05,IF(J1322&gt;=10000,0.1,IF(J1322&gt;=5000,0.2,IF(J1322&gt;=1000,0.3,IF(J1322&gt;=0,0.4,{0}))))))</f>
        <v/>
      </c>
      <c r="P1322" s="400">
        <f>IF(AND(B1322="",C1322=""),"",ROUND(H1322*O1322,2))</f>
        <v/>
      </c>
      <c r="Q1322" s="401" t="inlineStr">
        <is>
          <t>母排</t>
        </is>
      </c>
      <c r="R1322" s="168" t="inlineStr"/>
      <c r="S1322" s="168" t="inlineStr"/>
      <c r="T1322" s="168" t="inlineStr">
        <is>
          <t>0</t>
        </is>
      </c>
      <c r="U1322" s="168" t="inlineStr"/>
      <c r="V1322" s="402" t="n"/>
      <c r="W1322" s="402" t="n"/>
      <c r="X1322" s="170" t="inlineStr"/>
    </row>
    <row r="1323" customFormat="1" s="5">
      <c r="A1323" s="64">
        <f>ROW()-ROW(A$1309)</f>
        <v/>
      </c>
      <c r="B1323" s="22" t="inlineStr">
        <is>
          <t>桩头排</t>
        </is>
      </c>
      <c r="C1323" s="22" t="inlineStr">
        <is>
          <t>TMY</t>
        </is>
      </c>
      <c r="D1323" s="22" t="inlineStr">
        <is>
          <t>国产优质</t>
        </is>
      </c>
      <c r="E1323" s="23" t="inlineStr">
        <is>
          <t>kg</t>
        </is>
      </c>
      <c r="F1323" s="23" t="n">
        <v>177</v>
      </c>
      <c r="G1323" s="349">
        <f>IF(AND(B1323="",C1323=""),"",ROUND(M1323*L1323*N1323,2))</f>
        <v/>
      </c>
      <c r="H1323" s="349">
        <f>IF(AND(B1323="",C1323=""),"",ROUND(F1323*G1323,2))</f>
        <v/>
      </c>
      <c r="I1323" s="45" t="inlineStr"/>
      <c r="J1323" s="422">
        <f>IF(AND(B1323="",C1323=""),"",ROUND(M1323*N1323,2))</f>
        <v/>
      </c>
      <c r="K1323" s="423">
        <f>IF(AND(B1323="",C1323=""),"",ROUND(J1323*F1323,2))</f>
        <v/>
      </c>
      <c r="L1323" s="225" t="n">
        <v>1</v>
      </c>
      <c r="M1323" s="424" t="n">
        <v>108.105</v>
      </c>
      <c r="N1323" s="227" t="n">
        <v>1</v>
      </c>
      <c r="O1323" s="228">
        <f>IF(AND(B1323="",C1323=""),"",IF(G1323&gt;=20000,0.05,IF(G1323&gt;=10000,0.1,IF(G1323&gt;=5000,0.2,IF(G1323&gt;=1000,0.3,IF(G1323&gt;=0,0.4,{0}))))))</f>
        <v/>
      </c>
      <c r="P1323" s="425">
        <f>IF(AND(B1323="",C1323=""),"",ROUND(H1323*O1323,2))</f>
        <v/>
      </c>
      <c r="Q1323" s="426" t="inlineStr">
        <is>
          <t>母排</t>
        </is>
      </c>
      <c r="R1323" s="234" t="inlineStr"/>
      <c r="S1323" s="234" t="inlineStr"/>
      <c r="T1323" s="235" t="inlineStr">
        <is>
          <t>0</t>
        </is>
      </c>
      <c r="U1323" s="235" t="inlineStr"/>
      <c r="V1323" s="427" t="n"/>
      <c r="W1323" s="427" t="n"/>
      <c r="X1323" s="237" t="inlineStr">
        <is>
          <t>TMY 2*30*5→TMY 30*8</t>
        </is>
      </c>
    </row>
    <row r="1324" s="308">
      <c r="A1324" s="64">
        <f>ROW()-ROW(A$1309)</f>
        <v/>
      </c>
      <c r="B1324" s="112" t="inlineStr">
        <is>
          <t>辅料</t>
        </is>
      </c>
      <c r="C1324" s="112" t="inlineStr"/>
      <c r="D1324" s="112" t="inlineStr"/>
      <c r="E1324" s="114" t="inlineStr">
        <is>
          <t>套</t>
        </is>
      </c>
      <c r="F1324" s="114" t="n">
        <v>1</v>
      </c>
      <c r="G1324" s="396">
        <f>IF(AND(B1324="",C1324=""),"",ROUND(M1324*L1324*N1324,2))</f>
        <v/>
      </c>
      <c r="H1324" s="396">
        <f>IF(AND(B1324="",C1324=""),"",ROUND(F1324*G1324,2))</f>
        <v/>
      </c>
      <c r="I1324" s="219" t="inlineStr"/>
      <c r="J1324" s="397">
        <f>IF(AND(B1324="",C1324=""),"",ROUND(M1324*N1324,2))</f>
        <v/>
      </c>
      <c r="K1324" s="398">
        <f>IF(AND(B1324="",C1324=""),"",ROUND(J1324*F1324,2))</f>
        <v/>
      </c>
      <c r="L1324" s="200" t="n">
        <v>1</v>
      </c>
      <c r="M1324" s="399" t="n">
        <v>550</v>
      </c>
      <c r="N1324" s="154" t="n">
        <v>1</v>
      </c>
      <c r="O1324" s="155">
        <f>IF(AND(B1324="",C1324=""),"",IF(G1324&gt;=20000,0.05,IF(G1324&gt;=10000,0.1,IF(G1324&gt;=5000,0.2,IF(G1324&gt;=1000,0.3,IF(G1324&gt;=0,0.4,{0}))))))</f>
        <v/>
      </c>
      <c r="P1324" s="400">
        <f>IF(AND(B1324="",C1324=""),"",ROUND(H1324*O1324,2))</f>
        <v/>
      </c>
      <c r="Q1324" s="401" t="inlineStr">
        <is>
          <t>辅料</t>
        </is>
      </c>
      <c r="R1324" s="168" t="inlineStr"/>
      <c r="S1324" s="168" t="inlineStr"/>
      <c r="T1324" s="168" t="inlineStr">
        <is>
          <t>0</t>
        </is>
      </c>
      <c r="U1324" s="168" t="inlineStr"/>
      <c r="V1324" s="402" t="n"/>
      <c r="W1324" s="402" t="n"/>
      <c r="X1324" s="170" t="inlineStr"/>
    </row>
    <row r="1325" s="308">
      <c r="A1325" s="64">
        <f>ROW()-ROW(A$1309)</f>
        <v/>
      </c>
      <c r="B1325" s="112" t="inlineStr">
        <is>
          <t>柜体Blokset</t>
        </is>
      </c>
      <c r="C1325" s="22" t="inlineStr">
        <is>
          <t>700W*1200D*2200H</t>
        </is>
      </c>
      <c r="D1325" s="112" t="inlineStr">
        <is>
          <t>清科</t>
        </is>
      </c>
      <c r="E1325" s="114" t="inlineStr">
        <is>
          <t>台</t>
        </is>
      </c>
      <c r="F1325" s="114" t="n">
        <v>1</v>
      </c>
      <c r="G1325" s="396">
        <f>IF(AND(B1325="",C1325=""),"",ROUND(M1325*L1325*N1325,2))</f>
        <v/>
      </c>
      <c r="H1325" s="396">
        <f>IF(AND(B1325="",C1325=""),"",ROUND(F1325*G1325,2))</f>
        <v/>
      </c>
      <c r="I1325" s="219" t="inlineStr"/>
      <c r="J1325" s="397">
        <f>IF(AND(B1325="",C1325=""),"",ROUND(M1325*N1325,2))</f>
        <v/>
      </c>
      <c r="K1325" s="398">
        <f>IF(AND(B1325="",C1325=""),"",ROUND(J1325*F1325,2))</f>
        <v/>
      </c>
      <c r="L1325" s="200" t="n">
        <v>1</v>
      </c>
      <c r="M1325" s="399" t="n">
        <v>4010</v>
      </c>
      <c r="N1325" s="154" t="n">
        <v>1</v>
      </c>
      <c r="O1325" s="155">
        <f>IF(AND(B1325="",C1325=""),"",IF(G1325&gt;=20000,0.05,IF(G1325&gt;=10000,0.1,IF(G1325&gt;=5000,0.2,IF(G1325&gt;=1000,0.3,IF(G1325&gt;=0,0.4,{0}))))))</f>
        <v/>
      </c>
      <c r="P1325" s="400">
        <f>IF(AND(B1325="",C1325=""),"",ROUND(H1325*O1325,2))</f>
        <v/>
      </c>
      <c r="Q1325" s="401" t="inlineStr">
        <is>
          <t>箱体</t>
        </is>
      </c>
      <c r="R1325" s="168" t="inlineStr"/>
      <c r="S1325" s="168" t="inlineStr"/>
      <c r="T1325" s="168" t="inlineStr">
        <is>
          <t>0</t>
        </is>
      </c>
      <c r="U1325" s="168" t="inlineStr"/>
      <c r="V1325" s="402" t="n"/>
      <c r="W1325" s="402" t="n"/>
      <c r="X1325" s="170" t="inlineStr">
        <is>
          <t>BlokSeT</t>
        </is>
      </c>
    </row>
    <row r="1326" s="308">
      <c r="A1326" s="64">
        <f>ROW()-ROW(A$1309)</f>
        <v/>
      </c>
      <c r="B1326" s="22" t="inlineStr"/>
      <c r="C1326" s="22" t="inlineStr"/>
      <c r="D1326" s="22" t="inlineStr"/>
      <c r="E1326" s="23" t="n"/>
      <c r="F1326" s="23">
        <f>IF(AND(B1326="",C1326=""),"",1)</f>
        <v/>
      </c>
      <c r="G1326" s="349">
        <f>IF(AND(B1326="",C1326=""),"",ROUND(M1326*L1326*N1326,2))</f>
        <v/>
      </c>
      <c r="H1326" s="349">
        <f>IF(AND(B1326="",C1326=""),"",ROUND(F1326*G1326,2))</f>
        <v/>
      </c>
      <c r="I1326" s="45" t="inlineStr"/>
      <c r="J1326" s="397">
        <f>IF(AND(B1326="",C1326=""),"",ROUND(M1326*N1326,2))</f>
        <v/>
      </c>
      <c r="K1326" s="398">
        <f>IF(AND(B1326="",C1326=""),"",ROUND(J1326*F1326,2))</f>
        <v/>
      </c>
      <c r="L1326" s="200">
        <f>IF(AND(B1326="",C1326=""),"",1)</f>
        <v/>
      </c>
      <c r="M1326" s="399" t="n"/>
      <c r="N1326" s="154">
        <f>IF(AND(B1326="",C1326=""),"",1)</f>
        <v/>
      </c>
      <c r="O1326" s="155">
        <f>IF(AND(B1326="",C1326=""),"",IF(J1326&gt;=20000,0.05,IF(J1326&gt;=10000,0.1,IF(J1326&gt;=5000,0.2,IF(J1326&gt;=1000,0.3,IF(J1326&gt;=0,0.4,{0}))))))</f>
        <v/>
      </c>
      <c r="P1326" s="400">
        <f>IF(AND(B1326="",C1326=""),"",ROUND(H1326*O1326,2))</f>
        <v/>
      </c>
      <c r="Q1326" s="401">
        <f>IF(AND(B1326="",C1326=""),"","元件")</f>
        <v/>
      </c>
      <c r="R1326" s="168" t="inlineStr"/>
      <c r="S1326" s="168" t="inlineStr"/>
      <c r="T1326" s="168" t="inlineStr"/>
      <c r="U1326" s="168" t="inlineStr"/>
      <c r="V1326" s="402" t="n"/>
      <c r="W1326" s="402" t="n"/>
      <c r="X1326" s="170" t="inlineStr"/>
    </row>
    <row r="1327" s="308">
      <c r="A1327" s="64">
        <f>ROW()-ROW(A$1309)</f>
        <v/>
      </c>
      <c r="B1327" s="171" t="inlineStr">
        <is>
          <t>小计</t>
        </is>
      </c>
      <c r="C1327" s="172" t="n"/>
      <c r="D1327" s="204" t="n"/>
      <c r="E1327" s="114" t="n"/>
      <c r="F1327" s="114" t="n"/>
      <c r="G1327" s="396" t="n"/>
      <c r="H1327" s="396">
        <f>ROUND(SUM(H1309:INDEX(H:H,ROW()-1)),2)</f>
        <v/>
      </c>
      <c r="I1327" s="45" t="inlineStr"/>
      <c r="J1327" s="397" t="n"/>
      <c r="K1327" s="398">
        <f>ROUND(SUM(K1309:INDEX(K:K,ROW()-1)),2)</f>
        <v/>
      </c>
      <c r="L1327" s="200" t="n"/>
      <c r="M1327" s="399" t="n"/>
      <c r="N1327" s="154" t="n"/>
      <c r="O1327" s="155" t="n"/>
      <c r="P1327" s="400" t="n"/>
      <c r="Q1327" s="401" t="n"/>
      <c r="R1327" s="168" t="inlineStr"/>
      <c r="S1327" s="168" t="inlineStr"/>
      <c r="T1327" s="168" t="inlineStr"/>
      <c r="U1327" s="168" t="inlineStr"/>
      <c r="V1327" s="402">
        <f>ROUND(SUMPRODUCT(F1309:INDEX(F:F,ROW()-1),V1309:INDEX(V:V,ROW()-1)),2)</f>
        <v/>
      </c>
      <c r="W1327" s="402">
        <f>ROUND(SUMPRODUCT(F1309:INDEX(F:F,ROW()-1),W1309:INDEX(W:W,ROW()-1)),2)</f>
        <v/>
      </c>
      <c r="X1327" s="170" t="inlineStr"/>
    </row>
    <row r="1328" s="308">
      <c r="A1328" s="64">
        <f>ROW()-ROW(A$1309)</f>
        <v/>
      </c>
      <c r="B1328" s="171" t="inlineStr">
        <is>
          <t>综合费(人工、管理、税金、利润等)</t>
        </is>
      </c>
      <c r="C1328" s="172" t="n"/>
      <c r="D1328" s="204" t="n"/>
      <c r="E1328" s="114" t="n"/>
      <c r="F1328" s="114" t="n"/>
      <c r="G1328" s="396" t="n"/>
      <c r="H1328" s="396">
        <f>2500</f>
        <v/>
      </c>
      <c r="I1328" s="45" t="inlineStr"/>
      <c r="J1328" s="397" t="n"/>
      <c r="K1328" s="398" t="n"/>
      <c r="L1328" s="200" t="n"/>
      <c r="M1328" s="399" t="n"/>
      <c r="N1328" s="154" t="n"/>
      <c r="O1328" s="155" t="n"/>
      <c r="P1328" s="400" t="n"/>
      <c r="Q1328" s="401" t="inlineStr">
        <is>
          <t>费用</t>
        </is>
      </c>
      <c r="R1328" s="168" t="inlineStr"/>
      <c r="S1328" s="168" t="inlineStr"/>
      <c r="T1328" s="168" t="inlineStr"/>
      <c r="U1328" s="168" t="inlineStr"/>
      <c r="V1328" s="402" t="n"/>
      <c r="W1328" s="402" t="n"/>
      <c r="X1328" s="170" t="inlineStr"/>
    </row>
    <row r="1329" s="308">
      <c r="A1329" s="64">
        <f>ROW()-ROW(A$1309)</f>
        <v/>
      </c>
      <c r="B1329" s="204" t="inlineStr">
        <is>
          <t>单台合计</t>
        </is>
      </c>
      <c r="C1329" s="172" t="n"/>
      <c r="D1329" s="204" t="n"/>
      <c r="E1329" s="114" t="n"/>
      <c r="F1329" s="114" t="n"/>
      <c r="G1329" s="396" t="n"/>
      <c r="H1329" s="396">
        <f>ROUND(SUM(H1327:H1328),2)</f>
        <v/>
      </c>
      <c r="I1329" s="181" t="n"/>
      <c r="J1329" s="397" t="n"/>
      <c r="K1329" s="398">
        <f>ROUND(SUM(K1327:K1328),2)</f>
        <v/>
      </c>
      <c r="L1329" s="209" t="n"/>
      <c r="M1329" s="399" t="n"/>
      <c r="N1329" s="210" t="n"/>
      <c r="O1329" s="211" t="n"/>
      <c r="P1329" s="400" t="n"/>
      <c r="Q1329" s="401" t="n"/>
      <c r="R1329" s="168" t="inlineStr"/>
      <c r="S1329" s="168" t="inlineStr"/>
      <c r="T1329" s="168" t="inlineStr"/>
      <c r="U1329" s="168" t="inlineStr"/>
      <c r="V1329" s="402" t="n"/>
      <c r="W1329" s="402" t="n"/>
      <c r="X1329" s="170" t="inlineStr"/>
    </row>
    <row r="1330" s="308">
      <c r="A1330" s="173" t="inlineStr">
        <is>
          <t>总计</t>
        </is>
      </c>
      <c r="B1330" s="205" t="n"/>
      <c r="C1330" s="175" t="n"/>
      <c r="D1330" s="206" t="n"/>
      <c r="E1330" s="206" t="inlineStr">
        <is>
          <t>台</t>
        </is>
      </c>
      <c r="F1330" s="206" t="n">
        <v>4</v>
      </c>
      <c r="G1330" s="414">
        <f>ROUND(H1329,2)</f>
        <v/>
      </c>
      <c r="H1330" s="414">
        <f>ROUND(F1330*G1330,2)</f>
        <v/>
      </c>
      <c r="I1330" s="185" t="n"/>
      <c r="J1330" s="415" t="n"/>
      <c r="K1330" s="416">
        <f>ROUND(K1329*F1330,2)</f>
        <v/>
      </c>
      <c r="L1330" s="214" t="n"/>
      <c r="M1330" s="417" t="n"/>
      <c r="N1330" s="216" t="n"/>
      <c r="O1330" s="217" t="n"/>
      <c r="P1330" s="418" t="n"/>
      <c r="Q1330" s="401" t="n"/>
      <c r="R1330" s="168" t="inlineStr"/>
      <c r="S1330" s="168" t="inlineStr"/>
      <c r="T1330" s="168" t="inlineStr"/>
      <c r="U1330" s="168" t="inlineStr"/>
      <c r="V1330" s="402" t="n"/>
      <c r="W1330" s="402" t="n"/>
      <c r="X1330" s="170" t="inlineStr"/>
    </row>
    <row r="1331" customFormat="1" s="4">
      <c r="A1331" s="6" t="n"/>
      <c r="B1331" s="195" t="inlineStr"/>
      <c r="C1331" s="195" t="inlineStr"/>
      <c r="D1331" s="195" t="inlineStr"/>
      <c r="Q1331" s="159" t="n"/>
      <c r="R1331" s="159" t="n"/>
      <c r="S1331" s="159" t="n"/>
      <c r="T1331" s="159" t="n"/>
      <c r="U1331" s="159" t="n"/>
      <c r="X1331" s="195" t="inlineStr"/>
    </row>
    <row r="1332" customFormat="1" s="4">
      <c r="A1332" s="6" t="n"/>
      <c r="B1332" s="195" t="inlineStr"/>
      <c r="C1332" s="195" t="inlineStr"/>
      <c r="D1332" s="195" t="inlineStr"/>
      <c r="Q1332" s="159" t="n"/>
      <c r="R1332" s="159" t="n"/>
      <c r="S1332" s="159" t="n"/>
      <c r="T1332" s="159" t="n"/>
      <c r="U1332" s="159" t="n"/>
      <c r="X1332" s="195" t="inlineStr"/>
    </row>
    <row r="1333" s="308">
      <c r="A1333" s="208">
        <f>CONCATENATE("报价人：",项目信息!$B$8)</f>
        <v/>
      </c>
      <c r="B1333" s="208" t="n"/>
      <c r="C1333" s="4" t="n"/>
      <c r="D1333" s="4" t="n"/>
      <c r="E1333" s="4" t="n"/>
      <c r="F1333" s="4" t="n"/>
      <c r="G1333" s="4" t="n"/>
      <c r="H1333" s="178">
        <f>项目信息!$B$9</f>
        <v/>
      </c>
      <c r="Q1333" s="159" t="n"/>
      <c r="R1333" s="159" t="n"/>
      <c r="S1333" s="159" t="n"/>
      <c r="T1333" s="159" t="n"/>
      <c r="U1333" s="159" t="n"/>
      <c r="X1333" s="203" t="inlineStr"/>
    </row>
    <row r="1334" s="308">
      <c r="A1334" s="8">
        <f>T(项目信息!$B$22)</f>
        <v/>
      </c>
      <c r="Q1334" s="159" t="n"/>
      <c r="R1334" s="159" t="n"/>
      <c r="S1334" s="159" t="n"/>
      <c r="T1334" s="159" t="n"/>
      <c r="U1334" s="159" t="n"/>
    </row>
    <row r="1335" s="308">
      <c r="A1335" s="9">
        <f>T(项目信息!$B$23)</f>
        <v/>
      </c>
      <c r="Q1335" s="159" t="n"/>
      <c r="R1335" s="159" t="n"/>
      <c r="S1335" s="159" t="n"/>
      <c r="T1335" s="159" t="n"/>
      <c r="U1335" s="159" t="n"/>
    </row>
    <row r="1336" s="308">
      <c r="A1336" s="97" t="inlineStr">
        <is>
          <t>成套产品报价明细表</t>
        </is>
      </c>
      <c r="B1336" s="378" t="n"/>
      <c r="C1336" s="378" t="n"/>
      <c r="D1336" s="378" t="n"/>
      <c r="E1336" s="378" t="n"/>
      <c r="F1336" s="378" t="n"/>
      <c r="G1336" s="378" t="n"/>
      <c r="H1336" s="378" t="n"/>
      <c r="I1336" s="378" t="n"/>
      <c r="Q1336" s="159" t="n"/>
      <c r="R1336" s="159" t="n"/>
      <c r="S1336" s="159" t="n"/>
      <c r="T1336" s="159" t="n"/>
      <c r="U1336" s="159" t="n"/>
    </row>
    <row r="1337" customFormat="1" s="4">
      <c r="A1337" s="98" t="inlineStr">
        <is>
          <t>柜号:</t>
        </is>
      </c>
      <c r="B1337" s="99" t="inlineStr">
        <is>
          <t>AAN9-08、BAN10-08、AAN11-08、BAN12-08</t>
        </is>
      </c>
      <c r="C1337" s="100" t="inlineStr">
        <is>
          <t>型号:</t>
        </is>
      </c>
      <c r="D1337" s="99" t="inlineStr">
        <is>
          <t>BlokSeT</t>
        </is>
      </c>
      <c r="E1337" s="379" t="n"/>
      <c r="F1337" s="101" t="inlineStr">
        <is>
          <t>名称:</t>
        </is>
      </c>
      <c r="G1337" s="99" t="inlineStr">
        <is>
          <t>馈线柜</t>
        </is>
      </c>
      <c r="H1337" s="379" t="n"/>
      <c r="I1337" s="408" t="inlineStr"/>
      <c r="J1337" s="194" t="inlineStr">
        <is>
          <t>箱柜尺寸:</t>
        </is>
      </c>
      <c r="K1337" s="195" t="inlineStr">
        <is>
          <t>700W*1200D*2200H</t>
        </is>
      </c>
      <c r="L1337" s="194" t="inlineStr">
        <is>
          <t>类别:</t>
        </is>
      </c>
      <c r="M1337" s="195" t="inlineStr">
        <is>
          <t>低压固定柜</t>
        </is>
      </c>
      <c r="N1337" s="409" t="inlineStr"/>
      <c r="Q1337" s="159" t="n"/>
      <c r="R1337" s="159" t="n"/>
      <c r="S1337" s="159" t="n"/>
      <c r="T1337" s="159" t="n"/>
      <c r="U1337" s="159" t="n"/>
    </row>
    <row r="1338" ht="20.1" customHeight="1" s="308">
      <c r="A1338" s="102" t="inlineStr">
        <is>
          <t>序号</t>
        </is>
      </c>
      <c r="B1338" s="103" t="inlineStr">
        <is>
          <t>元件名称</t>
        </is>
      </c>
      <c r="C1338" s="103" t="inlineStr">
        <is>
          <t>型号规格</t>
        </is>
      </c>
      <c r="D1338" s="104" t="inlineStr">
        <is>
          <t>生产厂家</t>
        </is>
      </c>
      <c r="E1338" s="105" t="inlineStr">
        <is>
          <t>单位</t>
        </is>
      </c>
      <c r="F1338" s="105" t="inlineStr">
        <is>
          <t>数量</t>
        </is>
      </c>
      <c r="G1338" s="382" t="inlineStr">
        <is>
          <t>单   价</t>
        </is>
      </c>
      <c r="H1338" s="383" t="inlineStr">
        <is>
          <t>总   价</t>
        </is>
      </c>
      <c r="I1338" s="134" t="inlineStr">
        <is>
          <t>备注</t>
        </is>
      </c>
      <c r="J1338" s="384" t="inlineStr">
        <is>
          <t>成本单价</t>
        </is>
      </c>
      <c r="K1338" s="384" t="inlineStr">
        <is>
          <t>成本总价</t>
        </is>
      </c>
      <c r="L1338" s="136" t="inlineStr">
        <is>
          <t>报出
系数</t>
        </is>
      </c>
      <c r="M1338" s="384" t="inlineStr">
        <is>
          <t>表价</t>
        </is>
      </c>
      <c r="N1338" s="136" t="inlineStr">
        <is>
          <t>折扣
系数</t>
        </is>
      </c>
      <c r="O1338" s="137" t="inlineStr">
        <is>
          <t>取费
系数</t>
        </is>
      </c>
      <c r="P1338" s="384" t="inlineStr">
        <is>
          <t>成套费</t>
        </is>
      </c>
      <c r="Q1338" s="161" t="inlineStr">
        <is>
          <t>类别</t>
        </is>
      </c>
      <c r="R1338" s="161" t="inlineStr">
        <is>
          <t>物料编码</t>
        </is>
      </c>
      <c r="S1338" s="161" t="inlineStr">
        <is>
          <t>产地</t>
        </is>
      </c>
      <c r="T1338" s="161" t="inlineStr">
        <is>
          <t>加工费</t>
        </is>
      </c>
      <c r="U1338" s="161" t="inlineStr">
        <is>
          <t>订货号</t>
        </is>
      </c>
      <c r="V1338" s="161" t="inlineStr">
        <is>
          <t>人工</t>
        </is>
      </c>
      <c r="W1338" s="161" t="inlineStr">
        <is>
          <t>辅料</t>
        </is>
      </c>
      <c r="X1338" s="203" t="inlineStr"/>
    </row>
    <row r="1339" s="308">
      <c r="A1339" s="64">
        <f>ROW()-ROW(A$1338)</f>
        <v/>
      </c>
      <c r="B1339" s="22" t="inlineStr">
        <is>
          <t>框架断路器</t>
        </is>
      </c>
      <c r="C1339" s="22" t="inlineStr">
        <is>
          <t>MT20 H1 4P MIC5.0 E</t>
        </is>
      </c>
      <c r="D1339" s="22" t="inlineStr">
        <is>
          <t>甲供/施耐德电气</t>
        </is>
      </c>
      <c r="E1339" s="23" t="inlineStr">
        <is>
          <t>只</t>
        </is>
      </c>
      <c r="F1339" s="23" t="n">
        <v>1</v>
      </c>
      <c r="G1339" s="349">
        <f>IF(AND(B1339="",C1339=""),"",ROUND(M1339*L1339*N1339,2))</f>
        <v/>
      </c>
      <c r="H1339" s="349">
        <f>IF(AND(B1339="",C1339=""),"",ROUND(F1339*G1339,2))</f>
        <v/>
      </c>
      <c r="I1339" s="45" t="inlineStr"/>
      <c r="J1339" s="397">
        <f>IF(AND(B1339="",C1339=""),"",ROUND(M1339*N1339,2))</f>
        <v/>
      </c>
      <c r="K1339" s="398">
        <f>IF(AND(B1339="",C1339=""),"",ROUND(J1339*F1339,2))</f>
        <v/>
      </c>
      <c r="L1339" s="200" t="n">
        <v>1</v>
      </c>
      <c r="M1339" s="399" t="n">
        <v>1e-07</v>
      </c>
      <c r="N1339" s="154" t="n">
        <v>1</v>
      </c>
      <c r="O1339" s="155">
        <f>IF(AND(B1339="",C1339=""),"",IF(G1339&gt;=20000,0.05,IF(G1339&gt;=10000,0.1,IF(G1339&gt;=5000,0.2,IF(G1339&gt;=1000,0.3,IF(G1339&gt;=0,0.4,{0}))))))</f>
        <v/>
      </c>
      <c r="P1339" s="400">
        <f>IF(AND(B1339="",C1339=""),"",ROUND(H1339*O1339,2))</f>
        <v/>
      </c>
      <c r="Q1339" s="401" t="inlineStr">
        <is>
          <t>元件</t>
        </is>
      </c>
      <c r="R1339" s="168" t="inlineStr"/>
      <c r="S1339" s="168" t="inlineStr"/>
      <c r="T1339" s="168" t="inlineStr">
        <is>
          <t>0</t>
        </is>
      </c>
      <c r="U1339" s="168" t="inlineStr">
        <is>
          <t>C16F32D160</t>
        </is>
      </c>
      <c r="V1339" s="402" t="n"/>
      <c r="W1339" s="402" t="n"/>
      <c r="X1339" s="170" t="inlineStr">
        <is>
          <t>NSX630N Mic2.3 630A 3P3D F→NSX630F MIC2.3 630 3P F→NSX630F MIC 2.3 630 3P F</t>
        </is>
      </c>
    </row>
    <row r="1340" s="308">
      <c r="A1340" s="64">
        <f>ROW()-ROW(A$1338)</f>
        <v/>
      </c>
      <c r="B1340" s="22" t="inlineStr">
        <is>
          <t>电流互感器</t>
        </is>
      </c>
      <c r="C1340" s="22" t="inlineStr">
        <is>
          <t>SD-0.66-100II-C 2000/5A</t>
        </is>
      </c>
      <c r="D1340" s="22" t="inlineStr">
        <is>
          <t>桑迪</t>
        </is>
      </c>
      <c r="E1340" s="23" t="inlineStr">
        <is>
          <t>只</t>
        </is>
      </c>
      <c r="F1340" s="23" t="n">
        <v>3</v>
      </c>
      <c r="G1340" s="349">
        <f>IF(AND(B1340="",C1340=""),"",ROUND(M1340*L1340*N1340,2))</f>
        <v/>
      </c>
      <c r="H1340" s="396">
        <f>IF(AND(B1340="",C1340=""),"",ROUND(F1340*G1340,2))</f>
        <v/>
      </c>
      <c r="I1340" s="219" t="inlineStr"/>
      <c r="J1340" s="397">
        <f>IF(AND(B1340="",C1340=""),"",ROUND(M1340*N1340,2))</f>
        <v/>
      </c>
      <c r="K1340" s="398">
        <f>IF(AND(B1340="",C1340=""),"",ROUND(J1340*F1340,2))</f>
        <v/>
      </c>
      <c r="L1340" s="200" t="n">
        <v>1</v>
      </c>
      <c r="M1340" s="399" t="n">
        <v>146.25</v>
      </c>
      <c r="N1340" s="154" t="n">
        <v>1</v>
      </c>
      <c r="O1340" s="155">
        <f>IF(AND(B1340="",C1340=""),"",IF(G1340&gt;=20000,0.05,IF(G1340&gt;=10000,0.1,IF(G1340&gt;=5000,0.2,IF(G1340&gt;=1000,0.3,IF(G1340&gt;=0,0.4,{0}))))))</f>
        <v/>
      </c>
      <c r="P1340" s="400">
        <f>IF(AND(B1340="",C1340=""),"",ROUND(H1340*O1340,2))</f>
        <v/>
      </c>
      <c r="Q1340" s="401" t="inlineStr">
        <is>
          <t>元件</t>
        </is>
      </c>
      <c r="R1340" s="168" t="inlineStr"/>
      <c r="S1340" s="168" t="inlineStr"/>
      <c r="T1340" s="168" t="inlineStr">
        <is>
          <t>0</t>
        </is>
      </c>
      <c r="U1340" s="168" t="inlineStr">
        <is>
          <t>710141426552500</t>
        </is>
      </c>
      <c r="V1340" s="402" t="n"/>
      <c r="W1340" s="402" t="n"/>
      <c r="X1340" s="170" t="inlineStr">
        <is>
          <t>SD→SD-0.66-40II-C 400/5A→SD-0.66-30I 250/5A→SD-0.66-30I 150/5A→SD-0.66-60II-C 750/5A→SD-0.66-60II-C 600/5A→SD-0.66-30I 150/5A→SD-0.66-40II-C 400/5A→SD-0.66-100II-C 1600/5A→SD-0.66-80II-V 1000/5A→SD-0.66-80II-V 1250/5A→SD-0.66-130III-V 3000/5A</t>
        </is>
      </c>
    </row>
    <row r="1341" s="308">
      <c r="A1341" s="64">
        <f>ROW()-ROW(A$1338)</f>
        <v/>
      </c>
      <c r="B1341" s="112" t="inlineStr">
        <is>
          <t>多功能表</t>
        </is>
      </c>
      <c r="C1341" s="112" t="inlineStr">
        <is>
          <t>PM4101</t>
        </is>
      </c>
      <c r="D1341" s="112" t="inlineStr">
        <is>
          <t>甲供/施耐德电气</t>
        </is>
      </c>
      <c r="E1341" s="114" t="inlineStr">
        <is>
          <t>只</t>
        </is>
      </c>
      <c r="F1341" s="114" t="n">
        <v>1</v>
      </c>
      <c r="G1341" s="396">
        <f>IF(AND(B1341="",C1341=""),"",ROUND(M1341*L1341*N1341,2))</f>
        <v/>
      </c>
      <c r="H1341" s="349">
        <f>IF(AND(B1341="",C1341=""),"",ROUND(F1341*G1341,2))</f>
        <v/>
      </c>
      <c r="I1341" s="45" t="inlineStr"/>
      <c r="J1341" s="397">
        <f>IF(AND(B1341="",C1341=""),"",ROUND(M1341*N1341,2))</f>
        <v/>
      </c>
      <c r="K1341" s="398">
        <f>IF(AND(B1341="",C1341=""),"",ROUND(J1341*F1341,2))</f>
        <v/>
      </c>
      <c r="L1341" s="200" t="n">
        <v>1</v>
      </c>
      <c r="M1341" s="399" t="n">
        <v>1e-07</v>
      </c>
      <c r="N1341" s="154" t="n">
        <v>1</v>
      </c>
      <c r="O1341" s="155">
        <f>IF(AND(B1341="",C1341=""),"",IF(J1341&gt;=20000,0.05,IF(J1341&gt;=10000,0.1,IF(J1341&gt;=5000,0.2,IF(J1341&gt;=1000,0.3,IF(J1341&gt;=0,0.4,{0}))))))</f>
        <v/>
      </c>
      <c r="P1341" s="400">
        <f>IF(AND(B1341="",C1341=""),"",ROUND(H1341*O1341,2))</f>
        <v/>
      </c>
      <c r="Q1341" s="401" t="inlineStr">
        <is>
          <t>元件</t>
        </is>
      </c>
      <c r="R1341" s="168" t="inlineStr"/>
      <c r="S1341" s="168" t="inlineStr"/>
      <c r="T1341" s="168" t="inlineStr">
        <is>
          <t>0</t>
        </is>
      </c>
      <c r="U1341" s="168" t="inlineStr"/>
      <c r="V1341" s="402" t="n"/>
      <c r="W1341" s="402" t="n"/>
      <c r="X1341" s="170" t="inlineStr"/>
    </row>
    <row r="1342" customFormat="1" s="3">
      <c r="A1342" s="64">
        <f>ROW()-ROW(A$1338)</f>
        <v/>
      </c>
      <c r="B1342" s="22" t="inlineStr">
        <is>
          <t>指示灯</t>
        </is>
      </c>
      <c r="C1342" s="22" t="inlineStr">
        <is>
          <t>XB2BVM3LC</t>
        </is>
      </c>
      <c r="D1342" s="22" t="inlineStr">
        <is>
          <t>甲供/施耐德电气</t>
        </is>
      </c>
      <c r="E1342" s="23" t="inlineStr">
        <is>
          <t>只</t>
        </is>
      </c>
      <c r="F1342" s="23" t="n">
        <v>1</v>
      </c>
      <c r="G1342" s="349">
        <f>IF(AND(B1342="",C1342=""),"",ROUND(M1342*L1342*N1342,2))</f>
        <v/>
      </c>
      <c r="H1342" s="353">
        <f>IF(AND(B1342="",C1342=""),"",ROUND(F1342*G1342,2))</f>
        <v/>
      </c>
      <c r="I1342" s="180" t="inlineStr"/>
      <c r="J1342" s="392">
        <f>IF(AND(B1342="",C1342=""),"",ROUND(M1342*N1342,2))</f>
        <v/>
      </c>
      <c r="K1342" s="393">
        <f>IF(AND(B1342="",C1342=""),"",ROUND(J1342*F1342,2))</f>
        <v/>
      </c>
      <c r="L1342" s="141" t="n">
        <v>1</v>
      </c>
      <c r="M1342" s="394" t="n">
        <v>1e-07</v>
      </c>
      <c r="N1342" s="220" t="n">
        <v>1</v>
      </c>
      <c r="O1342" s="221">
        <f>IF(AND(B1342="",C1342=""),"",IF(G1342&gt;=20000,0.05,IF(G1342&gt;=10000,0.1,IF(G1342&gt;=5000,0.2,IF(G1342&gt;=1000,0.3,IF(G1342&gt;=0,0.4,{0}))))))</f>
        <v/>
      </c>
      <c r="P1342" s="419">
        <f>IF(AND(B1342="",C1342=""),"",ROUND(H1342*O1342,2))</f>
        <v/>
      </c>
      <c r="Q1342" s="420" t="inlineStr">
        <is>
          <t>元件</t>
        </is>
      </c>
      <c r="R1342" s="231" t="inlineStr"/>
      <c r="S1342" s="231" t="inlineStr"/>
      <c r="T1342" s="231" t="inlineStr">
        <is>
          <t>0</t>
        </is>
      </c>
      <c r="U1342" s="231" t="inlineStr">
        <is>
          <t>XB2BVM3LC</t>
        </is>
      </c>
      <c r="V1342" s="421" t="n"/>
      <c r="W1342" s="421" t="n"/>
      <c r="X1342" s="166" t="inlineStr">
        <is>
          <t>XA2EVM3LC</t>
        </is>
      </c>
    </row>
    <row r="1343" customFormat="1" s="3">
      <c r="A1343" s="64">
        <f>ROW()-ROW(A$1338)</f>
        <v/>
      </c>
      <c r="B1343" s="22" t="inlineStr">
        <is>
          <t>指示灯</t>
        </is>
      </c>
      <c r="C1343" s="22" t="inlineStr">
        <is>
          <t>XB2BVM4LC</t>
        </is>
      </c>
      <c r="D1343" s="22" t="inlineStr">
        <is>
          <t>甲供/施耐德电气</t>
        </is>
      </c>
      <c r="E1343" s="23" t="inlineStr">
        <is>
          <t>只</t>
        </is>
      </c>
      <c r="F1343" s="23" t="n">
        <v>1</v>
      </c>
      <c r="G1343" s="349">
        <f>IF(AND(B1343="",C1343=""),"",ROUND(M1343*L1343*N1343,2))</f>
        <v/>
      </c>
      <c r="H1343" s="353">
        <f>IF(AND(B1343="",C1343=""),"",ROUND(F1343*G1343,2))</f>
        <v/>
      </c>
      <c r="I1343" s="180" t="inlineStr"/>
      <c r="J1343" s="392">
        <f>IF(AND(B1343="",C1343=""),"",ROUND(M1343*N1343,2))</f>
        <v/>
      </c>
      <c r="K1343" s="393">
        <f>IF(AND(B1343="",C1343=""),"",ROUND(J1343*F1343,2))</f>
        <v/>
      </c>
      <c r="L1343" s="141" t="n">
        <v>1</v>
      </c>
      <c r="M1343" s="394" t="n">
        <v>1e-07</v>
      </c>
      <c r="N1343" s="220" t="n">
        <v>1</v>
      </c>
      <c r="O1343" s="221">
        <f>IF(AND(B1343="",C1343=""),"",IF(G1343&gt;=20000,0.05,IF(G1343&gt;=10000,0.1,IF(G1343&gt;=5000,0.2,IF(G1343&gt;=1000,0.3,IF(G1343&gt;=0,0.4,{0}))))))</f>
        <v/>
      </c>
      <c r="P1343" s="419">
        <f>IF(AND(B1343="",C1343=""),"",ROUND(H1343*O1343,2))</f>
        <v/>
      </c>
      <c r="Q1343" s="420" t="inlineStr">
        <is>
          <t>元件</t>
        </is>
      </c>
      <c r="R1343" s="231" t="inlineStr"/>
      <c r="S1343" s="231" t="inlineStr"/>
      <c r="T1343" s="231" t="inlineStr">
        <is>
          <t>0</t>
        </is>
      </c>
      <c r="U1343" s="231" t="inlineStr">
        <is>
          <t>XB2BVM4LC</t>
        </is>
      </c>
      <c r="V1343" s="421" t="n"/>
      <c r="W1343" s="421" t="n"/>
      <c r="X1343" s="166" t="inlineStr">
        <is>
          <t>XA2EVM4LC</t>
        </is>
      </c>
    </row>
    <row r="1344" s="308">
      <c r="A1344" s="64">
        <f>ROW()-ROW(A$1338)</f>
        <v/>
      </c>
      <c r="B1344" s="112" t="inlineStr">
        <is>
          <t>指示灯</t>
        </is>
      </c>
      <c r="C1344" s="112" t="inlineStr">
        <is>
          <t>XB2BVM5LC</t>
        </is>
      </c>
      <c r="D1344" s="112" t="inlineStr">
        <is>
          <t>甲供/施耐德电气</t>
        </is>
      </c>
      <c r="E1344" s="114" t="inlineStr">
        <is>
          <t>只</t>
        </is>
      </c>
      <c r="F1344" s="114" t="n">
        <v>1</v>
      </c>
      <c r="G1344" s="396">
        <f>IF(AND(B1344="",C1344=""),"",ROUND(M1344*L1344*N1344,2))</f>
        <v/>
      </c>
      <c r="H1344" s="396">
        <f>IF(AND(B1344="",C1344=""),"",ROUND(F1344*G1344,2))</f>
        <v/>
      </c>
      <c r="I1344" s="150" t="inlineStr"/>
      <c r="J1344" s="397">
        <f>IF(AND(B1344="",C1344=""),"",ROUND(M1344*N1344,2))</f>
        <v/>
      </c>
      <c r="K1344" s="398">
        <f>IF(AND(B1344="",C1344=""),"",ROUND(J1344*F1344,2))</f>
        <v/>
      </c>
      <c r="L1344" s="141" t="n">
        <v>1</v>
      </c>
      <c r="M1344" s="399" t="n">
        <v>1e-07</v>
      </c>
      <c r="N1344" s="154" t="n">
        <v>1</v>
      </c>
      <c r="O1344" s="155">
        <f>IF(AND(B1344="",C1344=""),"",IF(G1344&gt;=20000,0.05,IF(G1344&gt;=10000,0.1,IF(G1344&gt;=5000,0.2,IF(G1344&gt;=1000,0.3,IF(G1344&gt;=0,0.4,{0}))))))</f>
        <v/>
      </c>
      <c r="P1344" s="400">
        <f>IF(AND(B1344="",C1344=""),"",ROUND(H1344*O1344,2))</f>
        <v/>
      </c>
      <c r="Q1344" s="401" t="inlineStr">
        <is>
          <t>元件</t>
        </is>
      </c>
      <c r="R1344" s="168" t="inlineStr"/>
      <c r="S1344" s="168" t="inlineStr"/>
      <c r="T1344" s="168" t="inlineStr">
        <is>
          <t>0</t>
        </is>
      </c>
      <c r="U1344" s="168" t="inlineStr">
        <is>
          <t>XA2EVM5LC</t>
        </is>
      </c>
      <c r="V1344" s="402" t="n"/>
      <c r="W1344" s="402" t="n"/>
      <c r="X1344" s="170" t="inlineStr"/>
    </row>
    <row r="1345" s="308">
      <c r="A1345" s="64">
        <f>ROW()-ROW(A$1338)</f>
        <v/>
      </c>
      <c r="B1345" s="112" t="inlineStr">
        <is>
          <t>按钮</t>
        </is>
      </c>
      <c r="C1345" s="112" t="inlineStr">
        <is>
          <t>XB2BA31C</t>
        </is>
      </c>
      <c r="D1345" s="112" t="inlineStr">
        <is>
          <t>甲供/施耐德电气</t>
        </is>
      </c>
      <c r="E1345" s="114" t="inlineStr">
        <is>
          <t>只</t>
        </is>
      </c>
      <c r="F1345" s="114" t="n">
        <v>1</v>
      </c>
      <c r="G1345" s="396">
        <f>IF(AND(B1345="",C1345=""),"",ROUND(M1345*L1345*N1345,2))</f>
        <v/>
      </c>
      <c r="H1345" s="396">
        <f>IF(AND(B1345="",C1345=""),"",ROUND(F1345*G1345,2))</f>
        <v/>
      </c>
      <c r="I1345" s="150" t="inlineStr"/>
      <c r="J1345" s="397">
        <f>IF(AND(B1345="",C1345=""),"",ROUND(M1345*N1345,2))</f>
        <v/>
      </c>
      <c r="K1345" s="398">
        <f>IF(AND(B1345="",C1345=""),"",ROUND(J1345*F1345,2))</f>
        <v/>
      </c>
      <c r="L1345" s="141" t="n">
        <v>1</v>
      </c>
      <c r="M1345" s="399" t="n">
        <v>1e-07</v>
      </c>
      <c r="N1345" s="154" t="n">
        <v>1</v>
      </c>
      <c r="O1345" s="155">
        <f>IF(AND(B1345="",C1345=""),"",IF(G1345&gt;=20000,0.05,IF(G1345&gt;=10000,0.1,IF(G1345&gt;=5000,0.2,IF(G1345&gt;=1000,0.3,IF(G1345&gt;=0,0.4,{0}))))))</f>
        <v/>
      </c>
      <c r="P1345" s="400">
        <f>IF(AND(B1345="",C1345=""),"",ROUND(H1345*O1345,2))</f>
        <v/>
      </c>
      <c r="Q1345" s="401" t="inlineStr">
        <is>
          <t>元件</t>
        </is>
      </c>
      <c r="R1345" s="168" t="inlineStr"/>
      <c r="S1345" s="168" t="inlineStr"/>
      <c r="T1345" s="168" t="inlineStr">
        <is>
          <t>0</t>
        </is>
      </c>
      <c r="U1345" s="168" t="inlineStr">
        <is>
          <t>XB2BA31C</t>
        </is>
      </c>
      <c r="V1345" s="402" t="n"/>
      <c r="W1345" s="402" t="n"/>
      <c r="X1345" s="170" t="inlineStr">
        <is>
          <t>XA2EA31</t>
        </is>
      </c>
    </row>
    <row r="1346" s="308">
      <c r="A1346" s="64">
        <f>ROW()-ROW(A$1338)</f>
        <v/>
      </c>
      <c r="B1346" s="22" t="inlineStr">
        <is>
          <t>按钮</t>
        </is>
      </c>
      <c r="C1346" s="22" t="inlineStr">
        <is>
          <t>XB2BA42C</t>
        </is>
      </c>
      <c r="D1346" s="22" t="inlineStr">
        <is>
          <t>甲供/施耐德电气</t>
        </is>
      </c>
      <c r="E1346" s="23" t="inlineStr">
        <is>
          <t>只</t>
        </is>
      </c>
      <c r="F1346" s="23" t="n">
        <v>1</v>
      </c>
      <c r="G1346" s="349">
        <f>IF(AND(B1346="",C1346=""),"",ROUND(M1346*L1346*N1346,2))</f>
        <v/>
      </c>
      <c r="H1346" s="396">
        <f>IF(AND(B1346="",C1346=""),"",ROUND(F1346*G1346,2))</f>
        <v/>
      </c>
      <c r="I1346" s="150" t="inlineStr"/>
      <c r="J1346" s="397">
        <f>IF(AND(B1346="",C1346=""),"",ROUND(M1346*N1346,2))</f>
        <v/>
      </c>
      <c r="K1346" s="398">
        <f>IF(AND(B1346="",C1346=""),"",ROUND(J1346*F1346,2))</f>
        <v/>
      </c>
      <c r="L1346" s="141" t="n">
        <v>1</v>
      </c>
      <c r="M1346" s="399" t="n">
        <v>1e-07</v>
      </c>
      <c r="N1346" s="154" t="n">
        <v>1</v>
      </c>
      <c r="O1346" s="155">
        <f>IF(AND(B1346="",C1346=""),"",IF(G1346&gt;=20000,0.05,IF(G1346&gt;=10000,0.1,IF(G1346&gt;=5000,0.2,IF(G1346&gt;=1000,0.3,IF(G1346&gt;=0,0.4,{0}))))))</f>
        <v/>
      </c>
      <c r="P1346" s="400">
        <f>IF(AND(B1346="",C1346=""),"",ROUND(H1346*O1346,2))</f>
        <v/>
      </c>
      <c r="Q1346" s="401" t="inlineStr">
        <is>
          <t>元件</t>
        </is>
      </c>
      <c r="R1346" s="168" t="inlineStr"/>
      <c r="S1346" s="168" t="inlineStr"/>
      <c r="T1346" s="168" t="inlineStr">
        <is>
          <t>0</t>
        </is>
      </c>
      <c r="U1346" s="168" t="inlineStr">
        <is>
          <t>XB2BA42C</t>
        </is>
      </c>
      <c r="V1346" s="402" t="n"/>
      <c r="W1346" s="402" t="n"/>
      <c r="X1346" s="170" t="inlineStr">
        <is>
          <t>XA2EA41</t>
        </is>
      </c>
    </row>
    <row r="1347" s="308">
      <c r="A1347" s="64">
        <f>ROW()-ROW(A$1338)</f>
        <v/>
      </c>
      <c r="B1347" s="112" t="inlineStr">
        <is>
          <t>温湿度控制器</t>
        </is>
      </c>
      <c r="C1347" s="112" t="inlineStr">
        <is>
          <t>ATH48G-11</t>
        </is>
      </c>
      <c r="D1347" s="22" t="inlineStr">
        <is>
          <t>杭州安廷</t>
        </is>
      </c>
      <c r="E1347" s="23" t="inlineStr">
        <is>
          <t>套</t>
        </is>
      </c>
      <c r="F1347" s="23" t="n">
        <v>1</v>
      </c>
      <c r="G1347" s="349">
        <f>IF(AND(B1347="",C1347=""),"",ROUND(M1347*L1347*N1347,2))</f>
        <v/>
      </c>
      <c r="H1347" s="396">
        <f>IF(AND(B1347="",C1347=""),"",ROUND(F1347*G1347,2))</f>
        <v/>
      </c>
      <c r="I1347" s="150" t="inlineStr"/>
      <c r="J1347" s="397">
        <f>IF(AND(B1347="",C1347=""),"",ROUND(M1347*N1347,2))</f>
        <v/>
      </c>
      <c r="K1347" s="398">
        <f>IF(AND(B1347="",C1347=""),"",ROUND(J1347*F1347,2))</f>
        <v/>
      </c>
      <c r="L1347" s="141" t="n">
        <v>1</v>
      </c>
      <c r="M1347" s="399" t="n">
        <v>450</v>
      </c>
      <c r="N1347" s="154" t="n">
        <v>1</v>
      </c>
      <c r="O1347" s="155">
        <f>IF(AND(B1347="",C1347=""),"",IF(G1347&gt;=20000,0.05,IF(G1347&gt;=10000,0.1,IF(G1347&gt;=5000,0.2,IF(G1347&gt;=1000,0.3,IF(G1347&gt;=0,0.4,{0}))))))</f>
        <v/>
      </c>
      <c r="P1347" s="400">
        <f>IF(AND(B1347="",C1347=""),"",ROUND(H1347*O1347,2))</f>
        <v/>
      </c>
      <c r="Q1347" s="401" t="inlineStr">
        <is>
          <t>元件</t>
        </is>
      </c>
      <c r="R1347" s="168" t="inlineStr"/>
      <c r="S1347" s="168" t="inlineStr"/>
      <c r="T1347" s="168" t="inlineStr">
        <is>
          <t>0</t>
        </is>
      </c>
      <c r="U1347" s="168" t="inlineStr"/>
      <c r="V1347" s="402" t="n"/>
      <c r="W1347" s="402" t="n"/>
      <c r="X1347" s="170" t="inlineStr"/>
    </row>
    <row r="1348" s="308">
      <c r="A1348" s="64">
        <f>ROW()-ROW(A$1338)</f>
        <v/>
      </c>
      <c r="B1348" s="22" t="inlineStr">
        <is>
          <t>中间继电器</t>
        </is>
      </c>
      <c r="C1348" s="22" t="inlineStr">
        <is>
          <t>RXM4AB2P7+RXZE2S114M+RXZ400</t>
        </is>
      </c>
      <c r="D1348" s="22" t="inlineStr">
        <is>
          <t>甲供/施耐德电气</t>
        </is>
      </c>
      <c r="E1348" s="23" t="inlineStr">
        <is>
          <t>只</t>
        </is>
      </c>
      <c r="F1348" s="23" t="n">
        <v>2</v>
      </c>
      <c r="G1348" s="349">
        <f>IF(AND(B1348="",C1348=""),"",ROUND(M1348*L1348*N1348,2))</f>
        <v/>
      </c>
      <c r="H1348" s="349">
        <f>IF(AND(B1348="",C1348=""),"",ROUND(F1348*G1348,2))</f>
        <v/>
      </c>
      <c r="I1348" s="45" t="inlineStr"/>
      <c r="J1348" s="397">
        <f>IF(AND(B1348="",C1348=""),"",ROUND(M1348*N1348,2))</f>
        <v/>
      </c>
      <c r="K1348" s="398">
        <f>IF(AND(B1348="",C1348=""),"",ROUND(J1348*F1348,2))</f>
        <v/>
      </c>
      <c r="L1348" s="141" t="n">
        <v>1</v>
      </c>
      <c r="M1348" s="399" t="n">
        <v>1e-07</v>
      </c>
      <c r="N1348" s="154" t="n">
        <v>1</v>
      </c>
      <c r="O1348" s="155">
        <f>IF(AND(B1348="",C1348=""),"",IF(G1348&gt;=20000,0.05,IF(G1348&gt;=10000,0.1,IF(G1348&gt;=5000,0.2,IF(G1348&gt;=1000,0.3,IF(G1348&gt;=0,0.4,{0}))))))</f>
        <v/>
      </c>
      <c r="P1348" s="400">
        <f>IF(AND(B1348="",C1348=""),"",ROUND(H1348*O1348,2))</f>
        <v/>
      </c>
      <c r="Q1348" s="401" t="inlineStr">
        <is>
          <t>元件</t>
        </is>
      </c>
      <c r="R1348" s="168" t="inlineStr"/>
      <c r="S1348" s="168" t="inlineStr"/>
      <c r="T1348" s="168" t="inlineStr">
        <is>
          <t>0</t>
        </is>
      </c>
      <c r="U1348" s="168" t="inlineStr">
        <is>
          <t>RXM4AB2P7+RXZE2S114M+RXZ400</t>
        </is>
      </c>
      <c r="V1348" s="402" t="n"/>
      <c r="W1348" s="402" t="n"/>
      <c r="X1348" s="170" t="inlineStr">
        <is>
          <t>REL-IR-BL/L-230AC/4X21，含底座→RXM4AB2P7+RXZE2S114M+RXZ400→REL-IR-BL/L-230AC/4X21，含底座</t>
        </is>
      </c>
    </row>
    <row r="1349" customFormat="1" s="3">
      <c r="A1349" s="64">
        <f>ROW()-ROW(A$1338)</f>
        <v/>
      </c>
      <c r="B1349" s="22" t="inlineStr">
        <is>
          <t>带熔丝端子</t>
        </is>
      </c>
      <c r="C1349" s="22" t="inlineStr">
        <is>
          <t>UK 5-HESI</t>
        </is>
      </c>
      <c r="D1349" s="22" t="inlineStr">
        <is>
          <t>菲尼克斯</t>
        </is>
      </c>
      <c r="E1349" s="23" t="inlineStr">
        <is>
          <t>只</t>
        </is>
      </c>
      <c r="F1349" s="23" t="n">
        <v>4</v>
      </c>
      <c r="G1349" s="349">
        <f>IF(AND(B1349="",C1349=""),"",ROUND(M1349*L1349*N1349,2))</f>
        <v/>
      </c>
      <c r="H1349" s="349">
        <f>IF(AND(B1349="",C1349=""),"",ROUND(F1349*G1349,2))</f>
        <v/>
      </c>
      <c r="I1349" s="45" t="inlineStr"/>
      <c r="J1349" s="392">
        <f>IF(AND(B1349="",C1349=""),"",ROUND(M1349*N1349,2))</f>
        <v/>
      </c>
      <c r="K1349" s="393">
        <f>IF(AND(B1349="",C1349=""),"",ROUND(J1349*F1349,2))</f>
        <v/>
      </c>
      <c r="L1349" s="141" t="n">
        <v>1</v>
      </c>
      <c r="M1349" s="394" t="n">
        <v>7</v>
      </c>
      <c r="N1349" s="220" t="n">
        <v>1</v>
      </c>
      <c r="O1349" s="221">
        <f>IF(AND(B1349="",C1349=""),"",IF(G1349&gt;=20000,0.05,IF(G1349&gt;=10000,0.1,IF(G1349&gt;=5000,0.2,IF(G1349&gt;=1000,0.3,IF(G1349&gt;=0,0.4,{0}))))))</f>
        <v/>
      </c>
      <c r="P1349" s="419">
        <f>IF(AND(B1349="",C1349=""),"",ROUND(H1349*O1349,2))</f>
        <v/>
      </c>
      <c r="Q1349" s="420" t="inlineStr">
        <is>
          <t>元件</t>
        </is>
      </c>
      <c r="R1349" s="231" t="inlineStr"/>
      <c r="S1349" s="231" t="inlineStr"/>
      <c r="T1349" s="231" t="inlineStr">
        <is>
          <t>0</t>
        </is>
      </c>
      <c r="U1349" s="231" t="inlineStr">
        <is>
          <t>True</t>
        </is>
      </c>
      <c r="V1349" s="421" t="n"/>
      <c r="W1349" s="421" t="n"/>
      <c r="X1349" s="166" t="inlineStr"/>
    </row>
    <row r="1350" s="308">
      <c r="A1350" s="64">
        <f>ROW()-ROW(A$1338)</f>
        <v/>
      </c>
      <c r="B1350" s="22" t="inlineStr">
        <is>
          <t>水平母排</t>
        </is>
      </c>
      <c r="C1350" s="22" t="inlineStr">
        <is>
          <t>TMY 4*(4*150*5)+2*50*5</t>
        </is>
      </c>
      <c r="D1350" s="22" t="inlineStr">
        <is>
          <t>国产优质</t>
        </is>
      </c>
      <c r="E1350" s="23" t="inlineStr">
        <is>
          <t>米</t>
        </is>
      </c>
      <c r="F1350" s="23" t="n">
        <v>0.8</v>
      </c>
      <c r="G1350" s="349">
        <f>IF(AND(B1350="",C1350=""),"",ROUND(M1350*L1350*N1350,2))</f>
        <v/>
      </c>
      <c r="H1350" s="349">
        <f>IF(AND(B1350="",C1350=""),"",ROUND(F1350*G1350,2))</f>
        <v/>
      </c>
      <c r="I1350" s="45" t="inlineStr"/>
      <c r="J1350" s="397">
        <f>IF(AND(B1350="",C1350=""),"",ROUND(M1350*N1350,2))</f>
        <v/>
      </c>
      <c r="K1350" s="398">
        <f>IF(AND(B1350="",C1350=""),"",ROUND(J1350*F1350,2))</f>
        <v/>
      </c>
      <c r="L1350" s="200" t="n">
        <v>1</v>
      </c>
      <c r="M1350" s="399" t="n">
        <v>12026.68125</v>
      </c>
      <c r="N1350" s="154">
        <f>(6317.932*1*1+2684.8*1*1)/9002.732</f>
        <v/>
      </c>
      <c r="O1350" s="155">
        <f>IF(AND(B1350="",C1350=""),"",IF(J1350&gt;=20000,0.05,IF(J1350&gt;=10000,0.1,IF(J1350&gt;=5000,0.2,IF(J1350&gt;=1000,0.3,IF(J1350&gt;=0,0.4,{0}))))))</f>
        <v/>
      </c>
      <c r="P1350" s="400">
        <f>IF(AND(B1350="",C1350=""),"",ROUND(H1350*O1350,2))</f>
        <v/>
      </c>
      <c r="Q1350" s="401" t="inlineStr">
        <is>
          <t>母排</t>
        </is>
      </c>
      <c r="R1350" s="168" t="inlineStr"/>
      <c r="S1350" s="168" t="inlineStr"/>
      <c r="T1350" s="168" t="inlineStr">
        <is>
          <t>0</t>
        </is>
      </c>
      <c r="U1350" s="168" t="inlineStr"/>
      <c r="V1350" s="402" t="n"/>
      <c r="W1350" s="402" t="n"/>
      <c r="X1350" s="170" t="inlineStr"/>
    </row>
    <row r="1351" customFormat="1" s="5">
      <c r="A1351" s="64">
        <f>ROW()-ROW(A$1338)</f>
        <v/>
      </c>
      <c r="B1351" s="22" t="inlineStr">
        <is>
          <t>桩头排</t>
        </is>
      </c>
      <c r="C1351" s="22" t="inlineStr">
        <is>
          <t>TMY</t>
        </is>
      </c>
      <c r="D1351" s="22" t="inlineStr">
        <is>
          <t>国产优质</t>
        </is>
      </c>
      <c r="E1351" s="23" t="inlineStr">
        <is>
          <t>kg</t>
        </is>
      </c>
      <c r="F1351" s="23" t="n">
        <v>103</v>
      </c>
      <c r="G1351" s="349">
        <f>IF(AND(B1351="",C1351=""),"",ROUND(M1351*L1351*N1351,2))</f>
        <v/>
      </c>
      <c r="H1351" s="349">
        <f>IF(AND(B1351="",C1351=""),"",ROUND(F1351*G1351,2))</f>
        <v/>
      </c>
      <c r="I1351" s="45" t="inlineStr"/>
      <c r="J1351" s="422">
        <f>IF(AND(B1351="",C1351=""),"",ROUND(M1351*N1351,2))</f>
        <v/>
      </c>
      <c r="K1351" s="423">
        <f>IF(AND(B1351="",C1351=""),"",ROUND(J1351*F1351,2))</f>
        <v/>
      </c>
      <c r="L1351" s="225" t="n">
        <v>1</v>
      </c>
      <c r="M1351" s="424" t="n">
        <v>108.105</v>
      </c>
      <c r="N1351" s="227" t="n">
        <v>1</v>
      </c>
      <c r="O1351" s="228">
        <f>IF(AND(B1351="",C1351=""),"",IF(G1351&gt;=20000,0.05,IF(G1351&gt;=10000,0.1,IF(G1351&gt;=5000,0.2,IF(G1351&gt;=1000,0.3,IF(G1351&gt;=0,0.4,{0}))))))</f>
        <v/>
      </c>
      <c r="P1351" s="425">
        <f>IF(AND(B1351="",C1351=""),"",ROUND(H1351*O1351,2))</f>
        <v/>
      </c>
      <c r="Q1351" s="426" t="inlineStr">
        <is>
          <t>母排</t>
        </is>
      </c>
      <c r="R1351" s="234" t="inlineStr"/>
      <c r="S1351" s="234" t="inlineStr"/>
      <c r="T1351" s="235" t="inlineStr">
        <is>
          <t>0</t>
        </is>
      </c>
      <c r="U1351" s="235" t="inlineStr"/>
      <c r="V1351" s="427" t="n"/>
      <c r="W1351" s="427" t="n"/>
      <c r="X1351" s="237" t="inlineStr">
        <is>
          <t>TMY 2*30*5→TMY 30*8</t>
        </is>
      </c>
    </row>
    <row r="1352" s="308">
      <c r="A1352" s="64">
        <f>ROW()-ROW(A$1338)</f>
        <v/>
      </c>
      <c r="B1352" s="112" t="inlineStr">
        <is>
          <t>辅料</t>
        </is>
      </c>
      <c r="C1352" s="112" t="inlineStr"/>
      <c r="D1352" s="112" t="inlineStr"/>
      <c r="E1352" s="114" t="inlineStr">
        <is>
          <t>套</t>
        </is>
      </c>
      <c r="F1352" s="114" t="n">
        <v>1</v>
      </c>
      <c r="G1352" s="396">
        <f>IF(AND(B1352="",C1352=""),"",ROUND(M1352*L1352*N1352,2))</f>
        <v/>
      </c>
      <c r="H1352" s="396">
        <f>IF(AND(B1352="",C1352=""),"",ROUND(F1352*G1352,2))</f>
        <v/>
      </c>
      <c r="I1352" s="219" t="inlineStr"/>
      <c r="J1352" s="397">
        <f>IF(AND(B1352="",C1352=""),"",ROUND(M1352*N1352,2))</f>
        <v/>
      </c>
      <c r="K1352" s="398">
        <f>IF(AND(B1352="",C1352=""),"",ROUND(J1352*F1352,2))</f>
        <v/>
      </c>
      <c r="L1352" s="200" t="n">
        <v>1</v>
      </c>
      <c r="M1352" s="399" t="n">
        <v>550</v>
      </c>
      <c r="N1352" s="154" t="n">
        <v>1</v>
      </c>
      <c r="O1352" s="155">
        <f>IF(AND(B1352="",C1352=""),"",IF(G1352&gt;=20000,0.05,IF(G1352&gt;=10000,0.1,IF(G1352&gt;=5000,0.2,IF(G1352&gt;=1000,0.3,IF(G1352&gt;=0,0.4,{0}))))))</f>
        <v/>
      </c>
      <c r="P1352" s="400">
        <f>IF(AND(B1352="",C1352=""),"",ROUND(H1352*O1352,2))</f>
        <v/>
      </c>
      <c r="Q1352" s="401" t="inlineStr">
        <is>
          <t>辅料</t>
        </is>
      </c>
      <c r="R1352" s="168" t="inlineStr"/>
      <c r="S1352" s="168" t="inlineStr"/>
      <c r="T1352" s="168" t="inlineStr">
        <is>
          <t>0</t>
        </is>
      </c>
      <c r="U1352" s="168" t="inlineStr"/>
      <c r="V1352" s="402" t="n"/>
      <c r="W1352" s="402" t="n"/>
      <c r="X1352" s="170" t="inlineStr"/>
    </row>
    <row r="1353" s="308">
      <c r="A1353" s="64">
        <f>ROW()-ROW(A$1338)</f>
        <v/>
      </c>
      <c r="B1353" s="112" t="inlineStr">
        <is>
          <t>柜体Blokset</t>
        </is>
      </c>
      <c r="C1353" s="22" t="inlineStr">
        <is>
          <t>700W*1200D*2200H</t>
        </is>
      </c>
      <c r="D1353" s="112" t="inlineStr">
        <is>
          <t>清科</t>
        </is>
      </c>
      <c r="E1353" s="114" t="inlineStr">
        <is>
          <t>台</t>
        </is>
      </c>
      <c r="F1353" s="114" t="n">
        <v>1</v>
      </c>
      <c r="G1353" s="396">
        <f>IF(AND(B1353="",C1353=""),"",ROUND(M1353*L1353*N1353,2))</f>
        <v/>
      </c>
      <c r="H1353" s="396">
        <f>IF(AND(B1353="",C1353=""),"",ROUND(F1353*G1353,2))</f>
        <v/>
      </c>
      <c r="I1353" s="219" t="inlineStr"/>
      <c r="J1353" s="397">
        <f>IF(AND(B1353="",C1353=""),"",ROUND(M1353*N1353,2))</f>
        <v/>
      </c>
      <c r="K1353" s="398">
        <f>IF(AND(B1353="",C1353=""),"",ROUND(J1353*F1353,2))</f>
        <v/>
      </c>
      <c r="L1353" s="200" t="n">
        <v>1</v>
      </c>
      <c r="M1353" s="399" t="n">
        <v>4010</v>
      </c>
      <c r="N1353" s="154" t="n">
        <v>1</v>
      </c>
      <c r="O1353" s="155">
        <f>IF(AND(B1353="",C1353=""),"",IF(G1353&gt;=20000,0.05,IF(G1353&gt;=10000,0.1,IF(G1353&gt;=5000,0.2,IF(G1353&gt;=1000,0.3,IF(G1353&gt;=0,0.4,{0}))))))</f>
        <v/>
      </c>
      <c r="P1353" s="400">
        <f>IF(AND(B1353="",C1353=""),"",ROUND(H1353*O1353,2))</f>
        <v/>
      </c>
      <c r="Q1353" s="401" t="inlineStr">
        <is>
          <t>箱体</t>
        </is>
      </c>
      <c r="R1353" s="168" t="inlineStr"/>
      <c r="S1353" s="168" t="inlineStr"/>
      <c r="T1353" s="168" t="inlineStr">
        <is>
          <t>0</t>
        </is>
      </c>
      <c r="U1353" s="168" t="inlineStr"/>
      <c r="V1353" s="402" t="n"/>
      <c r="W1353" s="402" t="n"/>
      <c r="X1353" s="170" t="inlineStr">
        <is>
          <t>BlokSeT</t>
        </is>
      </c>
    </row>
    <row r="1354" s="308">
      <c r="A1354" s="64">
        <f>ROW()-ROW(A$1338)</f>
        <v/>
      </c>
      <c r="B1354" s="22" t="inlineStr"/>
      <c r="C1354" s="22" t="inlineStr"/>
      <c r="D1354" s="22" t="inlineStr"/>
      <c r="E1354" s="23" t="n"/>
      <c r="F1354" s="23">
        <f>IF(AND(B1354="",C1354=""),"",1)</f>
        <v/>
      </c>
      <c r="G1354" s="349">
        <f>IF(AND(B1354="",C1354=""),"",ROUND(M1354*L1354*N1354,2))</f>
        <v/>
      </c>
      <c r="H1354" s="349">
        <f>IF(AND(B1354="",C1354=""),"",ROUND(F1354*G1354,2))</f>
        <v/>
      </c>
      <c r="I1354" s="45" t="inlineStr"/>
      <c r="J1354" s="397">
        <f>IF(AND(B1354="",C1354=""),"",ROUND(M1354*N1354,2))</f>
        <v/>
      </c>
      <c r="K1354" s="398">
        <f>IF(AND(B1354="",C1354=""),"",ROUND(J1354*F1354,2))</f>
        <v/>
      </c>
      <c r="L1354" s="200">
        <f>IF(AND(B1354="",C1354=""),"",1)</f>
        <v/>
      </c>
      <c r="M1354" s="399" t="n"/>
      <c r="N1354" s="154">
        <f>IF(AND(B1354="",C1354=""),"",1)</f>
        <v/>
      </c>
      <c r="O1354" s="155">
        <f>IF(AND(B1354="",C1354=""),"",IF(J1354&gt;=20000,0.05,IF(J1354&gt;=10000,0.1,IF(J1354&gt;=5000,0.2,IF(J1354&gt;=1000,0.3,IF(J1354&gt;=0,0.4,{0}))))))</f>
        <v/>
      </c>
      <c r="P1354" s="400">
        <f>IF(AND(B1354="",C1354=""),"",ROUND(H1354*O1354,2))</f>
        <v/>
      </c>
      <c r="Q1354" s="401">
        <f>IF(AND(B1354="",C1354=""),"","元件")</f>
        <v/>
      </c>
      <c r="R1354" s="168" t="inlineStr"/>
      <c r="S1354" s="168" t="inlineStr"/>
      <c r="T1354" s="168" t="inlineStr"/>
      <c r="U1354" s="168" t="inlineStr"/>
      <c r="V1354" s="402" t="n"/>
      <c r="W1354" s="402" t="n"/>
      <c r="X1354" s="170" t="inlineStr"/>
    </row>
    <row r="1355" s="308">
      <c r="A1355" s="64">
        <f>ROW()-ROW(A$1338)</f>
        <v/>
      </c>
      <c r="B1355" s="171" t="inlineStr">
        <is>
          <t>小计</t>
        </is>
      </c>
      <c r="C1355" s="172" t="n"/>
      <c r="D1355" s="204" t="n"/>
      <c r="E1355" s="114" t="n"/>
      <c r="F1355" s="114" t="n"/>
      <c r="G1355" s="396" t="n"/>
      <c r="H1355" s="396">
        <f>ROUND(SUM(H1338:INDEX(H:H,ROW()-1)),2)</f>
        <v/>
      </c>
      <c r="I1355" s="45" t="inlineStr"/>
      <c r="J1355" s="397" t="n"/>
      <c r="K1355" s="398">
        <f>ROUND(SUM(K1338:INDEX(K:K,ROW()-1)),2)</f>
        <v/>
      </c>
      <c r="L1355" s="200" t="n"/>
      <c r="M1355" s="399" t="n"/>
      <c r="N1355" s="154" t="n"/>
      <c r="O1355" s="155" t="n"/>
      <c r="P1355" s="400" t="n"/>
      <c r="Q1355" s="401" t="n"/>
      <c r="R1355" s="168" t="inlineStr"/>
      <c r="S1355" s="168" t="inlineStr"/>
      <c r="T1355" s="168" t="inlineStr"/>
      <c r="U1355" s="168" t="inlineStr"/>
      <c r="V1355" s="402">
        <f>ROUND(SUMPRODUCT(F1338:INDEX(F:F,ROW()-1),V1338:INDEX(V:V,ROW()-1)),2)</f>
        <v/>
      </c>
      <c r="W1355" s="402">
        <f>ROUND(SUMPRODUCT(F1338:INDEX(F:F,ROW()-1),W1338:INDEX(W:W,ROW()-1)),2)</f>
        <v/>
      </c>
      <c r="X1355" s="170" t="inlineStr"/>
    </row>
    <row r="1356" s="308">
      <c r="A1356" s="64">
        <f>ROW()-ROW(A$1338)</f>
        <v/>
      </c>
      <c r="B1356" s="171" t="inlineStr">
        <is>
          <t>综合费(人工、管理、税金、利润等)</t>
        </is>
      </c>
      <c r="C1356" s="172" t="n"/>
      <c r="D1356" s="204" t="n"/>
      <c r="E1356" s="114" t="n"/>
      <c r="F1356" s="114" t="n"/>
      <c r="G1356" s="396" t="n"/>
      <c r="H1356" s="396">
        <f>2500</f>
        <v/>
      </c>
      <c r="I1356" s="45" t="inlineStr"/>
      <c r="J1356" s="397" t="n"/>
      <c r="K1356" s="398" t="n"/>
      <c r="L1356" s="200" t="n"/>
      <c r="M1356" s="399" t="n"/>
      <c r="N1356" s="154" t="n"/>
      <c r="O1356" s="155" t="n"/>
      <c r="P1356" s="400" t="n"/>
      <c r="Q1356" s="401" t="inlineStr">
        <is>
          <t>费用</t>
        </is>
      </c>
      <c r="R1356" s="168" t="inlineStr"/>
      <c r="S1356" s="168" t="inlineStr"/>
      <c r="T1356" s="168" t="inlineStr"/>
      <c r="U1356" s="168" t="inlineStr"/>
      <c r="V1356" s="402" t="n"/>
      <c r="W1356" s="402" t="n"/>
      <c r="X1356" s="170" t="inlineStr"/>
    </row>
    <row r="1357" s="308">
      <c r="A1357" s="64">
        <f>ROW()-ROW(A$1338)</f>
        <v/>
      </c>
      <c r="B1357" s="204" t="inlineStr">
        <is>
          <t>单台合计</t>
        </is>
      </c>
      <c r="C1357" s="172" t="n"/>
      <c r="D1357" s="204" t="n"/>
      <c r="E1357" s="114" t="n"/>
      <c r="F1357" s="114" t="n"/>
      <c r="G1357" s="396" t="n"/>
      <c r="H1357" s="396">
        <f>ROUND(SUM(H1355:H1356),2)</f>
        <v/>
      </c>
      <c r="I1357" s="181" t="n"/>
      <c r="J1357" s="397" t="n"/>
      <c r="K1357" s="398">
        <f>ROUND(SUM(K1355:K1356),2)</f>
        <v/>
      </c>
      <c r="L1357" s="209" t="n"/>
      <c r="M1357" s="399" t="n"/>
      <c r="N1357" s="210" t="n"/>
      <c r="O1357" s="211" t="n"/>
      <c r="P1357" s="400" t="n"/>
      <c r="Q1357" s="401" t="n"/>
      <c r="R1357" s="168" t="inlineStr"/>
      <c r="S1357" s="168" t="inlineStr"/>
      <c r="T1357" s="168" t="inlineStr"/>
      <c r="U1357" s="168" t="inlineStr"/>
      <c r="V1357" s="402" t="n"/>
      <c r="W1357" s="402" t="n"/>
      <c r="X1357" s="170" t="inlineStr"/>
    </row>
    <row r="1358" s="308">
      <c r="A1358" s="173" t="inlineStr">
        <is>
          <t>总计</t>
        </is>
      </c>
      <c r="B1358" s="205" t="n"/>
      <c r="C1358" s="175" t="n"/>
      <c r="D1358" s="206" t="n"/>
      <c r="E1358" s="206" t="inlineStr">
        <is>
          <t>台</t>
        </is>
      </c>
      <c r="F1358" s="206" t="n">
        <v>4</v>
      </c>
      <c r="G1358" s="414">
        <f>ROUND(H1357,2)</f>
        <v/>
      </c>
      <c r="H1358" s="414">
        <f>ROUND(F1358*G1358,2)</f>
        <v/>
      </c>
      <c r="I1358" s="185" t="n"/>
      <c r="J1358" s="415" t="n"/>
      <c r="K1358" s="416">
        <f>ROUND(K1357*F1358,2)</f>
        <v/>
      </c>
      <c r="L1358" s="214" t="n"/>
      <c r="M1358" s="417" t="n"/>
      <c r="N1358" s="216" t="n"/>
      <c r="O1358" s="217" t="n"/>
      <c r="P1358" s="418" t="n"/>
      <c r="Q1358" s="401" t="n"/>
      <c r="R1358" s="168" t="inlineStr"/>
      <c r="S1358" s="168" t="inlineStr"/>
      <c r="T1358" s="168" t="inlineStr"/>
      <c r="U1358" s="168" t="inlineStr"/>
      <c r="V1358" s="402" t="n"/>
      <c r="W1358" s="402" t="n"/>
      <c r="X1358" s="170" t="inlineStr"/>
    </row>
    <row r="1359" customFormat="1" s="4">
      <c r="A1359" s="6" t="n"/>
      <c r="B1359" s="195" t="inlineStr"/>
      <c r="C1359" s="195" t="inlineStr"/>
      <c r="D1359" s="195" t="inlineStr"/>
      <c r="Q1359" s="159" t="n"/>
      <c r="R1359" s="159" t="n"/>
      <c r="S1359" s="159" t="n"/>
      <c r="T1359" s="159" t="n"/>
      <c r="U1359" s="159" t="n"/>
      <c r="X1359" s="195" t="inlineStr"/>
    </row>
    <row r="1360" customFormat="1" s="4">
      <c r="A1360" s="6" t="n"/>
      <c r="B1360" s="195" t="inlineStr"/>
      <c r="C1360" s="195" t="inlineStr"/>
      <c r="D1360" s="195" t="inlineStr"/>
      <c r="Q1360" s="159" t="n"/>
      <c r="R1360" s="159" t="n"/>
      <c r="S1360" s="159" t="n"/>
      <c r="T1360" s="159" t="n"/>
      <c r="U1360" s="159" t="n"/>
      <c r="X1360" s="195" t="inlineStr"/>
    </row>
    <row r="1361" s="308">
      <c r="A1361" s="208">
        <f>CONCATENATE("报价人：",项目信息!$B$8)</f>
        <v/>
      </c>
      <c r="B1361" s="208" t="n"/>
      <c r="C1361" s="4" t="n"/>
      <c r="D1361" s="4" t="n"/>
      <c r="E1361" s="4" t="n"/>
      <c r="F1361" s="4" t="n"/>
      <c r="G1361" s="4" t="n"/>
      <c r="H1361" s="178">
        <f>项目信息!$B$9</f>
        <v/>
      </c>
      <c r="Q1361" s="159" t="n"/>
      <c r="R1361" s="159" t="n"/>
      <c r="S1361" s="159" t="n"/>
      <c r="T1361" s="159" t="n"/>
      <c r="U1361" s="159" t="n"/>
      <c r="X1361" s="203" t="inlineStr"/>
    </row>
    <row r="1362" s="308">
      <c r="A1362" s="8">
        <f>T(项目信息!$B$22)</f>
        <v/>
      </c>
      <c r="Q1362" s="159" t="n"/>
      <c r="R1362" s="159" t="n"/>
      <c r="S1362" s="159" t="n"/>
      <c r="T1362" s="159" t="n"/>
      <c r="U1362" s="159" t="n"/>
    </row>
    <row r="1363" s="308">
      <c r="A1363" s="9">
        <f>T(项目信息!$B$23)</f>
        <v/>
      </c>
      <c r="Q1363" s="159" t="n"/>
      <c r="R1363" s="159" t="n"/>
      <c r="S1363" s="159" t="n"/>
      <c r="T1363" s="159" t="n"/>
      <c r="U1363" s="159" t="n"/>
    </row>
    <row r="1364" s="308">
      <c r="A1364" s="97" t="inlineStr">
        <is>
          <t>成套产品报价明细表</t>
        </is>
      </c>
      <c r="B1364" s="378" t="n"/>
      <c r="C1364" s="378" t="n"/>
      <c r="D1364" s="378" t="n"/>
      <c r="E1364" s="378" t="n"/>
      <c r="F1364" s="378" t="n"/>
      <c r="G1364" s="378" t="n"/>
      <c r="H1364" s="378" t="n"/>
      <c r="I1364" s="378" t="n"/>
      <c r="Q1364" s="159" t="n"/>
      <c r="R1364" s="159" t="n"/>
      <c r="S1364" s="159" t="n"/>
      <c r="T1364" s="159" t="n"/>
      <c r="U1364" s="159" t="n"/>
    </row>
    <row r="1365" customFormat="1" s="4">
      <c r="A1365" s="98" t="inlineStr">
        <is>
          <t>柜号:</t>
        </is>
      </c>
      <c r="B1365" s="99" t="inlineStr">
        <is>
          <t>BAN10-04</t>
        </is>
      </c>
      <c r="C1365" s="100" t="inlineStr">
        <is>
          <t>型号:</t>
        </is>
      </c>
      <c r="D1365" s="99" t="inlineStr">
        <is>
          <t>BlokSeT</t>
        </is>
      </c>
      <c r="E1365" s="379" t="n"/>
      <c r="F1365" s="101" t="inlineStr">
        <is>
          <t>名称:</t>
        </is>
      </c>
      <c r="G1365" s="99" t="inlineStr">
        <is>
          <t>馈线柜</t>
        </is>
      </c>
      <c r="H1365" s="379" t="n"/>
      <c r="I1365" s="408" t="inlineStr"/>
      <c r="J1365" s="194" t="inlineStr">
        <is>
          <t>箱柜尺寸:</t>
        </is>
      </c>
      <c r="K1365" s="195" t="inlineStr">
        <is>
          <t>800W*1200D*2200H</t>
        </is>
      </c>
      <c r="L1365" s="194" t="inlineStr">
        <is>
          <t>类别:</t>
        </is>
      </c>
      <c r="M1365" s="195" t="inlineStr">
        <is>
          <t>低压固定柜</t>
        </is>
      </c>
      <c r="N1365" s="409" t="inlineStr"/>
      <c r="Q1365" s="159" t="n"/>
      <c r="R1365" s="159" t="n"/>
      <c r="S1365" s="159" t="n"/>
      <c r="T1365" s="159" t="n"/>
      <c r="U1365" s="159" t="n"/>
    </row>
    <row r="1366" ht="20.1" customHeight="1" s="308">
      <c r="A1366" s="102" t="inlineStr">
        <is>
          <t>序号</t>
        </is>
      </c>
      <c r="B1366" s="103" t="inlineStr">
        <is>
          <t>元件名称</t>
        </is>
      </c>
      <c r="C1366" s="103" t="inlineStr">
        <is>
          <t>型号规格</t>
        </is>
      </c>
      <c r="D1366" s="104" t="inlineStr">
        <is>
          <t>生产厂家</t>
        </is>
      </c>
      <c r="E1366" s="105" t="inlineStr">
        <is>
          <t>单位</t>
        </is>
      </c>
      <c r="F1366" s="105" t="inlineStr">
        <is>
          <t>数量</t>
        </is>
      </c>
      <c r="G1366" s="382" t="inlineStr">
        <is>
          <t>单   价</t>
        </is>
      </c>
      <c r="H1366" s="383" t="inlineStr">
        <is>
          <t>总   价</t>
        </is>
      </c>
      <c r="I1366" s="134" t="inlineStr">
        <is>
          <t>备注</t>
        </is>
      </c>
      <c r="J1366" s="384" t="inlineStr">
        <is>
          <t>成本单价</t>
        </is>
      </c>
      <c r="K1366" s="384" t="inlineStr">
        <is>
          <t>成本总价</t>
        </is>
      </c>
      <c r="L1366" s="136" t="inlineStr">
        <is>
          <t>报出
系数</t>
        </is>
      </c>
      <c r="M1366" s="384" t="inlineStr">
        <is>
          <t>表价</t>
        </is>
      </c>
      <c r="N1366" s="136" t="inlineStr">
        <is>
          <t>折扣
系数</t>
        </is>
      </c>
      <c r="O1366" s="137" t="inlineStr">
        <is>
          <t>取费
系数</t>
        </is>
      </c>
      <c r="P1366" s="384" t="inlineStr">
        <is>
          <t>成套费</t>
        </is>
      </c>
      <c r="Q1366" s="161" t="inlineStr">
        <is>
          <t>类别</t>
        </is>
      </c>
      <c r="R1366" s="161" t="inlineStr">
        <is>
          <t>物料编码</t>
        </is>
      </c>
      <c r="S1366" s="161" t="inlineStr">
        <is>
          <t>产地</t>
        </is>
      </c>
      <c r="T1366" s="161" t="inlineStr">
        <is>
          <t>加工费</t>
        </is>
      </c>
      <c r="U1366" s="161" t="inlineStr">
        <is>
          <t>订货号</t>
        </is>
      </c>
      <c r="V1366" s="161" t="inlineStr">
        <is>
          <t>人工</t>
        </is>
      </c>
      <c r="W1366" s="161" t="inlineStr">
        <is>
          <t>辅料</t>
        </is>
      </c>
      <c r="X1366" s="203" t="inlineStr"/>
    </row>
    <row r="1367" s="308">
      <c r="A1367" s="64">
        <f>ROW()-ROW(A$1366)</f>
        <v/>
      </c>
      <c r="B1367" s="22" t="inlineStr">
        <is>
          <t>框架断路器</t>
        </is>
      </c>
      <c r="C1367" s="22" t="inlineStr">
        <is>
          <t>MT08 N1a SG 3P MIC5.0 E</t>
        </is>
      </c>
      <c r="D1367" s="22" t="inlineStr">
        <is>
          <t>甲供/施耐德电气</t>
        </is>
      </c>
      <c r="E1367" s="23" t="inlineStr">
        <is>
          <t>只</t>
        </is>
      </c>
      <c r="F1367" s="23" t="n">
        <v>2</v>
      </c>
      <c r="G1367" s="349">
        <f>IF(AND(B1367="",C1367=""),"",ROUND(M1367*L1367*N1367,2))</f>
        <v/>
      </c>
      <c r="H1367" s="349">
        <f>IF(AND(B1367="",C1367=""),"",ROUND(F1367*G1367,2))</f>
        <v/>
      </c>
      <c r="I1367" s="45" t="inlineStr"/>
      <c r="J1367" s="397">
        <f>IF(AND(B1367="",C1367=""),"",ROUND(M1367*N1367,2))</f>
        <v/>
      </c>
      <c r="K1367" s="398">
        <f>IF(AND(B1367="",C1367=""),"",ROUND(J1367*F1367,2))</f>
        <v/>
      </c>
      <c r="L1367" s="200" t="n">
        <v>1</v>
      </c>
      <c r="M1367" s="399" t="n">
        <v>1e-07</v>
      </c>
      <c r="N1367" s="154" t="n">
        <v>1</v>
      </c>
      <c r="O1367" s="155">
        <f>IF(AND(B1367="",C1367=""),"",IF(G1367&gt;=20000,0.05,IF(G1367&gt;=10000,0.1,IF(G1367&gt;=5000,0.2,IF(G1367&gt;=1000,0.3,IF(G1367&gt;=0,0.4,{0}))))))</f>
        <v/>
      </c>
      <c r="P1367" s="400">
        <f>IF(AND(B1367="",C1367=""),"",ROUND(H1367*O1367,2))</f>
        <v/>
      </c>
      <c r="Q1367" s="401" t="inlineStr">
        <is>
          <t>元件</t>
        </is>
      </c>
      <c r="R1367" s="168" t="inlineStr"/>
      <c r="S1367" s="168" t="inlineStr"/>
      <c r="T1367" s="168" t="inlineStr">
        <is>
          <t>0</t>
        </is>
      </c>
      <c r="U1367" s="168" t="inlineStr">
        <is>
          <t>C16F32D160</t>
        </is>
      </c>
      <c r="V1367" s="402" t="n"/>
      <c r="W1367" s="402" t="n"/>
      <c r="X1367" s="170" t="inlineStr">
        <is>
          <t>NSX630N Mic2.3 630A 3P3D F→NSX630F MIC2.3 630 3P F→NSX630F MIC 2.3 630 3P F</t>
        </is>
      </c>
    </row>
    <row r="1368" s="308">
      <c r="A1368" s="64">
        <f>ROW()-ROW(A$1366)</f>
        <v/>
      </c>
      <c r="B1368" s="22" t="inlineStr">
        <is>
          <t>框架断路器</t>
        </is>
      </c>
      <c r="C1368" s="22" t="inlineStr">
        <is>
          <t>MT08 N1a SG 4P MIC5.0 E</t>
        </is>
      </c>
      <c r="D1368" s="22" t="inlineStr">
        <is>
          <t>甲供/施耐德电气</t>
        </is>
      </c>
      <c r="E1368" s="23" t="inlineStr">
        <is>
          <t>只</t>
        </is>
      </c>
      <c r="F1368" s="23" t="n">
        <v>1</v>
      </c>
      <c r="G1368" s="349">
        <f>IF(AND(B1368="",C1368=""),"",ROUND(M1368*L1368*N1368,2))</f>
        <v/>
      </c>
      <c r="H1368" s="349">
        <f>IF(AND(B1368="",C1368=""),"",ROUND(F1368*G1368,2))</f>
        <v/>
      </c>
      <c r="I1368" s="45" t="inlineStr"/>
      <c r="J1368" s="397">
        <f>IF(AND(B1368="",C1368=""),"",ROUND(M1368*N1368,2))</f>
        <v/>
      </c>
      <c r="K1368" s="398">
        <f>IF(AND(B1368="",C1368=""),"",ROUND(J1368*F1368,2))</f>
        <v/>
      </c>
      <c r="L1368" s="200" t="n">
        <v>1</v>
      </c>
      <c r="M1368" s="399" t="n">
        <v>1e-07</v>
      </c>
      <c r="N1368" s="154" t="n">
        <v>1</v>
      </c>
      <c r="O1368" s="155">
        <f>IF(AND(B1368="",C1368=""),"",IF(G1368&gt;=20000,0.05,IF(G1368&gt;=10000,0.1,IF(G1368&gt;=5000,0.2,IF(G1368&gt;=1000,0.3,IF(G1368&gt;=0,0.4,{0}))))))</f>
        <v/>
      </c>
      <c r="P1368" s="400">
        <f>IF(AND(B1368="",C1368=""),"",ROUND(H1368*O1368,2))</f>
        <v/>
      </c>
      <c r="Q1368" s="401" t="inlineStr">
        <is>
          <t>元件</t>
        </is>
      </c>
      <c r="R1368" s="168" t="inlineStr"/>
      <c r="S1368" s="168" t="inlineStr"/>
      <c r="T1368" s="168" t="inlineStr">
        <is>
          <t>0</t>
        </is>
      </c>
      <c r="U1368" s="168" t="inlineStr">
        <is>
          <t>C16F32D160</t>
        </is>
      </c>
      <c r="V1368" s="402" t="n"/>
      <c r="W1368" s="402" t="n"/>
      <c r="X1368" s="170" t="inlineStr">
        <is>
          <t>NSX630N Mic2.3 630A 3P3D F→NSX630F MIC2.3 630 3P F→NSX630F MIC 2.3 630 3P F</t>
        </is>
      </c>
    </row>
    <row r="1369" s="308">
      <c r="A1369" s="64">
        <f>ROW()-ROW(A$1366)</f>
        <v/>
      </c>
      <c r="B1369" s="22" t="inlineStr">
        <is>
          <t>电流互感器</t>
        </is>
      </c>
      <c r="C1369" s="22" t="inlineStr">
        <is>
          <t>SD-0.66-80II-V 800/5A</t>
        </is>
      </c>
      <c r="D1369" s="22" t="inlineStr">
        <is>
          <t>桑迪</t>
        </is>
      </c>
      <c r="E1369" s="23" t="inlineStr">
        <is>
          <t>只</t>
        </is>
      </c>
      <c r="F1369" s="23" t="n">
        <v>9</v>
      </c>
      <c r="G1369" s="349">
        <f>IF(AND(B1369="",C1369=""),"",ROUND(M1369*L1369*N1369,2))</f>
        <v/>
      </c>
      <c r="H1369" s="396">
        <f>IF(AND(B1369="",C1369=""),"",ROUND(F1369*G1369,2))</f>
        <v/>
      </c>
      <c r="I1369" s="219" t="inlineStr"/>
      <c r="J1369" s="397">
        <f>IF(AND(B1369="",C1369=""),"",ROUND(M1369*N1369,2))</f>
        <v/>
      </c>
      <c r="K1369" s="398">
        <f>IF(AND(B1369="",C1369=""),"",ROUND(J1369*F1369,2))</f>
        <v/>
      </c>
      <c r="L1369" s="200" t="n">
        <v>1</v>
      </c>
      <c r="M1369" s="399" t="n">
        <v>80.59999999999999</v>
      </c>
      <c r="N1369" s="154" t="n">
        <v>1</v>
      </c>
      <c r="O1369" s="155">
        <f>IF(AND(B1369="",C1369=""),"",IF(G1369&gt;=20000,0.05,IF(G1369&gt;=10000,0.1,IF(G1369&gt;=5000,0.2,IF(G1369&gt;=1000,0.3,IF(G1369&gt;=0,0.4,{0}))))))</f>
        <v/>
      </c>
      <c r="P1369" s="400">
        <f>IF(AND(B1369="",C1369=""),"",ROUND(H1369*O1369,2))</f>
        <v/>
      </c>
      <c r="Q1369" s="401" t="inlineStr">
        <is>
          <t>元件</t>
        </is>
      </c>
      <c r="R1369" s="168" t="inlineStr"/>
      <c r="S1369" s="168" t="inlineStr"/>
      <c r="T1369" s="168" t="inlineStr">
        <is>
          <t>0</t>
        </is>
      </c>
      <c r="U1369" s="168" t="inlineStr">
        <is>
          <t>710141426552500</t>
        </is>
      </c>
      <c r="V1369" s="402" t="n"/>
      <c r="W1369" s="402" t="n"/>
      <c r="X1369" s="170" t="inlineStr">
        <is>
          <t>SD→SD-0.66-40II-C 400/5A→SD-0.66-30I 250/5A→SD-0.66-30I 150/5A→SD-0.66-60II-C 750/5A→SD-0.66-60II-C 600/5A→SD-0.66-30I 150/5A→SD-0.66-40II-C 400/5A→SD-0.66-100II-C 1600/5A→SD-0.66-80II-V 1000/5A</t>
        </is>
      </c>
    </row>
    <row r="1370" s="308">
      <c r="A1370" s="64">
        <f>ROW()-ROW(A$1366)</f>
        <v/>
      </c>
      <c r="B1370" s="112" t="inlineStr">
        <is>
          <t>多功能表</t>
        </is>
      </c>
      <c r="C1370" s="112" t="inlineStr">
        <is>
          <t>PM4101</t>
        </is>
      </c>
      <c r="D1370" s="112" t="inlineStr">
        <is>
          <t>甲供/施耐德电气</t>
        </is>
      </c>
      <c r="E1370" s="114" t="inlineStr">
        <is>
          <t>只</t>
        </is>
      </c>
      <c r="F1370" s="114" t="n">
        <v>3</v>
      </c>
      <c r="G1370" s="396">
        <f>IF(AND(B1370="",C1370=""),"",ROUND(M1370*L1370*N1370,2))</f>
        <v/>
      </c>
      <c r="H1370" s="349">
        <f>IF(AND(B1370="",C1370=""),"",ROUND(F1370*G1370,2))</f>
        <v/>
      </c>
      <c r="I1370" s="45" t="inlineStr"/>
      <c r="J1370" s="397">
        <f>IF(AND(B1370="",C1370=""),"",ROUND(M1370*N1370,2))</f>
        <v/>
      </c>
      <c r="K1370" s="398">
        <f>IF(AND(B1370="",C1370=""),"",ROUND(J1370*F1370,2))</f>
        <v/>
      </c>
      <c r="L1370" s="200" t="n">
        <v>1</v>
      </c>
      <c r="M1370" s="399" t="n">
        <v>1e-07</v>
      </c>
      <c r="N1370" s="154" t="n">
        <v>1</v>
      </c>
      <c r="O1370" s="155">
        <f>IF(AND(B1370="",C1370=""),"",IF(J1370&gt;=20000,0.05,IF(J1370&gt;=10000,0.1,IF(J1370&gt;=5000,0.2,IF(J1370&gt;=1000,0.3,IF(J1370&gt;=0,0.4,{0}))))))</f>
        <v/>
      </c>
      <c r="P1370" s="400">
        <f>IF(AND(B1370="",C1370=""),"",ROUND(H1370*O1370,2))</f>
        <v/>
      </c>
      <c r="Q1370" s="401" t="inlineStr">
        <is>
          <t>元件</t>
        </is>
      </c>
      <c r="R1370" s="168" t="inlineStr"/>
      <c r="S1370" s="168" t="inlineStr"/>
      <c r="T1370" s="168" t="inlineStr">
        <is>
          <t>0</t>
        </is>
      </c>
      <c r="U1370" s="168" t="inlineStr"/>
      <c r="V1370" s="402" t="n"/>
      <c r="W1370" s="402" t="n"/>
      <c r="X1370" s="170" t="inlineStr"/>
    </row>
    <row r="1371" customFormat="1" s="3">
      <c r="A1371" s="64">
        <f>ROW()-ROW(A$1366)</f>
        <v/>
      </c>
      <c r="B1371" s="22" t="inlineStr">
        <is>
          <t>指示灯</t>
        </is>
      </c>
      <c r="C1371" s="22" t="inlineStr">
        <is>
          <t>XB2BVM3LC</t>
        </is>
      </c>
      <c r="D1371" s="22" t="inlineStr">
        <is>
          <t>甲供/施耐德电气</t>
        </is>
      </c>
      <c r="E1371" s="23" t="inlineStr">
        <is>
          <t>只</t>
        </is>
      </c>
      <c r="F1371" s="23" t="n">
        <v>3</v>
      </c>
      <c r="G1371" s="349">
        <f>IF(AND(B1371="",C1371=""),"",ROUND(M1371*L1371*N1371,2))</f>
        <v/>
      </c>
      <c r="H1371" s="353">
        <f>IF(AND(B1371="",C1371=""),"",ROUND(F1371*G1371,2))</f>
        <v/>
      </c>
      <c r="I1371" s="180" t="inlineStr"/>
      <c r="J1371" s="392">
        <f>IF(AND(B1371="",C1371=""),"",ROUND(M1371*N1371,2))</f>
        <v/>
      </c>
      <c r="K1371" s="393">
        <f>IF(AND(B1371="",C1371=""),"",ROUND(J1371*F1371,2))</f>
        <v/>
      </c>
      <c r="L1371" s="141" t="n">
        <v>1</v>
      </c>
      <c r="M1371" s="394" t="n">
        <v>1e-07</v>
      </c>
      <c r="N1371" s="220" t="n">
        <v>1</v>
      </c>
      <c r="O1371" s="221">
        <f>IF(AND(B1371="",C1371=""),"",IF(G1371&gt;=20000,0.05,IF(G1371&gt;=10000,0.1,IF(G1371&gt;=5000,0.2,IF(G1371&gt;=1000,0.3,IF(G1371&gt;=0,0.4,{0}))))))</f>
        <v/>
      </c>
      <c r="P1371" s="419">
        <f>IF(AND(B1371="",C1371=""),"",ROUND(H1371*O1371,2))</f>
        <v/>
      </c>
      <c r="Q1371" s="420" t="inlineStr">
        <is>
          <t>元件</t>
        </is>
      </c>
      <c r="R1371" s="231" t="inlineStr"/>
      <c r="S1371" s="231" t="inlineStr"/>
      <c r="T1371" s="231" t="inlineStr">
        <is>
          <t>0</t>
        </is>
      </c>
      <c r="U1371" s="231" t="inlineStr">
        <is>
          <t>XB2BVM3LC</t>
        </is>
      </c>
      <c r="V1371" s="421" t="n"/>
      <c r="W1371" s="421" t="n"/>
      <c r="X1371" s="166" t="inlineStr">
        <is>
          <t>XA2EVM3LC</t>
        </is>
      </c>
    </row>
    <row r="1372" customFormat="1" s="3">
      <c r="A1372" s="64">
        <f>ROW()-ROW(A$1366)</f>
        <v/>
      </c>
      <c r="B1372" s="22" t="inlineStr">
        <is>
          <t>指示灯</t>
        </is>
      </c>
      <c r="C1372" s="22" t="inlineStr">
        <is>
          <t>XB2BVM4LC</t>
        </is>
      </c>
      <c r="D1372" s="22" t="inlineStr">
        <is>
          <t>甲供/施耐德电气</t>
        </is>
      </c>
      <c r="E1372" s="23" t="inlineStr">
        <is>
          <t>只</t>
        </is>
      </c>
      <c r="F1372" s="23" t="n">
        <v>3</v>
      </c>
      <c r="G1372" s="349">
        <f>IF(AND(B1372="",C1372=""),"",ROUND(M1372*L1372*N1372,2))</f>
        <v/>
      </c>
      <c r="H1372" s="353">
        <f>IF(AND(B1372="",C1372=""),"",ROUND(F1372*G1372,2))</f>
        <v/>
      </c>
      <c r="I1372" s="180" t="inlineStr"/>
      <c r="J1372" s="392">
        <f>IF(AND(B1372="",C1372=""),"",ROUND(M1372*N1372,2))</f>
        <v/>
      </c>
      <c r="K1372" s="393">
        <f>IF(AND(B1372="",C1372=""),"",ROUND(J1372*F1372,2))</f>
        <v/>
      </c>
      <c r="L1372" s="141" t="n">
        <v>1</v>
      </c>
      <c r="M1372" s="394" t="n">
        <v>1e-07</v>
      </c>
      <c r="N1372" s="220" t="n">
        <v>1</v>
      </c>
      <c r="O1372" s="221">
        <f>IF(AND(B1372="",C1372=""),"",IF(G1372&gt;=20000,0.05,IF(G1372&gt;=10000,0.1,IF(G1372&gt;=5000,0.2,IF(G1372&gt;=1000,0.3,IF(G1372&gt;=0,0.4,{0}))))))</f>
        <v/>
      </c>
      <c r="P1372" s="419">
        <f>IF(AND(B1372="",C1372=""),"",ROUND(H1372*O1372,2))</f>
        <v/>
      </c>
      <c r="Q1372" s="420" t="inlineStr">
        <is>
          <t>元件</t>
        </is>
      </c>
      <c r="R1372" s="231" t="inlineStr"/>
      <c r="S1372" s="231" t="inlineStr"/>
      <c r="T1372" s="231" t="inlineStr">
        <is>
          <t>0</t>
        </is>
      </c>
      <c r="U1372" s="231" t="inlineStr">
        <is>
          <t>XB2BVM4LC</t>
        </is>
      </c>
      <c r="V1372" s="421" t="n"/>
      <c r="W1372" s="421" t="n"/>
      <c r="X1372" s="166" t="inlineStr">
        <is>
          <t>XA2EVM4LC</t>
        </is>
      </c>
    </row>
    <row r="1373" s="308">
      <c r="A1373" s="64">
        <f>ROW()-ROW(A$1366)</f>
        <v/>
      </c>
      <c r="B1373" s="112" t="inlineStr">
        <is>
          <t>指示灯</t>
        </is>
      </c>
      <c r="C1373" s="112" t="inlineStr">
        <is>
          <t>XB2BVM5LC</t>
        </is>
      </c>
      <c r="D1373" s="112" t="inlineStr">
        <is>
          <t>甲供/施耐德电气</t>
        </is>
      </c>
      <c r="E1373" s="114" t="inlineStr">
        <is>
          <t>只</t>
        </is>
      </c>
      <c r="F1373" s="114" t="n">
        <v>3</v>
      </c>
      <c r="G1373" s="396">
        <f>IF(AND(B1373="",C1373=""),"",ROUND(M1373*L1373*N1373,2))</f>
        <v/>
      </c>
      <c r="H1373" s="396">
        <f>IF(AND(B1373="",C1373=""),"",ROUND(F1373*G1373,2))</f>
        <v/>
      </c>
      <c r="I1373" s="150" t="inlineStr"/>
      <c r="J1373" s="397">
        <f>IF(AND(B1373="",C1373=""),"",ROUND(M1373*N1373,2))</f>
        <v/>
      </c>
      <c r="K1373" s="398">
        <f>IF(AND(B1373="",C1373=""),"",ROUND(J1373*F1373,2))</f>
        <v/>
      </c>
      <c r="L1373" s="141" t="n">
        <v>1</v>
      </c>
      <c r="M1373" s="399" t="n">
        <v>1e-07</v>
      </c>
      <c r="N1373" s="154" t="n">
        <v>1</v>
      </c>
      <c r="O1373" s="155">
        <f>IF(AND(B1373="",C1373=""),"",IF(G1373&gt;=20000,0.05,IF(G1373&gt;=10000,0.1,IF(G1373&gt;=5000,0.2,IF(G1373&gt;=1000,0.3,IF(G1373&gt;=0,0.4,{0}))))))</f>
        <v/>
      </c>
      <c r="P1373" s="400">
        <f>IF(AND(B1373="",C1373=""),"",ROUND(H1373*O1373,2))</f>
        <v/>
      </c>
      <c r="Q1373" s="401" t="inlineStr">
        <is>
          <t>元件</t>
        </is>
      </c>
      <c r="R1373" s="168" t="inlineStr"/>
      <c r="S1373" s="168" t="inlineStr"/>
      <c r="T1373" s="168" t="inlineStr">
        <is>
          <t>0</t>
        </is>
      </c>
      <c r="U1373" s="168" t="inlineStr">
        <is>
          <t>XA2EVM5LC</t>
        </is>
      </c>
      <c r="V1373" s="402" t="n"/>
      <c r="W1373" s="402" t="n"/>
      <c r="X1373" s="170" t="inlineStr"/>
    </row>
    <row r="1374" s="308">
      <c r="A1374" s="64">
        <f>ROW()-ROW(A$1366)</f>
        <v/>
      </c>
      <c r="B1374" s="112" t="inlineStr">
        <is>
          <t>按钮</t>
        </is>
      </c>
      <c r="C1374" s="112" t="inlineStr">
        <is>
          <t>XB2BA31C</t>
        </is>
      </c>
      <c r="D1374" s="112" t="inlineStr">
        <is>
          <t>甲供/施耐德电气</t>
        </is>
      </c>
      <c r="E1374" s="114" t="inlineStr">
        <is>
          <t>只</t>
        </is>
      </c>
      <c r="F1374" s="114" t="n">
        <v>3</v>
      </c>
      <c r="G1374" s="396">
        <f>IF(AND(B1374="",C1374=""),"",ROUND(M1374*L1374*N1374,2))</f>
        <v/>
      </c>
      <c r="H1374" s="396">
        <f>IF(AND(B1374="",C1374=""),"",ROUND(F1374*G1374,2))</f>
        <v/>
      </c>
      <c r="I1374" s="150" t="inlineStr"/>
      <c r="J1374" s="397">
        <f>IF(AND(B1374="",C1374=""),"",ROUND(M1374*N1374,2))</f>
        <v/>
      </c>
      <c r="K1374" s="398">
        <f>IF(AND(B1374="",C1374=""),"",ROUND(J1374*F1374,2))</f>
        <v/>
      </c>
      <c r="L1374" s="141" t="n">
        <v>1</v>
      </c>
      <c r="M1374" s="399" t="n">
        <v>1e-07</v>
      </c>
      <c r="N1374" s="154" t="n">
        <v>1</v>
      </c>
      <c r="O1374" s="155">
        <f>IF(AND(B1374="",C1374=""),"",IF(G1374&gt;=20000,0.05,IF(G1374&gt;=10000,0.1,IF(G1374&gt;=5000,0.2,IF(G1374&gt;=1000,0.3,IF(G1374&gt;=0,0.4,{0}))))))</f>
        <v/>
      </c>
      <c r="P1374" s="400">
        <f>IF(AND(B1374="",C1374=""),"",ROUND(H1374*O1374,2))</f>
        <v/>
      </c>
      <c r="Q1374" s="401" t="inlineStr">
        <is>
          <t>元件</t>
        </is>
      </c>
      <c r="R1374" s="168" t="inlineStr"/>
      <c r="S1374" s="168" t="inlineStr"/>
      <c r="T1374" s="168" t="inlineStr">
        <is>
          <t>0</t>
        </is>
      </c>
      <c r="U1374" s="168" t="inlineStr">
        <is>
          <t>XB2BA31C</t>
        </is>
      </c>
      <c r="V1374" s="402" t="n"/>
      <c r="W1374" s="402" t="n"/>
      <c r="X1374" s="170" t="inlineStr">
        <is>
          <t>XA2EA31</t>
        </is>
      </c>
    </row>
    <row r="1375" s="308">
      <c r="A1375" s="64">
        <f>ROW()-ROW(A$1366)</f>
        <v/>
      </c>
      <c r="B1375" s="22" t="inlineStr">
        <is>
          <t>按钮</t>
        </is>
      </c>
      <c r="C1375" s="22" t="inlineStr">
        <is>
          <t>XB2BA42C</t>
        </is>
      </c>
      <c r="D1375" s="22" t="inlineStr">
        <is>
          <t>甲供/施耐德电气</t>
        </is>
      </c>
      <c r="E1375" s="23" t="inlineStr">
        <is>
          <t>只</t>
        </is>
      </c>
      <c r="F1375" s="23" t="n">
        <v>3</v>
      </c>
      <c r="G1375" s="349">
        <f>IF(AND(B1375="",C1375=""),"",ROUND(M1375*L1375*N1375,2))</f>
        <v/>
      </c>
      <c r="H1375" s="396">
        <f>IF(AND(B1375="",C1375=""),"",ROUND(F1375*G1375,2))</f>
        <v/>
      </c>
      <c r="I1375" s="150" t="inlineStr"/>
      <c r="J1375" s="397">
        <f>IF(AND(B1375="",C1375=""),"",ROUND(M1375*N1375,2))</f>
        <v/>
      </c>
      <c r="K1375" s="398">
        <f>IF(AND(B1375="",C1375=""),"",ROUND(J1375*F1375,2))</f>
        <v/>
      </c>
      <c r="L1375" s="141" t="n">
        <v>1</v>
      </c>
      <c r="M1375" s="399" t="n">
        <v>1e-07</v>
      </c>
      <c r="N1375" s="154" t="n">
        <v>1</v>
      </c>
      <c r="O1375" s="155">
        <f>IF(AND(B1375="",C1375=""),"",IF(G1375&gt;=20000,0.05,IF(G1375&gt;=10000,0.1,IF(G1375&gt;=5000,0.2,IF(G1375&gt;=1000,0.3,IF(G1375&gt;=0,0.4,{0}))))))</f>
        <v/>
      </c>
      <c r="P1375" s="400">
        <f>IF(AND(B1375="",C1375=""),"",ROUND(H1375*O1375,2))</f>
        <v/>
      </c>
      <c r="Q1375" s="401" t="inlineStr">
        <is>
          <t>元件</t>
        </is>
      </c>
      <c r="R1375" s="168" t="inlineStr"/>
      <c r="S1375" s="168" t="inlineStr"/>
      <c r="T1375" s="168" t="inlineStr">
        <is>
          <t>0</t>
        </is>
      </c>
      <c r="U1375" s="168" t="inlineStr">
        <is>
          <t>XB2BA42C</t>
        </is>
      </c>
      <c r="V1375" s="402" t="n"/>
      <c r="W1375" s="402" t="n"/>
      <c r="X1375" s="170" t="inlineStr">
        <is>
          <t>XA2EA41</t>
        </is>
      </c>
    </row>
    <row r="1376" s="308">
      <c r="A1376" s="64">
        <f>ROW()-ROW(A$1366)</f>
        <v/>
      </c>
      <c r="B1376" s="112" t="inlineStr">
        <is>
          <t>温湿度控制器</t>
        </is>
      </c>
      <c r="C1376" s="112" t="inlineStr">
        <is>
          <t>ATH48G-11</t>
        </is>
      </c>
      <c r="D1376" s="22" t="inlineStr">
        <is>
          <t>杭州安廷</t>
        </is>
      </c>
      <c r="E1376" s="23" t="inlineStr">
        <is>
          <t>套</t>
        </is>
      </c>
      <c r="F1376" s="23" t="n">
        <v>1</v>
      </c>
      <c r="G1376" s="349">
        <f>IF(AND(B1376="",C1376=""),"",ROUND(M1376*L1376*N1376,2))</f>
        <v/>
      </c>
      <c r="H1376" s="396">
        <f>IF(AND(B1376="",C1376=""),"",ROUND(F1376*G1376,2))</f>
        <v/>
      </c>
      <c r="I1376" s="150" t="inlineStr"/>
      <c r="J1376" s="397">
        <f>IF(AND(B1376="",C1376=""),"",ROUND(M1376*N1376,2))</f>
        <v/>
      </c>
      <c r="K1376" s="398">
        <f>IF(AND(B1376="",C1376=""),"",ROUND(J1376*F1376,2))</f>
        <v/>
      </c>
      <c r="L1376" s="141" t="n">
        <v>1</v>
      </c>
      <c r="M1376" s="399" t="n">
        <v>450</v>
      </c>
      <c r="N1376" s="154" t="n">
        <v>1</v>
      </c>
      <c r="O1376" s="155">
        <f>IF(AND(B1376="",C1376=""),"",IF(G1376&gt;=20000,0.05,IF(G1376&gt;=10000,0.1,IF(G1376&gt;=5000,0.2,IF(G1376&gt;=1000,0.3,IF(G1376&gt;=0,0.4,{0}))))))</f>
        <v/>
      </c>
      <c r="P1376" s="400">
        <f>IF(AND(B1376="",C1376=""),"",ROUND(H1376*O1376,2))</f>
        <v/>
      </c>
      <c r="Q1376" s="401" t="inlineStr">
        <is>
          <t>元件</t>
        </is>
      </c>
      <c r="R1376" s="168" t="inlineStr"/>
      <c r="S1376" s="168" t="inlineStr"/>
      <c r="T1376" s="168" t="inlineStr">
        <is>
          <t>0</t>
        </is>
      </c>
      <c r="U1376" s="168" t="inlineStr"/>
      <c r="V1376" s="402" t="n"/>
      <c r="W1376" s="402" t="n"/>
      <c r="X1376" s="170" t="inlineStr"/>
    </row>
    <row r="1377" s="308">
      <c r="A1377" s="64">
        <f>ROW()-ROW(A$1366)</f>
        <v/>
      </c>
      <c r="B1377" s="22" t="inlineStr">
        <is>
          <t>中间继电器</t>
        </is>
      </c>
      <c r="C1377" s="22" t="inlineStr">
        <is>
          <t>RXM4AB2P7+RXZE2S114M+RXZ400</t>
        </is>
      </c>
      <c r="D1377" s="22" t="inlineStr">
        <is>
          <t>甲供/施耐德电气</t>
        </is>
      </c>
      <c r="E1377" s="23" t="inlineStr">
        <is>
          <t>只</t>
        </is>
      </c>
      <c r="F1377" s="23" t="n">
        <v>6</v>
      </c>
      <c r="G1377" s="349">
        <f>IF(AND(B1377="",C1377=""),"",ROUND(M1377*L1377*N1377,2))</f>
        <v/>
      </c>
      <c r="H1377" s="349">
        <f>IF(AND(B1377="",C1377=""),"",ROUND(F1377*G1377,2))</f>
        <v/>
      </c>
      <c r="I1377" s="45" t="inlineStr"/>
      <c r="J1377" s="397">
        <f>IF(AND(B1377="",C1377=""),"",ROUND(M1377*N1377,2))</f>
        <v/>
      </c>
      <c r="K1377" s="398">
        <f>IF(AND(B1377="",C1377=""),"",ROUND(J1377*F1377,2))</f>
        <v/>
      </c>
      <c r="L1377" s="141" t="n">
        <v>1</v>
      </c>
      <c r="M1377" s="399" t="n">
        <v>1e-07</v>
      </c>
      <c r="N1377" s="154" t="n">
        <v>1</v>
      </c>
      <c r="O1377" s="155">
        <f>IF(AND(B1377="",C1377=""),"",IF(G1377&gt;=20000,0.05,IF(G1377&gt;=10000,0.1,IF(G1377&gt;=5000,0.2,IF(G1377&gt;=1000,0.3,IF(G1377&gt;=0,0.4,{0}))))))</f>
        <v/>
      </c>
      <c r="P1377" s="400">
        <f>IF(AND(B1377="",C1377=""),"",ROUND(H1377*O1377,2))</f>
        <v/>
      </c>
      <c r="Q1377" s="401" t="inlineStr">
        <is>
          <t>元件</t>
        </is>
      </c>
      <c r="R1377" s="168" t="inlineStr"/>
      <c r="S1377" s="168" t="inlineStr"/>
      <c r="T1377" s="168" t="inlineStr">
        <is>
          <t>0</t>
        </is>
      </c>
      <c r="U1377" s="168" t="inlineStr">
        <is>
          <t>RXM4AB2P7+RXZE2S114M+RXZ400</t>
        </is>
      </c>
      <c r="V1377" s="402" t="n"/>
      <c r="W1377" s="402" t="n"/>
      <c r="X1377" s="170" t="inlineStr">
        <is>
          <t>REL-IR-BL/L-230AC/4X21，含底座→RXM4AB2P7+RXZE2S114M+RXZ400→REL-IR-BL/L-230AC/4X21，含底座</t>
        </is>
      </c>
    </row>
    <row r="1378" customFormat="1" s="3">
      <c r="A1378" s="64">
        <f>ROW()-ROW(A$1366)</f>
        <v/>
      </c>
      <c r="B1378" s="22" t="inlineStr">
        <is>
          <t>带熔丝端子</t>
        </is>
      </c>
      <c r="C1378" s="22" t="inlineStr">
        <is>
          <t>UK 5-HESI</t>
        </is>
      </c>
      <c r="D1378" s="22" t="inlineStr">
        <is>
          <t>菲尼克斯</t>
        </is>
      </c>
      <c r="E1378" s="23" t="inlineStr">
        <is>
          <t>只</t>
        </is>
      </c>
      <c r="F1378" s="23" t="n">
        <v>12</v>
      </c>
      <c r="G1378" s="349">
        <f>IF(AND(B1378="",C1378=""),"",ROUND(M1378*L1378*N1378,2))</f>
        <v/>
      </c>
      <c r="H1378" s="349">
        <f>IF(AND(B1378="",C1378=""),"",ROUND(F1378*G1378,2))</f>
        <v/>
      </c>
      <c r="I1378" s="45" t="inlineStr"/>
      <c r="J1378" s="392">
        <f>IF(AND(B1378="",C1378=""),"",ROUND(M1378*N1378,2))</f>
        <v/>
      </c>
      <c r="K1378" s="393">
        <f>IF(AND(B1378="",C1378=""),"",ROUND(J1378*F1378,2))</f>
        <v/>
      </c>
      <c r="L1378" s="141" t="n">
        <v>1</v>
      </c>
      <c r="M1378" s="394" t="n">
        <v>7</v>
      </c>
      <c r="N1378" s="220" t="n">
        <v>1</v>
      </c>
      <c r="O1378" s="221">
        <f>IF(AND(B1378="",C1378=""),"",IF(G1378&gt;=20000,0.05,IF(G1378&gt;=10000,0.1,IF(G1378&gt;=5000,0.2,IF(G1378&gt;=1000,0.3,IF(G1378&gt;=0,0.4,{0}))))))</f>
        <v/>
      </c>
      <c r="P1378" s="419">
        <f>IF(AND(B1378="",C1378=""),"",ROUND(H1378*O1378,2))</f>
        <v/>
      </c>
      <c r="Q1378" s="420" t="inlineStr">
        <is>
          <t>元件</t>
        </is>
      </c>
      <c r="R1378" s="231" t="inlineStr"/>
      <c r="S1378" s="231" t="inlineStr"/>
      <c r="T1378" s="231" t="inlineStr">
        <is>
          <t>0</t>
        </is>
      </c>
      <c r="U1378" s="231" t="inlineStr">
        <is>
          <t>True</t>
        </is>
      </c>
      <c r="V1378" s="421" t="n"/>
      <c r="W1378" s="421" t="n"/>
      <c r="X1378" s="166" t="inlineStr"/>
    </row>
    <row r="1379" s="308">
      <c r="A1379" s="64">
        <f>ROW()-ROW(A$1366)</f>
        <v/>
      </c>
      <c r="B1379" s="22" t="inlineStr">
        <is>
          <t>水平母排</t>
        </is>
      </c>
      <c r="C1379" s="22" t="inlineStr">
        <is>
          <t>TMY 4*(4*150*5)+2*50*5</t>
        </is>
      </c>
      <c r="D1379" s="22" t="inlineStr">
        <is>
          <t>国产优质</t>
        </is>
      </c>
      <c r="E1379" s="23" t="inlineStr">
        <is>
          <t>米</t>
        </is>
      </c>
      <c r="F1379" s="23" t="n">
        <v>0.9</v>
      </c>
      <c r="G1379" s="349">
        <f>IF(AND(B1379="",C1379=""),"",ROUND(M1379*L1379*N1379,2))</f>
        <v/>
      </c>
      <c r="H1379" s="349">
        <f>IF(AND(B1379="",C1379=""),"",ROUND(F1379*G1379,2))</f>
        <v/>
      </c>
      <c r="I1379" s="45" t="inlineStr"/>
      <c r="J1379" s="397">
        <f>IF(AND(B1379="",C1379=""),"",ROUND(M1379*N1379,2))</f>
        <v/>
      </c>
      <c r="K1379" s="398">
        <f>IF(AND(B1379="",C1379=""),"",ROUND(J1379*F1379,2))</f>
        <v/>
      </c>
      <c r="L1379" s="200" t="n">
        <v>1</v>
      </c>
      <c r="M1379" s="399" t="n">
        <v>12026.68125</v>
      </c>
      <c r="N1379" s="154">
        <f>(6317.932*1*1+2684.8*1*1)/9002.732</f>
        <v/>
      </c>
      <c r="O1379" s="155">
        <f>IF(AND(B1379="",C1379=""),"",IF(J1379&gt;=20000,0.05,IF(J1379&gt;=10000,0.1,IF(J1379&gt;=5000,0.2,IF(J1379&gt;=1000,0.3,IF(J1379&gt;=0,0.4,{0}))))))</f>
        <v/>
      </c>
      <c r="P1379" s="400">
        <f>IF(AND(B1379="",C1379=""),"",ROUND(H1379*O1379,2))</f>
        <v/>
      </c>
      <c r="Q1379" s="401" t="inlineStr">
        <is>
          <t>母排</t>
        </is>
      </c>
      <c r="R1379" s="168" t="inlineStr"/>
      <c r="S1379" s="168" t="inlineStr"/>
      <c r="T1379" s="168" t="inlineStr">
        <is>
          <t>0</t>
        </is>
      </c>
      <c r="U1379" s="168" t="inlineStr"/>
      <c r="V1379" s="402" t="n"/>
      <c r="W1379" s="402" t="n"/>
      <c r="X1379" s="170" t="inlineStr"/>
    </row>
    <row r="1380" customFormat="1" s="5">
      <c r="A1380" s="64">
        <f>ROW()-ROW(A$1366)</f>
        <v/>
      </c>
      <c r="B1380" s="22" t="inlineStr">
        <is>
          <t>桩头排</t>
        </is>
      </c>
      <c r="C1380" s="22" t="inlineStr">
        <is>
          <t>TMY 3*80*5</t>
        </is>
      </c>
      <c r="D1380" s="22" t="inlineStr">
        <is>
          <t>国产优质</t>
        </is>
      </c>
      <c r="E1380" s="23" t="inlineStr">
        <is>
          <t>米</t>
        </is>
      </c>
      <c r="F1380" s="23" t="n">
        <v>3</v>
      </c>
      <c r="G1380" s="349">
        <f>IF(AND(B1380="",C1380=""),"",ROUND(M1380*L1380*N1380,2))</f>
        <v/>
      </c>
      <c r="H1380" s="349">
        <f>IF(AND(B1380="",C1380=""),"",ROUND(F1380*G1380,2))</f>
        <v/>
      </c>
      <c r="I1380" s="45" t="inlineStr"/>
      <c r="J1380" s="422">
        <f>IF(AND(B1380="",C1380=""),"",ROUND(M1380*N1380,2))</f>
        <v/>
      </c>
      <c r="K1380" s="423">
        <f>IF(AND(B1380="",C1380=""),"",ROUND(J1380*F1380,2))</f>
        <v/>
      </c>
      <c r="L1380" s="225" t="n">
        <v>1</v>
      </c>
      <c r="M1380" s="424" t="n">
        <v>1154.5614</v>
      </c>
      <c r="N1380" s="227" t="n">
        <v>1</v>
      </c>
      <c r="O1380" s="228">
        <f>IF(AND(B1380="",C1380=""),"",IF(G1380&gt;=20000,0.05,IF(G1380&gt;=10000,0.1,IF(G1380&gt;=5000,0.2,IF(G1380&gt;=1000,0.3,IF(G1380&gt;=0,0.4,{0}))))))</f>
        <v/>
      </c>
      <c r="P1380" s="425">
        <f>IF(AND(B1380="",C1380=""),"",ROUND(H1380*O1380,2))</f>
        <v/>
      </c>
      <c r="Q1380" s="426" t="inlineStr">
        <is>
          <t>母排</t>
        </is>
      </c>
      <c r="R1380" s="234" t="inlineStr"/>
      <c r="S1380" s="234" t="inlineStr"/>
      <c r="T1380" s="235" t="inlineStr">
        <is>
          <t>0</t>
        </is>
      </c>
      <c r="U1380" s="235" t="inlineStr"/>
      <c r="V1380" s="427" t="n"/>
      <c r="W1380" s="427" t="n"/>
      <c r="X1380" s="237" t="inlineStr">
        <is>
          <t>TMY 2*30*5→TMY 30*8</t>
        </is>
      </c>
    </row>
    <row r="1381" customFormat="1" s="5">
      <c r="A1381" s="64">
        <f>ROW()-ROW(A$1366)</f>
        <v/>
      </c>
      <c r="B1381" s="22" t="inlineStr">
        <is>
          <t>桩头排</t>
        </is>
      </c>
      <c r="C1381" s="22" t="inlineStr">
        <is>
          <t>TMY 4*80*5</t>
        </is>
      </c>
      <c r="D1381" s="22" t="inlineStr">
        <is>
          <t>国产优质</t>
        </is>
      </c>
      <c r="E1381" s="23" t="inlineStr">
        <is>
          <t>米</t>
        </is>
      </c>
      <c r="F1381" s="23" t="n">
        <v>1.5</v>
      </c>
      <c r="G1381" s="349">
        <f>IF(AND(B1381="",C1381=""),"",ROUND(M1381*L1381*N1381,2))</f>
        <v/>
      </c>
      <c r="H1381" s="349">
        <f>IF(AND(B1381="",C1381=""),"",ROUND(F1381*G1381,2))</f>
        <v/>
      </c>
      <c r="I1381" s="45" t="inlineStr"/>
      <c r="J1381" s="422">
        <f>IF(AND(B1381="",C1381=""),"",ROUND(M1381*N1381,2))</f>
        <v/>
      </c>
      <c r="K1381" s="423">
        <f>IF(AND(B1381="",C1381=""),"",ROUND(J1381*F1381,2))</f>
        <v/>
      </c>
      <c r="L1381" s="225" t="n">
        <v>1</v>
      </c>
      <c r="M1381" s="424" t="n">
        <v>1539.4152</v>
      </c>
      <c r="N1381" s="227" t="n">
        <v>1</v>
      </c>
      <c r="O1381" s="228">
        <f>IF(AND(B1381="",C1381=""),"",IF(G1381&gt;=20000,0.05,IF(G1381&gt;=10000,0.1,IF(G1381&gt;=5000,0.2,IF(G1381&gt;=1000,0.3,IF(G1381&gt;=0,0.4,{0}))))))</f>
        <v/>
      </c>
      <c r="P1381" s="425">
        <f>IF(AND(B1381="",C1381=""),"",ROUND(H1381*O1381,2))</f>
        <v/>
      </c>
      <c r="Q1381" s="426" t="inlineStr">
        <is>
          <t>母排</t>
        </is>
      </c>
      <c r="R1381" s="234" t="inlineStr"/>
      <c r="S1381" s="234" t="inlineStr"/>
      <c r="T1381" s="235" t="inlineStr">
        <is>
          <t>0</t>
        </is>
      </c>
      <c r="U1381" s="235" t="inlineStr"/>
      <c r="V1381" s="427" t="n"/>
      <c r="W1381" s="427" t="n"/>
      <c r="X1381" s="237" t="inlineStr">
        <is>
          <t>TMY 2*30*5→TMY 30*8</t>
        </is>
      </c>
    </row>
    <row r="1382" customFormat="1" s="5">
      <c r="A1382" s="64">
        <f>ROW()-ROW(A$1366)</f>
        <v/>
      </c>
      <c r="B1382" s="22" t="inlineStr">
        <is>
          <t>垂直排</t>
        </is>
      </c>
      <c r="C1382" s="22" t="inlineStr">
        <is>
          <t>TMY 4*2*80*5</t>
        </is>
      </c>
      <c r="D1382" s="22" t="inlineStr">
        <is>
          <t>国产优质</t>
        </is>
      </c>
      <c r="E1382" s="23" t="inlineStr">
        <is>
          <t>米</t>
        </is>
      </c>
      <c r="F1382" s="23" t="n">
        <v>2</v>
      </c>
      <c r="G1382" s="349">
        <f>IF(AND(B1382="",C1382=""),"",ROUND(M1382*L1382*N1382,2))</f>
        <v/>
      </c>
      <c r="H1382" s="349">
        <f>IF(AND(B1382="",C1382=""),"",ROUND(F1382*G1382,2))</f>
        <v/>
      </c>
      <c r="I1382" s="45" t="inlineStr"/>
      <c r="J1382" s="422">
        <f>IF(AND(B1382="",C1382=""),"",ROUND(M1382*N1382,2))</f>
        <v/>
      </c>
      <c r="K1382" s="423">
        <f>IF(AND(B1382="",C1382=""),"",ROUND(J1382*F1382,2))</f>
        <v/>
      </c>
      <c r="L1382" s="225" t="n">
        <v>1</v>
      </c>
      <c r="M1382" s="424" t="n">
        <v>3078.8304</v>
      </c>
      <c r="N1382" s="227" t="n">
        <v>1</v>
      </c>
      <c r="O1382" s="228">
        <f>IF(AND(B1382="",C1382=""),"",IF(G1382&gt;=20000,0.05,IF(G1382&gt;=10000,0.1,IF(G1382&gt;=5000,0.2,IF(G1382&gt;=1000,0.3,IF(G1382&gt;=0,0.4,{0}))))))</f>
        <v/>
      </c>
      <c r="P1382" s="425">
        <f>IF(AND(B1382="",C1382=""),"",ROUND(H1382*O1382,2))</f>
        <v/>
      </c>
      <c r="Q1382" s="426" t="inlineStr">
        <is>
          <t>母排</t>
        </is>
      </c>
      <c r="R1382" s="234" t="inlineStr"/>
      <c r="S1382" s="234" t="inlineStr"/>
      <c r="T1382" s="235" t="inlineStr">
        <is>
          <t>0</t>
        </is>
      </c>
      <c r="U1382" s="235" t="inlineStr"/>
      <c r="V1382" s="427" t="n"/>
      <c r="W1382" s="427" t="n"/>
      <c r="X1382" s="237" t="inlineStr">
        <is>
          <t>TMY 2*30*5→TMY 30*8</t>
        </is>
      </c>
    </row>
    <row r="1383" customFormat="1" s="5">
      <c r="A1383" s="64">
        <f>ROW()-ROW(A$1366)</f>
        <v/>
      </c>
      <c r="B1383" s="22" t="inlineStr">
        <is>
          <t>N排</t>
        </is>
      </c>
      <c r="C1383" s="22" t="inlineStr">
        <is>
          <t>TMY 2*80*10</t>
        </is>
      </c>
      <c r="D1383" s="22" t="inlineStr">
        <is>
          <t>国产优质</t>
        </is>
      </c>
      <c r="E1383" s="23" t="inlineStr">
        <is>
          <t>米</t>
        </is>
      </c>
      <c r="F1383" s="23" t="n">
        <v>3</v>
      </c>
      <c r="G1383" s="349">
        <f>IF(AND(B1383="",C1383=""),"",ROUND(M1383*L1383*N1383,2))</f>
        <v/>
      </c>
      <c r="H1383" s="349">
        <f>IF(AND(B1383="",C1383=""),"",ROUND(F1383*G1383,2))</f>
        <v/>
      </c>
      <c r="I1383" s="45" t="inlineStr"/>
      <c r="J1383" s="422">
        <f>IF(AND(B1383="",C1383=""),"",ROUND(M1383*N1383,2))</f>
        <v/>
      </c>
      <c r="K1383" s="423">
        <f>IF(AND(B1383="",C1383=""),"",ROUND(J1383*F1383,2))</f>
        <v/>
      </c>
      <c r="L1383" s="225" t="n">
        <v>1</v>
      </c>
      <c r="M1383" s="424" t="n">
        <v>1539.4152</v>
      </c>
      <c r="N1383" s="227" t="n">
        <v>1</v>
      </c>
      <c r="O1383" s="228">
        <f>IF(AND(B1383="",C1383=""),"",IF(G1383&gt;=20000,0.05,IF(G1383&gt;=10000,0.1,IF(G1383&gt;=5000,0.2,IF(G1383&gt;=1000,0.3,IF(G1383&gt;=0,0.4,{0}))))))</f>
        <v/>
      </c>
      <c r="P1383" s="425">
        <f>IF(AND(B1383="",C1383=""),"",ROUND(H1383*O1383,2))</f>
        <v/>
      </c>
      <c r="Q1383" s="426" t="inlineStr">
        <is>
          <t>母排</t>
        </is>
      </c>
      <c r="R1383" s="234" t="inlineStr"/>
      <c r="S1383" s="234" t="inlineStr"/>
      <c r="T1383" s="235" t="inlineStr">
        <is>
          <t>0</t>
        </is>
      </c>
      <c r="U1383" s="235" t="inlineStr"/>
      <c r="V1383" s="427" t="n"/>
      <c r="W1383" s="427" t="n"/>
      <c r="X1383" s="237" t="inlineStr">
        <is>
          <t>TMY 2*30*5→TMY 30*8</t>
        </is>
      </c>
    </row>
    <row r="1384" customFormat="1" s="5">
      <c r="A1384" s="64">
        <f>ROW()-ROW(A$1366)</f>
        <v/>
      </c>
      <c r="B1384" s="22" t="inlineStr">
        <is>
          <t>PE排</t>
        </is>
      </c>
      <c r="C1384" s="22" t="inlineStr">
        <is>
          <t>TMY 2*50*5</t>
        </is>
      </c>
      <c r="D1384" s="22" t="inlineStr">
        <is>
          <t>国产优质</t>
        </is>
      </c>
      <c r="E1384" s="23" t="inlineStr">
        <is>
          <t>米</t>
        </is>
      </c>
      <c r="F1384" s="23" t="n">
        <v>2</v>
      </c>
      <c r="G1384" s="349">
        <f>IF(AND(B1384="",C1384=""),"",ROUND(M1384*L1384*N1384,2))</f>
        <v/>
      </c>
      <c r="H1384" s="349">
        <f>IF(AND(B1384="",C1384=""),"",ROUND(F1384*G1384,2))</f>
        <v/>
      </c>
      <c r="I1384" s="45" t="inlineStr"/>
      <c r="J1384" s="422">
        <f>IF(AND(B1384="",C1384=""),"",ROUND(M1384*N1384,2))</f>
        <v/>
      </c>
      <c r="K1384" s="423">
        <f>IF(AND(B1384="",C1384=""),"",ROUND(J1384*F1384,2))</f>
        <v/>
      </c>
      <c r="L1384" s="225" t="n">
        <v>1</v>
      </c>
      <c r="M1384" s="424" t="n">
        <v>481.06725</v>
      </c>
      <c r="N1384" s="227" t="n">
        <v>1</v>
      </c>
      <c r="O1384" s="228">
        <f>IF(AND(B1384="",C1384=""),"",IF(G1384&gt;=20000,0.05,IF(G1384&gt;=10000,0.1,IF(G1384&gt;=5000,0.2,IF(G1384&gt;=1000,0.3,IF(G1384&gt;=0,0.4,{0}))))))</f>
        <v/>
      </c>
      <c r="P1384" s="425">
        <f>IF(AND(B1384="",C1384=""),"",ROUND(H1384*O1384,2))</f>
        <v/>
      </c>
      <c r="Q1384" s="426" t="inlineStr">
        <is>
          <t>母排</t>
        </is>
      </c>
      <c r="R1384" s="234" t="inlineStr"/>
      <c r="S1384" s="234" t="inlineStr"/>
      <c r="T1384" s="235" t="inlineStr">
        <is>
          <t>0</t>
        </is>
      </c>
      <c r="U1384" s="235" t="inlineStr"/>
      <c r="V1384" s="427" t="n"/>
      <c r="W1384" s="427" t="n"/>
      <c r="X1384" s="237" t="inlineStr">
        <is>
          <t>TMY 2*30*5→TMY 30*8</t>
        </is>
      </c>
    </row>
    <row r="1385" s="308">
      <c r="A1385" s="64">
        <f>ROW()-ROW(A$1366)</f>
        <v/>
      </c>
      <c r="B1385" s="112" t="inlineStr">
        <is>
          <t>辅料</t>
        </is>
      </c>
      <c r="C1385" s="112" t="inlineStr"/>
      <c r="D1385" s="112" t="inlineStr"/>
      <c r="E1385" s="114" t="inlineStr">
        <is>
          <t>套</t>
        </is>
      </c>
      <c r="F1385" s="114" t="n">
        <v>1</v>
      </c>
      <c r="G1385" s="396">
        <f>IF(AND(B1385="",C1385=""),"",ROUND(M1385*L1385*N1385,2))</f>
        <v/>
      </c>
      <c r="H1385" s="396">
        <f>IF(AND(B1385="",C1385=""),"",ROUND(F1385*G1385,2))</f>
        <v/>
      </c>
      <c r="I1385" s="219" t="inlineStr"/>
      <c r="J1385" s="397">
        <f>IF(AND(B1385="",C1385=""),"",ROUND(M1385*N1385,2))</f>
        <v/>
      </c>
      <c r="K1385" s="398">
        <f>IF(AND(B1385="",C1385=""),"",ROUND(J1385*F1385,2))</f>
        <v/>
      </c>
      <c r="L1385" s="200" t="n">
        <v>1</v>
      </c>
      <c r="M1385" s="399" t="n">
        <v>1050</v>
      </c>
      <c r="N1385" s="154" t="n">
        <v>1</v>
      </c>
      <c r="O1385" s="155">
        <f>IF(AND(B1385="",C1385=""),"",IF(G1385&gt;=20000,0.05,IF(G1385&gt;=10000,0.1,IF(G1385&gt;=5000,0.2,IF(G1385&gt;=1000,0.3,IF(G1385&gt;=0,0.4,{0}))))))</f>
        <v/>
      </c>
      <c r="P1385" s="400">
        <f>IF(AND(B1385="",C1385=""),"",ROUND(H1385*O1385,2))</f>
        <v/>
      </c>
      <c r="Q1385" s="401" t="inlineStr">
        <is>
          <t>辅料</t>
        </is>
      </c>
      <c r="R1385" s="168" t="inlineStr"/>
      <c r="S1385" s="168" t="inlineStr"/>
      <c r="T1385" s="168" t="inlineStr">
        <is>
          <t>0</t>
        </is>
      </c>
      <c r="U1385" s="168" t="inlineStr"/>
      <c r="V1385" s="402" t="n"/>
      <c r="W1385" s="402" t="n"/>
      <c r="X1385" s="170" t="inlineStr"/>
    </row>
    <row r="1386" s="308">
      <c r="A1386" s="64">
        <f>ROW()-ROW(A$1366)</f>
        <v/>
      </c>
      <c r="B1386" s="112" t="inlineStr">
        <is>
          <t>柜体Blokset</t>
        </is>
      </c>
      <c r="C1386" s="22" t="inlineStr">
        <is>
          <t>800W*1200D*2200H</t>
        </is>
      </c>
      <c r="D1386" s="112" t="inlineStr">
        <is>
          <t>清科</t>
        </is>
      </c>
      <c r="E1386" s="114" t="inlineStr">
        <is>
          <t>台</t>
        </is>
      </c>
      <c r="F1386" s="114" t="n">
        <v>1</v>
      </c>
      <c r="G1386" s="396">
        <f>IF(AND(B1386="",C1386=""),"",ROUND(M1386*L1386*N1386,2))</f>
        <v/>
      </c>
      <c r="H1386" s="396">
        <f>IF(AND(B1386="",C1386=""),"",ROUND(F1386*G1386,2))</f>
        <v/>
      </c>
      <c r="I1386" s="219" t="inlineStr"/>
      <c r="J1386" s="397">
        <f>IF(AND(B1386="",C1386=""),"",ROUND(M1386*N1386,2))</f>
        <v/>
      </c>
      <c r="K1386" s="398">
        <f>IF(AND(B1386="",C1386=""),"",ROUND(J1386*F1386,2))</f>
        <v/>
      </c>
      <c r="L1386" s="200" t="n">
        <v>1</v>
      </c>
      <c r="M1386" s="399" t="n">
        <v>5056</v>
      </c>
      <c r="N1386" s="154" t="n">
        <v>1</v>
      </c>
      <c r="O1386" s="155">
        <f>IF(AND(B1386="",C1386=""),"",IF(G1386&gt;=20000,0.05,IF(G1386&gt;=10000,0.1,IF(G1386&gt;=5000,0.2,IF(G1386&gt;=1000,0.3,IF(G1386&gt;=0,0.4,{0}))))))</f>
        <v/>
      </c>
      <c r="P1386" s="400">
        <f>IF(AND(B1386="",C1386=""),"",ROUND(H1386*O1386,2))</f>
        <v/>
      </c>
      <c r="Q1386" s="401" t="inlineStr">
        <is>
          <t>箱体</t>
        </is>
      </c>
      <c r="R1386" s="168" t="inlineStr"/>
      <c r="S1386" s="168" t="inlineStr"/>
      <c r="T1386" s="168" t="inlineStr">
        <is>
          <t>0</t>
        </is>
      </c>
      <c r="U1386" s="168" t="inlineStr"/>
      <c r="V1386" s="402" t="n"/>
      <c r="W1386" s="402" t="n"/>
      <c r="X1386" s="170" t="inlineStr">
        <is>
          <t>BlokSeT</t>
        </is>
      </c>
    </row>
    <row r="1387" s="308">
      <c r="A1387" s="64">
        <f>ROW()-ROW(A$1366)</f>
        <v/>
      </c>
      <c r="B1387" s="22" t="inlineStr"/>
      <c r="C1387" s="22" t="inlineStr"/>
      <c r="D1387" s="22" t="inlineStr"/>
      <c r="E1387" s="23" t="n"/>
      <c r="F1387" s="23">
        <f>IF(AND(B1387="",C1387=""),"",1)</f>
        <v/>
      </c>
      <c r="G1387" s="349">
        <f>IF(AND(B1387="",C1387=""),"",ROUND(M1387*L1387*N1387,2))</f>
        <v/>
      </c>
      <c r="H1387" s="349">
        <f>IF(AND(B1387="",C1387=""),"",ROUND(F1387*G1387,2))</f>
        <v/>
      </c>
      <c r="I1387" s="45" t="inlineStr"/>
      <c r="J1387" s="397">
        <f>IF(AND(B1387="",C1387=""),"",ROUND(M1387*N1387,2))</f>
        <v/>
      </c>
      <c r="K1387" s="398">
        <f>IF(AND(B1387="",C1387=""),"",ROUND(J1387*F1387,2))</f>
        <v/>
      </c>
      <c r="L1387" s="200">
        <f>IF(AND(B1387="",C1387=""),"",1)</f>
        <v/>
      </c>
      <c r="M1387" s="399" t="n"/>
      <c r="N1387" s="154">
        <f>IF(AND(B1387="",C1387=""),"",1)</f>
        <v/>
      </c>
      <c r="O1387" s="155">
        <f>IF(AND(B1387="",C1387=""),"",IF(J1387&gt;=20000,0.05,IF(J1387&gt;=10000,0.1,IF(J1387&gt;=5000,0.2,IF(J1387&gt;=1000,0.3,IF(J1387&gt;=0,0.4,{0}))))))</f>
        <v/>
      </c>
      <c r="P1387" s="400">
        <f>IF(AND(B1387="",C1387=""),"",ROUND(H1387*O1387,2))</f>
        <v/>
      </c>
      <c r="Q1387" s="401">
        <f>IF(AND(B1387="",C1387=""),"","元件")</f>
        <v/>
      </c>
      <c r="R1387" s="168" t="inlineStr"/>
      <c r="S1387" s="168" t="inlineStr"/>
      <c r="T1387" s="168" t="inlineStr"/>
      <c r="U1387" s="168" t="inlineStr"/>
      <c r="V1387" s="402" t="n"/>
      <c r="W1387" s="402" t="n"/>
      <c r="X1387" s="170" t="inlineStr"/>
    </row>
    <row r="1388" s="308">
      <c r="A1388" s="64">
        <f>ROW()-ROW(A$1366)</f>
        <v/>
      </c>
      <c r="B1388" s="171" t="inlineStr">
        <is>
          <t>小计</t>
        </is>
      </c>
      <c r="C1388" s="172" t="n"/>
      <c r="D1388" s="204" t="n"/>
      <c r="E1388" s="114" t="n"/>
      <c r="F1388" s="114" t="n"/>
      <c r="G1388" s="396" t="n"/>
      <c r="H1388" s="396">
        <f>ROUND(SUM(H1366:INDEX(H:H,ROW()-1)),2)</f>
        <v/>
      </c>
      <c r="I1388" s="45" t="inlineStr"/>
      <c r="J1388" s="397" t="n"/>
      <c r="K1388" s="398">
        <f>ROUND(SUM(K1366:INDEX(K:K,ROW()-1)),2)</f>
        <v/>
      </c>
      <c r="L1388" s="200" t="n"/>
      <c r="M1388" s="399" t="n"/>
      <c r="N1388" s="154" t="n"/>
      <c r="O1388" s="155" t="n"/>
      <c r="P1388" s="400" t="n"/>
      <c r="Q1388" s="401" t="n"/>
      <c r="R1388" s="168" t="inlineStr"/>
      <c r="S1388" s="168" t="inlineStr"/>
      <c r="T1388" s="168" t="inlineStr"/>
      <c r="U1388" s="168" t="inlineStr"/>
      <c r="V1388" s="402">
        <f>ROUND(SUMPRODUCT(F1366:INDEX(F:F,ROW()-1),V1366:INDEX(V:V,ROW()-1)),2)</f>
        <v/>
      </c>
      <c r="W1388" s="402">
        <f>ROUND(SUMPRODUCT(F1366:INDEX(F:F,ROW()-1),W1366:INDEX(W:W,ROW()-1)),2)</f>
        <v/>
      </c>
      <c r="X1388" s="170" t="inlineStr"/>
    </row>
    <row r="1389" s="308">
      <c r="A1389" s="64">
        <f>ROW()-ROW(A$1366)</f>
        <v/>
      </c>
      <c r="B1389" s="171" t="inlineStr">
        <is>
          <t>综合费(人工、管理、税金、利润等)</t>
        </is>
      </c>
      <c r="C1389" s="172" t="n"/>
      <c r="D1389" s="204" t="n"/>
      <c r="E1389" s="114" t="n"/>
      <c r="F1389" s="114" t="n"/>
      <c r="G1389" s="396" t="n"/>
      <c r="H1389" s="396">
        <f>2500</f>
        <v/>
      </c>
      <c r="I1389" s="45" t="inlineStr"/>
      <c r="J1389" s="397" t="n"/>
      <c r="K1389" s="398" t="n"/>
      <c r="L1389" s="200" t="n"/>
      <c r="M1389" s="399" t="n"/>
      <c r="N1389" s="154" t="n"/>
      <c r="O1389" s="155" t="n"/>
      <c r="P1389" s="400" t="n"/>
      <c r="Q1389" s="401" t="inlineStr">
        <is>
          <t>费用</t>
        </is>
      </c>
      <c r="R1389" s="168" t="inlineStr"/>
      <c r="S1389" s="168" t="inlineStr"/>
      <c r="T1389" s="168" t="inlineStr"/>
      <c r="U1389" s="168" t="inlineStr"/>
      <c r="V1389" s="402" t="n"/>
      <c r="W1389" s="402" t="n"/>
      <c r="X1389" s="170" t="inlineStr"/>
    </row>
    <row r="1390" s="308">
      <c r="A1390" s="64">
        <f>ROW()-ROW(A$1366)</f>
        <v/>
      </c>
      <c r="B1390" s="204" t="inlineStr">
        <is>
          <t>单台合计</t>
        </is>
      </c>
      <c r="C1390" s="172" t="n"/>
      <c r="D1390" s="204" t="n"/>
      <c r="E1390" s="114" t="n"/>
      <c r="F1390" s="114" t="n"/>
      <c r="G1390" s="396" t="n"/>
      <c r="H1390" s="396">
        <f>ROUND(SUM(H1388:H1389),2)</f>
        <v/>
      </c>
      <c r="I1390" s="181" t="n"/>
      <c r="J1390" s="397" t="n"/>
      <c r="K1390" s="398">
        <f>ROUND(SUM(K1388:K1389),2)</f>
        <v/>
      </c>
      <c r="L1390" s="209" t="n"/>
      <c r="M1390" s="399" t="n"/>
      <c r="N1390" s="210" t="n"/>
      <c r="O1390" s="211" t="n"/>
      <c r="P1390" s="400" t="n"/>
      <c r="Q1390" s="401" t="n"/>
      <c r="R1390" s="168" t="inlineStr"/>
      <c r="S1390" s="168" t="inlineStr"/>
      <c r="T1390" s="168" t="inlineStr"/>
      <c r="U1390" s="168" t="inlineStr"/>
      <c r="V1390" s="402" t="n"/>
      <c r="W1390" s="402" t="n"/>
      <c r="X1390" s="170" t="inlineStr"/>
    </row>
    <row r="1391" s="308">
      <c r="A1391" s="173" t="inlineStr">
        <is>
          <t>总计</t>
        </is>
      </c>
      <c r="B1391" s="205" t="n"/>
      <c r="C1391" s="175" t="n"/>
      <c r="D1391" s="206" t="n"/>
      <c r="E1391" s="206" t="inlineStr">
        <is>
          <t>台</t>
        </is>
      </c>
      <c r="F1391" s="206" t="n">
        <v>1</v>
      </c>
      <c r="G1391" s="414">
        <f>ROUND(H1390,2)</f>
        <v/>
      </c>
      <c r="H1391" s="414">
        <f>ROUND(F1391*G1391,2)</f>
        <v/>
      </c>
      <c r="I1391" s="185" t="n"/>
      <c r="J1391" s="415" t="n"/>
      <c r="K1391" s="416">
        <f>ROUND(K1390*F1391,2)</f>
        <v/>
      </c>
      <c r="L1391" s="214" t="n"/>
      <c r="M1391" s="417" t="n"/>
      <c r="N1391" s="216" t="n"/>
      <c r="O1391" s="217" t="n"/>
      <c r="P1391" s="418" t="n"/>
      <c r="Q1391" s="401" t="n"/>
      <c r="R1391" s="168" t="inlineStr"/>
      <c r="S1391" s="168" t="inlineStr"/>
      <c r="T1391" s="168" t="inlineStr"/>
      <c r="U1391" s="168" t="inlineStr"/>
      <c r="V1391" s="402" t="n"/>
      <c r="W1391" s="402" t="n"/>
      <c r="X1391" s="170" t="inlineStr"/>
    </row>
    <row r="1392" customFormat="1" s="4">
      <c r="A1392" s="6" t="n"/>
      <c r="B1392" s="195" t="inlineStr"/>
      <c r="C1392" s="195" t="inlineStr"/>
      <c r="D1392" s="195" t="inlineStr"/>
      <c r="Q1392" s="159" t="n"/>
      <c r="R1392" s="159" t="n"/>
      <c r="S1392" s="159" t="n"/>
      <c r="T1392" s="159" t="n"/>
      <c r="U1392" s="159" t="n"/>
      <c r="X1392" s="195" t="inlineStr"/>
    </row>
    <row r="1393" customFormat="1" s="4">
      <c r="A1393" s="6" t="n"/>
      <c r="B1393" s="195" t="inlineStr"/>
      <c r="C1393" s="195" t="inlineStr"/>
      <c r="D1393" s="195" t="inlineStr"/>
      <c r="Q1393" s="159" t="n"/>
      <c r="R1393" s="159" t="n"/>
      <c r="S1393" s="159" t="n"/>
      <c r="T1393" s="159" t="n"/>
      <c r="U1393" s="159" t="n"/>
      <c r="X1393" s="195" t="inlineStr"/>
    </row>
    <row r="1394" s="308">
      <c r="A1394" s="208">
        <f>CONCATENATE("报价人：",项目信息!$B$8)</f>
        <v/>
      </c>
      <c r="B1394" s="208" t="n"/>
      <c r="C1394" s="4" t="n"/>
      <c r="D1394" s="4" t="n"/>
      <c r="E1394" s="4" t="n"/>
      <c r="F1394" s="4" t="n"/>
      <c r="G1394" s="4" t="n"/>
      <c r="H1394" s="178">
        <f>项目信息!$B$9</f>
        <v/>
      </c>
      <c r="Q1394" s="159" t="n"/>
      <c r="R1394" s="159" t="n"/>
      <c r="S1394" s="159" t="n"/>
      <c r="T1394" s="159" t="n"/>
      <c r="U1394" s="159" t="n"/>
      <c r="X1394" s="203" t="inlineStr"/>
    </row>
    <row r="1395" s="308">
      <c r="A1395" s="8">
        <f>T(项目信息!$B$22)</f>
        <v/>
      </c>
      <c r="Q1395" s="159" t="n"/>
      <c r="R1395" s="159" t="n"/>
      <c r="S1395" s="159" t="n"/>
      <c r="T1395" s="159" t="n"/>
      <c r="U1395" s="159" t="n"/>
    </row>
    <row r="1396" s="308">
      <c r="A1396" s="9">
        <f>T(项目信息!$B$23)</f>
        <v/>
      </c>
      <c r="Q1396" s="159" t="n"/>
      <c r="R1396" s="159" t="n"/>
      <c r="S1396" s="159" t="n"/>
      <c r="T1396" s="159" t="n"/>
      <c r="U1396" s="159" t="n"/>
    </row>
    <row r="1397" s="308">
      <c r="A1397" s="97" t="inlineStr">
        <is>
          <t>成套产品报价明细表</t>
        </is>
      </c>
      <c r="B1397" s="378" t="n"/>
      <c r="C1397" s="378" t="n"/>
      <c r="D1397" s="378" t="n"/>
      <c r="E1397" s="378" t="n"/>
      <c r="F1397" s="378" t="n"/>
      <c r="G1397" s="378" t="n"/>
      <c r="H1397" s="378" t="n"/>
      <c r="I1397" s="378" t="n"/>
      <c r="Q1397" s="159" t="n"/>
      <c r="R1397" s="159" t="n"/>
      <c r="S1397" s="159" t="n"/>
      <c r="T1397" s="159" t="n"/>
      <c r="U1397" s="159" t="n"/>
    </row>
    <row r="1398" customFormat="1" s="4">
      <c r="A1398" s="98" t="inlineStr">
        <is>
          <t>柜号:</t>
        </is>
      </c>
      <c r="B1398" s="99" t="inlineStr">
        <is>
          <t>AAN11-04</t>
        </is>
      </c>
      <c r="C1398" s="100" t="inlineStr">
        <is>
          <t>型号:</t>
        </is>
      </c>
      <c r="D1398" s="99" t="inlineStr">
        <is>
          <t>BlokSeT</t>
        </is>
      </c>
      <c r="E1398" s="379" t="n"/>
      <c r="F1398" s="101" t="inlineStr">
        <is>
          <t>名称:</t>
        </is>
      </c>
      <c r="G1398" s="99" t="inlineStr">
        <is>
          <t>馈线柜</t>
        </is>
      </c>
      <c r="H1398" s="379" t="n"/>
      <c r="I1398" s="408" t="inlineStr"/>
      <c r="J1398" s="194" t="inlineStr">
        <is>
          <t>箱柜尺寸:</t>
        </is>
      </c>
      <c r="K1398" s="195" t="inlineStr">
        <is>
          <t>600W*1200D*2200H</t>
        </is>
      </c>
      <c r="L1398" s="194" t="inlineStr">
        <is>
          <t>类别:</t>
        </is>
      </c>
      <c r="M1398" s="195" t="inlineStr">
        <is>
          <t>低压固定柜</t>
        </is>
      </c>
      <c r="N1398" s="409" t="inlineStr"/>
      <c r="Q1398" s="159" t="n"/>
      <c r="R1398" s="159" t="n"/>
      <c r="S1398" s="159" t="n"/>
      <c r="T1398" s="159" t="n"/>
      <c r="U1398" s="159" t="n"/>
    </row>
    <row r="1399" ht="20.1" customHeight="1" s="308">
      <c r="A1399" s="102" t="inlineStr">
        <is>
          <t>序号</t>
        </is>
      </c>
      <c r="B1399" s="103" t="inlineStr">
        <is>
          <t>元件名称</t>
        </is>
      </c>
      <c r="C1399" s="103" t="inlineStr">
        <is>
          <t>型号规格</t>
        </is>
      </c>
      <c r="D1399" s="104" t="inlineStr">
        <is>
          <t>生产厂家</t>
        </is>
      </c>
      <c r="E1399" s="105" t="inlineStr">
        <is>
          <t>单位</t>
        </is>
      </c>
      <c r="F1399" s="105" t="inlineStr">
        <is>
          <t>数量</t>
        </is>
      </c>
      <c r="G1399" s="382" t="inlineStr">
        <is>
          <t>单   价</t>
        </is>
      </c>
      <c r="H1399" s="383" t="inlineStr">
        <is>
          <t>总   价</t>
        </is>
      </c>
      <c r="I1399" s="134" t="inlineStr">
        <is>
          <t>备注</t>
        </is>
      </c>
      <c r="J1399" s="384" t="inlineStr">
        <is>
          <t>成本单价</t>
        </is>
      </c>
      <c r="K1399" s="384" t="inlineStr">
        <is>
          <t>成本总价</t>
        </is>
      </c>
      <c r="L1399" s="136" t="inlineStr">
        <is>
          <t>报出
系数</t>
        </is>
      </c>
      <c r="M1399" s="384" t="inlineStr">
        <is>
          <t>表价</t>
        </is>
      </c>
      <c r="N1399" s="136" t="inlineStr">
        <is>
          <t>折扣
系数</t>
        </is>
      </c>
      <c r="O1399" s="137" t="inlineStr">
        <is>
          <t>取费
系数</t>
        </is>
      </c>
      <c r="P1399" s="384" t="inlineStr">
        <is>
          <t>成套费</t>
        </is>
      </c>
      <c r="Q1399" s="161" t="inlineStr">
        <is>
          <t>类别</t>
        </is>
      </c>
      <c r="R1399" s="161" t="inlineStr">
        <is>
          <t>物料编码</t>
        </is>
      </c>
      <c r="S1399" s="161" t="inlineStr">
        <is>
          <t>产地</t>
        </is>
      </c>
      <c r="T1399" s="161" t="inlineStr">
        <is>
          <t>加工费</t>
        </is>
      </c>
      <c r="U1399" s="161" t="inlineStr">
        <is>
          <t>订货号</t>
        </is>
      </c>
      <c r="V1399" s="161" t="inlineStr">
        <is>
          <t>人工</t>
        </is>
      </c>
      <c r="W1399" s="161" t="inlineStr">
        <is>
          <t>辅料</t>
        </is>
      </c>
      <c r="X1399" s="203" t="inlineStr"/>
    </row>
    <row r="1400" s="308">
      <c r="A1400" s="64">
        <f>ROW()-ROW(A$1399)</f>
        <v/>
      </c>
      <c r="B1400" s="22" t="inlineStr">
        <is>
          <t>塑壳断路器</t>
        </is>
      </c>
      <c r="C1400" s="22" t="inlineStr">
        <is>
          <t>NSX160H TM160D 3P3D P</t>
        </is>
      </c>
      <c r="D1400" s="22" t="inlineStr">
        <is>
          <t>甲供/施耐德电气</t>
        </is>
      </c>
      <c r="E1400" s="23" t="inlineStr">
        <is>
          <t>只</t>
        </is>
      </c>
      <c r="F1400" s="23" t="n">
        <v>1</v>
      </c>
      <c r="G1400" s="349">
        <f>IF(AND(B1400="",C1400=""),"",ROUND(M1400*L1400*N1400,2))</f>
        <v/>
      </c>
      <c r="H1400" s="349">
        <f>IF(AND(B1400="",C1400=""),"",ROUND(F1400*G1400,2))</f>
        <v/>
      </c>
      <c r="I1400" s="45" t="inlineStr"/>
      <c r="J1400" s="397">
        <f>IF(AND(B1400="",C1400=""),"",ROUND(M1400*N1400,2))</f>
        <v/>
      </c>
      <c r="K1400" s="398">
        <f>IF(AND(B1400="",C1400=""),"",ROUND(J1400*F1400,2))</f>
        <v/>
      </c>
      <c r="L1400" s="200" t="n">
        <v>1</v>
      </c>
      <c r="M1400" s="399" t="n">
        <v>1e-07</v>
      </c>
      <c r="N1400" s="154" t="n">
        <v>1</v>
      </c>
      <c r="O1400" s="155">
        <f>IF(AND(B1400="",C1400=""),"",IF(G1400&gt;=20000,0.05,IF(G1400&gt;=10000,0.1,IF(G1400&gt;=5000,0.2,IF(G1400&gt;=1000,0.3,IF(G1400&gt;=0,0.4,{0}))))))</f>
        <v/>
      </c>
      <c r="P1400" s="400">
        <f>IF(AND(B1400="",C1400=""),"",ROUND(H1400*O1400,2))</f>
        <v/>
      </c>
      <c r="Q1400" s="401" t="inlineStr">
        <is>
          <t>元件</t>
        </is>
      </c>
      <c r="R1400" s="168" t="inlineStr"/>
      <c r="S1400" s="168" t="inlineStr"/>
      <c r="T1400" s="168" t="inlineStr">
        <is>
          <t>0</t>
        </is>
      </c>
      <c r="U1400" s="168" t="inlineStr">
        <is>
          <t>C16F32D160</t>
        </is>
      </c>
      <c r="V1400" s="402" t="n"/>
      <c r="W1400" s="402" t="n"/>
      <c r="X1400" s="170" t="inlineStr">
        <is>
          <t>NSX630N Mic2.3 630A 3P3D F→NSX630F MIC2.3 630 3P F→NSX630F MIC 2.3 630 3P F</t>
        </is>
      </c>
    </row>
    <row r="1401" s="308">
      <c r="A1401" s="64">
        <f>ROW()-ROW(A$1399)</f>
        <v/>
      </c>
      <c r="B1401" s="22" t="inlineStr">
        <is>
          <t>塑壳断路器</t>
        </is>
      </c>
      <c r="C1401" s="22" t="inlineStr">
        <is>
          <t>NSX250H TM250D 3P3D P</t>
        </is>
      </c>
      <c r="D1401" s="22" t="inlineStr">
        <is>
          <t>甲供/施耐德电气</t>
        </is>
      </c>
      <c r="E1401" s="23" t="inlineStr">
        <is>
          <t>只</t>
        </is>
      </c>
      <c r="F1401" s="23" t="n">
        <v>1</v>
      </c>
      <c r="G1401" s="349">
        <f>IF(AND(B1401="",C1401=""),"",ROUND(M1401*L1401*N1401,2))</f>
        <v/>
      </c>
      <c r="H1401" s="349">
        <f>IF(AND(B1401="",C1401=""),"",ROUND(F1401*G1401,2))</f>
        <v/>
      </c>
      <c r="I1401" s="45" t="inlineStr"/>
      <c r="J1401" s="397">
        <f>IF(AND(B1401="",C1401=""),"",ROUND(M1401*N1401,2))</f>
        <v/>
      </c>
      <c r="K1401" s="398">
        <f>IF(AND(B1401="",C1401=""),"",ROUND(J1401*F1401,2))</f>
        <v/>
      </c>
      <c r="L1401" s="200" t="n">
        <v>1</v>
      </c>
      <c r="M1401" s="399" t="n">
        <v>1e-07</v>
      </c>
      <c r="N1401" s="154" t="n">
        <v>1</v>
      </c>
      <c r="O1401" s="155">
        <f>IF(AND(B1401="",C1401=""),"",IF(G1401&gt;=20000,0.05,IF(G1401&gt;=10000,0.1,IF(G1401&gt;=5000,0.2,IF(G1401&gt;=1000,0.3,IF(G1401&gt;=0,0.4,{0}))))))</f>
        <v/>
      </c>
      <c r="P1401" s="400">
        <f>IF(AND(B1401="",C1401=""),"",ROUND(H1401*O1401,2))</f>
        <v/>
      </c>
      <c r="Q1401" s="401" t="inlineStr">
        <is>
          <t>元件</t>
        </is>
      </c>
      <c r="R1401" s="168" t="inlineStr"/>
      <c r="S1401" s="168" t="inlineStr"/>
      <c r="T1401" s="168" t="inlineStr">
        <is>
          <t>0</t>
        </is>
      </c>
      <c r="U1401" s="168" t="inlineStr">
        <is>
          <t>C16F32D160</t>
        </is>
      </c>
      <c r="V1401" s="402" t="n"/>
      <c r="W1401" s="402" t="n"/>
      <c r="X1401" s="170" t="inlineStr">
        <is>
          <t>NSX630N Mic2.3 630A 3P3D F→NSX630F MIC2.3 630 3P F→NSX630F MIC 2.3 630 3P F</t>
        </is>
      </c>
    </row>
    <row r="1402" s="308">
      <c r="A1402" s="64">
        <f>ROW()-ROW(A$1399)</f>
        <v/>
      </c>
      <c r="B1402" s="22" t="inlineStr">
        <is>
          <t>塑壳断路器</t>
        </is>
      </c>
      <c r="C1402" s="22" t="inlineStr">
        <is>
          <t>NSX630H Mic2.3 630A 3P3D P</t>
        </is>
      </c>
      <c r="D1402" s="22" t="inlineStr">
        <is>
          <t>甲供/施耐德电气</t>
        </is>
      </c>
      <c r="E1402" s="23" t="inlineStr">
        <is>
          <t>只</t>
        </is>
      </c>
      <c r="F1402" s="23" t="n">
        <v>3</v>
      </c>
      <c r="G1402" s="349">
        <f>IF(AND(B1402="",C1402=""),"",ROUND(M1402*L1402*N1402,2))</f>
        <v/>
      </c>
      <c r="H1402" s="349">
        <f>IF(AND(B1402="",C1402=""),"",ROUND(F1402*G1402,2))</f>
        <v/>
      </c>
      <c r="I1402" s="45" t="inlineStr"/>
      <c r="J1402" s="397">
        <f>IF(AND(B1402="",C1402=""),"",ROUND(M1402*N1402,2))</f>
        <v/>
      </c>
      <c r="K1402" s="398">
        <f>IF(AND(B1402="",C1402=""),"",ROUND(J1402*F1402,2))</f>
        <v/>
      </c>
      <c r="L1402" s="200" t="n">
        <v>1</v>
      </c>
      <c r="M1402" s="399" t="n">
        <v>1e-07</v>
      </c>
      <c r="N1402" s="154" t="n">
        <v>1</v>
      </c>
      <c r="O1402" s="155">
        <f>IF(AND(B1402="",C1402=""),"",IF(G1402&gt;=20000,0.05,IF(G1402&gt;=10000,0.1,IF(G1402&gt;=5000,0.2,IF(G1402&gt;=1000,0.3,IF(G1402&gt;=0,0.4,{0}))))))</f>
        <v/>
      </c>
      <c r="P1402" s="400">
        <f>IF(AND(B1402="",C1402=""),"",ROUND(H1402*O1402,2))</f>
        <v/>
      </c>
      <c r="Q1402" s="401" t="inlineStr">
        <is>
          <t>元件</t>
        </is>
      </c>
      <c r="R1402" s="168" t="inlineStr"/>
      <c r="S1402" s="168" t="inlineStr"/>
      <c r="T1402" s="168" t="inlineStr">
        <is>
          <t>0</t>
        </is>
      </c>
      <c r="U1402" s="168" t="inlineStr"/>
      <c r="V1402" s="402" t="n"/>
      <c r="W1402" s="402" t="n"/>
      <c r="X1402" s="170" t="inlineStr"/>
    </row>
    <row r="1403" s="308">
      <c r="A1403" s="64">
        <f>ROW()-ROW(A$1399)</f>
        <v/>
      </c>
      <c r="B1403" s="22" t="inlineStr">
        <is>
          <t>塑壳断路器</t>
        </is>
      </c>
      <c r="C1403" s="22" t="inlineStr">
        <is>
          <t>NSX630H Mic2.3 630A 4P4D P</t>
        </is>
      </c>
      <c r="D1403" s="22" t="inlineStr">
        <is>
          <t>甲供/施耐德电气</t>
        </is>
      </c>
      <c r="E1403" s="23" t="inlineStr">
        <is>
          <t>只</t>
        </is>
      </c>
      <c r="F1403" s="23" t="n">
        <v>1</v>
      </c>
      <c r="G1403" s="349">
        <f>IF(AND(B1403="",C1403=""),"",ROUND(M1403*L1403*N1403,2))</f>
        <v/>
      </c>
      <c r="H1403" s="349">
        <f>IF(AND(B1403="",C1403=""),"",ROUND(F1403*G1403,2))</f>
        <v/>
      </c>
      <c r="I1403" s="45" t="inlineStr"/>
      <c r="J1403" s="397">
        <f>IF(AND(B1403="",C1403=""),"",ROUND(M1403*N1403,2))</f>
        <v/>
      </c>
      <c r="K1403" s="398">
        <f>IF(AND(B1403="",C1403=""),"",ROUND(J1403*F1403,2))</f>
        <v/>
      </c>
      <c r="L1403" s="200" t="n">
        <v>1</v>
      </c>
      <c r="M1403" s="399" t="n">
        <v>1e-07</v>
      </c>
      <c r="N1403" s="154" t="n">
        <v>1</v>
      </c>
      <c r="O1403" s="155">
        <f>IF(AND(B1403="",C1403=""),"",IF(G1403&gt;=20000,0.05,IF(G1403&gt;=10000,0.1,IF(G1403&gt;=5000,0.2,IF(G1403&gt;=1000,0.3,IF(G1403&gt;=0,0.4,{0}))))))</f>
        <v/>
      </c>
      <c r="P1403" s="400">
        <f>IF(AND(B1403="",C1403=""),"",ROUND(H1403*O1403,2))</f>
        <v/>
      </c>
      <c r="Q1403" s="401" t="inlineStr">
        <is>
          <t>元件</t>
        </is>
      </c>
      <c r="R1403" s="168" t="inlineStr"/>
      <c r="S1403" s="168" t="inlineStr"/>
      <c r="T1403" s="168" t="inlineStr">
        <is>
          <t>0</t>
        </is>
      </c>
      <c r="U1403" s="168" t="inlineStr"/>
      <c r="V1403" s="402" t="n"/>
      <c r="W1403" s="402" t="n"/>
      <c r="X1403" s="170" t="inlineStr"/>
    </row>
    <row r="1404" s="308">
      <c r="A1404" s="64">
        <f>ROW()-ROW(A$1399)</f>
        <v/>
      </c>
      <c r="B1404" s="22" t="inlineStr">
        <is>
          <t>电流互感器</t>
        </is>
      </c>
      <c r="C1404" s="22" t="inlineStr">
        <is>
          <t>SD-0.66-30I 150/5A</t>
        </is>
      </c>
      <c r="D1404" s="22" t="inlineStr">
        <is>
          <t>桑迪</t>
        </is>
      </c>
      <c r="E1404" s="23" t="inlineStr">
        <is>
          <t>只</t>
        </is>
      </c>
      <c r="F1404" s="23" t="n">
        <v>3</v>
      </c>
      <c r="G1404" s="349">
        <f>IF(AND(B1404="",C1404=""),"",ROUND(M1404*L1404*N1404,2))</f>
        <v/>
      </c>
      <c r="H1404" s="396">
        <f>IF(AND(B1404="",C1404=""),"",ROUND(F1404*G1404,2))</f>
        <v/>
      </c>
      <c r="I1404" s="219" t="inlineStr"/>
      <c r="J1404" s="397">
        <f>IF(AND(B1404="",C1404=""),"",ROUND(M1404*N1404,2))</f>
        <v/>
      </c>
      <c r="K1404" s="398">
        <f>IF(AND(B1404="",C1404=""),"",ROUND(J1404*F1404,2))</f>
        <v/>
      </c>
      <c r="L1404" s="200" t="n">
        <v>1</v>
      </c>
      <c r="M1404" s="399" t="n">
        <v>29.95</v>
      </c>
      <c r="N1404" s="154" t="n">
        <v>1</v>
      </c>
      <c r="O1404" s="155">
        <f>IF(AND(B1404="",C1404=""),"",IF(G1404&gt;=20000,0.05,IF(G1404&gt;=10000,0.1,IF(G1404&gt;=5000,0.2,IF(G1404&gt;=1000,0.3,IF(G1404&gt;=0,0.4,{0}))))))</f>
        <v/>
      </c>
      <c r="P1404" s="400">
        <f>IF(AND(B1404="",C1404=""),"",ROUND(H1404*O1404,2))</f>
        <v/>
      </c>
      <c r="Q1404" s="401" t="inlineStr">
        <is>
          <t>元件</t>
        </is>
      </c>
      <c r="R1404" s="168" t="inlineStr"/>
      <c r="S1404" s="168" t="inlineStr"/>
      <c r="T1404" s="168" t="inlineStr">
        <is>
          <t>0</t>
        </is>
      </c>
      <c r="U1404" s="168" t="inlineStr">
        <is>
          <t>710140200000049</t>
        </is>
      </c>
      <c r="V1404" s="402" t="n"/>
      <c r="W1404" s="402" t="n"/>
      <c r="X1404" s="170" t="inlineStr">
        <is>
          <t>SD→SD-0.66-40II-C 400/5A→SD-0.66-30I 250/5A→SD-0.66-30I 150/5A→SD-0.66-60II-C 750/5A→SD-0.66-60II-C 600/5A→SD-0.66-30I 150/5A→SD-0.66-40II-C 400/5A→SD-0.66-100II-C 1600/5A→SD-0.66-80II-V 1000/5A</t>
        </is>
      </c>
    </row>
    <row r="1405" s="308">
      <c r="A1405" s="64">
        <f>ROW()-ROW(A$1399)</f>
        <v/>
      </c>
      <c r="B1405" s="22" t="inlineStr">
        <is>
          <t>电流互感器</t>
        </is>
      </c>
      <c r="C1405" s="22" t="inlineStr">
        <is>
          <t>SD-0.66-30I 250/5A</t>
        </is>
      </c>
      <c r="D1405" s="22" t="inlineStr">
        <is>
          <t>桑迪</t>
        </is>
      </c>
      <c r="E1405" s="23" t="inlineStr">
        <is>
          <t>只</t>
        </is>
      </c>
      <c r="F1405" s="23" t="n">
        <v>3</v>
      </c>
      <c r="G1405" s="349">
        <f>IF(AND(B1405="",C1405=""),"",ROUND(M1405*L1405*N1405,2))</f>
        <v/>
      </c>
      <c r="H1405" s="396">
        <f>IF(AND(B1405="",C1405=""),"",ROUND(F1405*G1405,2))</f>
        <v/>
      </c>
      <c r="I1405" s="219" t="inlineStr"/>
      <c r="J1405" s="397">
        <f>IF(AND(B1405="",C1405=""),"",ROUND(M1405*N1405,2))</f>
        <v/>
      </c>
      <c r="K1405" s="398">
        <f>IF(AND(B1405="",C1405=""),"",ROUND(J1405*F1405,2))</f>
        <v/>
      </c>
      <c r="L1405" s="200" t="n">
        <v>1</v>
      </c>
      <c r="M1405" s="399" t="n">
        <v>26.65</v>
      </c>
      <c r="N1405" s="154" t="n">
        <v>1</v>
      </c>
      <c r="O1405" s="155">
        <f>IF(AND(B1405="",C1405=""),"",IF(G1405&gt;=20000,0.05,IF(G1405&gt;=10000,0.1,IF(G1405&gt;=5000,0.2,IF(G1405&gt;=1000,0.3,IF(G1405&gt;=0,0.4,{0}))))))</f>
        <v/>
      </c>
      <c r="P1405" s="400">
        <f>IF(AND(B1405="",C1405=""),"",ROUND(H1405*O1405,2))</f>
        <v/>
      </c>
      <c r="Q1405" s="401" t="inlineStr">
        <is>
          <t>元件</t>
        </is>
      </c>
      <c r="R1405" s="168" t="inlineStr"/>
      <c r="S1405" s="168" t="inlineStr"/>
      <c r="T1405" s="168" t="inlineStr">
        <is>
          <t>0</t>
        </is>
      </c>
      <c r="U1405" s="168" t="inlineStr">
        <is>
          <t>710140200000049</t>
        </is>
      </c>
      <c r="V1405" s="402" t="n"/>
      <c r="W1405" s="402" t="n"/>
      <c r="X1405" s="170" t="inlineStr">
        <is>
          <t>SD→SD-0.66-40II-C 400/5A→SD-0.66-30I 250/5A→SD-0.66-30I 150/5A→SD-0.66-60II-C 750/5A→SD-0.66-60II-C 600/5A→SD-0.66-30I 150/5A→SD-0.66-40II-C 400/5A→SD-0.66-100II-C 1600/5A→SD-0.66-80II-V 1000/5A</t>
        </is>
      </c>
    </row>
    <row r="1406" s="308">
      <c r="A1406" s="64">
        <f>ROW()-ROW(A$1399)</f>
        <v/>
      </c>
      <c r="B1406" s="22" t="inlineStr">
        <is>
          <t>电流互感器</t>
        </is>
      </c>
      <c r="C1406" s="22" t="inlineStr">
        <is>
          <t>SD-0.66-40II-C 400/5A</t>
        </is>
      </c>
      <c r="D1406" s="22" t="inlineStr">
        <is>
          <t>桑迪</t>
        </is>
      </c>
      <c r="E1406" s="23" t="inlineStr">
        <is>
          <t>只</t>
        </is>
      </c>
      <c r="F1406" s="23" t="n">
        <v>12</v>
      </c>
      <c r="G1406" s="349">
        <f>IF(AND(B1406="",C1406=""),"",ROUND(M1406*L1406*N1406,2))</f>
        <v/>
      </c>
      <c r="H1406" s="396">
        <f>IF(AND(B1406="",C1406=""),"",ROUND(F1406*G1406,2))</f>
        <v/>
      </c>
      <c r="I1406" s="219" t="inlineStr"/>
      <c r="J1406" s="397">
        <f>IF(AND(B1406="",C1406=""),"",ROUND(M1406*N1406,2))</f>
        <v/>
      </c>
      <c r="K1406" s="398">
        <f>IF(AND(B1406="",C1406=""),"",ROUND(J1406*F1406,2))</f>
        <v/>
      </c>
      <c r="L1406" s="200" t="n">
        <v>1</v>
      </c>
      <c r="M1406" s="399" t="n">
        <v>52</v>
      </c>
      <c r="N1406" s="154" t="n">
        <v>1</v>
      </c>
      <c r="O1406" s="155">
        <f>IF(AND(B1406="",C1406=""),"",IF(G1406&gt;=20000,0.05,IF(G1406&gt;=10000,0.1,IF(G1406&gt;=5000,0.2,IF(G1406&gt;=1000,0.3,IF(G1406&gt;=0,0.4,{0}))))))</f>
        <v/>
      </c>
      <c r="P1406" s="400">
        <f>IF(AND(B1406="",C1406=""),"",ROUND(H1406*O1406,2))</f>
        <v/>
      </c>
      <c r="Q1406" s="401" t="inlineStr">
        <is>
          <t>元件</t>
        </is>
      </c>
      <c r="R1406" s="168" t="inlineStr"/>
      <c r="S1406" s="168" t="inlineStr"/>
      <c r="T1406" s="168" t="inlineStr">
        <is>
          <t>0</t>
        </is>
      </c>
      <c r="U1406" s="168" t="inlineStr">
        <is>
          <t>710140200000049</t>
        </is>
      </c>
      <c r="V1406" s="402" t="n"/>
      <c r="W1406" s="402" t="n"/>
      <c r="X1406" s="170" t="inlineStr">
        <is>
          <t>SD→SD-0.66-40II-C 400/5A→SD-0.66-30I 250/5A→SD-0.66-30I 150/5A→SD-0.66-60II-C 750/5A→SD-0.66-60II-C 600/5A→SD-0.66-30I 150/5A→SD-0.66-40II-C 400/5A→SD-0.66-100II-C 1600/5A→SD-0.66-80II-V 1000/5A</t>
        </is>
      </c>
    </row>
    <row r="1407" s="308">
      <c r="A1407" s="64">
        <f>ROW()-ROW(A$1399)</f>
        <v/>
      </c>
      <c r="B1407" s="112" t="inlineStr">
        <is>
          <t>多功能表</t>
        </is>
      </c>
      <c r="C1407" s="112" t="inlineStr">
        <is>
          <t>PM4101</t>
        </is>
      </c>
      <c r="D1407" s="112" t="inlineStr">
        <is>
          <t>甲供/施耐德电气</t>
        </is>
      </c>
      <c r="E1407" s="114" t="inlineStr">
        <is>
          <t>只</t>
        </is>
      </c>
      <c r="F1407" s="114" t="n">
        <v>6</v>
      </c>
      <c r="G1407" s="396">
        <f>IF(AND(B1407="",C1407=""),"",ROUND(M1407*L1407*N1407,2))</f>
        <v/>
      </c>
      <c r="H1407" s="349">
        <f>IF(AND(B1407="",C1407=""),"",ROUND(F1407*G1407,2))</f>
        <v/>
      </c>
      <c r="I1407" s="45" t="inlineStr"/>
      <c r="J1407" s="397">
        <f>IF(AND(B1407="",C1407=""),"",ROUND(M1407*N1407,2))</f>
        <v/>
      </c>
      <c r="K1407" s="398">
        <f>IF(AND(B1407="",C1407=""),"",ROUND(J1407*F1407,2))</f>
        <v/>
      </c>
      <c r="L1407" s="200" t="n">
        <v>1</v>
      </c>
      <c r="M1407" s="399" t="n">
        <v>1e-07</v>
      </c>
      <c r="N1407" s="154" t="n">
        <v>1</v>
      </c>
      <c r="O1407" s="155">
        <f>IF(AND(B1407="",C1407=""),"",IF(J1407&gt;=20000,0.05,IF(J1407&gt;=10000,0.1,IF(J1407&gt;=5000,0.2,IF(J1407&gt;=1000,0.3,IF(J1407&gt;=0,0.4,{0}))))))</f>
        <v/>
      </c>
      <c r="P1407" s="400">
        <f>IF(AND(B1407="",C1407=""),"",ROUND(H1407*O1407,2))</f>
        <v/>
      </c>
      <c r="Q1407" s="401" t="inlineStr">
        <is>
          <t>元件</t>
        </is>
      </c>
      <c r="R1407" s="168" t="inlineStr"/>
      <c r="S1407" s="168" t="inlineStr"/>
      <c r="T1407" s="168" t="inlineStr">
        <is>
          <t>0</t>
        </is>
      </c>
      <c r="U1407" s="168" t="inlineStr"/>
      <c r="V1407" s="402" t="n"/>
      <c r="W1407" s="402" t="n"/>
      <c r="X1407" s="170" t="inlineStr"/>
    </row>
    <row r="1408" customFormat="1" s="3">
      <c r="A1408" s="64">
        <f>ROW()-ROW(A$1399)</f>
        <v/>
      </c>
      <c r="B1408" s="22" t="inlineStr">
        <is>
          <t>指示灯</t>
        </is>
      </c>
      <c r="C1408" s="22" t="inlineStr">
        <is>
          <t>XB2BVM3LC</t>
        </is>
      </c>
      <c r="D1408" s="22" t="inlineStr">
        <is>
          <t>甲供/施耐德电气</t>
        </is>
      </c>
      <c r="E1408" s="23" t="inlineStr">
        <is>
          <t>只</t>
        </is>
      </c>
      <c r="F1408" s="23" t="n">
        <v>6</v>
      </c>
      <c r="G1408" s="349">
        <f>IF(AND(B1408="",C1408=""),"",ROUND(M1408*L1408*N1408,2))</f>
        <v/>
      </c>
      <c r="H1408" s="353">
        <f>IF(AND(B1408="",C1408=""),"",ROUND(F1408*G1408,2))</f>
        <v/>
      </c>
      <c r="I1408" s="180" t="inlineStr"/>
      <c r="J1408" s="392">
        <f>IF(AND(B1408="",C1408=""),"",ROUND(M1408*N1408,2))</f>
        <v/>
      </c>
      <c r="K1408" s="393">
        <f>IF(AND(B1408="",C1408=""),"",ROUND(J1408*F1408,2))</f>
        <v/>
      </c>
      <c r="L1408" s="141" t="n">
        <v>1</v>
      </c>
      <c r="M1408" s="394" t="n">
        <v>1e-07</v>
      </c>
      <c r="N1408" s="220" t="n">
        <v>1</v>
      </c>
      <c r="O1408" s="221">
        <f>IF(AND(B1408="",C1408=""),"",IF(G1408&gt;=20000,0.05,IF(G1408&gt;=10000,0.1,IF(G1408&gt;=5000,0.2,IF(G1408&gt;=1000,0.3,IF(G1408&gt;=0,0.4,{0}))))))</f>
        <v/>
      </c>
      <c r="P1408" s="419">
        <f>IF(AND(B1408="",C1408=""),"",ROUND(H1408*O1408,2))</f>
        <v/>
      </c>
      <c r="Q1408" s="420" t="inlineStr">
        <is>
          <t>元件</t>
        </is>
      </c>
      <c r="R1408" s="231" t="inlineStr"/>
      <c r="S1408" s="231" t="inlineStr"/>
      <c r="T1408" s="231" t="inlineStr">
        <is>
          <t>0</t>
        </is>
      </c>
      <c r="U1408" s="231" t="inlineStr">
        <is>
          <t>XB2BVM3LC</t>
        </is>
      </c>
      <c r="V1408" s="421" t="n"/>
      <c r="W1408" s="421" t="n"/>
      <c r="X1408" s="166" t="inlineStr">
        <is>
          <t>XA2EVM3LC</t>
        </is>
      </c>
    </row>
    <row r="1409" customFormat="1" s="3">
      <c r="A1409" s="64">
        <f>ROW()-ROW(A$1399)</f>
        <v/>
      </c>
      <c r="B1409" s="22" t="inlineStr">
        <is>
          <t>指示灯</t>
        </is>
      </c>
      <c r="C1409" s="22" t="inlineStr">
        <is>
          <t>XB2BVM4LC</t>
        </is>
      </c>
      <c r="D1409" s="22" t="inlineStr">
        <is>
          <t>甲供/施耐德电气</t>
        </is>
      </c>
      <c r="E1409" s="23" t="inlineStr">
        <is>
          <t>只</t>
        </is>
      </c>
      <c r="F1409" s="23" t="n">
        <v>6</v>
      </c>
      <c r="G1409" s="349">
        <f>IF(AND(B1409="",C1409=""),"",ROUND(M1409*L1409*N1409,2))</f>
        <v/>
      </c>
      <c r="H1409" s="353">
        <f>IF(AND(B1409="",C1409=""),"",ROUND(F1409*G1409,2))</f>
        <v/>
      </c>
      <c r="I1409" s="180" t="inlineStr"/>
      <c r="J1409" s="392">
        <f>IF(AND(B1409="",C1409=""),"",ROUND(M1409*N1409,2))</f>
        <v/>
      </c>
      <c r="K1409" s="393">
        <f>IF(AND(B1409="",C1409=""),"",ROUND(J1409*F1409,2))</f>
        <v/>
      </c>
      <c r="L1409" s="141" t="n">
        <v>1</v>
      </c>
      <c r="M1409" s="394" t="n">
        <v>1e-07</v>
      </c>
      <c r="N1409" s="220" t="n">
        <v>1</v>
      </c>
      <c r="O1409" s="221">
        <f>IF(AND(B1409="",C1409=""),"",IF(G1409&gt;=20000,0.05,IF(G1409&gt;=10000,0.1,IF(G1409&gt;=5000,0.2,IF(G1409&gt;=1000,0.3,IF(G1409&gt;=0,0.4,{0}))))))</f>
        <v/>
      </c>
      <c r="P1409" s="419">
        <f>IF(AND(B1409="",C1409=""),"",ROUND(H1409*O1409,2))</f>
        <v/>
      </c>
      <c r="Q1409" s="420" t="inlineStr">
        <is>
          <t>元件</t>
        </is>
      </c>
      <c r="R1409" s="231" t="inlineStr"/>
      <c r="S1409" s="231" t="inlineStr"/>
      <c r="T1409" s="231" t="inlineStr">
        <is>
          <t>0</t>
        </is>
      </c>
      <c r="U1409" s="231" t="inlineStr">
        <is>
          <t>XB2BVM4LC</t>
        </is>
      </c>
      <c r="V1409" s="421" t="n"/>
      <c r="W1409" s="421" t="n"/>
      <c r="X1409" s="166" t="inlineStr">
        <is>
          <t>XA2EVM4LC</t>
        </is>
      </c>
    </row>
    <row r="1410" s="308">
      <c r="A1410" s="64">
        <f>ROW()-ROW(A$1399)</f>
        <v/>
      </c>
      <c r="B1410" s="112" t="inlineStr">
        <is>
          <t>温湿度控制器</t>
        </is>
      </c>
      <c r="C1410" s="112" t="inlineStr">
        <is>
          <t>ATH48G-11</t>
        </is>
      </c>
      <c r="D1410" s="22" t="inlineStr">
        <is>
          <t>杭州安廷</t>
        </is>
      </c>
      <c r="E1410" s="23" t="inlineStr">
        <is>
          <t>套</t>
        </is>
      </c>
      <c r="F1410" s="23" t="n">
        <v>1</v>
      </c>
      <c r="G1410" s="349">
        <f>IF(AND(B1410="",C1410=""),"",ROUND(M1410*L1410*N1410,2))</f>
        <v/>
      </c>
      <c r="H1410" s="396">
        <f>IF(AND(B1410="",C1410=""),"",ROUND(F1410*G1410,2))</f>
        <v/>
      </c>
      <c r="I1410" s="150" t="inlineStr"/>
      <c r="J1410" s="397">
        <f>IF(AND(B1410="",C1410=""),"",ROUND(M1410*N1410,2))</f>
        <v/>
      </c>
      <c r="K1410" s="398">
        <f>IF(AND(B1410="",C1410=""),"",ROUND(J1410*F1410,2))</f>
        <v/>
      </c>
      <c r="L1410" s="141" t="n">
        <v>1</v>
      </c>
      <c r="M1410" s="399" t="n">
        <v>450</v>
      </c>
      <c r="N1410" s="154" t="n">
        <v>1</v>
      </c>
      <c r="O1410" s="155">
        <f>IF(AND(B1410="",C1410=""),"",IF(G1410&gt;=20000,0.05,IF(G1410&gt;=10000,0.1,IF(G1410&gt;=5000,0.2,IF(G1410&gt;=1000,0.3,IF(G1410&gt;=0,0.4,{0}))))))</f>
        <v/>
      </c>
      <c r="P1410" s="400">
        <f>IF(AND(B1410="",C1410=""),"",ROUND(H1410*O1410,2))</f>
        <v/>
      </c>
      <c r="Q1410" s="401" t="inlineStr">
        <is>
          <t>元件</t>
        </is>
      </c>
      <c r="R1410" s="168" t="inlineStr"/>
      <c r="S1410" s="168" t="inlineStr"/>
      <c r="T1410" s="168" t="inlineStr">
        <is>
          <t>0</t>
        </is>
      </c>
      <c r="U1410" s="168" t="inlineStr"/>
      <c r="V1410" s="402" t="n"/>
      <c r="W1410" s="402" t="n"/>
      <c r="X1410" s="170" t="inlineStr"/>
    </row>
    <row r="1411" s="308">
      <c r="A1411" s="64">
        <f>ROW()-ROW(A$1399)</f>
        <v/>
      </c>
      <c r="B1411" s="22" t="inlineStr">
        <is>
          <t>中间继电器</t>
        </is>
      </c>
      <c r="C1411" s="22" t="inlineStr">
        <is>
          <t>RXM4AB2P7+RXZE2S114M+RXZ400</t>
        </is>
      </c>
      <c r="D1411" s="22" t="inlineStr">
        <is>
          <t>甲供/施耐德电气</t>
        </is>
      </c>
      <c r="E1411" s="23" t="inlineStr">
        <is>
          <t>只</t>
        </is>
      </c>
      <c r="F1411" s="23" t="n">
        <v>12</v>
      </c>
      <c r="G1411" s="349">
        <f>IF(AND(B1411="",C1411=""),"",ROUND(M1411*L1411*N1411,2))</f>
        <v/>
      </c>
      <c r="H1411" s="349">
        <f>IF(AND(B1411="",C1411=""),"",ROUND(F1411*G1411,2))</f>
        <v/>
      </c>
      <c r="I1411" s="45" t="inlineStr"/>
      <c r="J1411" s="397">
        <f>IF(AND(B1411="",C1411=""),"",ROUND(M1411*N1411,2))</f>
        <v/>
      </c>
      <c r="K1411" s="398">
        <f>IF(AND(B1411="",C1411=""),"",ROUND(J1411*F1411,2))</f>
        <v/>
      </c>
      <c r="L1411" s="141" t="n">
        <v>1</v>
      </c>
      <c r="M1411" s="399" t="n">
        <v>1e-07</v>
      </c>
      <c r="N1411" s="154" t="n">
        <v>1</v>
      </c>
      <c r="O1411" s="155">
        <f>IF(AND(B1411="",C1411=""),"",IF(G1411&gt;=20000,0.05,IF(G1411&gt;=10000,0.1,IF(G1411&gt;=5000,0.2,IF(G1411&gt;=1000,0.3,IF(G1411&gt;=0,0.4,{0}))))))</f>
        <v/>
      </c>
      <c r="P1411" s="400">
        <f>IF(AND(B1411="",C1411=""),"",ROUND(H1411*O1411,2))</f>
        <v/>
      </c>
      <c r="Q1411" s="401" t="inlineStr">
        <is>
          <t>元件</t>
        </is>
      </c>
      <c r="R1411" s="168" t="inlineStr"/>
      <c r="S1411" s="168" t="inlineStr"/>
      <c r="T1411" s="168" t="inlineStr">
        <is>
          <t>0</t>
        </is>
      </c>
      <c r="U1411" s="168" t="inlineStr">
        <is>
          <t>RXM4AB2P7+RXZE2S114M+RXZ400</t>
        </is>
      </c>
      <c r="V1411" s="402" t="n"/>
      <c r="W1411" s="402" t="n"/>
      <c r="X1411" s="170" t="inlineStr">
        <is>
          <t>REL-IR-BL/L-230AC/4X21，含底座→RXM4AB2P7+RXZE2S114M+RXZ400→REL-IR-BL/L-230AC/4X21，含底座</t>
        </is>
      </c>
    </row>
    <row r="1412" customFormat="1" s="3">
      <c r="A1412" s="64">
        <f>ROW()-ROW(A$1399)</f>
        <v/>
      </c>
      <c r="B1412" s="22" t="inlineStr">
        <is>
          <t>带熔丝端子</t>
        </is>
      </c>
      <c r="C1412" s="22" t="inlineStr">
        <is>
          <t>UK 5-HESI</t>
        </is>
      </c>
      <c r="D1412" s="22" t="inlineStr">
        <is>
          <t>菲尼克斯</t>
        </is>
      </c>
      <c r="E1412" s="23" t="inlineStr">
        <is>
          <t>只</t>
        </is>
      </c>
      <c r="F1412" s="23" t="n">
        <v>24</v>
      </c>
      <c r="G1412" s="349">
        <f>IF(AND(B1412="",C1412=""),"",ROUND(M1412*L1412*N1412,2))</f>
        <v/>
      </c>
      <c r="H1412" s="349">
        <f>IF(AND(B1412="",C1412=""),"",ROUND(F1412*G1412,2))</f>
        <v/>
      </c>
      <c r="I1412" s="45" t="inlineStr"/>
      <c r="J1412" s="392">
        <f>IF(AND(B1412="",C1412=""),"",ROUND(M1412*N1412,2))</f>
        <v/>
      </c>
      <c r="K1412" s="393">
        <f>IF(AND(B1412="",C1412=""),"",ROUND(J1412*F1412,2))</f>
        <v/>
      </c>
      <c r="L1412" s="141" t="n">
        <v>1</v>
      </c>
      <c r="M1412" s="394" t="n">
        <v>7</v>
      </c>
      <c r="N1412" s="220" t="n">
        <v>1</v>
      </c>
      <c r="O1412" s="221">
        <f>IF(AND(B1412="",C1412=""),"",IF(G1412&gt;=20000,0.05,IF(G1412&gt;=10000,0.1,IF(G1412&gt;=5000,0.2,IF(G1412&gt;=1000,0.3,IF(G1412&gt;=0,0.4,{0}))))))</f>
        <v/>
      </c>
      <c r="P1412" s="419">
        <f>IF(AND(B1412="",C1412=""),"",ROUND(H1412*O1412,2))</f>
        <v/>
      </c>
      <c r="Q1412" s="420" t="inlineStr">
        <is>
          <t>元件</t>
        </is>
      </c>
      <c r="R1412" s="231" t="inlineStr"/>
      <c r="S1412" s="231" t="inlineStr"/>
      <c r="T1412" s="231" t="inlineStr">
        <is>
          <t>0</t>
        </is>
      </c>
      <c r="U1412" s="231" t="inlineStr">
        <is>
          <t>True</t>
        </is>
      </c>
      <c r="V1412" s="421" t="n"/>
      <c r="W1412" s="421" t="n"/>
      <c r="X1412" s="166" t="inlineStr"/>
    </row>
    <row r="1413" s="308">
      <c r="A1413" s="64">
        <f>ROW()-ROW(A$1399)</f>
        <v/>
      </c>
      <c r="B1413" s="22" t="inlineStr">
        <is>
          <t>水平母排</t>
        </is>
      </c>
      <c r="C1413" s="22" t="inlineStr">
        <is>
          <t>TMY 4*(4*150*5)+2*50*5</t>
        </is>
      </c>
      <c r="D1413" s="22" t="inlineStr">
        <is>
          <t>国产优质</t>
        </is>
      </c>
      <c r="E1413" s="23" t="inlineStr">
        <is>
          <t>米</t>
        </is>
      </c>
      <c r="F1413" s="23" t="n">
        <v>0.7</v>
      </c>
      <c r="G1413" s="349">
        <f>IF(AND(B1413="",C1413=""),"",ROUND(M1413*L1413*N1413,2))</f>
        <v/>
      </c>
      <c r="H1413" s="349">
        <f>IF(AND(B1413="",C1413=""),"",ROUND(F1413*G1413,2))</f>
        <v/>
      </c>
      <c r="I1413" s="45" t="inlineStr"/>
      <c r="J1413" s="397">
        <f>IF(AND(B1413="",C1413=""),"",ROUND(M1413*N1413,2))</f>
        <v/>
      </c>
      <c r="K1413" s="398">
        <f>IF(AND(B1413="",C1413=""),"",ROUND(J1413*F1413,2))</f>
        <v/>
      </c>
      <c r="L1413" s="200" t="n">
        <v>1</v>
      </c>
      <c r="M1413" s="399" t="n">
        <v>12026.68125</v>
      </c>
      <c r="N1413" s="154">
        <f>(6317.932*1*1+2684.8*1*1)/9002.732</f>
        <v/>
      </c>
      <c r="O1413" s="155">
        <f>IF(AND(B1413="",C1413=""),"",IF(J1413&gt;=20000,0.05,IF(J1413&gt;=10000,0.1,IF(J1413&gt;=5000,0.2,IF(J1413&gt;=1000,0.3,IF(J1413&gt;=0,0.4,{0}))))))</f>
        <v/>
      </c>
      <c r="P1413" s="400">
        <f>IF(AND(B1413="",C1413=""),"",ROUND(H1413*O1413,2))</f>
        <v/>
      </c>
      <c r="Q1413" s="401" t="inlineStr">
        <is>
          <t>母排</t>
        </is>
      </c>
      <c r="R1413" s="168" t="inlineStr"/>
      <c r="S1413" s="168" t="inlineStr"/>
      <c r="T1413" s="168" t="inlineStr">
        <is>
          <t>0</t>
        </is>
      </c>
      <c r="U1413" s="168" t="inlineStr"/>
      <c r="V1413" s="402" t="n"/>
      <c r="W1413" s="402" t="n"/>
      <c r="X1413" s="170" t="inlineStr"/>
    </row>
    <row r="1414" customFormat="1" s="5">
      <c r="A1414" s="64">
        <f>ROW()-ROW(A$1399)</f>
        <v/>
      </c>
      <c r="B1414" s="22" t="inlineStr">
        <is>
          <t>垂直排</t>
        </is>
      </c>
      <c r="C1414" s="22" t="inlineStr">
        <is>
          <t>TMY 4*3*80*5</t>
        </is>
      </c>
      <c r="D1414" s="22" t="inlineStr">
        <is>
          <t>国产优质</t>
        </is>
      </c>
      <c r="E1414" s="23" t="inlineStr">
        <is>
          <t>米</t>
        </is>
      </c>
      <c r="F1414" s="23" t="n">
        <v>2</v>
      </c>
      <c r="G1414" s="349">
        <f>IF(AND(B1414="",C1414=""),"",ROUND(M1414*L1414*N1414,2))</f>
        <v/>
      </c>
      <c r="H1414" s="349">
        <f>IF(AND(B1414="",C1414=""),"",ROUND(F1414*G1414,2))</f>
        <v/>
      </c>
      <c r="I1414" s="45" t="inlineStr"/>
      <c r="J1414" s="422">
        <f>IF(AND(B1414="",C1414=""),"",ROUND(M1414*N1414,2))</f>
        <v/>
      </c>
      <c r="K1414" s="423">
        <f>IF(AND(B1414="",C1414=""),"",ROUND(J1414*F1414,2))</f>
        <v/>
      </c>
      <c r="L1414" s="225" t="n">
        <v>1</v>
      </c>
      <c r="M1414" s="424" t="n">
        <v>4618.2456</v>
      </c>
      <c r="N1414" s="227" t="n">
        <v>1</v>
      </c>
      <c r="O1414" s="228">
        <f>IF(AND(B1414="",C1414=""),"",IF(G1414&gt;=20000,0.05,IF(G1414&gt;=10000,0.1,IF(G1414&gt;=5000,0.2,IF(G1414&gt;=1000,0.3,IF(G1414&gt;=0,0.4,{0}))))))</f>
        <v/>
      </c>
      <c r="P1414" s="425">
        <f>IF(AND(B1414="",C1414=""),"",ROUND(H1414*O1414,2))</f>
        <v/>
      </c>
      <c r="Q1414" s="426" t="inlineStr">
        <is>
          <t>母排</t>
        </is>
      </c>
      <c r="R1414" s="234" t="inlineStr"/>
      <c r="S1414" s="234" t="inlineStr"/>
      <c r="T1414" s="235" t="inlineStr">
        <is>
          <t>0</t>
        </is>
      </c>
      <c r="U1414" s="235" t="inlineStr"/>
      <c r="V1414" s="427" t="n"/>
      <c r="W1414" s="427" t="n"/>
      <c r="X1414" s="237" t="inlineStr">
        <is>
          <t>TMY 2*30*5→TMY 30*8</t>
        </is>
      </c>
    </row>
    <row r="1415" customFormat="1" s="5">
      <c r="A1415" s="64">
        <f>ROW()-ROW(A$1399)</f>
        <v/>
      </c>
      <c r="B1415" s="22" t="inlineStr">
        <is>
          <t>N排</t>
        </is>
      </c>
      <c r="C1415" s="22" t="inlineStr">
        <is>
          <t>TMY 3*80*5</t>
        </is>
      </c>
      <c r="D1415" s="22" t="inlineStr">
        <is>
          <t>国产优质</t>
        </is>
      </c>
      <c r="E1415" s="23" t="inlineStr">
        <is>
          <t>米</t>
        </is>
      </c>
      <c r="F1415" s="23" t="n">
        <v>1</v>
      </c>
      <c r="G1415" s="349">
        <f>IF(AND(B1415="",C1415=""),"",ROUND(M1415*L1415*N1415,2))</f>
        <v/>
      </c>
      <c r="H1415" s="349">
        <f>IF(AND(B1415="",C1415=""),"",ROUND(F1415*G1415,2))</f>
        <v/>
      </c>
      <c r="I1415" s="45" t="inlineStr"/>
      <c r="J1415" s="422">
        <f>IF(AND(B1415="",C1415=""),"",ROUND(M1415*N1415,2))</f>
        <v/>
      </c>
      <c r="K1415" s="423">
        <f>IF(AND(B1415="",C1415=""),"",ROUND(J1415*F1415,2))</f>
        <v/>
      </c>
      <c r="L1415" s="225" t="n">
        <v>1</v>
      </c>
      <c r="M1415" s="424" t="n">
        <v>1154.5614</v>
      </c>
      <c r="N1415" s="227" t="n">
        <v>1</v>
      </c>
      <c r="O1415" s="228">
        <f>IF(AND(B1415="",C1415=""),"",IF(G1415&gt;=20000,0.05,IF(G1415&gt;=10000,0.1,IF(G1415&gt;=5000,0.2,IF(G1415&gt;=1000,0.3,IF(G1415&gt;=0,0.4,{0}))))))</f>
        <v/>
      </c>
      <c r="P1415" s="425">
        <f>IF(AND(B1415="",C1415=""),"",ROUND(H1415*O1415,2))</f>
        <v/>
      </c>
      <c r="Q1415" s="426" t="inlineStr">
        <is>
          <t>母排</t>
        </is>
      </c>
      <c r="R1415" s="234" t="inlineStr"/>
      <c r="S1415" s="234" t="inlineStr"/>
      <c r="T1415" s="235" t="inlineStr">
        <is>
          <t>0</t>
        </is>
      </c>
      <c r="U1415" s="235" t="inlineStr"/>
      <c r="V1415" s="427" t="n"/>
      <c r="W1415" s="427" t="n"/>
      <c r="X1415" s="237" t="inlineStr">
        <is>
          <t>TMY 2*30*5→TMY 30*8</t>
        </is>
      </c>
    </row>
    <row r="1416" customFormat="1" s="5">
      <c r="A1416" s="64">
        <f>ROW()-ROW(A$1399)</f>
        <v/>
      </c>
      <c r="B1416" s="22" t="inlineStr">
        <is>
          <t>PE排</t>
        </is>
      </c>
      <c r="C1416" s="22" t="inlineStr">
        <is>
          <t>TMY 2*50*5</t>
        </is>
      </c>
      <c r="D1416" s="22" t="inlineStr">
        <is>
          <t>国产优质</t>
        </is>
      </c>
      <c r="E1416" s="23" t="inlineStr">
        <is>
          <t>米</t>
        </is>
      </c>
      <c r="F1416" s="23" t="n">
        <v>2</v>
      </c>
      <c r="G1416" s="349">
        <f>IF(AND(B1416="",C1416=""),"",ROUND(M1416*L1416*N1416,2))</f>
        <v/>
      </c>
      <c r="H1416" s="349">
        <f>IF(AND(B1416="",C1416=""),"",ROUND(F1416*G1416,2))</f>
        <v/>
      </c>
      <c r="I1416" s="45" t="inlineStr"/>
      <c r="J1416" s="422">
        <f>IF(AND(B1416="",C1416=""),"",ROUND(M1416*N1416,2))</f>
        <v/>
      </c>
      <c r="K1416" s="423">
        <f>IF(AND(B1416="",C1416=""),"",ROUND(J1416*F1416,2))</f>
        <v/>
      </c>
      <c r="L1416" s="225" t="n">
        <v>1</v>
      </c>
      <c r="M1416" s="424" t="n">
        <v>481.06725</v>
      </c>
      <c r="N1416" s="227" t="n">
        <v>1</v>
      </c>
      <c r="O1416" s="228">
        <f>IF(AND(B1416="",C1416=""),"",IF(G1416&gt;=20000,0.05,IF(G1416&gt;=10000,0.1,IF(G1416&gt;=5000,0.2,IF(G1416&gt;=1000,0.3,IF(G1416&gt;=0,0.4,{0}))))))</f>
        <v/>
      </c>
      <c r="P1416" s="425">
        <f>IF(AND(B1416="",C1416=""),"",ROUND(H1416*O1416,2))</f>
        <v/>
      </c>
      <c r="Q1416" s="426" t="inlineStr">
        <is>
          <t>母排</t>
        </is>
      </c>
      <c r="R1416" s="234" t="inlineStr"/>
      <c r="S1416" s="234" t="inlineStr"/>
      <c r="T1416" s="235" t="inlineStr">
        <is>
          <t>0</t>
        </is>
      </c>
      <c r="U1416" s="235" t="inlineStr"/>
      <c r="V1416" s="427" t="n"/>
      <c r="W1416" s="427" t="n"/>
      <c r="X1416" s="237" t="inlineStr">
        <is>
          <t>TMY 2*30*5→TMY 30*8</t>
        </is>
      </c>
    </row>
    <row r="1417" customFormat="1" s="5">
      <c r="A1417" s="64">
        <f>ROW()-ROW(A$1399)</f>
        <v/>
      </c>
      <c r="B1417" s="22" t="inlineStr">
        <is>
          <t>630A铜排</t>
        </is>
      </c>
      <c r="C1417" s="22" t="inlineStr">
        <is>
          <t>TMY 30*8</t>
        </is>
      </c>
      <c r="D1417" s="22" t="inlineStr">
        <is>
          <t>国产优质</t>
        </is>
      </c>
      <c r="E1417" s="23" t="inlineStr">
        <is>
          <t>米</t>
        </is>
      </c>
      <c r="F1417" s="23" t="n">
        <v>13.9</v>
      </c>
      <c r="G1417" s="349">
        <f>IF(AND(B1417="",C1417=""),"",ROUND(M1417*L1417*N1417,2))</f>
        <v/>
      </c>
      <c r="H1417" s="349">
        <f>IF(AND(B1417="",C1417=""),"",ROUND(F1417*G1417,2))</f>
        <v/>
      </c>
      <c r="I1417" s="45" t="inlineStr"/>
      <c r="J1417" s="422">
        <f>IF(AND(B1417="",C1417=""),"",ROUND(M1417*N1417,2))</f>
        <v/>
      </c>
      <c r="K1417" s="423">
        <f>IF(AND(B1417="",C1417=""),"",ROUND(J1417*F1417,2))</f>
        <v/>
      </c>
      <c r="L1417" s="225" t="n">
        <v>1</v>
      </c>
      <c r="M1417" s="424" t="n">
        <v>230.91228</v>
      </c>
      <c r="N1417" s="227" t="n">
        <v>1</v>
      </c>
      <c r="O1417" s="228">
        <f>IF(AND(B1417="",C1417=""),"",IF(G1417&gt;=20000,0.05,IF(G1417&gt;=10000,0.1,IF(G1417&gt;=5000,0.2,IF(G1417&gt;=1000,0.3,IF(G1417&gt;=0,0.4,{0}))))))</f>
        <v/>
      </c>
      <c r="P1417" s="425">
        <f>IF(AND(B1417="",C1417=""),"",ROUND(H1417*O1417,2))</f>
        <v/>
      </c>
      <c r="Q1417" s="426" t="inlineStr">
        <is>
          <t>母排</t>
        </is>
      </c>
      <c r="R1417" s="234" t="inlineStr"/>
      <c r="S1417" s="234" t="inlineStr"/>
      <c r="T1417" s="235" t="inlineStr">
        <is>
          <t>0</t>
        </is>
      </c>
      <c r="U1417" s="235" t="inlineStr"/>
      <c r="V1417" s="427" t="n"/>
      <c r="W1417" s="427" t="n"/>
      <c r="X1417" s="237" t="inlineStr">
        <is>
          <t>TMY 2*30*5→TMY 30*8</t>
        </is>
      </c>
    </row>
    <row r="1418" s="308">
      <c r="A1418" s="64">
        <f>ROW()-ROW(A$1399)</f>
        <v/>
      </c>
      <c r="B1418" s="112" t="inlineStr">
        <is>
          <t>辅料</t>
        </is>
      </c>
      <c r="C1418" s="112" t="inlineStr"/>
      <c r="D1418" s="112" t="inlineStr"/>
      <c r="E1418" s="114" t="inlineStr">
        <is>
          <t>套</t>
        </is>
      </c>
      <c r="F1418" s="114" t="n">
        <v>1</v>
      </c>
      <c r="G1418" s="396">
        <f>IF(AND(B1418="",C1418=""),"",ROUND(M1418*L1418*N1418,2))</f>
        <v/>
      </c>
      <c r="H1418" s="396">
        <f>IF(AND(B1418="",C1418=""),"",ROUND(F1418*G1418,2))</f>
        <v/>
      </c>
      <c r="I1418" s="219" t="inlineStr"/>
      <c r="J1418" s="397">
        <f>IF(AND(B1418="",C1418=""),"",ROUND(M1418*N1418,2))</f>
        <v/>
      </c>
      <c r="K1418" s="398">
        <f>IF(AND(B1418="",C1418=""),"",ROUND(J1418*F1418,2))</f>
        <v/>
      </c>
      <c r="L1418" s="200" t="n">
        <v>1</v>
      </c>
      <c r="M1418" s="399" t="n">
        <v>1066.29</v>
      </c>
      <c r="N1418" s="154" t="n">
        <v>1</v>
      </c>
      <c r="O1418" s="155">
        <f>IF(AND(B1418="",C1418=""),"",IF(G1418&gt;=20000,0.05,IF(G1418&gt;=10000,0.1,IF(G1418&gt;=5000,0.2,IF(G1418&gt;=1000,0.3,IF(G1418&gt;=0,0.4,{0}))))))</f>
        <v/>
      </c>
      <c r="P1418" s="400">
        <f>IF(AND(B1418="",C1418=""),"",ROUND(H1418*O1418,2))</f>
        <v/>
      </c>
      <c r="Q1418" s="401" t="inlineStr">
        <is>
          <t>辅料</t>
        </is>
      </c>
      <c r="R1418" s="168" t="inlineStr"/>
      <c r="S1418" s="168" t="inlineStr"/>
      <c r="T1418" s="168" t="inlineStr">
        <is>
          <t>0</t>
        </is>
      </c>
      <c r="U1418" s="168" t="inlineStr"/>
      <c r="V1418" s="402" t="n"/>
      <c r="W1418" s="402" t="n"/>
      <c r="X1418" s="170" t="inlineStr"/>
    </row>
    <row r="1419" s="308">
      <c r="A1419" s="64">
        <f>ROW()-ROW(A$1399)</f>
        <v/>
      </c>
      <c r="B1419" s="112" t="inlineStr">
        <is>
          <t>柜体Blokset</t>
        </is>
      </c>
      <c r="C1419" s="22" t="inlineStr">
        <is>
          <t>600W*1200D*2200H</t>
        </is>
      </c>
      <c r="D1419" s="112" t="inlineStr">
        <is>
          <t>清科</t>
        </is>
      </c>
      <c r="E1419" s="114" t="inlineStr">
        <is>
          <t>台</t>
        </is>
      </c>
      <c r="F1419" s="114" t="n">
        <v>1</v>
      </c>
      <c r="G1419" s="396">
        <f>IF(AND(B1419="",C1419=""),"",ROUND(M1419*L1419*N1419,2))</f>
        <v/>
      </c>
      <c r="H1419" s="396">
        <f>IF(AND(B1419="",C1419=""),"",ROUND(F1419*G1419,2))</f>
        <v/>
      </c>
      <c r="I1419" s="219" t="inlineStr"/>
      <c r="J1419" s="397">
        <f>IF(AND(B1419="",C1419=""),"",ROUND(M1419*N1419,2))</f>
        <v/>
      </c>
      <c r="K1419" s="398">
        <f>IF(AND(B1419="",C1419=""),"",ROUND(J1419*F1419,2))</f>
        <v/>
      </c>
      <c r="L1419" s="200" t="n">
        <v>1</v>
      </c>
      <c r="M1419" s="399" t="n">
        <v>5573</v>
      </c>
      <c r="N1419" s="154" t="n">
        <v>1</v>
      </c>
      <c r="O1419" s="155">
        <f>IF(AND(B1419="",C1419=""),"",IF(G1419&gt;=20000,0.05,IF(G1419&gt;=10000,0.1,IF(G1419&gt;=5000,0.2,IF(G1419&gt;=1000,0.3,IF(G1419&gt;=0,0.4,{0}))))))</f>
        <v/>
      </c>
      <c r="P1419" s="400">
        <f>IF(AND(B1419="",C1419=""),"",ROUND(H1419*O1419,2))</f>
        <v/>
      </c>
      <c r="Q1419" s="401" t="inlineStr">
        <is>
          <t>箱体</t>
        </is>
      </c>
      <c r="R1419" s="168" t="inlineStr"/>
      <c r="S1419" s="168" t="inlineStr"/>
      <c r="T1419" s="168" t="inlineStr">
        <is>
          <t>0</t>
        </is>
      </c>
      <c r="U1419" s="168" t="inlineStr"/>
      <c r="V1419" s="402" t="n"/>
      <c r="W1419" s="402" t="n"/>
      <c r="X1419" s="170" t="inlineStr">
        <is>
          <t>BlokSeT</t>
        </is>
      </c>
    </row>
    <row r="1420" s="308">
      <c r="A1420" s="64">
        <f>ROW()-ROW(A$1399)</f>
        <v/>
      </c>
      <c r="B1420" s="22" t="inlineStr"/>
      <c r="C1420" s="22" t="inlineStr"/>
      <c r="D1420" s="22" t="inlineStr"/>
      <c r="E1420" s="23" t="n"/>
      <c r="F1420" s="23">
        <f>IF(AND(B1420="",C1420=""),"",1)</f>
        <v/>
      </c>
      <c r="G1420" s="349">
        <f>IF(AND(B1420="",C1420=""),"",ROUND(M1420*L1420*N1420,2))</f>
        <v/>
      </c>
      <c r="H1420" s="349">
        <f>IF(AND(B1420="",C1420=""),"",ROUND(F1420*G1420,2))</f>
        <v/>
      </c>
      <c r="I1420" s="45" t="inlineStr"/>
      <c r="J1420" s="397">
        <f>IF(AND(B1420="",C1420=""),"",ROUND(M1420*N1420,2))</f>
        <v/>
      </c>
      <c r="K1420" s="398">
        <f>IF(AND(B1420="",C1420=""),"",ROUND(J1420*F1420,2))</f>
        <v/>
      </c>
      <c r="L1420" s="200">
        <f>IF(AND(B1420="",C1420=""),"",1)</f>
        <v/>
      </c>
      <c r="M1420" s="399" t="n"/>
      <c r="N1420" s="154">
        <f>IF(AND(B1420="",C1420=""),"",1)</f>
        <v/>
      </c>
      <c r="O1420" s="155">
        <f>IF(AND(B1420="",C1420=""),"",IF(J1420&gt;=20000,0.05,IF(J1420&gt;=10000,0.1,IF(J1420&gt;=5000,0.2,IF(J1420&gt;=1000,0.3,IF(J1420&gt;=0,0.4,{0}))))))</f>
        <v/>
      </c>
      <c r="P1420" s="400">
        <f>IF(AND(B1420="",C1420=""),"",ROUND(H1420*O1420,2))</f>
        <v/>
      </c>
      <c r="Q1420" s="401">
        <f>IF(AND(B1420="",C1420=""),"","元件")</f>
        <v/>
      </c>
      <c r="R1420" s="168" t="inlineStr"/>
      <c r="S1420" s="168" t="inlineStr"/>
      <c r="T1420" s="168" t="inlineStr"/>
      <c r="U1420" s="168" t="inlineStr"/>
      <c r="V1420" s="402" t="n"/>
      <c r="W1420" s="402" t="n"/>
      <c r="X1420" s="170" t="inlineStr"/>
    </row>
    <row r="1421" s="308">
      <c r="A1421" s="64">
        <f>ROW()-ROW(A$1399)</f>
        <v/>
      </c>
      <c r="B1421" s="171" t="inlineStr">
        <is>
          <t>小计</t>
        </is>
      </c>
      <c r="C1421" s="172" t="n"/>
      <c r="D1421" s="204" t="n"/>
      <c r="E1421" s="114" t="n"/>
      <c r="F1421" s="114" t="n"/>
      <c r="G1421" s="396" t="n"/>
      <c r="H1421" s="396">
        <f>ROUND(SUM(H1399:INDEX(H:H,ROW()-1)),2)</f>
        <v/>
      </c>
      <c r="I1421" s="45" t="inlineStr"/>
      <c r="J1421" s="397" t="n"/>
      <c r="K1421" s="398">
        <f>ROUND(SUM(K1399:INDEX(K:K,ROW()-1)),2)</f>
        <v/>
      </c>
      <c r="L1421" s="200" t="n"/>
      <c r="M1421" s="399" t="n"/>
      <c r="N1421" s="154" t="n"/>
      <c r="O1421" s="155" t="n"/>
      <c r="P1421" s="400" t="n"/>
      <c r="Q1421" s="401" t="n"/>
      <c r="R1421" s="168" t="inlineStr"/>
      <c r="S1421" s="168" t="inlineStr"/>
      <c r="T1421" s="168" t="inlineStr"/>
      <c r="U1421" s="168" t="inlineStr"/>
      <c r="V1421" s="402">
        <f>ROUND(SUMPRODUCT(F1399:INDEX(F:F,ROW()-1),V1399:INDEX(V:V,ROW()-1)),2)</f>
        <v/>
      </c>
      <c r="W1421" s="402">
        <f>ROUND(SUMPRODUCT(F1399:INDEX(F:F,ROW()-1),W1399:INDEX(W:W,ROW()-1)),2)</f>
        <v/>
      </c>
      <c r="X1421" s="170" t="inlineStr"/>
    </row>
    <row r="1422" s="308">
      <c r="A1422" s="64">
        <f>ROW()-ROW(A$1399)</f>
        <v/>
      </c>
      <c r="B1422" s="171" t="inlineStr">
        <is>
          <t>综合费(人工、管理、税金、利润等)</t>
        </is>
      </c>
      <c r="C1422" s="172" t="n"/>
      <c r="D1422" s="204" t="n"/>
      <c r="E1422" s="114" t="n"/>
      <c r="F1422" s="114" t="n"/>
      <c r="G1422" s="396" t="n"/>
      <c r="H1422" s="396">
        <f>2500</f>
        <v/>
      </c>
      <c r="I1422" s="45" t="inlineStr"/>
      <c r="J1422" s="397" t="n"/>
      <c r="K1422" s="398" t="n"/>
      <c r="L1422" s="200" t="n"/>
      <c r="M1422" s="399" t="n"/>
      <c r="N1422" s="154" t="n"/>
      <c r="O1422" s="155" t="n"/>
      <c r="P1422" s="400" t="n"/>
      <c r="Q1422" s="401" t="inlineStr">
        <is>
          <t>费用</t>
        </is>
      </c>
      <c r="R1422" s="168" t="inlineStr"/>
      <c r="S1422" s="168" t="inlineStr"/>
      <c r="T1422" s="168" t="inlineStr"/>
      <c r="U1422" s="168" t="inlineStr"/>
      <c r="V1422" s="402" t="n"/>
      <c r="W1422" s="402" t="n"/>
      <c r="X1422" s="170" t="inlineStr"/>
    </row>
    <row r="1423" s="308">
      <c r="A1423" s="64">
        <f>ROW()-ROW(A$1399)</f>
        <v/>
      </c>
      <c r="B1423" s="204" t="inlineStr">
        <is>
          <t>单台合计</t>
        </is>
      </c>
      <c r="C1423" s="172" t="n"/>
      <c r="D1423" s="204" t="n"/>
      <c r="E1423" s="114" t="n"/>
      <c r="F1423" s="114" t="n"/>
      <c r="G1423" s="396" t="n"/>
      <c r="H1423" s="396">
        <f>ROUND(SUM(H1421:H1422),2)</f>
        <v/>
      </c>
      <c r="I1423" s="181" t="n"/>
      <c r="J1423" s="397" t="n"/>
      <c r="K1423" s="398">
        <f>ROUND(SUM(K1421:K1422),2)</f>
        <v/>
      </c>
      <c r="L1423" s="209" t="n"/>
      <c r="M1423" s="399" t="n"/>
      <c r="N1423" s="210" t="n"/>
      <c r="O1423" s="211" t="n"/>
      <c r="P1423" s="400" t="n"/>
      <c r="Q1423" s="401" t="n"/>
      <c r="R1423" s="168" t="inlineStr"/>
      <c r="S1423" s="168" t="inlineStr"/>
      <c r="T1423" s="168" t="inlineStr"/>
      <c r="U1423" s="168" t="inlineStr"/>
      <c r="V1423" s="402" t="n"/>
      <c r="W1423" s="402" t="n"/>
      <c r="X1423" s="170" t="inlineStr"/>
    </row>
    <row r="1424" s="308">
      <c r="A1424" s="173" t="inlineStr">
        <is>
          <t>总计</t>
        </is>
      </c>
      <c r="B1424" s="205" t="n"/>
      <c r="C1424" s="175" t="n"/>
      <c r="D1424" s="206" t="n"/>
      <c r="E1424" s="206" t="inlineStr">
        <is>
          <t>台</t>
        </is>
      </c>
      <c r="F1424" s="206" t="n">
        <v>1</v>
      </c>
      <c r="G1424" s="414">
        <f>ROUND(H1423,2)</f>
        <v/>
      </c>
      <c r="H1424" s="414">
        <f>ROUND(F1424*G1424,2)</f>
        <v/>
      </c>
      <c r="I1424" s="185" t="n"/>
      <c r="J1424" s="415" t="n"/>
      <c r="K1424" s="416">
        <f>ROUND(K1423*F1424,2)</f>
        <v/>
      </c>
      <c r="L1424" s="214" t="n"/>
      <c r="M1424" s="417" t="n"/>
      <c r="N1424" s="216" t="n"/>
      <c r="O1424" s="217" t="n"/>
      <c r="P1424" s="418" t="n"/>
      <c r="Q1424" s="401" t="n"/>
      <c r="R1424" s="168" t="inlineStr"/>
      <c r="S1424" s="168" t="inlineStr"/>
      <c r="T1424" s="168" t="inlineStr"/>
      <c r="U1424" s="168" t="inlineStr"/>
      <c r="V1424" s="402" t="n"/>
      <c r="W1424" s="402" t="n"/>
      <c r="X1424" s="170" t="inlineStr"/>
    </row>
    <row r="1425" customFormat="1" s="4">
      <c r="A1425" s="6" t="n"/>
      <c r="B1425" s="195" t="inlineStr"/>
      <c r="C1425" s="195" t="inlineStr"/>
      <c r="D1425" s="195" t="inlineStr"/>
      <c r="Q1425" s="159" t="n"/>
      <c r="R1425" s="159" t="n"/>
      <c r="S1425" s="159" t="n"/>
      <c r="T1425" s="159" t="n"/>
      <c r="U1425" s="159" t="n"/>
      <c r="X1425" s="195" t="inlineStr"/>
    </row>
    <row r="1426" customFormat="1" s="4">
      <c r="A1426" s="6" t="n"/>
      <c r="B1426" s="195" t="inlineStr"/>
      <c r="C1426" s="195" t="inlineStr"/>
      <c r="D1426" s="195" t="inlineStr"/>
      <c r="Q1426" s="159" t="n"/>
      <c r="R1426" s="159" t="n"/>
      <c r="S1426" s="159" t="n"/>
      <c r="T1426" s="159" t="n"/>
      <c r="U1426" s="159" t="n"/>
      <c r="X1426" s="195" t="inlineStr"/>
    </row>
    <row r="1427" s="308">
      <c r="A1427" s="208">
        <f>CONCATENATE("报价人：",项目信息!$B$8)</f>
        <v/>
      </c>
      <c r="B1427" s="208" t="n"/>
      <c r="C1427" s="4" t="n"/>
      <c r="D1427" s="4" t="n"/>
      <c r="E1427" s="4" t="n"/>
      <c r="F1427" s="4" t="n"/>
      <c r="G1427" s="4" t="n"/>
      <c r="H1427" s="178">
        <f>项目信息!$B$9</f>
        <v/>
      </c>
      <c r="Q1427" s="159" t="n"/>
      <c r="R1427" s="159" t="n"/>
      <c r="S1427" s="159" t="n"/>
      <c r="T1427" s="159" t="n"/>
      <c r="U1427" s="159" t="n"/>
      <c r="X1427" s="203" t="inlineStr"/>
    </row>
    <row r="1428" s="308">
      <c r="A1428" s="8">
        <f>T(项目信息!$B$22)</f>
        <v/>
      </c>
      <c r="Q1428" s="159" t="n"/>
      <c r="R1428" s="159" t="n"/>
      <c r="S1428" s="159" t="n"/>
      <c r="T1428" s="159" t="n"/>
      <c r="U1428" s="159" t="n"/>
    </row>
    <row r="1429" s="308">
      <c r="A1429" s="9">
        <f>T(项目信息!$B$23)</f>
        <v/>
      </c>
      <c r="Q1429" s="159" t="n"/>
      <c r="R1429" s="159" t="n"/>
      <c r="S1429" s="159" t="n"/>
      <c r="T1429" s="159" t="n"/>
      <c r="U1429" s="159" t="n"/>
    </row>
    <row r="1430" s="308">
      <c r="A1430" s="97" t="inlineStr">
        <is>
          <t>成套产品报价明细表</t>
        </is>
      </c>
      <c r="B1430" s="378" t="n"/>
      <c r="C1430" s="378" t="n"/>
      <c r="D1430" s="378" t="n"/>
      <c r="E1430" s="378" t="n"/>
      <c r="F1430" s="378" t="n"/>
      <c r="G1430" s="378" t="n"/>
      <c r="H1430" s="378" t="n"/>
      <c r="I1430" s="378" t="n"/>
      <c r="Q1430" s="159" t="n"/>
      <c r="R1430" s="159" t="n"/>
      <c r="S1430" s="159" t="n"/>
      <c r="T1430" s="159" t="n"/>
      <c r="U1430" s="159" t="n"/>
    </row>
    <row r="1431" customFormat="1" s="4">
      <c r="A1431" s="98" t="inlineStr">
        <is>
          <t>柜号:</t>
        </is>
      </c>
      <c r="B1431" s="99" t="inlineStr">
        <is>
          <t>BAN12-04</t>
        </is>
      </c>
      <c r="C1431" s="100" t="inlineStr">
        <is>
          <t>型号:</t>
        </is>
      </c>
      <c r="D1431" s="99" t="inlineStr">
        <is>
          <t>BlokSeT</t>
        </is>
      </c>
      <c r="E1431" s="379" t="n"/>
      <c r="F1431" s="101" t="inlineStr">
        <is>
          <t>名称:</t>
        </is>
      </c>
      <c r="G1431" s="99" t="inlineStr">
        <is>
          <t>馈线柜</t>
        </is>
      </c>
      <c r="H1431" s="379" t="n"/>
      <c r="I1431" s="408" t="inlineStr"/>
      <c r="J1431" s="194" t="inlineStr">
        <is>
          <t>箱柜尺寸:</t>
        </is>
      </c>
      <c r="K1431" s="195" t="inlineStr">
        <is>
          <t>600W*1200D*2200H</t>
        </is>
      </c>
      <c r="L1431" s="194" t="inlineStr">
        <is>
          <t>类别:</t>
        </is>
      </c>
      <c r="M1431" s="195" t="inlineStr">
        <is>
          <t>低压固定柜</t>
        </is>
      </c>
      <c r="N1431" s="409" t="inlineStr"/>
      <c r="Q1431" s="159" t="n"/>
      <c r="R1431" s="159" t="n"/>
      <c r="S1431" s="159" t="n"/>
      <c r="T1431" s="159" t="n"/>
      <c r="U1431" s="159" t="n"/>
    </row>
    <row r="1432" ht="20.1" customHeight="1" s="308">
      <c r="A1432" s="102" t="inlineStr">
        <is>
          <t>序号</t>
        </is>
      </c>
      <c r="B1432" s="103" t="inlineStr">
        <is>
          <t>元件名称</t>
        </is>
      </c>
      <c r="C1432" s="103" t="inlineStr">
        <is>
          <t>型号规格</t>
        </is>
      </c>
      <c r="D1432" s="104" t="inlineStr">
        <is>
          <t>生产厂家</t>
        </is>
      </c>
      <c r="E1432" s="105" t="inlineStr">
        <is>
          <t>单位</t>
        </is>
      </c>
      <c r="F1432" s="105" t="inlineStr">
        <is>
          <t>数量</t>
        </is>
      </c>
      <c r="G1432" s="382" t="inlineStr">
        <is>
          <t>单   价</t>
        </is>
      </c>
      <c r="H1432" s="383" t="inlineStr">
        <is>
          <t>总   价</t>
        </is>
      </c>
      <c r="I1432" s="134" t="inlineStr">
        <is>
          <t>备注</t>
        </is>
      </c>
      <c r="J1432" s="384" t="inlineStr">
        <is>
          <t>成本单价</t>
        </is>
      </c>
      <c r="K1432" s="384" t="inlineStr">
        <is>
          <t>成本总价</t>
        </is>
      </c>
      <c r="L1432" s="136" t="inlineStr">
        <is>
          <t>报出
系数</t>
        </is>
      </c>
      <c r="M1432" s="384" t="inlineStr">
        <is>
          <t>表价</t>
        </is>
      </c>
      <c r="N1432" s="136" t="inlineStr">
        <is>
          <t>折扣
系数</t>
        </is>
      </c>
      <c r="O1432" s="137" t="inlineStr">
        <is>
          <t>取费
系数</t>
        </is>
      </c>
      <c r="P1432" s="384" t="inlineStr">
        <is>
          <t>成套费</t>
        </is>
      </c>
      <c r="Q1432" s="161" t="inlineStr">
        <is>
          <t>类别</t>
        </is>
      </c>
      <c r="R1432" s="161" t="inlineStr">
        <is>
          <t>物料编码</t>
        </is>
      </c>
      <c r="S1432" s="161" t="inlineStr">
        <is>
          <t>产地</t>
        </is>
      </c>
      <c r="T1432" s="161" t="inlineStr">
        <is>
          <t>加工费</t>
        </is>
      </c>
      <c r="U1432" s="161" t="inlineStr">
        <is>
          <t>订货号</t>
        </is>
      </c>
      <c r="V1432" s="161" t="inlineStr">
        <is>
          <t>人工</t>
        </is>
      </c>
      <c r="W1432" s="161" t="inlineStr">
        <is>
          <t>辅料</t>
        </is>
      </c>
      <c r="X1432" s="203" t="inlineStr"/>
    </row>
    <row r="1433" s="308">
      <c r="A1433" s="64">
        <f>ROW()-ROW(A$1432)</f>
        <v/>
      </c>
      <c r="B1433" s="22" t="inlineStr">
        <is>
          <t>塑壳断路器</t>
        </is>
      </c>
      <c r="C1433" s="22" t="inlineStr">
        <is>
          <t>NSX160H TM160D 3P3D P</t>
        </is>
      </c>
      <c r="D1433" s="22" t="inlineStr">
        <is>
          <t>甲供/施耐德电气</t>
        </is>
      </c>
      <c r="E1433" s="23" t="inlineStr">
        <is>
          <t>只</t>
        </is>
      </c>
      <c r="F1433" s="23" t="n">
        <v>1</v>
      </c>
      <c r="G1433" s="349">
        <f>IF(AND(B1433="",C1433=""),"",ROUND(M1433*L1433*N1433,2))</f>
        <v/>
      </c>
      <c r="H1433" s="349">
        <f>IF(AND(B1433="",C1433=""),"",ROUND(F1433*G1433,2))</f>
        <v/>
      </c>
      <c r="I1433" s="45" t="inlineStr"/>
      <c r="J1433" s="397">
        <f>IF(AND(B1433="",C1433=""),"",ROUND(M1433*N1433,2))</f>
        <v/>
      </c>
      <c r="K1433" s="398">
        <f>IF(AND(B1433="",C1433=""),"",ROUND(J1433*F1433,2))</f>
        <v/>
      </c>
      <c r="L1433" s="200" t="n">
        <v>1</v>
      </c>
      <c r="M1433" s="399" t="n">
        <v>1e-07</v>
      </c>
      <c r="N1433" s="154" t="n">
        <v>1</v>
      </c>
      <c r="O1433" s="155">
        <f>IF(AND(B1433="",C1433=""),"",IF(G1433&gt;=20000,0.05,IF(G1433&gt;=10000,0.1,IF(G1433&gt;=5000,0.2,IF(G1433&gt;=1000,0.3,IF(G1433&gt;=0,0.4,{0}))))))</f>
        <v/>
      </c>
      <c r="P1433" s="400">
        <f>IF(AND(B1433="",C1433=""),"",ROUND(H1433*O1433,2))</f>
        <v/>
      </c>
      <c r="Q1433" s="401" t="inlineStr">
        <is>
          <t>元件</t>
        </is>
      </c>
      <c r="R1433" s="168" t="inlineStr"/>
      <c r="S1433" s="168" t="inlineStr"/>
      <c r="T1433" s="168" t="inlineStr">
        <is>
          <t>0</t>
        </is>
      </c>
      <c r="U1433" s="168" t="inlineStr">
        <is>
          <t>C16F32D160</t>
        </is>
      </c>
      <c r="V1433" s="402" t="n"/>
      <c r="W1433" s="402" t="n"/>
      <c r="X1433" s="170" t="inlineStr">
        <is>
          <t>NSX630N Mic2.3 630A 3P3D F→NSX630F MIC2.3 630 3P F→NSX630F MIC 2.3 630 3P F</t>
        </is>
      </c>
    </row>
    <row r="1434" s="308">
      <c r="A1434" s="64">
        <f>ROW()-ROW(A$1432)</f>
        <v/>
      </c>
      <c r="B1434" s="22" t="inlineStr">
        <is>
          <t>塑壳断路器</t>
        </is>
      </c>
      <c r="C1434" s="22" t="inlineStr">
        <is>
          <t>NSX250H TM250D 3P3D P</t>
        </is>
      </c>
      <c r="D1434" s="22" t="inlineStr">
        <is>
          <t>甲供/施耐德电气</t>
        </is>
      </c>
      <c r="E1434" s="23" t="inlineStr">
        <is>
          <t>只</t>
        </is>
      </c>
      <c r="F1434" s="23" t="n">
        <v>4</v>
      </c>
      <c r="G1434" s="349">
        <f>IF(AND(B1434="",C1434=""),"",ROUND(M1434*L1434*N1434,2))</f>
        <v/>
      </c>
      <c r="H1434" s="349">
        <f>IF(AND(B1434="",C1434=""),"",ROUND(F1434*G1434,2))</f>
        <v/>
      </c>
      <c r="I1434" s="45" t="inlineStr"/>
      <c r="J1434" s="397">
        <f>IF(AND(B1434="",C1434=""),"",ROUND(M1434*N1434,2))</f>
        <v/>
      </c>
      <c r="K1434" s="398">
        <f>IF(AND(B1434="",C1434=""),"",ROUND(J1434*F1434,2))</f>
        <v/>
      </c>
      <c r="L1434" s="200" t="n">
        <v>1</v>
      </c>
      <c r="M1434" s="399" t="n">
        <v>1e-07</v>
      </c>
      <c r="N1434" s="154" t="n">
        <v>1</v>
      </c>
      <c r="O1434" s="155">
        <f>IF(AND(B1434="",C1434=""),"",IF(G1434&gt;=20000,0.05,IF(G1434&gt;=10000,0.1,IF(G1434&gt;=5000,0.2,IF(G1434&gt;=1000,0.3,IF(G1434&gt;=0,0.4,{0}))))))</f>
        <v/>
      </c>
      <c r="P1434" s="400">
        <f>IF(AND(B1434="",C1434=""),"",ROUND(H1434*O1434,2))</f>
        <v/>
      </c>
      <c r="Q1434" s="401" t="inlineStr">
        <is>
          <t>元件</t>
        </is>
      </c>
      <c r="R1434" s="168" t="inlineStr"/>
      <c r="S1434" s="168" t="inlineStr"/>
      <c r="T1434" s="168" t="inlineStr">
        <is>
          <t>0</t>
        </is>
      </c>
      <c r="U1434" s="168" t="inlineStr">
        <is>
          <t>C16F32D160</t>
        </is>
      </c>
      <c r="V1434" s="402" t="n"/>
      <c r="W1434" s="402" t="n"/>
      <c r="X1434" s="170" t="inlineStr">
        <is>
          <t>NSX630N Mic2.3 630A 3P3D F→NSX630F MIC2.3 630 3P F→NSX630F MIC 2.3 630 3P F</t>
        </is>
      </c>
    </row>
    <row r="1435" s="308">
      <c r="A1435" s="64">
        <f>ROW()-ROW(A$1432)</f>
        <v/>
      </c>
      <c r="B1435" s="22" t="inlineStr">
        <is>
          <t>塑壳断路器</t>
        </is>
      </c>
      <c r="C1435" s="22" t="inlineStr">
        <is>
          <t>NSX400H Mic2.3 400A 3P3D P</t>
        </is>
      </c>
      <c r="D1435" s="22" t="inlineStr">
        <is>
          <t>甲供/施耐德电气</t>
        </is>
      </c>
      <c r="E1435" s="23" t="inlineStr">
        <is>
          <t>只</t>
        </is>
      </c>
      <c r="F1435" s="23" t="n">
        <v>2</v>
      </c>
      <c r="G1435" s="349">
        <f>IF(AND(B1435="",C1435=""),"",ROUND(M1435*L1435*N1435,2))</f>
        <v/>
      </c>
      <c r="H1435" s="349">
        <f>IF(AND(B1435="",C1435=""),"",ROUND(F1435*G1435,2))</f>
        <v/>
      </c>
      <c r="I1435" s="45" t="inlineStr"/>
      <c r="J1435" s="397">
        <f>IF(AND(B1435="",C1435=""),"",ROUND(M1435*N1435,2))</f>
        <v/>
      </c>
      <c r="K1435" s="398">
        <f>IF(AND(B1435="",C1435=""),"",ROUND(J1435*F1435,2))</f>
        <v/>
      </c>
      <c r="L1435" s="200" t="n">
        <v>1</v>
      </c>
      <c r="M1435" s="399" t="n">
        <v>1e-07</v>
      </c>
      <c r="N1435" s="154" t="n">
        <v>1</v>
      </c>
      <c r="O1435" s="155">
        <f>IF(AND(B1435="",C1435=""),"",IF(G1435&gt;=20000,0.05,IF(G1435&gt;=10000,0.1,IF(G1435&gt;=5000,0.2,IF(G1435&gt;=1000,0.3,IF(G1435&gt;=0,0.4,{0}))))))</f>
        <v/>
      </c>
      <c r="P1435" s="400">
        <f>IF(AND(B1435="",C1435=""),"",ROUND(H1435*O1435,2))</f>
        <v/>
      </c>
      <c r="Q1435" s="401" t="inlineStr">
        <is>
          <t>元件</t>
        </is>
      </c>
      <c r="R1435" s="168" t="inlineStr"/>
      <c r="S1435" s="168" t="inlineStr"/>
      <c r="T1435" s="168" t="inlineStr">
        <is>
          <t>0</t>
        </is>
      </c>
      <c r="U1435" s="168" t="inlineStr"/>
      <c r="V1435" s="402" t="n"/>
      <c r="W1435" s="402" t="n"/>
      <c r="X1435" s="170" t="inlineStr"/>
    </row>
    <row r="1436" s="308">
      <c r="A1436" s="64">
        <f>ROW()-ROW(A$1432)</f>
        <v/>
      </c>
      <c r="B1436" s="22" t="inlineStr">
        <is>
          <t>电流互感器</t>
        </is>
      </c>
      <c r="C1436" s="22" t="inlineStr">
        <is>
          <t>SD-0.66-30I 150/5A</t>
        </is>
      </c>
      <c r="D1436" s="22" t="inlineStr">
        <is>
          <t>桑迪</t>
        </is>
      </c>
      <c r="E1436" s="23" t="inlineStr">
        <is>
          <t>只</t>
        </is>
      </c>
      <c r="F1436" s="23" t="n">
        <v>3</v>
      </c>
      <c r="G1436" s="349">
        <f>IF(AND(B1436="",C1436=""),"",ROUND(M1436*L1436*N1436,2))</f>
        <v/>
      </c>
      <c r="H1436" s="396">
        <f>IF(AND(B1436="",C1436=""),"",ROUND(F1436*G1436,2))</f>
        <v/>
      </c>
      <c r="I1436" s="219" t="inlineStr"/>
      <c r="J1436" s="397">
        <f>IF(AND(B1436="",C1436=""),"",ROUND(M1436*N1436,2))</f>
        <v/>
      </c>
      <c r="K1436" s="398">
        <f>IF(AND(B1436="",C1436=""),"",ROUND(J1436*F1436,2))</f>
        <v/>
      </c>
      <c r="L1436" s="200" t="n">
        <v>1</v>
      </c>
      <c r="M1436" s="399" t="n">
        <v>29.95</v>
      </c>
      <c r="N1436" s="154" t="n">
        <v>1</v>
      </c>
      <c r="O1436" s="155">
        <f>IF(AND(B1436="",C1436=""),"",IF(G1436&gt;=20000,0.05,IF(G1436&gt;=10000,0.1,IF(G1436&gt;=5000,0.2,IF(G1436&gt;=1000,0.3,IF(G1436&gt;=0,0.4,{0}))))))</f>
        <v/>
      </c>
      <c r="P1436" s="400">
        <f>IF(AND(B1436="",C1436=""),"",ROUND(H1436*O1436,2))</f>
        <v/>
      </c>
      <c r="Q1436" s="401" t="inlineStr">
        <is>
          <t>元件</t>
        </is>
      </c>
      <c r="R1436" s="168" t="inlineStr"/>
      <c r="S1436" s="168" t="inlineStr"/>
      <c r="T1436" s="168" t="inlineStr">
        <is>
          <t>0</t>
        </is>
      </c>
      <c r="U1436" s="168" t="inlineStr">
        <is>
          <t>710140200000049</t>
        </is>
      </c>
      <c r="V1436" s="402" t="n"/>
      <c r="W1436" s="402" t="n"/>
      <c r="X1436" s="170" t="inlineStr">
        <is>
          <t>SD→SD-0.66-40II-C 400/5A→SD-0.66-30I 250/5A→SD-0.66-30I 150/5A→SD-0.66-60II-C 750/5A→SD-0.66-60II-C 600/5A→SD-0.66-30I 150/5A→SD-0.66-40II-C 400/5A→SD-0.66-100II-C 1600/5A→SD-0.66-80II-V 1000/5A</t>
        </is>
      </c>
    </row>
    <row r="1437" s="308">
      <c r="A1437" s="64">
        <f>ROW()-ROW(A$1432)</f>
        <v/>
      </c>
      <c r="B1437" s="22" t="inlineStr">
        <is>
          <t>电流互感器</t>
        </is>
      </c>
      <c r="C1437" s="22" t="inlineStr">
        <is>
          <t>SD-0.66-30I 250/5A</t>
        </is>
      </c>
      <c r="D1437" s="22" t="inlineStr">
        <is>
          <t>桑迪</t>
        </is>
      </c>
      <c r="E1437" s="23" t="inlineStr">
        <is>
          <t>只</t>
        </is>
      </c>
      <c r="F1437" s="23" t="n">
        <v>12</v>
      </c>
      <c r="G1437" s="349">
        <f>IF(AND(B1437="",C1437=""),"",ROUND(M1437*L1437*N1437,2))</f>
        <v/>
      </c>
      <c r="H1437" s="396">
        <f>IF(AND(B1437="",C1437=""),"",ROUND(F1437*G1437,2))</f>
        <v/>
      </c>
      <c r="I1437" s="219" t="inlineStr"/>
      <c r="J1437" s="397">
        <f>IF(AND(B1437="",C1437=""),"",ROUND(M1437*N1437,2))</f>
        <v/>
      </c>
      <c r="K1437" s="398">
        <f>IF(AND(B1437="",C1437=""),"",ROUND(J1437*F1437,2))</f>
        <v/>
      </c>
      <c r="L1437" s="200" t="n">
        <v>1</v>
      </c>
      <c r="M1437" s="399" t="n">
        <v>26.65</v>
      </c>
      <c r="N1437" s="154" t="n">
        <v>1</v>
      </c>
      <c r="O1437" s="155">
        <f>IF(AND(B1437="",C1437=""),"",IF(G1437&gt;=20000,0.05,IF(G1437&gt;=10000,0.1,IF(G1437&gt;=5000,0.2,IF(G1437&gt;=1000,0.3,IF(G1437&gt;=0,0.4,{0}))))))</f>
        <v/>
      </c>
      <c r="P1437" s="400">
        <f>IF(AND(B1437="",C1437=""),"",ROUND(H1437*O1437,2))</f>
        <v/>
      </c>
      <c r="Q1437" s="401" t="inlineStr">
        <is>
          <t>元件</t>
        </is>
      </c>
      <c r="R1437" s="168" t="inlineStr"/>
      <c r="S1437" s="168" t="inlineStr"/>
      <c r="T1437" s="168" t="inlineStr">
        <is>
          <t>0</t>
        </is>
      </c>
      <c r="U1437" s="168" t="inlineStr">
        <is>
          <t>710140200000049</t>
        </is>
      </c>
      <c r="V1437" s="402" t="n"/>
      <c r="W1437" s="402" t="n"/>
      <c r="X1437" s="170" t="inlineStr">
        <is>
          <t>SD→SD-0.66-40II-C 400/5A→SD-0.66-30I 250/5A→SD-0.66-30I 150/5A→SD-0.66-60II-C 750/5A→SD-0.66-60II-C 600/5A→SD-0.66-30I 150/5A→SD-0.66-40II-C 400/5A→SD-0.66-100II-C 1600/5A→SD-0.66-80II-V 1000/5A</t>
        </is>
      </c>
    </row>
    <row r="1438" s="308">
      <c r="A1438" s="64">
        <f>ROW()-ROW(A$1432)</f>
        <v/>
      </c>
      <c r="B1438" s="22" t="inlineStr">
        <is>
          <t>电流互感器</t>
        </is>
      </c>
      <c r="C1438" s="22" t="inlineStr">
        <is>
          <t>SD-0.66-40II-C 400/5A</t>
        </is>
      </c>
      <c r="D1438" s="22" t="inlineStr">
        <is>
          <t>桑迪</t>
        </is>
      </c>
      <c r="E1438" s="23" t="inlineStr">
        <is>
          <t>只</t>
        </is>
      </c>
      <c r="F1438" s="23" t="n">
        <v>6</v>
      </c>
      <c r="G1438" s="349">
        <f>IF(AND(B1438="",C1438=""),"",ROUND(M1438*L1438*N1438,2))</f>
        <v/>
      </c>
      <c r="H1438" s="396">
        <f>IF(AND(B1438="",C1438=""),"",ROUND(F1438*G1438,2))</f>
        <v/>
      </c>
      <c r="I1438" s="219" t="inlineStr"/>
      <c r="J1438" s="397">
        <f>IF(AND(B1438="",C1438=""),"",ROUND(M1438*N1438,2))</f>
        <v/>
      </c>
      <c r="K1438" s="398">
        <f>IF(AND(B1438="",C1438=""),"",ROUND(J1438*F1438,2))</f>
        <v/>
      </c>
      <c r="L1438" s="200" t="n">
        <v>1</v>
      </c>
      <c r="M1438" s="399" t="n">
        <v>52</v>
      </c>
      <c r="N1438" s="154" t="n">
        <v>1</v>
      </c>
      <c r="O1438" s="155">
        <f>IF(AND(B1438="",C1438=""),"",IF(G1438&gt;=20000,0.05,IF(G1438&gt;=10000,0.1,IF(G1438&gt;=5000,0.2,IF(G1438&gt;=1000,0.3,IF(G1438&gt;=0,0.4,{0}))))))</f>
        <v/>
      </c>
      <c r="P1438" s="400">
        <f>IF(AND(B1438="",C1438=""),"",ROUND(H1438*O1438,2))</f>
        <v/>
      </c>
      <c r="Q1438" s="401" t="inlineStr">
        <is>
          <t>元件</t>
        </is>
      </c>
      <c r="R1438" s="168" t="inlineStr"/>
      <c r="S1438" s="168" t="inlineStr"/>
      <c r="T1438" s="168" t="inlineStr">
        <is>
          <t>0</t>
        </is>
      </c>
      <c r="U1438" s="168" t="inlineStr">
        <is>
          <t>710140200000049</t>
        </is>
      </c>
      <c r="V1438" s="402" t="n"/>
      <c r="W1438" s="402" t="n"/>
      <c r="X1438" s="170" t="inlineStr">
        <is>
          <t>SD→SD-0.66-40II-C 400/5A→SD-0.66-30I 250/5A→SD-0.66-30I 150/5A→SD-0.66-60II-C 750/5A→SD-0.66-60II-C 600/5A→SD-0.66-30I 150/5A→SD-0.66-40II-C 400/5A→SD-0.66-100II-C 1600/5A→SD-0.66-80II-V 1000/5A</t>
        </is>
      </c>
    </row>
    <row r="1439" s="308">
      <c r="A1439" s="64">
        <f>ROW()-ROW(A$1432)</f>
        <v/>
      </c>
      <c r="B1439" s="112" t="inlineStr">
        <is>
          <t>多功能表</t>
        </is>
      </c>
      <c r="C1439" s="112" t="inlineStr">
        <is>
          <t>PM4101</t>
        </is>
      </c>
      <c r="D1439" s="112" t="inlineStr">
        <is>
          <t>甲供/施耐德电气</t>
        </is>
      </c>
      <c r="E1439" s="114" t="inlineStr">
        <is>
          <t>只</t>
        </is>
      </c>
      <c r="F1439" s="114" t="n">
        <v>7</v>
      </c>
      <c r="G1439" s="396">
        <f>IF(AND(B1439="",C1439=""),"",ROUND(M1439*L1439*N1439,2))</f>
        <v/>
      </c>
      <c r="H1439" s="349">
        <f>IF(AND(B1439="",C1439=""),"",ROUND(F1439*G1439,2))</f>
        <v/>
      </c>
      <c r="I1439" s="45" t="inlineStr"/>
      <c r="J1439" s="397">
        <f>IF(AND(B1439="",C1439=""),"",ROUND(M1439*N1439,2))</f>
        <v/>
      </c>
      <c r="K1439" s="398">
        <f>IF(AND(B1439="",C1439=""),"",ROUND(J1439*F1439,2))</f>
        <v/>
      </c>
      <c r="L1439" s="200" t="n">
        <v>1</v>
      </c>
      <c r="M1439" s="399" t="n">
        <v>1e-07</v>
      </c>
      <c r="N1439" s="154" t="n">
        <v>1</v>
      </c>
      <c r="O1439" s="155">
        <f>IF(AND(B1439="",C1439=""),"",IF(J1439&gt;=20000,0.05,IF(J1439&gt;=10000,0.1,IF(J1439&gt;=5000,0.2,IF(J1439&gt;=1000,0.3,IF(J1439&gt;=0,0.4,{0}))))))</f>
        <v/>
      </c>
      <c r="P1439" s="400">
        <f>IF(AND(B1439="",C1439=""),"",ROUND(H1439*O1439,2))</f>
        <v/>
      </c>
      <c r="Q1439" s="401" t="inlineStr">
        <is>
          <t>元件</t>
        </is>
      </c>
      <c r="R1439" s="168" t="inlineStr"/>
      <c r="S1439" s="168" t="inlineStr"/>
      <c r="T1439" s="168" t="inlineStr">
        <is>
          <t>0</t>
        </is>
      </c>
      <c r="U1439" s="168" t="inlineStr"/>
      <c r="V1439" s="402" t="n"/>
      <c r="W1439" s="402" t="n"/>
      <c r="X1439" s="170" t="inlineStr"/>
    </row>
    <row r="1440" customFormat="1" s="3">
      <c r="A1440" s="64">
        <f>ROW()-ROW(A$1432)</f>
        <v/>
      </c>
      <c r="B1440" s="22" t="inlineStr">
        <is>
          <t>指示灯</t>
        </is>
      </c>
      <c r="C1440" s="22" t="inlineStr">
        <is>
          <t>XB2BVM3LC</t>
        </is>
      </c>
      <c r="D1440" s="22" t="inlineStr">
        <is>
          <t>甲供/施耐德电气</t>
        </is>
      </c>
      <c r="E1440" s="23" t="inlineStr">
        <is>
          <t>只</t>
        </is>
      </c>
      <c r="F1440" s="23" t="n">
        <v>7</v>
      </c>
      <c r="G1440" s="349">
        <f>IF(AND(B1440="",C1440=""),"",ROUND(M1440*L1440*N1440,2))</f>
        <v/>
      </c>
      <c r="H1440" s="353">
        <f>IF(AND(B1440="",C1440=""),"",ROUND(F1440*G1440,2))</f>
        <v/>
      </c>
      <c r="I1440" s="180" t="inlineStr"/>
      <c r="J1440" s="392">
        <f>IF(AND(B1440="",C1440=""),"",ROUND(M1440*N1440,2))</f>
        <v/>
      </c>
      <c r="K1440" s="393">
        <f>IF(AND(B1440="",C1440=""),"",ROUND(J1440*F1440,2))</f>
        <v/>
      </c>
      <c r="L1440" s="141" t="n">
        <v>1</v>
      </c>
      <c r="M1440" s="394" t="n">
        <v>1e-07</v>
      </c>
      <c r="N1440" s="220" t="n">
        <v>1</v>
      </c>
      <c r="O1440" s="221">
        <f>IF(AND(B1440="",C1440=""),"",IF(G1440&gt;=20000,0.05,IF(G1440&gt;=10000,0.1,IF(G1440&gt;=5000,0.2,IF(G1440&gt;=1000,0.3,IF(G1440&gt;=0,0.4,{0}))))))</f>
        <v/>
      </c>
      <c r="P1440" s="419">
        <f>IF(AND(B1440="",C1440=""),"",ROUND(H1440*O1440,2))</f>
        <v/>
      </c>
      <c r="Q1440" s="420" t="inlineStr">
        <is>
          <t>元件</t>
        </is>
      </c>
      <c r="R1440" s="231" t="inlineStr"/>
      <c r="S1440" s="231" t="inlineStr"/>
      <c r="T1440" s="231" t="inlineStr">
        <is>
          <t>0</t>
        </is>
      </c>
      <c r="U1440" s="231" t="inlineStr">
        <is>
          <t>XB2BVM3LC</t>
        </is>
      </c>
      <c r="V1440" s="421" t="n"/>
      <c r="W1440" s="421" t="n"/>
      <c r="X1440" s="166" t="inlineStr">
        <is>
          <t>XA2EVM3LC</t>
        </is>
      </c>
    </row>
    <row r="1441" customFormat="1" s="3">
      <c r="A1441" s="64">
        <f>ROW()-ROW(A$1432)</f>
        <v/>
      </c>
      <c r="B1441" s="22" t="inlineStr">
        <is>
          <t>指示灯</t>
        </is>
      </c>
      <c r="C1441" s="22" t="inlineStr">
        <is>
          <t>XB2BVM4LC</t>
        </is>
      </c>
      <c r="D1441" s="22" t="inlineStr">
        <is>
          <t>甲供/施耐德电气</t>
        </is>
      </c>
      <c r="E1441" s="23" t="inlineStr">
        <is>
          <t>只</t>
        </is>
      </c>
      <c r="F1441" s="23" t="n">
        <v>7</v>
      </c>
      <c r="G1441" s="349">
        <f>IF(AND(B1441="",C1441=""),"",ROUND(M1441*L1441*N1441,2))</f>
        <v/>
      </c>
      <c r="H1441" s="353">
        <f>IF(AND(B1441="",C1441=""),"",ROUND(F1441*G1441,2))</f>
        <v/>
      </c>
      <c r="I1441" s="180" t="inlineStr"/>
      <c r="J1441" s="392">
        <f>IF(AND(B1441="",C1441=""),"",ROUND(M1441*N1441,2))</f>
        <v/>
      </c>
      <c r="K1441" s="393">
        <f>IF(AND(B1441="",C1441=""),"",ROUND(J1441*F1441,2))</f>
        <v/>
      </c>
      <c r="L1441" s="141" t="n">
        <v>1</v>
      </c>
      <c r="M1441" s="394" t="n">
        <v>1e-07</v>
      </c>
      <c r="N1441" s="220" t="n">
        <v>1</v>
      </c>
      <c r="O1441" s="221">
        <f>IF(AND(B1441="",C1441=""),"",IF(G1441&gt;=20000,0.05,IF(G1441&gt;=10000,0.1,IF(G1441&gt;=5000,0.2,IF(G1441&gt;=1000,0.3,IF(G1441&gt;=0,0.4,{0}))))))</f>
        <v/>
      </c>
      <c r="P1441" s="419">
        <f>IF(AND(B1441="",C1441=""),"",ROUND(H1441*O1441,2))</f>
        <v/>
      </c>
      <c r="Q1441" s="420" t="inlineStr">
        <is>
          <t>元件</t>
        </is>
      </c>
      <c r="R1441" s="231" t="inlineStr"/>
      <c r="S1441" s="231" t="inlineStr"/>
      <c r="T1441" s="231" t="inlineStr">
        <is>
          <t>0</t>
        </is>
      </c>
      <c r="U1441" s="231" t="inlineStr">
        <is>
          <t>XB2BVM4LC</t>
        </is>
      </c>
      <c r="V1441" s="421" t="n"/>
      <c r="W1441" s="421" t="n"/>
      <c r="X1441" s="166" t="inlineStr">
        <is>
          <t>XA2EVM4LC</t>
        </is>
      </c>
    </row>
    <row r="1442" s="308">
      <c r="A1442" s="64">
        <f>ROW()-ROW(A$1432)</f>
        <v/>
      </c>
      <c r="B1442" s="112" t="inlineStr">
        <is>
          <t>温湿度控制器</t>
        </is>
      </c>
      <c r="C1442" s="112" t="inlineStr">
        <is>
          <t>ATH48G-11</t>
        </is>
      </c>
      <c r="D1442" s="22" t="inlineStr">
        <is>
          <t>杭州安廷</t>
        </is>
      </c>
      <c r="E1442" s="23" t="inlineStr">
        <is>
          <t>套</t>
        </is>
      </c>
      <c r="F1442" s="23" t="n">
        <v>1</v>
      </c>
      <c r="G1442" s="349">
        <f>IF(AND(B1442="",C1442=""),"",ROUND(M1442*L1442*N1442,2))</f>
        <v/>
      </c>
      <c r="H1442" s="396">
        <f>IF(AND(B1442="",C1442=""),"",ROUND(F1442*G1442,2))</f>
        <v/>
      </c>
      <c r="I1442" s="150" t="inlineStr"/>
      <c r="J1442" s="397">
        <f>IF(AND(B1442="",C1442=""),"",ROUND(M1442*N1442,2))</f>
        <v/>
      </c>
      <c r="K1442" s="398">
        <f>IF(AND(B1442="",C1442=""),"",ROUND(J1442*F1442,2))</f>
        <v/>
      </c>
      <c r="L1442" s="141" t="n">
        <v>1</v>
      </c>
      <c r="M1442" s="399" t="n">
        <v>450</v>
      </c>
      <c r="N1442" s="154" t="n">
        <v>1</v>
      </c>
      <c r="O1442" s="155">
        <f>IF(AND(B1442="",C1442=""),"",IF(G1442&gt;=20000,0.05,IF(G1442&gt;=10000,0.1,IF(G1442&gt;=5000,0.2,IF(G1442&gt;=1000,0.3,IF(G1442&gt;=0,0.4,{0}))))))</f>
        <v/>
      </c>
      <c r="P1442" s="400">
        <f>IF(AND(B1442="",C1442=""),"",ROUND(H1442*O1442,2))</f>
        <v/>
      </c>
      <c r="Q1442" s="401" t="inlineStr">
        <is>
          <t>元件</t>
        </is>
      </c>
      <c r="R1442" s="168" t="inlineStr"/>
      <c r="S1442" s="168" t="inlineStr"/>
      <c r="T1442" s="168" t="inlineStr">
        <is>
          <t>0</t>
        </is>
      </c>
      <c r="U1442" s="168" t="inlineStr"/>
      <c r="V1442" s="402" t="n"/>
      <c r="W1442" s="402" t="n"/>
      <c r="X1442" s="170" t="inlineStr"/>
    </row>
    <row r="1443" s="308">
      <c r="A1443" s="64">
        <f>ROW()-ROW(A$1432)</f>
        <v/>
      </c>
      <c r="B1443" s="22" t="inlineStr">
        <is>
          <t>中间继电器</t>
        </is>
      </c>
      <c r="C1443" s="22" t="inlineStr">
        <is>
          <t>RXM4AB2P7+RXZE2S114M+RXZ400</t>
        </is>
      </c>
      <c r="D1443" s="22" t="inlineStr">
        <is>
          <t>甲供/施耐德电气</t>
        </is>
      </c>
      <c r="E1443" s="23" t="inlineStr">
        <is>
          <t>只</t>
        </is>
      </c>
      <c r="F1443" s="23" t="n">
        <v>14</v>
      </c>
      <c r="G1443" s="349">
        <f>IF(AND(B1443="",C1443=""),"",ROUND(M1443*L1443*N1443,2))</f>
        <v/>
      </c>
      <c r="H1443" s="349">
        <f>IF(AND(B1443="",C1443=""),"",ROUND(F1443*G1443,2))</f>
        <v/>
      </c>
      <c r="I1443" s="45" t="inlineStr"/>
      <c r="J1443" s="397">
        <f>IF(AND(B1443="",C1443=""),"",ROUND(M1443*N1443,2))</f>
        <v/>
      </c>
      <c r="K1443" s="398">
        <f>IF(AND(B1443="",C1443=""),"",ROUND(J1443*F1443,2))</f>
        <v/>
      </c>
      <c r="L1443" s="141" t="n">
        <v>1</v>
      </c>
      <c r="M1443" s="399" t="n">
        <v>1e-07</v>
      </c>
      <c r="N1443" s="154" t="n">
        <v>1</v>
      </c>
      <c r="O1443" s="155">
        <f>IF(AND(B1443="",C1443=""),"",IF(G1443&gt;=20000,0.05,IF(G1443&gt;=10000,0.1,IF(G1443&gt;=5000,0.2,IF(G1443&gt;=1000,0.3,IF(G1443&gt;=0,0.4,{0}))))))</f>
        <v/>
      </c>
      <c r="P1443" s="400">
        <f>IF(AND(B1443="",C1443=""),"",ROUND(H1443*O1443,2))</f>
        <v/>
      </c>
      <c r="Q1443" s="401" t="inlineStr">
        <is>
          <t>元件</t>
        </is>
      </c>
      <c r="R1443" s="168" t="inlineStr"/>
      <c r="S1443" s="168" t="inlineStr"/>
      <c r="T1443" s="168" t="inlineStr">
        <is>
          <t>0</t>
        </is>
      </c>
      <c r="U1443" s="168" t="inlineStr">
        <is>
          <t>RXM4AB2P7+RXZE2S114M+RXZ400</t>
        </is>
      </c>
      <c r="V1443" s="402" t="n"/>
      <c r="W1443" s="402" t="n"/>
      <c r="X1443" s="170" t="inlineStr">
        <is>
          <t>REL-IR-BL/L-230AC/4X21，含底座→RXM4AB2P7+RXZE2S114M+RXZ400→REL-IR-BL/L-230AC/4X21，含底座</t>
        </is>
      </c>
    </row>
    <row r="1444" customFormat="1" s="3">
      <c r="A1444" s="64">
        <f>ROW()-ROW(A$1432)</f>
        <v/>
      </c>
      <c r="B1444" s="22" t="inlineStr">
        <is>
          <t>带熔丝端子</t>
        </is>
      </c>
      <c r="C1444" s="22" t="inlineStr">
        <is>
          <t>UK 5-HESI</t>
        </is>
      </c>
      <c r="D1444" s="22" t="inlineStr">
        <is>
          <t>菲尼克斯</t>
        </is>
      </c>
      <c r="E1444" s="23" t="inlineStr">
        <is>
          <t>只</t>
        </is>
      </c>
      <c r="F1444" s="23" t="n">
        <v>28</v>
      </c>
      <c r="G1444" s="349">
        <f>IF(AND(B1444="",C1444=""),"",ROUND(M1444*L1444*N1444,2))</f>
        <v/>
      </c>
      <c r="H1444" s="349">
        <f>IF(AND(B1444="",C1444=""),"",ROUND(F1444*G1444,2))</f>
        <v/>
      </c>
      <c r="I1444" s="45" t="inlineStr"/>
      <c r="J1444" s="392">
        <f>IF(AND(B1444="",C1444=""),"",ROUND(M1444*N1444,2))</f>
        <v/>
      </c>
      <c r="K1444" s="393">
        <f>IF(AND(B1444="",C1444=""),"",ROUND(J1444*F1444,2))</f>
        <v/>
      </c>
      <c r="L1444" s="141" t="n">
        <v>1</v>
      </c>
      <c r="M1444" s="394" t="n">
        <v>7</v>
      </c>
      <c r="N1444" s="220" t="n">
        <v>1</v>
      </c>
      <c r="O1444" s="221">
        <f>IF(AND(B1444="",C1444=""),"",IF(G1444&gt;=20000,0.05,IF(G1444&gt;=10000,0.1,IF(G1444&gt;=5000,0.2,IF(G1444&gt;=1000,0.3,IF(G1444&gt;=0,0.4,{0}))))))</f>
        <v/>
      </c>
      <c r="P1444" s="419">
        <f>IF(AND(B1444="",C1444=""),"",ROUND(H1444*O1444,2))</f>
        <v/>
      </c>
      <c r="Q1444" s="420" t="inlineStr">
        <is>
          <t>元件</t>
        </is>
      </c>
      <c r="R1444" s="231" t="inlineStr"/>
      <c r="S1444" s="231" t="inlineStr"/>
      <c r="T1444" s="231" t="inlineStr">
        <is>
          <t>0</t>
        </is>
      </c>
      <c r="U1444" s="231" t="inlineStr">
        <is>
          <t>True</t>
        </is>
      </c>
      <c r="V1444" s="421" t="n"/>
      <c r="W1444" s="421" t="n"/>
      <c r="X1444" s="166" t="inlineStr"/>
    </row>
    <row r="1445" s="308">
      <c r="A1445" s="64">
        <f>ROW()-ROW(A$1432)</f>
        <v/>
      </c>
      <c r="B1445" s="22" t="inlineStr">
        <is>
          <t>水平母排</t>
        </is>
      </c>
      <c r="C1445" s="22" t="inlineStr">
        <is>
          <t>TMY 4*(4*150*5)+2*50*5</t>
        </is>
      </c>
      <c r="D1445" s="22" t="inlineStr">
        <is>
          <t>国产优质</t>
        </is>
      </c>
      <c r="E1445" s="23" t="inlineStr">
        <is>
          <t>米</t>
        </is>
      </c>
      <c r="F1445" s="23" t="n">
        <v>0.7</v>
      </c>
      <c r="G1445" s="349">
        <f>IF(AND(B1445="",C1445=""),"",ROUND(M1445*L1445*N1445,2))</f>
        <v/>
      </c>
      <c r="H1445" s="349">
        <f>IF(AND(B1445="",C1445=""),"",ROUND(F1445*G1445,2))</f>
        <v/>
      </c>
      <c r="I1445" s="45" t="inlineStr"/>
      <c r="J1445" s="397">
        <f>IF(AND(B1445="",C1445=""),"",ROUND(M1445*N1445,2))</f>
        <v/>
      </c>
      <c r="K1445" s="398">
        <f>IF(AND(B1445="",C1445=""),"",ROUND(J1445*F1445,2))</f>
        <v/>
      </c>
      <c r="L1445" s="200" t="n">
        <v>1</v>
      </c>
      <c r="M1445" s="399" t="n">
        <v>12026.68125</v>
      </c>
      <c r="N1445" s="154">
        <f>(6317.932*1*1+2684.8*1*1)/9002.732</f>
        <v/>
      </c>
      <c r="O1445" s="155">
        <f>IF(AND(B1445="",C1445=""),"",IF(J1445&gt;=20000,0.05,IF(J1445&gt;=10000,0.1,IF(J1445&gt;=5000,0.2,IF(J1445&gt;=1000,0.3,IF(J1445&gt;=0,0.4,{0}))))))</f>
        <v/>
      </c>
      <c r="P1445" s="400">
        <f>IF(AND(B1445="",C1445=""),"",ROUND(H1445*O1445,2))</f>
        <v/>
      </c>
      <c r="Q1445" s="401" t="inlineStr">
        <is>
          <t>母排</t>
        </is>
      </c>
      <c r="R1445" s="168" t="inlineStr"/>
      <c r="S1445" s="168" t="inlineStr"/>
      <c r="T1445" s="168" t="inlineStr">
        <is>
          <t>0</t>
        </is>
      </c>
      <c r="U1445" s="168" t="inlineStr"/>
      <c r="V1445" s="402" t="n"/>
      <c r="W1445" s="402" t="n"/>
      <c r="X1445" s="170" t="inlineStr"/>
    </row>
    <row r="1446" customFormat="1" s="5">
      <c r="A1446" s="64">
        <f>ROW()-ROW(A$1432)</f>
        <v/>
      </c>
      <c r="B1446" s="22" t="inlineStr">
        <is>
          <t>垂直排</t>
        </is>
      </c>
      <c r="C1446" s="22" t="inlineStr">
        <is>
          <t>TMY 3*2*60*5</t>
        </is>
      </c>
      <c r="D1446" s="22" t="inlineStr">
        <is>
          <t>国产优质</t>
        </is>
      </c>
      <c r="E1446" s="23" t="inlineStr">
        <is>
          <t>米</t>
        </is>
      </c>
      <c r="F1446" s="23" t="n">
        <v>2</v>
      </c>
      <c r="G1446" s="349">
        <f>IF(AND(B1446="",C1446=""),"",ROUND(M1446*L1446*N1446,2))</f>
        <v/>
      </c>
      <c r="H1446" s="349">
        <f>IF(AND(B1446="",C1446=""),"",ROUND(F1446*G1446,2))</f>
        <v/>
      </c>
      <c r="I1446" s="45" t="inlineStr"/>
      <c r="J1446" s="422">
        <f>IF(AND(B1446="",C1446=""),"",ROUND(M1446*N1446,2))</f>
        <v/>
      </c>
      <c r="K1446" s="423">
        <f>IF(AND(B1446="",C1446=""),"",ROUND(J1446*F1446,2))</f>
        <v/>
      </c>
      <c r="L1446" s="225" t="n">
        <v>1</v>
      </c>
      <c r="M1446" s="424" t="n">
        <v>1731.8421</v>
      </c>
      <c r="N1446" s="227" t="n">
        <v>1</v>
      </c>
      <c r="O1446" s="228">
        <f>IF(AND(B1446="",C1446=""),"",IF(G1446&gt;=20000,0.05,IF(G1446&gt;=10000,0.1,IF(G1446&gt;=5000,0.2,IF(G1446&gt;=1000,0.3,IF(G1446&gt;=0,0.4,{0}))))))</f>
        <v/>
      </c>
      <c r="P1446" s="425">
        <f>IF(AND(B1446="",C1446=""),"",ROUND(H1446*O1446,2))</f>
        <v/>
      </c>
      <c r="Q1446" s="426" t="inlineStr">
        <is>
          <t>母排</t>
        </is>
      </c>
      <c r="R1446" s="234" t="inlineStr"/>
      <c r="S1446" s="234" t="inlineStr"/>
      <c r="T1446" s="235" t="inlineStr">
        <is>
          <t>0</t>
        </is>
      </c>
      <c r="U1446" s="235" t="inlineStr"/>
      <c r="V1446" s="427" t="n"/>
      <c r="W1446" s="427" t="n"/>
      <c r="X1446" s="237" t="inlineStr">
        <is>
          <t>TMY 2*30*5→TMY 30*8</t>
        </is>
      </c>
    </row>
    <row r="1447" customFormat="1" s="5">
      <c r="A1447" s="64">
        <f>ROW()-ROW(A$1432)</f>
        <v/>
      </c>
      <c r="B1447" s="22" t="inlineStr">
        <is>
          <t>N排</t>
        </is>
      </c>
      <c r="C1447" s="22" t="inlineStr">
        <is>
          <t>TMY 60*10</t>
        </is>
      </c>
      <c r="D1447" s="22" t="inlineStr">
        <is>
          <t>国产优质</t>
        </is>
      </c>
      <c r="E1447" s="23" t="inlineStr">
        <is>
          <t>米</t>
        </is>
      </c>
      <c r="F1447" s="23" t="n">
        <v>3</v>
      </c>
      <c r="G1447" s="349">
        <f>IF(AND(B1447="",C1447=""),"",ROUND(M1447*L1447*N1447,2))</f>
        <v/>
      </c>
      <c r="H1447" s="349">
        <f>IF(AND(B1447="",C1447=""),"",ROUND(F1447*G1447,2))</f>
        <v/>
      </c>
      <c r="I1447" s="45" t="inlineStr"/>
      <c r="J1447" s="422">
        <f>IF(AND(B1447="",C1447=""),"",ROUND(M1447*N1447,2))</f>
        <v/>
      </c>
      <c r="K1447" s="423">
        <f>IF(AND(B1447="",C1447=""),"",ROUND(J1447*F1447,2))</f>
        <v/>
      </c>
      <c r="L1447" s="225" t="n">
        <v>1</v>
      </c>
      <c r="M1447" s="424" t="n">
        <v>577.2807</v>
      </c>
      <c r="N1447" s="227" t="n">
        <v>1</v>
      </c>
      <c r="O1447" s="228">
        <f>IF(AND(B1447="",C1447=""),"",IF(G1447&gt;=20000,0.05,IF(G1447&gt;=10000,0.1,IF(G1447&gt;=5000,0.2,IF(G1447&gt;=1000,0.3,IF(G1447&gt;=0,0.4,{0}))))))</f>
        <v/>
      </c>
      <c r="P1447" s="425">
        <f>IF(AND(B1447="",C1447=""),"",ROUND(H1447*O1447,2))</f>
        <v/>
      </c>
      <c r="Q1447" s="426" t="inlineStr">
        <is>
          <t>母排</t>
        </is>
      </c>
      <c r="R1447" s="234" t="inlineStr"/>
      <c r="S1447" s="234" t="inlineStr"/>
      <c r="T1447" s="235" t="inlineStr">
        <is>
          <t>0</t>
        </is>
      </c>
      <c r="U1447" s="235" t="inlineStr"/>
      <c r="V1447" s="427" t="n"/>
      <c r="W1447" s="427" t="n"/>
      <c r="X1447" s="237" t="inlineStr">
        <is>
          <t>TMY 2*30*5→TMY 30*8</t>
        </is>
      </c>
    </row>
    <row r="1448" customFormat="1" s="5">
      <c r="A1448" s="64">
        <f>ROW()-ROW(A$1432)</f>
        <v/>
      </c>
      <c r="B1448" s="22" t="inlineStr">
        <is>
          <t>PE排</t>
        </is>
      </c>
      <c r="C1448" s="22" t="inlineStr">
        <is>
          <t>TMY 2*50*5</t>
        </is>
      </c>
      <c r="D1448" s="22" t="inlineStr">
        <is>
          <t>国产优质</t>
        </is>
      </c>
      <c r="E1448" s="23" t="inlineStr">
        <is>
          <t>米</t>
        </is>
      </c>
      <c r="F1448" s="23" t="n">
        <v>2</v>
      </c>
      <c r="G1448" s="349">
        <f>IF(AND(B1448="",C1448=""),"",ROUND(M1448*L1448*N1448,2))</f>
        <v/>
      </c>
      <c r="H1448" s="349">
        <f>IF(AND(B1448="",C1448=""),"",ROUND(F1448*G1448,2))</f>
        <v/>
      </c>
      <c r="I1448" s="45" t="inlineStr"/>
      <c r="J1448" s="422">
        <f>IF(AND(B1448="",C1448=""),"",ROUND(M1448*N1448,2))</f>
        <v/>
      </c>
      <c r="K1448" s="423">
        <f>IF(AND(B1448="",C1448=""),"",ROUND(J1448*F1448,2))</f>
        <v/>
      </c>
      <c r="L1448" s="225" t="n">
        <v>1</v>
      </c>
      <c r="M1448" s="424" t="n">
        <v>481.06725</v>
      </c>
      <c r="N1448" s="227" t="n">
        <v>1</v>
      </c>
      <c r="O1448" s="228">
        <f>IF(AND(B1448="",C1448=""),"",IF(G1448&gt;=20000,0.05,IF(G1448&gt;=10000,0.1,IF(G1448&gt;=5000,0.2,IF(G1448&gt;=1000,0.3,IF(G1448&gt;=0,0.4,{0}))))))</f>
        <v/>
      </c>
      <c r="P1448" s="425">
        <f>IF(AND(B1448="",C1448=""),"",ROUND(H1448*O1448,2))</f>
        <v/>
      </c>
      <c r="Q1448" s="426" t="inlineStr">
        <is>
          <t>母排</t>
        </is>
      </c>
      <c r="R1448" s="234" t="inlineStr"/>
      <c r="S1448" s="234" t="inlineStr"/>
      <c r="T1448" s="235" t="inlineStr">
        <is>
          <t>0</t>
        </is>
      </c>
      <c r="U1448" s="235" t="inlineStr"/>
      <c r="V1448" s="427" t="n"/>
      <c r="W1448" s="427" t="n"/>
      <c r="X1448" s="237" t="inlineStr">
        <is>
          <t>TMY 2*30*5→TMY 30*8</t>
        </is>
      </c>
    </row>
    <row r="1449" customFormat="1" s="5">
      <c r="A1449" s="64">
        <f>ROW()-ROW(A$1432)</f>
        <v/>
      </c>
      <c r="B1449" s="22" t="inlineStr">
        <is>
          <t>400A铜排</t>
        </is>
      </c>
      <c r="C1449" s="22" t="inlineStr">
        <is>
          <t>TMY 30*5</t>
        </is>
      </c>
      <c r="D1449" s="22" t="inlineStr">
        <is>
          <t>国产优质</t>
        </is>
      </c>
      <c r="E1449" s="23" t="inlineStr">
        <is>
          <t>米</t>
        </is>
      </c>
      <c r="F1449" s="23" t="n">
        <v>6.4</v>
      </c>
      <c r="G1449" s="349">
        <f>IF(AND(B1449="",C1449=""),"",ROUND(M1449*L1449*N1449,2))</f>
        <v/>
      </c>
      <c r="H1449" s="349">
        <f>IF(AND(B1449="",C1449=""),"",ROUND(F1449*G1449,2))</f>
        <v/>
      </c>
      <c r="I1449" s="45" t="inlineStr"/>
      <c r="J1449" s="422">
        <f>IF(AND(B1449="",C1449=""),"",ROUND(M1449*N1449,2))</f>
        <v/>
      </c>
      <c r="K1449" s="423">
        <f>IF(AND(B1449="",C1449=""),"",ROUND(J1449*F1449,2))</f>
        <v/>
      </c>
      <c r="L1449" s="225" t="n">
        <v>1</v>
      </c>
      <c r="M1449" s="424" t="n">
        <v>144.320175</v>
      </c>
      <c r="N1449" s="227" t="n">
        <v>1</v>
      </c>
      <c r="O1449" s="228">
        <f>IF(AND(B1449="",C1449=""),"",IF(G1449&gt;=20000,0.05,IF(G1449&gt;=10000,0.1,IF(G1449&gt;=5000,0.2,IF(G1449&gt;=1000,0.3,IF(G1449&gt;=0,0.4,{0}))))))</f>
        <v/>
      </c>
      <c r="P1449" s="425">
        <f>IF(AND(B1449="",C1449=""),"",ROUND(H1449*O1449,2))</f>
        <v/>
      </c>
      <c r="Q1449" s="426" t="inlineStr">
        <is>
          <t>母排</t>
        </is>
      </c>
      <c r="R1449" s="234" t="inlineStr"/>
      <c r="S1449" s="234" t="inlineStr"/>
      <c r="T1449" s="235" t="inlineStr">
        <is>
          <t>0</t>
        </is>
      </c>
      <c r="U1449" s="235" t="inlineStr"/>
      <c r="V1449" s="427" t="n"/>
      <c r="W1449" s="427" t="n"/>
      <c r="X1449" s="237" t="inlineStr">
        <is>
          <t>TMY 2*30*5→TMY 30*8</t>
        </is>
      </c>
    </row>
    <row r="1450" s="308">
      <c r="A1450" s="64">
        <f>ROW()-ROW(A$1432)</f>
        <v/>
      </c>
      <c r="B1450" s="112" t="inlineStr">
        <is>
          <t>辅料</t>
        </is>
      </c>
      <c r="C1450" s="112" t="inlineStr"/>
      <c r="D1450" s="112" t="inlineStr"/>
      <c r="E1450" s="114" t="inlineStr">
        <is>
          <t>套</t>
        </is>
      </c>
      <c r="F1450" s="114" t="n">
        <v>1</v>
      </c>
      <c r="G1450" s="396">
        <f>IF(AND(B1450="",C1450=""),"",ROUND(M1450*L1450*N1450,2))</f>
        <v/>
      </c>
      <c r="H1450" s="396">
        <f>IF(AND(B1450="",C1450=""),"",ROUND(F1450*G1450,2))</f>
        <v/>
      </c>
      <c r="I1450" s="219" t="inlineStr"/>
      <c r="J1450" s="397">
        <f>IF(AND(B1450="",C1450=""),"",ROUND(M1450*N1450,2))</f>
        <v/>
      </c>
      <c r="K1450" s="398">
        <f>IF(AND(B1450="",C1450=""),"",ROUND(J1450*F1450,2))</f>
        <v/>
      </c>
      <c r="L1450" s="200" t="n">
        <v>1</v>
      </c>
      <c r="M1450" s="399" t="n">
        <v>1815.5</v>
      </c>
      <c r="N1450" s="154" t="n">
        <v>1</v>
      </c>
      <c r="O1450" s="155">
        <f>IF(AND(B1450="",C1450=""),"",IF(G1450&gt;=20000,0.05,IF(G1450&gt;=10000,0.1,IF(G1450&gt;=5000,0.2,IF(G1450&gt;=1000,0.3,IF(G1450&gt;=0,0.4,{0}))))))</f>
        <v/>
      </c>
      <c r="P1450" s="400">
        <f>IF(AND(B1450="",C1450=""),"",ROUND(H1450*O1450,2))</f>
        <v/>
      </c>
      <c r="Q1450" s="401" t="inlineStr">
        <is>
          <t>辅料</t>
        </is>
      </c>
      <c r="R1450" s="168" t="inlineStr"/>
      <c r="S1450" s="168" t="inlineStr"/>
      <c r="T1450" s="168" t="inlineStr">
        <is>
          <t>0</t>
        </is>
      </c>
      <c r="U1450" s="168" t="inlineStr"/>
      <c r="V1450" s="402" t="n"/>
      <c r="W1450" s="402" t="n"/>
      <c r="X1450" s="170" t="inlineStr"/>
    </row>
    <row r="1451" s="308">
      <c r="A1451" s="64">
        <f>ROW()-ROW(A$1432)</f>
        <v/>
      </c>
      <c r="B1451" s="112" t="inlineStr">
        <is>
          <t>柜体Blokset</t>
        </is>
      </c>
      <c r="C1451" s="22" t="inlineStr">
        <is>
          <t>600W*1200D*2200H</t>
        </is>
      </c>
      <c r="D1451" s="112" t="inlineStr">
        <is>
          <t>清科</t>
        </is>
      </c>
      <c r="E1451" s="114" t="inlineStr">
        <is>
          <t>台</t>
        </is>
      </c>
      <c r="F1451" s="114" t="n">
        <v>1</v>
      </c>
      <c r="G1451" s="396">
        <f>IF(AND(B1451="",C1451=""),"",ROUND(M1451*L1451*N1451,2))</f>
        <v/>
      </c>
      <c r="H1451" s="396">
        <f>IF(AND(B1451="",C1451=""),"",ROUND(F1451*G1451,2))</f>
        <v/>
      </c>
      <c r="I1451" s="219" t="inlineStr"/>
      <c r="J1451" s="397">
        <f>IF(AND(B1451="",C1451=""),"",ROUND(M1451*N1451,2))</f>
        <v/>
      </c>
      <c r="K1451" s="398">
        <f>IF(AND(B1451="",C1451=""),"",ROUND(J1451*F1451,2))</f>
        <v/>
      </c>
      <c r="L1451" s="200" t="n">
        <v>1</v>
      </c>
      <c r="M1451" s="399" t="n">
        <v>5650</v>
      </c>
      <c r="N1451" s="154" t="n">
        <v>1</v>
      </c>
      <c r="O1451" s="155">
        <f>IF(AND(B1451="",C1451=""),"",IF(G1451&gt;=20000,0.05,IF(G1451&gt;=10000,0.1,IF(G1451&gt;=5000,0.2,IF(G1451&gt;=1000,0.3,IF(G1451&gt;=0,0.4,{0}))))))</f>
        <v/>
      </c>
      <c r="P1451" s="400">
        <f>IF(AND(B1451="",C1451=""),"",ROUND(H1451*O1451,2))</f>
        <v/>
      </c>
      <c r="Q1451" s="401" t="inlineStr">
        <is>
          <t>箱体</t>
        </is>
      </c>
      <c r="R1451" s="168" t="inlineStr"/>
      <c r="S1451" s="168" t="inlineStr"/>
      <c r="T1451" s="168" t="inlineStr">
        <is>
          <t>0</t>
        </is>
      </c>
      <c r="U1451" s="168" t="inlineStr"/>
      <c r="V1451" s="402" t="n"/>
      <c r="W1451" s="402" t="n"/>
      <c r="X1451" s="170" t="inlineStr">
        <is>
          <t>BlokSeT</t>
        </is>
      </c>
    </row>
    <row r="1452" s="308">
      <c r="A1452" s="64">
        <f>ROW()-ROW(A$1432)</f>
        <v/>
      </c>
      <c r="B1452" s="22" t="inlineStr"/>
      <c r="C1452" s="22" t="inlineStr"/>
      <c r="D1452" s="22" t="inlineStr"/>
      <c r="E1452" s="23" t="n"/>
      <c r="F1452" s="23">
        <f>IF(AND(B1452="",C1452=""),"",1)</f>
        <v/>
      </c>
      <c r="G1452" s="349">
        <f>IF(AND(B1452="",C1452=""),"",ROUND(M1452*L1452*N1452,2))</f>
        <v/>
      </c>
      <c r="H1452" s="349">
        <f>IF(AND(B1452="",C1452=""),"",ROUND(F1452*G1452,2))</f>
        <v/>
      </c>
      <c r="I1452" s="45" t="inlineStr"/>
      <c r="J1452" s="397">
        <f>IF(AND(B1452="",C1452=""),"",ROUND(M1452*N1452,2))</f>
        <v/>
      </c>
      <c r="K1452" s="398">
        <f>IF(AND(B1452="",C1452=""),"",ROUND(J1452*F1452,2))</f>
        <v/>
      </c>
      <c r="L1452" s="200">
        <f>IF(AND(B1452="",C1452=""),"",1)</f>
        <v/>
      </c>
      <c r="M1452" s="399" t="n"/>
      <c r="N1452" s="154">
        <f>IF(AND(B1452="",C1452=""),"",1)</f>
        <v/>
      </c>
      <c r="O1452" s="155">
        <f>IF(AND(B1452="",C1452=""),"",IF(J1452&gt;=20000,0.05,IF(J1452&gt;=10000,0.1,IF(J1452&gt;=5000,0.2,IF(J1452&gt;=1000,0.3,IF(J1452&gt;=0,0.4,{0}))))))</f>
        <v/>
      </c>
      <c r="P1452" s="400">
        <f>IF(AND(B1452="",C1452=""),"",ROUND(H1452*O1452,2))</f>
        <v/>
      </c>
      <c r="Q1452" s="401">
        <f>IF(AND(B1452="",C1452=""),"","元件")</f>
        <v/>
      </c>
      <c r="R1452" s="168" t="inlineStr"/>
      <c r="S1452" s="168" t="inlineStr"/>
      <c r="T1452" s="168" t="inlineStr"/>
      <c r="U1452" s="168" t="inlineStr"/>
      <c r="V1452" s="402" t="n"/>
      <c r="W1452" s="402" t="n"/>
      <c r="X1452" s="170" t="inlineStr"/>
    </row>
    <row r="1453" s="308">
      <c r="A1453" s="64">
        <f>ROW()-ROW(A$1432)</f>
        <v/>
      </c>
      <c r="B1453" s="171" t="inlineStr">
        <is>
          <t>小计</t>
        </is>
      </c>
      <c r="C1453" s="172" t="n"/>
      <c r="D1453" s="204" t="n"/>
      <c r="E1453" s="114" t="n"/>
      <c r="F1453" s="114" t="n"/>
      <c r="G1453" s="396" t="n"/>
      <c r="H1453" s="396">
        <f>ROUND(SUM(H1432:INDEX(H:H,ROW()-1)),2)</f>
        <v/>
      </c>
      <c r="I1453" s="45" t="inlineStr"/>
      <c r="J1453" s="397" t="n"/>
      <c r="K1453" s="398">
        <f>ROUND(SUM(K1432:INDEX(K:K,ROW()-1)),2)</f>
        <v/>
      </c>
      <c r="L1453" s="200" t="n"/>
      <c r="M1453" s="399" t="n"/>
      <c r="N1453" s="154" t="n"/>
      <c r="O1453" s="155" t="n"/>
      <c r="P1453" s="400" t="n"/>
      <c r="Q1453" s="401" t="n"/>
      <c r="R1453" s="168" t="inlineStr"/>
      <c r="S1453" s="168" t="inlineStr"/>
      <c r="T1453" s="168" t="inlineStr"/>
      <c r="U1453" s="168" t="inlineStr"/>
      <c r="V1453" s="402">
        <f>ROUND(SUMPRODUCT(F1432:INDEX(F:F,ROW()-1),V1432:INDEX(V:V,ROW()-1)),2)</f>
        <v/>
      </c>
      <c r="W1453" s="402">
        <f>ROUND(SUMPRODUCT(F1432:INDEX(F:F,ROW()-1),W1432:INDEX(W:W,ROW()-1)),2)</f>
        <v/>
      </c>
      <c r="X1453" s="170" t="inlineStr"/>
    </row>
    <row r="1454" s="308">
      <c r="A1454" s="64">
        <f>ROW()-ROW(A$1432)</f>
        <v/>
      </c>
      <c r="B1454" s="171" t="inlineStr">
        <is>
          <t>综合费(人工、管理、税金、利润等)</t>
        </is>
      </c>
      <c r="C1454" s="172" t="n"/>
      <c r="D1454" s="204" t="n"/>
      <c r="E1454" s="114" t="n"/>
      <c r="F1454" s="114" t="n"/>
      <c r="G1454" s="396" t="n"/>
      <c r="H1454" s="396">
        <f>2500</f>
        <v/>
      </c>
      <c r="I1454" s="45" t="inlineStr"/>
      <c r="J1454" s="397" t="n"/>
      <c r="K1454" s="398" t="n"/>
      <c r="L1454" s="200" t="n"/>
      <c r="M1454" s="399" t="n"/>
      <c r="N1454" s="154" t="n"/>
      <c r="O1454" s="155" t="n"/>
      <c r="P1454" s="400" t="n"/>
      <c r="Q1454" s="401" t="inlineStr">
        <is>
          <t>费用</t>
        </is>
      </c>
      <c r="R1454" s="168" t="inlineStr"/>
      <c r="S1454" s="168" t="inlineStr"/>
      <c r="T1454" s="168" t="inlineStr"/>
      <c r="U1454" s="168" t="inlineStr"/>
      <c r="V1454" s="402" t="n"/>
      <c r="W1454" s="402" t="n"/>
      <c r="X1454" s="170" t="inlineStr"/>
    </row>
    <row r="1455" s="308">
      <c r="A1455" s="64">
        <f>ROW()-ROW(A$1432)</f>
        <v/>
      </c>
      <c r="B1455" s="204" t="inlineStr">
        <is>
          <t>单台合计</t>
        </is>
      </c>
      <c r="C1455" s="172" t="n"/>
      <c r="D1455" s="204" t="n"/>
      <c r="E1455" s="114" t="n"/>
      <c r="F1455" s="114" t="n"/>
      <c r="G1455" s="396" t="n"/>
      <c r="H1455" s="396">
        <f>ROUND(SUM(H1453:H1454),2)</f>
        <v/>
      </c>
      <c r="I1455" s="181" t="n"/>
      <c r="J1455" s="397" t="n"/>
      <c r="K1455" s="398">
        <f>ROUND(SUM(K1453:K1454),2)</f>
        <v/>
      </c>
      <c r="L1455" s="209" t="n"/>
      <c r="M1455" s="399" t="n"/>
      <c r="N1455" s="210" t="n"/>
      <c r="O1455" s="211" t="n"/>
      <c r="P1455" s="400" t="n"/>
      <c r="Q1455" s="401" t="n"/>
      <c r="R1455" s="168" t="inlineStr"/>
      <c r="S1455" s="168" t="inlineStr"/>
      <c r="T1455" s="168" t="inlineStr"/>
      <c r="U1455" s="168" t="inlineStr"/>
      <c r="V1455" s="402" t="n"/>
      <c r="W1455" s="402" t="n"/>
      <c r="X1455" s="170" t="inlineStr"/>
    </row>
    <row r="1456" s="308">
      <c r="A1456" s="173" t="inlineStr">
        <is>
          <t>总计</t>
        </is>
      </c>
      <c r="B1456" s="205" t="n"/>
      <c r="C1456" s="175" t="n"/>
      <c r="D1456" s="206" t="n"/>
      <c r="E1456" s="206" t="inlineStr">
        <is>
          <t>台</t>
        </is>
      </c>
      <c r="F1456" s="206" t="n">
        <v>1</v>
      </c>
      <c r="G1456" s="414">
        <f>ROUND(H1455,2)</f>
        <v/>
      </c>
      <c r="H1456" s="414">
        <f>ROUND(F1456*G1456,2)</f>
        <v/>
      </c>
      <c r="I1456" s="185" t="n"/>
      <c r="J1456" s="415" t="n"/>
      <c r="K1456" s="416">
        <f>ROUND(K1455*F1456,2)</f>
        <v/>
      </c>
      <c r="L1456" s="214" t="n"/>
      <c r="M1456" s="417" t="n"/>
      <c r="N1456" s="216" t="n"/>
      <c r="O1456" s="217" t="n"/>
      <c r="P1456" s="418" t="n"/>
      <c r="Q1456" s="401" t="n"/>
      <c r="R1456" s="168" t="inlineStr"/>
      <c r="S1456" s="168" t="inlineStr"/>
      <c r="T1456" s="168" t="inlineStr"/>
      <c r="U1456" s="168" t="inlineStr"/>
      <c r="V1456" s="402" t="n"/>
      <c r="W1456" s="402" t="n"/>
      <c r="X1456" s="170" t="inlineStr"/>
    </row>
    <row r="1457" customFormat="1" s="4">
      <c r="A1457" s="6" t="n"/>
      <c r="B1457" s="195" t="inlineStr"/>
      <c r="C1457" s="195" t="inlineStr"/>
      <c r="D1457" s="195" t="inlineStr"/>
      <c r="Q1457" s="159" t="n"/>
      <c r="R1457" s="159" t="n"/>
      <c r="S1457" s="159" t="n"/>
      <c r="T1457" s="159" t="n"/>
      <c r="U1457" s="159" t="n"/>
      <c r="X1457" s="195" t="inlineStr"/>
    </row>
    <row r="1458" customFormat="1" s="4">
      <c r="A1458" s="6" t="n"/>
      <c r="B1458" s="195" t="inlineStr"/>
      <c r="C1458" s="195" t="inlineStr"/>
      <c r="D1458" s="195" t="inlineStr"/>
      <c r="Q1458" s="159" t="n"/>
      <c r="R1458" s="159" t="n"/>
      <c r="S1458" s="159" t="n"/>
      <c r="T1458" s="159" t="n"/>
      <c r="U1458" s="159" t="n"/>
      <c r="X1458" s="195" t="inlineStr"/>
    </row>
    <row r="1459" s="308">
      <c r="A1459" s="208">
        <f>CONCATENATE("报价人：",项目信息!$B$8)</f>
        <v/>
      </c>
      <c r="B1459" s="208" t="n"/>
      <c r="C1459" s="4" t="n"/>
      <c r="D1459" s="4" t="n"/>
      <c r="E1459" s="4" t="n"/>
      <c r="F1459" s="4" t="n"/>
      <c r="G1459" s="4" t="n"/>
      <c r="H1459" s="178">
        <f>项目信息!$B$9</f>
        <v/>
      </c>
      <c r="Q1459" s="159" t="n"/>
      <c r="R1459" s="159" t="n"/>
      <c r="S1459" s="159" t="n"/>
      <c r="T1459" s="159" t="n"/>
      <c r="U1459" s="159" t="n"/>
      <c r="X1459" s="203" t="inlineStr"/>
    </row>
    <row r="1460" s="308">
      <c r="A1460" s="8">
        <f>T(项目信息!$B$22)</f>
        <v/>
      </c>
      <c r="Q1460" s="159" t="n"/>
      <c r="R1460" s="159" t="n"/>
      <c r="S1460" s="159" t="n"/>
      <c r="T1460" s="159" t="n"/>
      <c r="U1460" s="159" t="n"/>
    </row>
    <row r="1461" s="308">
      <c r="A1461" s="9">
        <f>T(项目信息!$B$23)</f>
        <v/>
      </c>
      <c r="Q1461" s="159" t="n"/>
      <c r="R1461" s="159" t="n"/>
      <c r="S1461" s="159" t="n"/>
      <c r="T1461" s="159" t="n"/>
      <c r="U1461" s="159" t="n"/>
    </row>
    <row r="1462" s="308">
      <c r="A1462" s="97" t="inlineStr">
        <is>
          <t>成套产品报价明细表</t>
        </is>
      </c>
      <c r="B1462" s="378" t="n"/>
      <c r="C1462" s="378" t="n"/>
      <c r="D1462" s="378" t="n"/>
      <c r="E1462" s="378" t="n"/>
      <c r="F1462" s="378" t="n"/>
      <c r="G1462" s="378" t="n"/>
      <c r="H1462" s="378" t="n"/>
      <c r="I1462" s="378" t="n"/>
      <c r="Q1462" s="159" t="n"/>
      <c r="R1462" s="159" t="n"/>
      <c r="S1462" s="159" t="n"/>
      <c r="T1462" s="159" t="n"/>
      <c r="U1462" s="159" t="n"/>
    </row>
    <row r="1463" customFormat="1" s="2">
      <c r="A1463" s="98" t="inlineStr">
        <is>
          <t>柜号:</t>
        </is>
      </c>
      <c r="B1463" s="99" t="inlineStr">
        <is>
          <t>AAN13-01、BAN14-01</t>
        </is>
      </c>
      <c r="C1463" s="100" t="inlineStr">
        <is>
          <t>型号:</t>
        </is>
      </c>
      <c r="D1463" s="99" t="inlineStr">
        <is>
          <t>BlokSeT</t>
        </is>
      </c>
      <c r="E1463" s="379" t="n"/>
      <c r="F1463" s="101" t="inlineStr">
        <is>
          <t>名称:</t>
        </is>
      </c>
      <c r="G1463" s="99" t="inlineStr">
        <is>
          <t>进线柜</t>
        </is>
      </c>
      <c r="H1463" s="379" t="n"/>
      <c r="I1463" s="380" t="inlineStr"/>
      <c r="J1463" s="131" t="inlineStr">
        <is>
          <t>箱柜尺寸:</t>
        </is>
      </c>
      <c r="K1463" s="132" t="inlineStr">
        <is>
          <t>700W*1200D*2200H</t>
        </is>
      </c>
      <c r="L1463" s="131" t="inlineStr">
        <is>
          <t>类别:</t>
        </is>
      </c>
      <c r="M1463" s="132" t="inlineStr">
        <is>
          <t>低压固定柜</t>
        </is>
      </c>
      <c r="N1463" s="381" t="inlineStr"/>
      <c r="Q1463" s="160" t="n"/>
      <c r="R1463" s="160" t="n"/>
      <c r="S1463" s="160" t="n"/>
      <c r="T1463" s="160" t="n"/>
      <c r="U1463" s="160" t="n"/>
    </row>
    <row r="1464" ht="20.1" customFormat="1" customHeight="1" s="3">
      <c r="A1464" s="102" t="inlineStr">
        <is>
          <t>序号</t>
        </is>
      </c>
      <c r="B1464" s="103" t="inlineStr">
        <is>
          <t>元件名称</t>
        </is>
      </c>
      <c r="C1464" s="103" t="inlineStr">
        <is>
          <t>型号规格</t>
        </is>
      </c>
      <c r="D1464" s="104" t="inlineStr">
        <is>
          <t>生产厂家</t>
        </is>
      </c>
      <c r="E1464" s="105" t="inlineStr">
        <is>
          <t>单位</t>
        </is>
      </c>
      <c r="F1464" s="105" t="inlineStr">
        <is>
          <t>数量</t>
        </is>
      </c>
      <c r="G1464" s="382" t="inlineStr">
        <is>
          <t>单   价</t>
        </is>
      </c>
      <c r="H1464" s="383" t="inlineStr">
        <is>
          <t>总   价</t>
        </is>
      </c>
      <c r="I1464" s="134" t="inlineStr">
        <is>
          <t>备注</t>
        </is>
      </c>
      <c r="J1464" s="384" t="inlineStr">
        <is>
          <t>成本单价</t>
        </is>
      </c>
      <c r="K1464" s="384" t="inlineStr">
        <is>
          <t>成本总价</t>
        </is>
      </c>
      <c r="L1464" s="136" t="inlineStr">
        <is>
          <t>报出
系数</t>
        </is>
      </c>
      <c r="M1464" s="384" t="inlineStr">
        <is>
          <t>表价</t>
        </is>
      </c>
      <c r="N1464" s="136" t="inlineStr">
        <is>
          <t>折扣
系数</t>
        </is>
      </c>
      <c r="O1464" s="137" t="inlineStr">
        <is>
          <t>取费
系数</t>
        </is>
      </c>
      <c r="P1464" s="384" t="inlineStr">
        <is>
          <t>成套费</t>
        </is>
      </c>
      <c r="Q1464" s="161" t="inlineStr">
        <is>
          <t>类别</t>
        </is>
      </c>
      <c r="R1464" s="161" t="inlineStr">
        <is>
          <t>物料编码</t>
        </is>
      </c>
      <c r="S1464" s="161" t="inlineStr">
        <is>
          <t>产地</t>
        </is>
      </c>
      <c r="T1464" s="161" t="inlineStr">
        <is>
          <t>加工费</t>
        </is>
      </c>
      <c r="U1464" s="161" t="inlineStr">
        <is>
          <t>订货号</t>
        </is>
      </c>
      <c r="V1464" s="161" t="inlineStr">
        <is>
          <t>人工</t>
        </is>
      </c>
      <c r="W1464" s="161" t="inlineStr">
        <is>
          <t>辅料</t>
        </is>
      </c>
      <c r="X1464" s="162" t="inlineStr"/>
    </row>
    <row r="1465" customFormat="1" s="3">
      <c r="A1465" s="108">
        <f>ROW()-ROW(A$1464)</f>
        <v/>
      </c>
      <c r="B1465" s="109" t="inlineStr">
        <is>
          <t>双电源</t>
        </is>
      </c>
      <c r="C1465" s="109" t="inlineStr">
        <is>
          <t>MT20 H1 3P MIC 6.0 D</t>
        </is>
      </c>
      <c r="D1465" s="22" t="inlineStr">
        <is>
          <t>甲供/施耐德电气</t>
        </is>
      </c>
      <c r="E1465" s="110" t="inlineStr">
        <is>
          <t>只</t>
        </is>
      </c>
      <c r="F1465" s="110" t="n">
        <v>1</v>
      </c>
      <c r="G1465" s="385">
        <f>IF(AND(B1465="",C1465=""),"",ROUND(M1465*L1465*N1465,2))</f>
        <v/>
      </c>
      <c r="H1465" s="385">
        <f>IF(AND(B1465="",C1465=""),"",ROUND(F1465*G1465,2))</f>
        <v/>
      </c>
      <c r="I1465" s="138" t="inlineStr"/>
      <c r="J1465" s="386">
        <f>IF(AND(B1465="",C1465=""),"",ROUND(M1465*N1465,2))</f>
        <v/>
      </c>
      <c r="K1465" s="387">
        <f>IF(AND(B1465="",C1465=""),"",ROUND(J1465*F1465,2))</f>
        <v/>
      </c>
      <c r="L1465" s="141" t="n">
        <v>1</v>
      </c>
      <c r="M1465" s="388" t="n">
        <v>1e-07</v>
      </c>
      <c r="N1465" s="143" t="n">
        <v>1</v>
      </c>
      <c r="O1465" s="144">
        <f>IF(AND(B1465="",C1465=""),"",IF(G1465&gt;=20000,0.05,IF(G1465&gt;=10000,0.1,IF(G1465&gt;=5000,0.2,IF(G1465&gt;=1000,0.3,IF(G1465&gt;=0,0.4,{0}))))))</f>
        <v/>
      </c>
      <c r="P1465" s="389">
        <f>IF(AND(B1465="",C1465=""),"",ROUND(H1465*O1465,2))</f>
        <v/>
      </c>
      <c r="Q1465" s="390" t="inlineStr">
        <is>
          <t>元件</t>
        </is>
      </c>
      <c r="R1465" s="164" t="inlineStr"/>
      <c r="S1465" s="164" t="inlineStr"/>
      <c r="T1465" s="164" t="inlineStr">
        <is>
          <t>0</t>
        </is>
      </c>
      <c r="U1465" s="164" t="inlineStr">
        <is>
          <t>48327+48500+33542+48527+48494+48484+48408+48603+48170+48175+48384</t>
        </is>
      </c>
      <c r="V1465" s="391" t="n"/>
      <c r="W1465" s="391" t="n"/>
      <c r="X1465"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1466" customFormat="1" s="3">
      <c r="A1466" s="64">
        <f>ROW()-ROW(A$1464)</f>
        <v/>
      </c>
      <c r="B1466" s="27" t="inlineStr">
        <is>
          <t>多功能表</t>
        </is>
      </c>
      <c r="C1466" s="22" t="inlineStr">
        <is>
          <t>PM5350P</t>
        </is>
      </c>
      <c r="D1466" s="22" t="inlineStr">
        <is>
          <t>甲供/施耐德电气</t>
        </is>
      </c>
      <c r="E1466" s="110" t="inlineStr">
        <is>
          <t>只</t>
        </is>
      </c>
      <c r="F1466" s="23" t="n">
        <v>1</v>
      </c>
      <c r="G1466" s="353">
        <f>IF(AND(B1466="",C1466=""),"",ROUND(M1466*L1466*N1466,2))</f>
        <v/>
      </c>
      <c r="H1466" s="349">
        <f>IF(AND(B1466="",C1466=""),"",ROUND(F1466*G1466,2))</f>
        <v/>
      </c>
      <c r="I1466" s="45" t="inlineStr"/>
      <c r="J1466" s="392">
        <f>IF(AND(B1466="",C1466=""),"",ROUND(M1466*N1466,2))</f>
        <v/>
      </c>
      <c r="K1466" s="393">
        <f>IF(AND(B1466="",C1466=""),"",ROUND(J1466*F1466,2))</f>
        <v/>
      </c>
      <c r="L1466" s="141" t="n">
        <v>1</v>
      </c>
      <c r="M1466" s="394" t="n">
        <v>1e-07</v>
      </c>
      <c r="N1466" s="143" t="n">
        <v>1</v>
      </c>
      <c r="O1466" s="144">
        <f>IF(AND(B1466="",C1466=""),"",IF(G1466&gt;=20000,0.05,IF(G1466&gt;=10000,0.1,IF(G1466&gt;=5000,0.2,IF(G1466&gt;=1000,0.3,IF(G1466&gt;=0,0.4,{0}))))))</f>
        <v/>
      </c>
      <c r="P1466" s="395">
        <f>IF(AND(B1466="",C1466=""),"",ROUND(H1466*O1466,2))</f>
        <v/>
      </c>
      <c r="Q1466" s="390" t="inlineStr">
        <is>
          <t>元件</t>
        </is>
      </c>
      <c r="R1466" s="164" t="inlineStr"/>
      <c r="S1466" s="164" t="inlineStr"/>
      <c r="T1466" s="164" t="inlineStr">
        <is>
          <t>0</t>
        </is>
      </c>
      <c r="U1466" s="164" t="inlineStr">
        <is>
          <t>True</t>
        </is>
      </c>
      <c r="V1466" s="391" t="n"/>
      <c r="W1466" s="391" t="n"/>
      <c r="X1466" s="166" t="inlineStr">
        <is>
          <t>PM→PM4633→PM4201</t>
        </is>
      </c>
    </row>
    <row r="1467" customFormat="1" s="3">
      <c r="A1467" s="64">
        <f>ROW()-ROW(A$1464)</f>
        <v/>
      </c>
      <c r="B1467" s="27" t="inlineStr">
        <is>
          <t>电流互感器</t>
        </is>
      </c>
      <c r="C1467" s="22" t="inlineStr">
        <is>
          <t>SD-0.66-100II-C 2000/5A</t>
        </is>
      </c>
      <c r="D1467" s="27" t="inlineStr">
        <is>
          <t>桑迪</t>
        </is>
      </c>
      <c r="E1467" s="110" t="inlineStr">
        <is>
          <t>只</t>
        </is>
      </c>
      <c r="F1467" s="23" t="n">
        <v>6</v>
      </c>
      <c r="G1467" s="349">
        <f>IF(AND(B1467="",C1467=""),"",ROUND(M1467*L1467*N1467,2))</f>
        <v/>
      </c>
      <c r="H1467" s="349">
        <f>IF(AND(B1467="",C1467=""),"",ROUND(F1467*G1467,2))</f>
        <v/>
      </c>
      <c r="I1467" s="45" t="inlineStr"/>
      <c r="J1467" s="392">
        <f>IF(AND(B1467="",C1467=""),"",ROUND(M1467*N1467,2))</f>
        <v/>
      </c>
      <c r="K1467" s="393">
        <f>IF(AND(B1467="",C1467=""),"",ROUND(J1467*F1467,2))</f>
        <v/>
      </c>
      <c r="L1467" s="141" t="n">
        <v>1</v>
      </c>
      <c r="M1467" s="394" t="n">
        <v>146.25</v>
      </c>
      <c r="N1467" s="143" t="n">
        <v>1</v>
      </c>
      <c r="O1467" s="144">
        <f>IF(AND(B1467="",C1467=""),"",IF(G1467&gt;=20000,0.05,IF(G1467&gt;=10000,0.1,IF(G1467&gt;=5000,0.2,IF(G1467&gt;=1000,0.3,IF(G1467&gt;=0,0.4,{0}))))))</f>
        <v/>
      </c>
      <c r="P1467" s="395">
        <f>IF(AND(B1467="",C1467=""),"",ROUND(H1467*O1467,2))</f>
        <v/>
      </c>
      <c r="Q1467" s="390" t="inlineStr">
        <is>
          <t>元件</t>
        </is>
      </c>
      <c r="R1467" s="164" t="inlineStr"/>
      <c r="S1467" s="164" t="inlineStr"/>
      <c r="T1467" s="164" t="inlineStr">
        <is>
          <t>0</t>
        </is>
      </c>
      <c r="U1467" s="164" t="inlineStr">
        <is>
          <t>710141426552500</t>
        </is>
      </c>
      <c r="V1467" s="391" t="n"/>
      <c r="W1467" s="391" t="n"/>
      <c r="X1467"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1600/5A→SD-0.66-160III-C 5000/5A→SD-0.66-130III-V 3000/5A</t>
        </is>
      </c>
    </row>
    <row r="1468" customFormat="1" s="3">
      <c r="A1468" s="64">
        <f>ROW()-ROW(A$1464)</f>
        <v/>
      </c>
      <c r="B1468" s="27" t="inlineStr">
        <is>
          <t>后备保护器</t>
        </is>
      </c>
      <c r="C1468" s="22" t="inlineStr">
        <is>
          <t>iSCB1 25L2 4P</t>
        </is>
      </c>
      <c r="D1468" s="22" t="inlineStr">
        <is>
          <t>甲供/施耐德万高</t>
        </is>
      </c>
      <c r="E1468" s="110" t="inlineStr">
        <is>
          <t>只</t>
        </is>
      </c>
      <c r="F1468" s="23" t="n">
        <v>1</v>
      </c>
      <c r="G1468" s="349">
        <f>IF(AND(B1468="",C1468=""),"",ROUND(M1468*L1468*N1468,2))</f>
        <v/>
      </c>
      <c r="H1468" s="349">
        <f>IF(AND(B1468="",C1468=""),"",ROUND(F1468*G1468,2))</f>
        <v/>
      </c>
      <c r="I1468" s="45" t="inlineStr"/>
      <c r="J1468" s="392">
        <f>IF(AND(B1468="",C1468=""),"",ROUND(M1468*N1468,2))</f>
        <v/>
      </c>
      <c r="K1468" s="393">
        <f>IF(AND(B1468="",C1468=""),"",ROUND(J1468*F1468,2))</f>
        <v/>
      </c>
      <c r="L1468" s="141" t="n">
        <v>1</v>
      </c>
      <c r="M1468" s="394" t="n">
        <v>1e-07</v>
      </c>
      <c r="N1468" s="143" t="n">
        <v>1</v>
      </c>
      <c r="O1468" s="144">
        <f>IF(AND(B1468="",C1468=""),"",IF(G1468&gt;=20000,0.05,IF(G1468&gt;=10000,0.1,IF(G1468&gt;=5000,0.2,IF(G1468&gt;=1000,0.3,IF(G1468&gt;=0,0.4,{0}))))))</f>
        <v/>
      </c>
      <c r="P1468" s="395">
        <f>IF(AND(B1468="",C1468=""),"",ROUND(H1468*O1468,2))</f>
        <v/>
      </c>
      <c r="Q1468" s="390" t="inlineStr">
        <is>
          <t>元件</t>
        </is>
      </c>
      <c r="R1468" s="164" t="inlineStr"/>
      <c r="S1468" s="164" t="inlineStr"/>
      <c r="T1468" s="164" t="inlineStr">
        <is>
          <t>0</t>
        </is>
      </c>
      <c r="U1468" s="164" t="inlineStr">
        <is>
          <t>A9L102554</t>
        </is>
      </c>
      <c r="V1468" s="391" t="n"/>
      <c r="W1468" s="391" t="n"/>
      <c r="X1468" s="166" t="inlineStr">
        <is>
          <t>iSCB1 25L1 4P→iSCB2 40H2 4P</t>
        </is>
      </c>
    </row>
    <row r="1469" customFormat="1" s="3">
      <c r="A1469" s="64">
        <f>ROW()-ROW(A$1464)</f>
        <v/>
      </c>
      <c r="B1469" s="27" t="inlineStr">
        <is>
          <t>电涌保护器</t>
        </is>
      </c>
      <c r="C1469" s="22" t="inlineStr">
        <is>
          <t>iPRF1 12.5r 3P+N</t>
        </is>
      </c>
      <c r="D1469" s="22" t="inlineStr">
        <is>
          <t>甲供/施耐德万高</t>
        </is>
      </c>
      <c r="E1469" s="110" t="inlineStr">
        <is>
          <t>只</t>
        </is>
      </c>
      <c r="F1469" s="23" t="n">
        <v>1</v>
      </c>
      <c r="G1469" s="349">
        <f>IF(AND(B1469="",C1469=""),"",ROUND(M1469*L1469*N1469,2))</f>
        <v/>
      </c>
      <c r="H1469" s="349">
        <f>IF(AND(B1469="",C1469=""),"",ROUND(F1469*G1469,2))</f>
        <v/>
      </c>
      <c r="I1469" s="45" t="inlineStr"/>
      <c r="J1469" s="392">
        <f>IF(AND(B1469="",C1469=""),"",ROUND(M1469*N1469,2))</f>
        <v/>
      </c>
      <c r="K1469" s="393">
        <f>IF(AND(B1469="",C1469=""),"",ROUND(J1469*F1469,2))</f>
        <v/>
      </c>
      <c r="L1469" s="141" t="n">
        <v>1</v>
      </c>
      <c r="M1469" s="394" t="n">
        <v>1e-07</v>
      </c>
      <c r="N1469" s="143" t="n">
        <v>1</v>
      </c>
      <c r="O1469" s="144">
        <f>IF(AND(B1469="",C1469=""),"",IF(G1469&gt;=20000,0.05,IF(G1469&gt;=10000,0.1,IF(G1469&gt;=5000,0.2,IF(G1469&gt;=1000,0.3,IF(G1469&gt;=0,0.4,{0}))))))</f>
        <v/>
      </c>
      <c r="P1469" s="395">
        <f>IF(AND(B1469="",C1469=""),"",ROUND(H1469*O1469,2))</f>
        <v/>
      </c>
      <c r="Q1469" s="390" t="inlineStr">
        <is>
          <t>元件</t>
        </is>
      </c>
      <c r="R1469" s="164" t="inlineStr"/>
      <c r="S1469" s="164" t="inlineStr"/>
      <c r="T1469" s="164" t="inlineStr">
        <is>
          <t>0</t>
        </is>
      </c>
      <c r="U1469" s="164" t="inlineStr">
        <is>
          <t>A9L620601</t>
        </is>
      </c>
      <c r="V1469" s="391" t="n"/>
      <c r="W1469" s="391" t="n"/>
      <c r="X1469" s="166" t="inlineStr">
        <is>
          <t>iPRF1 12.5r 3P+N→iPRU 40r 3P→iPRF1 12.5r 3P+N</t>
        </is>
      </c>
    </row>
    <row r="1470" customFormat="1" s="3">
      <c r="A1470" s="64">
        <f>ROW()-ROW(A$1464)</f>
        <v/>
      </c>
      <c r="B1470" s="27" t="inlineStr">
        <is>
          <t>微型断路器</t>
        </is>
      </c>
      <c r="C1470" s="22" t="inlineStr">
        <is>
          <t>iC65H 2P C16A</t>
        </is>
      </c>
      <c r="D1470" s="22" t="inlineStr">
        <is>
          <t>甲供/施耐德电气</t>
        </is>
      </c>
      <c r="E1470" s="110" t="inlineStr">
        <is>
          <t>只</t>
        </is>
      </c>
      <c r="F1470" s="23" t="n">
        <v>2</v>
      </c>
      <c r="G1470" s="349">
        <f>IF(AND(B1470="",C1470=""),"",ROUND(M1470*L1470*N1470,2))</f>
        <v/>
      </c>
      <c r="H1470" s="349">
        <f>IF(AND(B1470="",C1470=""),"",ROUND(F1470*G1470,2))</f>
        <v/>
      </c>
      <c r="I1470" s="45" t="inlineStr"/>
      <c r="J1470" s="392">
        <f>IF(AND(B1470="",C1470=""),"",ROUND(M1470*N1470,2))</f>
        <v/>
      </c>
      <c r="K1470" s="393">
        <f>IF(AND(B1470="",C1470=""),"",ROUND(J1470*F1470,2))</f>
        <v/>
      </c>
      <c r="L1470" s="141" t="n">
        <v>1</v>
      </c>
      <c r="M1470" s="394" t="n">
        <v>1e-07</v>
      </c>
      <c r="N1470" s="143" t="n">
        <v>1</v>
      </c>
      <c r="O1470" s="144">
        <f>IF(AND(B1470="",C1470=""),"",IF(G1470&gt;=20000,0.05,IF(G1470&gt;=10000,0.1,IF(G1470&gt;=5000,0.2,IF(G1470&gt;=1000,0.3,IF(G1470&gt;=0,0.4,{0}))))))</f>
        <v/>
      </c>
      <c r="P1470" s="395">
        <f>IF(AND(B1470="",C1470=""),"",ROUND(H1470*O1470,2))</f>
        <v/>
      </c>
      <c r="Q1470" s="390" t="inlineStr">
        <is>
          <t>元件</t>
        </is>
      </c>
      <c r="R1470" s="164" t="inlineStr"/>
      <c r="S1470" s="164" t="inlineStr"/>
      <c r="T1470" s="164" t="n">
        <v>0</v>
      </c>
      <c r="U1470" s="164" t="inlineStr"/>
      <c r="V1470" s="391" t="n"/>
      <c r="W1470" s="391" t="n"/>
      <c r="X1470" s="166" t="inlineStr"/>
    </row>
    <row r="1471" customFormat="1" s="3">
      <c r="A1471" s="64">
        <f>ROW()-ROW(A$1464)</f>
        <v/>
      </c>
      <c r="B1471" s="27" t="inlineStr">
        <is>
          <t>微型断路器</t>
        </is>
      </c>
      <c r="C1471" s="22" t="inlineStr">
        <is>
          <t>iC65H 3P C32A</t>
        </is>
      </c>
      <c r="D1471" s="22" t="inlineStr">
        <is>
          <t>甲供/施耐德电气</t>
        </is>
      </c>
      <c r="E1471" s="110" t="inlineStr">
        <is>
          <t>只</t>
        </is>
      </c>
      <c r="F1471" s="23" t="n">
        <v>2</v>
      </c>
      <c r="G1471" s="349">
        <f>IF(AND(B1471="",C1471=""),"",ROUND(M1471*L1471*N1471,2))</f>
        <v/>
      </c>
      <c r="H1471" s="349">
        <f>IF(AND(B1471="",C1471=""),"",ROUND(F1471*G1471,2))</f>
        <v/>
      </c>
      <c r="I1471" s="45" t="inlineStr"/>
      <c r="J1471" s="392">
        <f>IF(AND(B1471="",C1471=""),"",ROUND(M1471*N1471,2))</f>
        <v/>
      </c>
      <c r="K1471" s="393">
        <f>IF(AND(B1471="",C1471=""),"",ROUND(J1471*F1471,2))</f>
        <v/>
      </c>
      <c r="L1471" s="141" t="n">
        <v>1</v>
      </c>
      <c r="M1471" s="394" t="n">
        <v>1e-07</v>
      </c>
      <c r="N1471" s="143" t="n">
        <v>1</v>
      </c>
      <c r="O1471" s="144">
        <f>IF(AND(B1471="",C1471=""),"",IF(G1471&gt;=20000,0.05,IF(G1471&gt;=10000,0.1,IF(G1471&gt;=5000,0.2,IF(G1471&gt;=1000,0.3,IF(G1471&gt;=0,0.4,{0}))))))</f>
        <v/>
      </c>
      <c r="P1471" s="395">
        <f>IF(AND(B1471="",C1471=""),"",ROUND(H1471*O1471,2))</f>
        <v/>
      </c>
      <c r="Q1471" s="390" t="inlineStr">
        <is>
          <t>元件</t>
        </is>
      </c>
      <c r="R1471" s="164" t="inlineStr"/>
      <c r="S1471" s="164" t="inlineStr"/>
      <c r="T1471" s="164" t="n">
        <v>0</v>
      </c>
      <c r="U1471" s="164" t="inlineStr"/>
      <c r="V1471" s="391" t="n"/>
      <c r="W1471" s="391" t="n"/>
      <c r="X1471" s="166" t="inlineStr"/>
    </row>
    <row r="1472" customFormat="1" s="3">
      <c r="A1472" s="64">
        <f>ROW()-ROW(A$1464)</f>
        <v/>
      </c>
      <c r="B1472" s="27" t="inlineStr">
        <is>
          <t>熔断器+底座</t>
        </is>
      </c>
      <c r="C1472" s="22" t="inlineStr">
        <is>
          <t>NT00 gG 690V/160A、NT00（新底座）</t>
        </is>
      </c>
      <c r="D1472" s="22" t="inlineStr">
        <is>
          <t>茗熔</t>
        </is>
      </c>
      <c r="E1472" s="110" t="inlineStr">
        <is>
          <t>只</t>
        </is>
      </c>
      <c r="F1472" s="23" t="n">
        <v>12</v>
      </c>
      <c r="G1472" s="349">
        <f>IF(AND(B1472="",C1472=""),"",ROUND(M1472*L1472*N1472,2))</f>
        <v/>
      </c>
      <c r="H1472" s="349">
        <f>IF(AND(B1472="",C1472=""),"",ROUND(F1472*G1472,2))</f>
        <v/>
      </c>
      <c r="I1472" s="45" t="inlineStr"/>
      <c r="J1472" s="392">
        <f>IF(AND(B1472="",C1472=""),"",ROUND(M1472*N1472,2))</f>
        <v/>
      </c>
      <c r="K1472" s="393">
        <f>IF(AND(B1472="",C1472=""),"",ROUND(J1472*F1472,2))</f>
        <v/>
      </c>
      <c r="L1472" s="141" t="n">
        <v>1</v>
      </c>
      <c r="M1472" s="394" t="n">
        <v>23.8</v>
      </c>
      <c r="N1472" s="143" t="n">
        <v>1</v>
      </c>
      <c r="O1472" s="144">
        <f>IF(AND(B1472="",C1472=""),"",IF(G1472&gt;=20000,0.05,IF(G1472&gt;=10000,0.1,IF(G1472&gt;=5000,0.2,IF(G1472&gt;=1000,0.3,IF(G1472&gt;=0,0.4,{0}))))))</f>
        <v/>
      </c>
      <c r="P1472" s="395">
        <f>IF(AND(B1472="",C1472=""),"",ROUND(H1472*O1472,2))</f>
        <v/>
      </c>
      <c r="Q1472" s="390" t="inlineStr">
        <is>
          <t>元件</t>
        </is>
      </c>
      <c r="R1472" s="164" t="inlineStr"/>
      <c r="S1472" s="164" t="inlineStr"/>
      <c r="T1472" s="164" t="inlineStr">
        <is>
          <t>0</t>
        </is>
      </c>
      <c r="U1472" s="164" t="inlineStr">
        <is>
          <t>0</t>
        </is>
      </c>
      <c r="V1472" s="391" t="n"/>
      <c r="W1472" s="391" t="n"/>
      <c r="X1472" s="166" t="inlineStr"/>
    </row>
    <row r="1473" s="308">
      <c r="A1473" s="64">
        <f>ROW()-ROW(A$1464)</f>
        <v/>
      </c>
      <c r="B1473" s="112" t="inlineStr">
        <is>
          <t>温湿度控制器</t>
        </is>
      </c>
      <c r="C1473" s="112" t="inlineStr">
        <is>
          <t>ATH48G-11</t>
        </is>
      </c>
      <c r="D1473" s="22" t="inlineStr">
        <is>
          <t>杭州安廷</t>
        </is>
      </c>
      <c r="E1473" s="23" t="inlineStr">
        <is>
          <t>套</t>
        </is>
      </c>
      <c r="F1473" s="23" t="n">
        <v>1</v>
      </c>
      <c r="G1473" s="349">
        <f>IF(AND(B1473="",C1473=""),"",ROUND(M1473*L1473*N1473,2))</f>
        <v/>
      </c>
      <c r="H1473" s="396">
        <f>IF(AND(B1473="",C1473=""),"",ROUND(F1473*G1473,2))</f>
        <v/>
      </c>
      <c r="I1473" s="150" t="inlineStr"/>
      <c r="J1473" s="397">
        <f>IF(AND(B1473="",C1473=""),"",ROUND(M1473*N1473,2))</f>
        <v/>
      </c>
      <c r="K1473" s="398">
        <f>IF(AND(B1473="",C1473=""),"",ROUND(J1473*F1473,2))</f>
        <v/>
      </c>
      <c r="L1473" s="141" t="n">
        <v>1</v>
      </c>
      <c r="M1473" s="399" t="n">
        <v>450</v>
      </c>
      <c r="N1473" s="154" t="n">
        <v>1</v>
      </c>
      <c r="O1473" s="155">
        <f>IF(AND(B1473="",C1473=""),"",IF(G1473&gt;=20000,0.05,IF(G1473&gt;=10000,0.1,IF(G1473&gt;=5000,0.2,IF(G1473&gt;=1000,0.3,IF(G1473&gt;=0,0.4,{0}))))))</f>
        <v/>
      </c>
      <c r="P1473" s="400">
        <f>IF(AND(B1473="",C1473=""),"",ROUND(H1473*O1473,2))</f>
        <v/>
      </c>
      <c r="Q1473" s="401" t="inlineStr">
        <is>
          <t>元件</t>
        </is>
      </c>
      <c r="R1473" s="168" t="inlineStr"/>
      <c r="S1473" s="168" t="inlineStr"/>
      <c r="T1473" s="168" t="inlineStr">
        <is>
          <t>0</t>
        </is>
      </c>
      <c r="U1473" s="168" t="inlineStr"/>
      <c r="V1473" s="402" t="n"/>
      <c r="W1473" s="402" t="n"/>
      <c r="X1473" s="170" t="inlineStr"/>
    </row>
    <row r="1474" s="308">
      <c r="A1474" s="64">
        <f>ROW()-ROW(A$1464)</f>
        <v/>
      </c>
      <c r="B1474" s="112" t="inlineStr">
        <is>
          <t>指示灯</t>
        </is>
      </c>
      <c r="C1474" s="112" t="inlineStr">
        <is>
          <t>XB2BVM3LC</t>
        </is>
      </c>
      <c r="D1474" s="112" t="inlineStr">
        <is>
          <t>甲供/施耐德电气</t>
        </is>
      </c>
      <c r="E1474" s="114" t="inlineStr">
        <is>
          <t>只</t>
        </is>
      </c>
      <c r="F1474" s="114" t="n">
        <v>1</v>
      </c>
      <c r="G1474" s="396">
        <f>IF(AND(B1474="",C1474=""),"",ROUND(M1474*L1474*N1474,2))</f>
        <v/>
      </c>
      <c r="H1474" s="396">
        <f>IF(AND(B1474="",C1474=""),"",ROUND(F1474*G1474,2))</f>
        <v/>
      </c>
      <c r="I1474" s="150" t="inlineStr"/>
      <c r="J1474" s="397">
        <f>IF(AND(B1474="",C1474=""),"",ROUND(M1474*N1474,2))</f>
        <v/>
      </c>
      <c r="K1474" s="398">
        <f>IF(AND(B1474="",C1474=""),"",ROUND(J1474*F1474,2))</f>
        <v/>
      </c>
      <c r="L1474" s="141" t="n">
        <v>1</v>
      </c>
      <c r="M1474" s="399" t="n">
        <v>1e-07</v>
      </c>
      <c r="N1474" s="154" t="n">
        <v>1</v>
      </c>
      <c r="O1474" s="155">
        <f>IF(AND(B1474="",C1474=""),"",IF(G1474&gt;=20000,0.05,IF(G1474&gt;=10000,0.1,IF(G1474&gt;=5000,0.2,IF(G1474&gt;=1000,0.3,IF(G1474&gt;=0,0.4,{0}))))))</f>
        <v/>
      </c>
      <c r="P1474" s="400">
        <f>IF(AND(B1474="",C1474=""),"",ROUND(H1474*O1474,2))</f>
        <v/>
      </c>
      <c r="Q1474" s="401" t="inlineStr">
        <is>
          <t>元件</t>
        </is>
      </c>
      <c r="R1474" s="168" t="inlineStr"/>
      <c r="S1474" s="168" t="inlineStr"/>
      <c r="T1474" s="168" t="inlineStr">
        <is>
          <t>0</t>
        </is>
      </c>
      <c r="U1474" s="168" t="inlineStr">
        <is>
          <t>XA2EVM3LC</t>
        </is>
      </c>
      <c r="V1474" s="402" t="n"/>
      <c r="W1474" s="402" t="n"/>
      <c r="X1474" s="170" t="inlineStr"/>
    </row>
    <row r="1475" s="308">
      <c r="A1475" s="64">
        <f>ROW()-ROW(A$1464)</f>
        <v/>
      </c>
      <c r="B1475" s="112" t="inlineStr">
        <is>
          <t>指示灯</t>
        </is>
      </c>
      <c r="C1475" s="22" t="inlineStr">
        <is>
          <t>XB2BVM4LC</t>
        </is>
      </c>
      <c r="D1475" s="112" t="inlineStr">
        <is>
          <t>甲供/施耐德电气</t>
        </is>
      </c>
      <c r="E1475" s="114" t="inlineStr">
        <is>
          <t>只</t>
        </is>
      </c>
      <c r="F1475" s="114" t="n">
        <v>1</v>
      </c>
      <c r="G1475" s="396">
        <f>IF(AND(B1475="",C1475=""),"",ROUND(M1475*L1475*N1475,2))</f>
        <v/>
      </c>
      <c r="H1475" s="396">
        <f>IF(AND(B1475="",C1475=""),"",ROUND(F1475*G1475,2))</f>
        <v/>
      </c>
      <c r="I1475" s="150" t="inlineStr"/>
      <c r="J1475" s="397">
        <f>IF(AND(B1475="",C1475=""),"",ROUND(M1475*N1475,2))</f>
        <v/>
      </c>
      <c r="K1475" s="398">
        <f>IF(AND(B1475="",C1475=""),"",ROUND(J1475*F1475,2))</f>
        <v/>
      </c>
      <c r="L1475" s="141" t="n">
        <v>1</v>
      </c>
      <c r="M1475" s="399" t="n">
        <v>1e-07</v>
      </c>
      <c r="N1475" s="154" t="n">
        <v>1</v>
      </c>
      <c r="O1475" s="155">
        <f>IF(AND(B1475="",C1475=""),"",IF(G1475&gt;=20000,0.05,IF(G1475&gt;=10000,0.1,IF(G1475&gt;=5000,0.2,IF(G1475&gt;=1000,0.3,IF(G1475&gt;=0,0.4,{0}))))))</f>
        <v/>
      </c>
      <c r="P1475" s="400">
        <f>IF(AND(B1475="",C1475=""),"",ROUND(H1475*O1475,2))</f>
        <v/>
      </c>
      <c r="Q1475" s="401" t="inlineStr">
        <is>
          <t>元件</t>
        </is>
      </c>
      <c r="R1475" s="168" t="inlineStr"/>
      <c r="S1475" s="168" t="inlineStr"/>
      <c r="T1475" s="168" t="inlineStr">
        <is>
          <t>0</t>
        </is>
      </c>
      <c r="U1475" s="168" t="inlineStr">
        <is>
          <t>XA2EVM4LC</t>
        </is>
      </c>
      <c r="V1475" s="402" t="n"/>
      <c r="W1475" s="402" t="n"/>
      <c r="X1475" s="170" t="inlineStr"/>
    </row>
    <row r="1476" s="308">
      <c r="A1476" s="64">
        <f>ROW()-ROW(A$1464)</f>
        <v/>
      </c>
      <c r="B1476" s="112" t="inlineStr">
        <is>
          <t>指示灯</t>
        </is>
      </c>
      <c r="C1476" s="112" t="inlineStr">
        <is>
          <t>XB2BVM5LC</t>
        </is>
      </c>
      <c r="D1476" s="112" t="inlineStr">
        <is>
          <t>甲供/施耐德电气</t>
        </is>
      </c>
      <c r="E1476" s="114" t="inlineStr">
        <is>
          <t>只</t>
        </is>
      </c>
      <c r="F1476" s="114" t="n">
        <v>1</v>
      </c>
      <c r="G1476" s="396">
        <f>IF(AND(B1476="",C1476=""),"",ROUND(M1476*L1476*N1476,2))</f>
        <v/>
      </c>
      <c r="H1476" s="396">
        <f>IF(AND(B1476="",C1476=""),"",ROUND(F1476*G1476,2))</f>
        <v/>
      </c>
      <c r="I1476" s="150" t="inlineStr"/>
      <c r="J1476" s="397">
        <f>IF(AND(B1476="",C1476=""),"",ROUND(M1476*N1476,2))</f>
        <v/>
      </c>
      <c r="K1476" s="398">
        <f>IF(AND(B1476="",C1476=""),"",ROUND(J1476*F1476,2))</f>
        <v/>
      </c>
      <c r="L1476" s="141" t="n">
        <v>1</v>
      </c>
      <c r="M1476" s="399" t="n">
        <v>1e-07</v>
      </c>
      <c r="N1476" s="154" t="n">
        <v>1</v>
      </c>
      <c r="O1476" s="155">
        <f>IF(AND(B1476="",C1476=""),"",IF(G1476&gt;=20000,0.05,IF(G1476&gt;=10000,0.1,IF(G1476&gt;=5000,0.2,IF(G1476&gt;=1000,0.3,IF(G1476&gt;=0,0.4,{0}))))))</f>
        <v/>
      </c>
      <c r="P1476" s="400">
        <f>IF(AND(B1476="",C1476=""),"",ROUND(H1476*O1476,2))</f>
        <v/>
      </c>
      <c r="Q1476" s="401" t="inlineStr">
        <is>
          <t>元件</t>
        </is>
      </c>
      <c r="R1476" s="168" t="inlineStr"/>
      <c r="S1476" s="168" t="inlineStr"/>
      <c r="T1476" s="168" t="inlineStr">
        <is>
          <t>0</t>
        </is>
      </c>
      <c r="U1476" s="168" t="inlineStr">
        <is>
          <t>XA2EVM5LC</t>
        </is>
      </c>
      <c r="V1476" s="402" t="n"/>
      <c r="W1476" s="402" t="n"/>
      <c r="X1476" s="170" t="inlineStr"/>
    </row>
    <row r="1477" s="308">
      <c r="A1477" s="64">
        <f>ROW()-ROW(A$1464)</f>
        <v/>
      </c>
      <c r="B1477" s="112" t="inlineStr">
        <is>
          <t>按钮</t>
        </is>
      </c>
      <c r="C1477" s="112" t="inlineStr">
        <is>
          <t>XB2BA31C</t>
        </is>
      </c>
      <c r="D1477" s="112" t="inlineStr">
        <is>
          <t>甲供/施耐德电气</t>
        </is>
      </c>
      <c r="E1477" s="114" t="inlineStr">
        <is>
          <t>只</t>
        </is>
      </c>
      <c r="F1477" s="114" t="n">
        <v>1</v>
      </c>
      <c r="G1477" s="396">
        <f>IF(AND(B1477="",C1477=""),"",ROUND(M1477*L1477*N1477,2))</f>
        <v/>
      </c>
      <c r="H1477" s="396">
        <f>IF(AND(B1477="",C1477=""),"",ROUND(F1477*G1477,2))</f>
        <v/>
      </c>
      <c r="I1477" s="150" t="inlineStr"/>
      <c r="J1477" s="397">
        <f>IF(AND(B1477="",C1477=""),"",ROUND(M1477*N1477,2))</f>
        <v/>
      </c>
      <c r="K1477" s="398">
        <f>IF(AND(B1477="",C1477=""),"",ROUND(J1477*F1477,2))</f>
        <v/>
      </c>
      <c r="L1477" s="141" t="n">
        <v>1</v>
      </c>
      <c r="M1477" s="399" t="n">
        <v>1e-07</v>
      </c>
      <c r="N1477" s="154" t="n">
        <v>1</v>
      </c>
      <c r="O1477" s="155">
        <f>IF(AND(B1477="",C1477=""),"",IF(G1477&gt;=20000,0.05,IF(G1477&gt;=10000,0.1,IF(G1477&gt;=5000,0.2,IF(G1477&gt;=1000,0.3,IF(G1477&gt;=0,0.4,{0}))))))</f>
        <v/>
      </c>
      <c r="P1477" s="400">
        <f>IF(AND(B1477="",C1477=""),"",ROUND(H1477*O1477,2))</f>
        <v/>
      </c>
      <c r="Q1477" s="401" t="inlineStr">
        <is>
          <t>元件</t>
        </is>
      </c>
      <c r="R1477" s="168" t="inlineStr"/>
      <c r="S1477" s="168" t="inlineStr"/>
      <c r="T1477" s="168" t="inlineStr">
        <is>
          <t>0</t>
        </is>
      </c>
      <c r="U1477" s="168" t="inlineStr">
        <is>
          <t>XB2BA31C</t>
        </is>
      </c>
      <c r="V1477" s="402" t="n"/>
      <c r="W1477" s="402" t="n"/>
      <c r="X1477" s="170" t="inlineStr">
        <is>
          <t>XA2EA31</t>
        </is>
      </c>
    </row>
    <row r="1478" s="308">
      <c r="A1478" s="64">
        <f>ROW()-ROW(A$1464)</f>
        <v/>
      </c>
      <c r="B1478" s="22" t="inlineStr">
        <is>
          <t>按钮</t>
        </is>
      </c>
      <c r="C1478" s="22" t="inlineStr">
        <is>
          <t>XB2BA42C</t>
        </is>
      </c>
      <c r="D1478" s="22" t="inlineStr">
        <is>
          <t>甲供/施耐德电气</t>
        </is>
      </c>
      <c r="E1478" s="23" t="inlineStr">
        <is>
          <t>只</t>
        </is>
      </c>
      <c r="F1478" s="23" t="n">
        <v>1</v>
      </c>
      <c r="G1478" s="349">
        <f>IF(AND(B1478="",C1478=""),"",ROUND(M1478*L1478*N1478,2))</f>
        <v/>
      </c>
      <c r="H1478" s="396">
        <f>IF(AND(B1478="",C1478=""),"",ROUND(F1478*G1478,2))</f>
        <v/>
      </c>
      <c r="I1478" s="150" t="inlineStr"/>
      <c r="J1478" s="397">
        <f>IF(AND(B1478="",C1478=""),"",ROUND(M1478*N1478,2))</f>
        <v/>
      </c>
      <c r="K1478" s="398">
        <f>IF(AND(B1478="",C1478=""),"",ROUND(J1478*F1478,2))</f>
        <v/>
      </c>
      <c r="L1478" s="141" t="n">
        <v>1</v>
      </c>
      <c r="M1478" s="399" t="n">
        <v>1e-07</v>
      </c>
      <c r="N1478" s="154" t="n">
        <v>1</v>
      </c>
      <c r="O1478" s="155">
        <f>IF(AND(B1478="",C1478=""),"",IF(G1478&gt;=20000,0.05,IF(G1478&gt;=10000,0.1,IF(G1478&gt;=5000,0.2,IF(G1478&gt;=1000,0.3,IF(G1478&gt;=0,0.4,{0}))))))</f>
        <v/>
      </c>
      <c r="P1478" s="400">
        <f>IF(AND(B1478="",C1478=""),"",ROUND(H1478*O1478,2))</f>
        <v/>
      </c>
      <c r="Q1478" s="401" t="inlineStr">
        <is>
          <t>元件</t>
        </is>
      </c>
      <c r="R1478" s="168" t="inlineStr"/>
      <c r="S1478" s="168" t="inlineStr"/>
      <c r="T1478" s="168" t="inlineStr">
        <is>
          <t>0</t>
        </is>
      </c>
      <c r="U1478" s="168" t="inlineStr">
        <is>
          <t>XB2BA42C</t>
        </is>
      </c>
      <c r="V1478" s="402" t="n"/>
      <c r="W1478" s="402" t="n"/>
      <c r="X1478" s="170" t="inlineStr">
        <is>
          <t>XA2EA41</t>
        </is>
      </c>
    </row>
    <row r="1479" s="308">
      <c r="A1479" s="64">
        <f>ROW()-ROW(A$1464)</f>
        <v/>
      </c>
      <c r="B1479" s="112" t="inlineStr">
        <is>
          <t>带熔丝端子</t>
        </is>
      </c>
      <c r="C1479" s="112" t="inlineStr">
        <is>
          <t>UK 5-HESI</t>
        </is>
      </c>
      <c r="D1479" s="22" t="inlineStr">
        <is>
          <t>菲尼克斯</t>
        </is>
      </c>
      <c r="E1479" s="23" t="inlineStr">
        <is>
          <t>只</t>
        </is>
      </c>
      <c r="F1479" s="23" t="n">
        <v>7</v>
      </c>
      <c r="G1479" s="349">
        <f>IF(AND(B1479="",C1479=""),"",ROUND(M1479*L1479*N1479,2))</f>
        <v/>
      </c>
      <c r="H1479" s="396">
        <f>IF(AND(B1479="",C1479=""),"",ROUND(F1479*G1479,2))</f>
        <v/>
      </c>
      <c r="I1479" s="150" t="inlineStr"/>
      <c r="J1479" s="397">
        <f>IF(AND(B1479="",C1479=""),"",ROUND(M1479*N1479,2))</f>
        <v/>
      </c>
      <c r="K1479" s="398">
        <f>IF(AND(B1479="",C1479=""),"",ROUND(J1479*F1479,2))</f>
        <v/>
      </c>
      <c r="L1479" s="141" t="n">
        <v>1</v>
      </c>
      <c r="M1479" s="399" t="n">
        <v>7</v>
      </c>
      <c r="N1479" s="154" t="n">
        <v>1</v>
      </c>
      <c r="O1479" s="155">
        <f>IF(AND(B1479="",C1479=""),"",IF(G1479&gt;=20000,0.05,IF(G1479&gt;=10000,0.1,IF(G1479&gt;=5000,0.2,IF(G1479&gt;=1000,0.3,IF(G1479&gt;=0,0.4,{0}))))))</f>
        <v/>
      </c>
      <c r="P1479" s="400">
        <f>IF(AND(B1479="",C1479=""),"",ROUND(H1479*O1479,2))</f>
        <v/>
      </c>
      <c r="Q1479" s="401" t="inlineStr">
        <is>
          <t>元件</t>
        </is>
      </c>
      <c r="R1479" s="168" t="inlineStr"/>
      <c r="S1479" s="168" t="inlineStr"/>
      <c r="T1479" s="168" t="inlineStr">
        <is>
          <t>0</t>
        </is>
      </c>
      <c r="U1479" s="168" t="inlineStr"/>
      <c r="V1479" s="402" t="n"/>
      <c r="W1479" s="402" t="n"/>
      <c r="X1479" s="170" t="inlineStr"/>
    </row>
    <row r="1480" s="308">
      <c r="A1480" s="64">
        <f>ROW()-ROW(A$1464)</f>
        <v/>
      </c>
      <c r="B1480" s="33" t="inlineStr">
        <is>
          <t>水平母排</t>
        </is>
      </c>
      <c r="C1480" s="22" t="inlineStr">
        <is>
          <t>TMY 4*(2*100*5)+2*50*5</t>
        </is>
      </c>
      <c r="D1480" s="22" t="inlineStr">
        <is>
          <t>国产优质</t>
        </is>
      </c>
      <c r="E1480" s="23" t="inlineStr">
        <is>
          <t>米</t>
        </is>
      </c>
      <c r="F1480" s="23" t="n">
        <v>0.7</v>
      </c>
      <c r="G1480" s="349">
        <f>IF(AND(B1480="",C1480=""),"",ROUND(M1480*L1480*N1480,2))</f>
        <v/>
      </c>
      <c r="H1480" s="349">
        <f>IF(AND(B1480="",C1480=""),"",ROUND(F1480*G1480,2))</f>
        <v/>
      </c>
      <c r="I1480" s="179" t="inlineStr"/>
      <c r="J1480" s="397">
        <f>IF(AND(B1480="",C1480=""),"",ROUND(M1480*N1480,2))</f>
        <v/>
      </c>
      <c r="K1480" s="398">
        <f>IF(AND(B1480="",C1480=""),"",ROUND(J1480*F1480,2))</f>
        <v/>
      </c>
      <c r="L1480" s="141" t="n">
        <v>1</v>
      </c>
      <c r="M1480" s="399" t="n">
        <v>4329.60525</v>
      </c>
      <c r="N1480" s="154">
        <f>(6317.932*1*1+2684.8*1*1)/9002.732</f>
        <v/>
      </c>
      <c r="O1480" s="155">
        <f>IF(AND(B1480="",C1480=""),"",IF(G1480&gt;=20000,0.05,IF(G1480&gt;=10000,0.1,IF(G1480&gt;=5000,0.2,IF(G1480&gt;=1000,0.3,IF(G1480&gt;=0,0.4,{0}))))))</f>
        <v/>
      </c>
      <c r="P1480" s="400">
        <f>IF(AND(B1480="",C1480=""),"",ROUND(H1480*O1480,2))</f>
        <v/>
      </c>
      <c r="Q1480" s="401" t="inlineStr">
        <is>
          <t>母排</t>
        </is>
      </c>
      <c r="R1480" s="168" t="inlineStr"/>
      <c r="S1480" s="168" t="inlineStr"/>
      <c r="T1480" s="168" t="inlineStr">
        <is>
          <t>0</t>
        </is>
      </c>
      <c r="U1480" s="168" t="inlineStr"/>
      <c r="V1480" s="402" t="n"/>
      <c r="W1480" s="402" t="n"/>
      <c r="X1480" s="170" t="inlineStr"/>
    </row>
    <row r="1481" customFormat="1" s="3">
      <c r="A1481" s="64">
        <f>ROW()-ROW(A$1464)</f>
        <v/>
      </c>
      <c r="B1481" s="27" t="inlineStr">
        <is>
          <t>铜排</t>
        </is>
      </c>
      <c r="C1481" s="27" t="inlineStr">
        <is>
          <t>TMY</t>
        </is>
      </c>
      <c r="D1481" s="22" t="inlineStr">
        <is>
          <t>国产优质</t>
        </is>
      </c>
      <c r="E1481" s="23" t="inlineStr">
        <is>
          <t>kg</t>
        </is>
      </c>
      <c r="F1481" s="28" t="n">
        <v>151</v>
      </c>
      <c r="G1481" s="353">
        <f>IF(AND(B1481="",C1481=""),"",ROUND(M1481*L1481*N1481,2))</f>
        <v/>
      </c>
      <c r="H1481" s="353">
        <f>IF(AND(B1481="",C1481=""),"",ROUND(F1481*G1481,2))</f>
        <v/>
      </c>
      <c r="I1481" s="180" t="inlineStr"/>
      <c r="J1481" s="392">
        <f>IF(AND(B1481="",C1481=""),"",ROUND(M1481*N1481,2))</f>
        <v/>
      </c>
      <c r="K1481" s="393">
        <f>IF(AND(B1481="",C1481=""),"",ROUND(J1481*F1481,2))</f>
        <v/>
      </c>
      <c r="L1481" s="141" t="n">
        <v>1</v>
      </c>
      <c r="M1481" s="394" t="n">
        <v>108.105</v>
      </c>
      <c r="N1481" s="143" t="n">
        <v>1</v>
      </c>
      <c r="O1481" s="144">
        <f>IF(AND(B1481="",C1481=""),"",IF(G1481&gt;=20000,0.05,IF(G1481&gt;=10000,0.1,IF(G1481&gt;=5000,0.2,IF(G1481&gt;=1000,0.3,IF(G1481&gt;=0,0.4,{0}))))))</f>
        <v/>
      </c>
      <c r="P1481" s="395">
        <f>IF(AND(B1481="",C1481=""),"",ROUND(H1481*O1481,2))</f>
        <v/>
      </c>
      <c r="Q1481" s="390" t="inlineStr">
        <is>
          <t>母排</t>
        </is>
      </c>
      <c r="R1481" s="164" t="inlineStr"/>
      <c r="S1481" s="164" t="inlineStr"/>
      <c r="T1481" s="164" t="inlineStr">
        <is>
          <t>0</t>
        </is>
      </c>
      <c r="U1481" s="164" t="inlineStr"/>
      <c r="V1481" s="391" t="n"/>
      <c r="W1481" s="391" t="n"/>
      <c r="X1481" s="166" t="inlineStr"/>
    </row>
    <row r="1482" s="308">
      <c r="A1482" s="64">
        <f>ROW()-ROW(A$1464)</f>
        <v/>
      </c>
      <c r="B1482" s="22" t="inlineStr">
        <is>
          <t>辅料</t>
        </is>
      </c>
      <c r="C1482" s="22" t="inlineStr"/>
      <c r="D1482" s="22" t="inlineStr"/>
      <c r="E1482" s="23" t="inlineStr">
        <is>
          <t>套</t>
        </is>
      </c>
      <c r="F1482" s="23" t="n">
        <v>1</v>
      </c>
      <c r="G1482" s="349">
        <f>IF(AND(B1482="",C1482=""),"",ROUND(M1482*L1482*N1482,2))</f>
        <v/>
      </c>
      <c r="H1482" s="349">
        <f>IF(AND(B1482="",C1482=""),"",ROUND(F1482*G1482,2))</f>
        <v/>
      </c>
      <c r="I1482" s="179" t="inlineStr"/>
      <c r="J1482" s="397">
        <f>IF(AND(B1482="",C1482=""),"",ROUND(M1482*N1482,2))</f>
        <v/>
      </c>
      <c r="K1482" s="398">
        <f>IF(AND(B1482="",C1482=""),"",ROUND(J1482*F1482,2))</f>
        <v/>
      </c>
      <c r="L1482" s="141" t="n">
        <v>1</v>
      </c>
      <c r="M1482" s="399" t="n">
        <v>550</v>
      </c>
      <c r="N1482" s="154" t="n">
        <v>1</v>
      </c>
      <c r="O1482" s="155">
        <f>IF(AND(B1482="",C1482=""),"",IF(G1482&gt;=20000,0.05,IF(G1482&gt;=10000,0.1,IF(G1482&gt;=5000,0.2,IF(G1482&gt;=1000,0.3,IF(G1482&gt;=0,0.4,{0}))))))</f>
        <v/>
      </c>
      <c r="P1482" s="400">
        <f>IF(AND(B1482="",C1482=""),"",ROUND(H1482*O1482,2))</f>
        <v/>
      </c>
      <c r="Q1482" s="401" t="inlineStr">
        <is>
          <t>辅料</t>
        </is>
      </c>
      <c r="R1482" s="168" t="inlineStr"/>
      <c r="S1482" s="168" t="inlineStr"/>
      <c r="T1482" s="168" t="inlineStr">
        <is>
          <t>0</t>
        </is>
      </c>
      <c r="U1482" s="168" t="inlineStr"/>
      <c r="V1482" s="402" t="n"/>
      <c r="W1482" s="402" t="n"/>
      <c r="X1482" s="170" t="inlineStr"/>
    </row>
    <row r="1483" s="308">
      <c r="A1483" s="64">
        <f>ROW()-ROW(A$1464)</f>
        <v/>
      </c>
      <c r="B1483" s="22" t="inlineStr">
        <is>
          <t>柜体Blokset</t>
        </is>
      </c>
      <c r="C1483" s="33" t="inlineStr">
        <is>
          <t>700W*1200D*2200H</t>
        </is>
      </c>
      <c r="D1483" s="22" t="inlineStr">
        <is>
          <t>清科</t>
        </is>
      </c>
      <c r="E1483" s="23" t="inlineStr">
        <is>
          <t>台</t>
        </is>
      </c>
      <c r="F1483" s="23" t="n">
        <v>1</v>
      </c>
      <c r="G1483" s="349">
        <f>IF(AND(B1483="",C1483=""),"",ROUND(M1483*L1483*N1483,2))</f>
        <v/>
      </c>
      <c r="H1483" s="349">
        <f>IF(AND(B1483="",C1483=""),"",ROUND(F1483*G1483,2))</f>
        <v/>
      </c>
      <c r="I1483" s="179" t="inlineStr"/>
      <c r="J1483" s="397">
        <f>IF(AND(B1483="",C1483=""),"",ROUND(M1483*N1483,2))</f>
        <v/>
      </c>
      <c r="K1483" s="398">
        <f>IF(AND(B1483="",C1483=""),"",ROUND(J1483*F1483,2))</f>
        <v/>
      </c>
      <c r="L1483" s="141" t="n">
        <v>1</v>
      </c>
      <c r="M1483" s="399" t="n">
        <v>4010</v>
      </c>
      <c r="N1483" s="154" t="n">
        <v>1</v>
      </c>
      <c r="O1483" s="155">
        <f>IF(AND(B1483="",C1483=""),"",IF(G1483&gt;=20000,0.05,IF(G1483&gt;=10000,0.1,IF(G1483&gt;=5000,0.2,IF(G1483&gt;=1000,0.3,IF(G1483&gt;=0,0.4,{0}))))))</f>
        <v/>
      </c>
      <c r="P1483" s="400">
        <f>IF(AND(B1483="",C1483=""),"",ROUND(H1483*O1483,2))</f>
        <v/>
      </c>
      <c r="Q1483" s="401" t="inlineStr">
        <is>
          <t>箱体</t>
        </is>
      </c>
      <c r="R1483" s="168" t="inlineStr"/>
      <c r="S1483" s="168" t="inlineStr"/>
      <c r="T1483" s="168" t="inlineStr">
        <is>
          <t>0</t>
        </is>
      </c>
      <c r="U1483" s="168" t="inlineStr"/>
      <c r="V1483" s="402" t="n"/>
      <c r="W1483" s="402" t="n"/>
      <c r="X1483" s="170" t="inlineStr"/>
    </row>
    <row r="1484" customFormat="1" s="3">
      <c r="A1484" s="64">
        <f>ROW()-ROW(A$1464)</f>
        <v/>
      </c>
      <c r="B1484" s="27" t="inlineStr"/>
      <c r="C1484" s="27" t="inlineStr"/>
      <c r="D1484" s="27" t="inlineStr"/>
      <c r="E1484" s="28" t="n"/>
      <c r="F1484" s="28">
        <f>IF(AND(B1484="",C1484=""),"",1)</f>
        <v/>
      </c>
      <c r="G1484" s="353" t="n"/>
      <c r="H1484" s="353">
        <f>IF(AND(B1484="",C1484=""),"",ROUND(F1484*G1484,2))</f>
        <v/>
      </c>
      <c r="I1484" s="180" t="inlineStr"/>
      <c r="J1484" s="392">
        <f>IF(AND(B1484="",C1484=""),"",ROUND(M1484*N1484,2))</f>
        <v/>
      </c>
      <c r="K1484" s="393">
        <f>IF(AND(B1484="",C1484=""),"",ROUND(J1484*F1484,2))</f>
        <v/>
      </c>
      <c r="L1484" s="141">
        <f>IF(AND(B1484="",C1484=""),"",1)</f>
        <v/>
      </c>
      <c r="M1484" s="394" t="n"/>
      <c r="N1484" s="143">
        <f>IF(AND(B1484="",C1484=""),"",1)</f>
        <v/>
      </c>
      <c r="O1484" s="144">
        <f>IF(AND(B1484="",C1484=""),"",IF(J1484&gt;=20000,0.05,IF(J1484&gt;=10000,0.1,IF(J1484&gt;=5000,0.2,IF(J1484&gt;=1000,0.3,IF(J1484&gt;=0,0.4,{0}))))))</f>
        <v/>
      </c>
      <c r="P1484" s="395">
        <f>IF(AND(B1484="",C1484=""),"",ROUND(H1484*O1484,2))</f>
        <v/>
      </c>
      <c r="Q1484" s="390">
        <f>IF(AND(B1484="",C1484=""),"","元件")</f>
        <v/>
      </c>
      <c r="R1484" s="164" t="inlineStr"/>
      <c r="S1484" s="164" t="inlineStr"/>
      <c r="T1484" s="164" t="inlineStr"/>
      <c r="U1484" s="164" t="inlineStr"/>
      <c r="V1484" s="391" t="n"/>
      <c r="W1484" s="391" t="n"/>
      <c r="X1484" s="166" t="inlineStr"/>
    </row>
    <row r="1485" customFormat="1" s="3">
      <c r="A1485" s="64">
        <f>ROW()-ROW(A$1464)</f>
        <v/>
      </c>
      <c r="B1485" s="27" t="inlineStr"/>
      <c r="C1485" s="27" t="inlineStr"/>
      <c r="D1485" s="27" t="inlineStr"/>
      <c r="E1485" s="28" t="n"/>
      <c r="F1485" s="28">
        <f>IF(AND(B1485="",C1485=""),"",1)</f>
        <v/>
      </c>
      <c r="G1485" s="353">
        <f>IF(AND(B1485="",C1485=""),"",ROUND(M1485*L1485*N1485,2))</f>
        <v/>
      </c>
      <c r="H1485" s="353">
        <f>IF(AND(B1485="",C1485=""),"",ROUND(F1485*G1485,2))</f>
        <v/>
      </c>
      <c r="I1485" s="180" t="inlineStr"/>
      <c r="J1485" s="392">
        <f>IF(AND(B1485="",C1485=""),"",ROUND(M1485*N1485,2))</f>
        <v/>
      </c>
      <c r="K1485" s="393">
        <f>IF(AND(B1485="",C1485=""),"",ROUND(J1485*F1485,2))</f>
        <v/>
      </c>
      <c r="L1485" s="141">
        <f>IF(AND(B1485="",C1485=""),"",1)</f>
        <v/>
      </c>
      <c r="M1485" s="394" t="n"/>
      <c r="N1485" s="143">
        <f>IF(AND(B1485="",C1485=""),"",1)</f>
        <v/>
      </c>
      <c r="O1485" s="144">
        <f>IF(AND(B1485="",C1485=""),"",IF(J1485&gt;=20000,0.05,IF(J1485&gt;=10000,0.1,IF(J1485&gt;=5000,0.2,IF(J1485&gt;=1000,0.3,IF(J1485&gt;=0,0.4,{0}))))))</f>
        <v/>
      </c>
      <c r="P1485" s="395">
        <f>IF(AND(B1485="",C1485=""),"",ROUND(H1485*O1485,2))</f>
        <v/>
      </c>
      <c r="Q1485" s="390">
        <f>IF(AND(B1485="",C1485=""),"","元件")</f>
        <v/>
      </c>
      <c r="R1485" s="164" t="inlineStr"/>
      <c r="S1485" s="164" t="inlineStr"/>
      <c r="T1485" s="164" t="inlineStr"/>
      <c r="U1485" s="164" t="inlineStr"/>
      <c r="V1485" s="391" t="n"/>
      <c r="W1485" s="391" t="n"/>
      <c r="X1485" s="166" t="inlineStr"/>
    </row>
    <row r="1486" customFormat="1" s="3">
      <c r="A1486" s="64">
        <f>ROW()-ROW(A$1464)</f>
        <v/>
      </c>
      <c r="B1486" s="171" t="inlineStr">
        <is>
          <t>小计</t>
        </is>
      </c>
      <c r="C1486" s="172" t="n"/>
      <c r="D1486" s="82" t="n"/>
      <c r="E1486" s="28" t="n"/>
      <c r="F1486" s="28" t="n"/>
      <c r="G1486" s="353" t="n"/>
      <c r="H1486" s="353">
        <f>ROUND(SUM(H1464:INDEX(H:H,ROW()-1)),2)</f>
        <v/>
      </c>
      <c r="I1486" s="45" t="inlineStr"/>
      <c r="J1486" s="392" t="n"/>
      <c r="K1486" s="393">
        <f>ROUND(SUM(K1464:INDEX(K:K,ROW()-1)),2)</f>
        <v/>
      </c>
      <c r="L1486" s="141" t="n"/>
      <c r="M1486" s="394" t="n"/>
      <c r="N1486" s="143" t="n"/>
      <c r="O1486" s="144" t="n"/>
      <c r="P1486" s="395" t="n"/>
      <c r="Q1486" s="390" t="n"/>
      <c r="R1486" s="164" t="inlineStr"/>
      <c r="S1486" s="164" t="inlineStr"/>
      <c r="T1486" s="164" t="inlineStr"/>
      <c r="U1486" s="164" t="inlineStr"/>
      <c r="V1486" s="391">
        <f>ROUND(SUMPRODUCT(F1464:INDEX(F:F,ROW()-1),V1464:INDEX(V:V,ROW()-1)),2)</f>
        <v/>
      </c>
      <c r="W1486" s="391">
        <f>ROUND(SUMPRODUCT(F1464:INDEX(F:F,ROW()-1),W1464:INDEX(W:W,ROW()-1)),2)</f>
        <v/>
      </c>
      <c r="X1486" s="166" t="inlineStr"/>
    </row>
    <row r="1487" customFormat="1" s="3">
      <c r="A1487" s="64">
        <f>ROW()-ROW(A$1464)</f>
        <v/>
      </c>
      <c r="B1487" s="171" t="inlineStr">
        <is>
          <t>综合费(人工、管理、税金、利润等)</t>
        </is>
      </c>
      <c r="C1487" s="172" t="n"/>
      <c r="D1487" s="82" t="n"/>
      <c r="E1487" s="28" t="n"/>
      <c r="F1487" s="28" t="n"/>
      <c r="G1487" s="353" t="n"/>
      <c r="H1487" s="353">
        <f>2500</f>
        <v/>
      </c>
      <c r="I1487" s="45" t="inlineStr"/>
      <c r="J1487" s="392" t="n"/>
      <c r="K1487" s="393" t="n"/>
      <c r="L1487" s="141" t="n"/>
      <c r="M1487" s="394" t="n"/>
      <c r="N1487" s="143" t="n"/>
      <c r="O1487" s="144" t="n"/>
      <c r="P1487" s="395" t="n"/>
      <c r="Q1487" s="390" t="inlineStr">
        <is>
          <t>费用</t>
        </is>
      </c>
      <c r="R1487" s="164" t="inlineStr"/>
      <c r="S1487" s="164" t="inlineStr"/>
      <c r="T1487" s="164" t="inlineStr"/>
      <c r="U1487" s="164" t="inlineStr"/>
      <c r="V1487" s="391" t="n"/>
      <c r="W1487" s="391" t="n"/>
      <c r="X1487" s="166" t="inlineStr"/>
    </row>
    <row r="1488" customFormat="1" s="3">
      <c r="A1488" s="64">
        <f>ROW()-ROW(A$1464)</f>
        <v/>
      </c>
      <c r="B1488" s="82" t="inlineStr">
        <is>
          <t>单台合计</t>
        </is>
      </c>
      <c r="C1488" s="172" t="n"/>
      <c r="D1488" s="82" t="n"/>
      <c r="E1488" s="28" t="n"/>
      <c r="F1488" s="28" t="n"/>
      <c r="G1488" s="353" t="n"/>
      <c r="H1488" s="353">
        <f>ROUND(SUM(H1486:H1487),2)</f>
        <v/>
      </c>
      <c r="I1488" s="181" t="n"/>
      <c r="J1488" s="392" t="n"/>
      <c r="K1488" s="393">
        <f>ROUND(SUM(K1486:K1487),2)</f>
        <v/>
      </c>
      <c r="L1488" s="182" t="n"/>
      <c r="M1488" s="394" t="n"/>
      <c r="N1488" s="183" t="n"/>
      <c r="O1488" s="184" t="n"/>
      <c r="P1488" s="395" t="n"/>
      <c r="Q1488" s="390" t="n"/>
      <c r="R1488" s="164" t="inlineStr"/>
      <c r="S1488" s="164" t="inlineStr"/>
      <c r="T1488" s="164" t="inlineStr"/>
      <c r="U1488" s="164" t="inlineStr"/>
      <c r="V1488" s="391" t="n"/>
      <c r="W1488" s="391" t="n"/>
      <c r="X1488" s="166" t="inlineStr"/>
    </row>
    <row r="1489" customFormat="1" s="3">
      <c r="A1489" s="173" t="inlineStr">
        <is>
          <t>总计</t>
        </is>
      </c>
      <c r="B1489" s="174" t="n"/>
      <c r="C1489" s="175" t="n"/>
      <c r="D1489" s="176" t="n"/>
      <c r="E1489" s="176" t="inlineStr">
        <is>
          <t>台</t>
        </is>
      </c>
      <c r="F1489" s="176" t="n">
        <v>2</v>
      </c>
      <c r="G1489" s="403">
        <f>ROUND(H1488,2)</f>
        <v/>
      </c>
      <c r="H1489" s="403">
        <f>ROUND(F1489*G1489,2)</f>
        <v/>
      </c>
      <c r="I1489" s="185" t="n"/>
      <c r="J1489" s="404" t="n"/>
      <c r="K1489" s="405">
        <f>ROUND(K1488*F1489,2)</f>
        <v/>
      </c>
      <c r="L1489" s="188" t="n"/>
      <c r="M1489" s="406" t="n"/>
      <c r="N1489" s="190" t="n"/>
      <c r="O1489" s="191" t="n"/>
      <c r="P1489" s="407" t="n"/>
      <c r="Q1489" s="390" t="n"/>
      <c r="R1489" s="164" t="inlineStr"/>
      <c r="S1489" s="164" t="inlineStr"/>
      <c r="T1489" s="164" t="inlineStr"/>
      <c r="U1489" s="164" t="inlineStr"/>
      <c r="V1489" s="391" t="n"/>
      <c r="W1489" s="391" t="n"/>
      <c r="X1489" s="166" t="inlineStr"/>
    </row>
    <row r="1490" customFormat="1" s="2">
      <c r="A1490" s="89" t="n"/>
      <c r="B1490" s="132" t="inlineStr"/>
      <c r="C1490" s="132" t="inlineStr"/>
      <c r="D1490" s="132" t="inlineStr"/>
      <c r="Q1490" s="160" t="n"/>
      <c r="R1490" s="160" t="n"/>
      <c r="S1490" s="160" t="n"/>
      <c r="T1490" s="160" t="n"/>
      <c r="U1490" s="160" t="n"/>
      <c r="X1490" s="132" t="inlineStr"/>
    </row>
    <row r="1491" customFormat="1" s="2">
      <c r="A1491" s="89" t="n"/>
      <c r="B1491" s="132" t="inlineStr"/>
      <c r="C1491" s="132" t="inlineStr"/>
      <c r="D1491" s="132" t="inlineStr"/>
      <c r="Q1491" s="160" t="n"/>
      <c r="R1491" s="160" t="n"/>
      <c r="S1491" s="160" t="n"/>
      <c r="T1491" s="160" t="n"/>
      <c r="U1491" s="160" t="n"/>
      <c r="X1491" s="132" t="inlineStr"/>
    </row>
    <row r="1492" customFormat="1" s="3">
      <c r="A1492" s="92">
        <f>CONCATENATE("报价人：",项目信息!$B$8)</f>
        <v/>
      </c>
      <c r="B1492" s="92" t="n"/>
      <c r="C1492" s="2" t="n"/>
      <c r="D1492" s="2" t="n"/>
      <c r="E1492" s="2" t="n"/>
      <c r="F1492" s="2" t="n"/>
      <c r="G1492" s="2" t="n"/>
      <c r="H1492" s="178">
        <f>项目信息!$B$9</f>
        <v/>
      </c>
      <c r="Q1492" s="160" t="n"/>
      <c r="R1492" s="160" t="n"/>
      <c r="S1492" s="160" t="n"/>
      <c r="T1492" s="160" t="n"/>
      <c r="U1492" s="160" t="n"/>
      <c r="X1492" s="162" t="inlineStr"/>
    </row>
    <row r="1493" s="308">
      <c r="A1493" s="8">
        <f>T(项目信息!$B$22)</f>
        <v/>
      </c>
      <c r="Q1493" s="159" t="n"/>
      <c r="R1493" s="159" t="n"/>
      <c r="S1493" s="159" t="n"/>
      <c r="T1493" s="159" t="n"/>
      <c r="U1493" s="159" t="n"/>
    </row>
    <row r="1494" s="308">
      <c r="A1494" s="9">
        <f>T(项目信息!$B$23)</f>
        <v/>
      </c>
      <c r="Q1494" s="159" t="n"/>
      <c r="R1494" s="159" t="n"/>
      <c r="S1494" s="159" t="n"/>
      <c r="T1494" s="159" t="n"/>
      <c r="U1494" s="159" t="n"/>
    </row>
    <row r="1495" s="308">
      <c r="A1495" s="97" t="inlineStr">
        <is>
          <t>成套产品报价明细表</t>
        </is>
      </c>
      <c r="B1495" s="378" t="n"/>
      <c r="C1495" s="378" t="n"/>
      <c r="D1495" s="378" t="n"/>
      <c r="E1495" s="378" t="n"/>
      <c r="F1495" s="378" t="n"/>
      <c r="G1495" s="378" t="n"/>
      <c r="H1495" s="378" t="n"/>
      <c r="I1495" s="378" t="n"/>
      <c r="Q1495" s="159" t="n"/>
      <c r="R1495" s="159" t="n"/>
      <c r="S1495" s="159" t="n"/>
      <c r="T1495" s="159" t="n"/>
      <c r="U1495" s="159" t="n"/>
    </row>
    <row r="1496" customFormat="1" s="4">
      <c r="A1496" s="98" t="inlineStr">
        <is>
          <t>柜号:</t>
        </is>
      </c>
      <c r="B1496" s="99" t="inlineStr">
        <is>
          <t>AAN13-02、BAN14-02</t>
        </is>
      </c>
      <c r="C1496" s="100" t="inlineStr">
        <is>
          <t>型号:</t>
        </is>
      </c>
      <c r="D1496" s="99" t="inlineStr">
        <is>
          <t>BlokSeT</t>
        </is>
      </c>
      <c r="E1496" s="379" t="n"/>
      <c r="F1496" s="101" t="inlineStr">
        <is>
          <t>名称:</t>
        </is>
      </c>
      <c r="G1496" s="99" t="inlineStr">
        <is>
          <t>电容柜</t>
        </is>
      </c>
      <c r="H1496" s="379" t="n"/>
      <c r="I1496" s="408" t="inlineStr"/>
      <c r="J1496" s="194" t="inlineStr">
        <is>
          <t>箱柜尺寸:</t>
        </is>
      </c>
      <c r="K1496" s="195" t="inlineStr">
        <is>
          <t>800W*1200D*2200H</t>
        </is>
      </c>
      <c r="L1496" s="194" t="inlineStr">
        <is>
          <t>类别:</t>
        </is>
      </c>
      <c r="M1496" s="195" t="inlineStr">
        <is>
          <t>低压固定柜</t>
        </is>
      </c>
      <c r="N1496" s="409" t="inlineStr"/>
      <c r="Q1496" s="159" t="n"/>
      <c r="R1496" s="159" t="n"/>
      <c r="S1496" s="159" t="n"/>
      <c r="T1496" s="159" t="n"/>
      <c r="U1496" s="159" t="n"/>
    </row>
    <row r="1497" ht="20.1" customHeight="1" s="308">
      <c r="A1497" s="102" t="inlineStr">
        <is>
          <t>序号</t>
        </is>
      </c>
      <c r="B1497" s="103" t="inlineStr">
        <is>
          <t>元件名称</t>
        </is>
      </c>
      <c r="C1497" s="103" t="inlineStr">
        <is>
          <t>型号规格</t>
        </is>
      </c>
      <c r="D1497" s="104" t="inlineStr">
        <is>
          <t>生产厂家</t>
        </is>
      </c>
      <c r="E1497" s="105" t="inlineStr">
        <is>
          <t>单位</t>
        </is>
      </c>
      <c r="F1497" s="105" t="inlineStr">
        <is>
          <t>数量</t>
        </is>
      </c>
      <c r="G1497" s="382" t="inlineStr">
        <is>
          <t>单   价</t>
        </is>
      </c>
      <c r="H1497" s="383" t="inlineStr">
        <is>
          <t>总   价</t>
        </is>
      </c>
      <c r="I1497" s="134" t="inlineStr">
        <is>
          <t>备注</t>
        </is>
      </c>
      <c r="J1497" s="384" t="inlineStr">
        <is>
          <t>成本单价</t>
        </is>
      </c>
      <c r="K1497" s="384" t="inlineStr">
        <is>
          <t>成本总价</t>
        </is>
      </c>
      <c r="L1497" s="136" t="inlineStr">
        <is>
          <t>报出
系数</t>
        </is>
      </c>
      <c r="M1497" s="384" t="inlineStr">
        <is>
          <t>表价</t>
        </is>
      </c>
      <c r="N1497" s="136" t="inlineStr">
        <is>
          <t>折扣
系数</t>
        </is>
      </c>
      <c r="O1497" s="137" t="inlineStr">
        <is>
          <t>取费
系数</t>
        </is>
      </c>
      <c r="P1497" s="384" t="inlineStr">
        <is>
          <t>成套费</t>
        </is>
      </c>
      <c r="Q1497" s="161" t="inlineStr">
        <is>
          <t>类别</t>
        </is>
      </c>
      <c r="R1497" s="161" t="inlineStr">
        <is>
          <t>物料编码</t>
        </is>
      </c>
      <c r="S1497" s="161" t="inlineStr">
        <is>
          <t>产地</t>
        </is>
      </c>
      <c r="T1497" s="161" t="inlineStr">
        <is>
          <t>加工费</t>
        </is>
      </c>
      <c r="U1497" s="161" t="inlineStr">
        <is>
          <t>订货号</t>
        </is>
      </c>
      <c r="V1497" s="161" t="inlineStr">
        <is>
          <t>人工</t>
        </is>
      </c>
      <c r="W1497" s="161" t="inlineStr">
        <is>
          <t>辅料</t>
        </is>
      </c>
      <c r="X1497" s="203" t="inlineStr"/>
    </row>
    <row r="1498" s="308">
      <c r="A1498" s="108">
        <f>ROW()-ROW(A$1497)</f>
        <v/>
      </c>
      <c r="B1498" s="112" t="inlineStr">
        <is>
          <t>隔离开关熔断器组</t>
        </is>
      </c>
      <c r="C1498" s="109" t="inlineStr">
        <is>
          <t>GS630/3P3F+正面延伸旋转手柄 黑色+旋转手柄轴200mm/630-1250A</t>
        </is>
      </c>
      <c r="D1498" s="109" t="inlineStr">
        <is>
          <t>甲供/施耐德电气</t>
        </is>
      </c>
      <c r="E1498" s="110" t="inlineStr">
        <is>
          <t>只</t>
        </is>
      </c>
      <c r="F1498" s="110" t="n">
        <v>1</v>
      </c>
      <c r="G1498" s="385">
        <f>IF(AND(B1498="",C1498=""),"",ROUND(M1498*L1498*N1498,2))</f>
        <v/>
      </c>
      <c r="H1498" s="385">
        <f>IF(AND(B1498="",C1498=""),"",ROUND(F1498*G1498,2))</f>
        <v/>
      </c>
      <c r="I1498" s="197" t="inlineStr"/>
      <c r="J1498" s="410">
        <f>IF(AND(B1498="",C1498=""),"",ROUND(M1498*N1498,2))</f>
        <v/>
      </c>
      <c r="K1498" s="411">
        <f>IF(AND(B1498="",C1498=""),"",ROUND(J1498*F1498,2))</f>
        <v/>
      </c>
      <c r="L1498" s="200" t="n">
        <v>1</v>
      </c>
      <c r="M1498" s="412" t="n">
        <v>1e-07</v>
      </c>
      <c r="N1498" s="154" t="n">
        <v>1</v>
      </c>
      <c r="O1498" s="155">
        <f>IF(AND(B1498="",C1498=""),"",IF(G1498&gt;=20000,0.05,IF(G1498&gt;=10000,0.1,IF(G1498&gt;=5000,0.2,IF(G1498&gt;=1000,0.3,IF(G1498&gt;=0,0.4,{0}))))))</f>
        <v/>
      </c>
      <c r="P1498" s="413">
        <f>IF(AND(B1498="",C1498=""),"",ROUND(H1498*O1498,2))</f>
        <v/>
      </c>
      <c r="Q1498" s="401" t="inlineStr">
        <is>
          <t>元件</t>
        </is>
      </c>
      <c r="R1498" s="168" t="inlineStr"/>
      <c r="S1498" s="168" t="inlineStr"/>
      <c r="T1498" s="168" t="n">
        <v>0</v>
      </c>
      <c r="U1498" s="168" t="inlineStr">
        <is>
          <t>LV481453+GS2AH550+GS2AE52</t>
        </is>
      </c>
      <c r="V1498" s="402" t="n"/>
      <c r="W1498" s="402" t="n"/>
      <c r="X1498" s="170" t="inlineStr">
        <is>
          <t>GS800/3P3F 正面延伸旋转手柄 黑色+旋转手柄轴200mm/630-1250A→GS630/3P3F+正面延伸旋转手柄 黑色+旋转手柄轴200mm/630-1250A→WGR-500/3-FW→NSX630N Mic2.3 630A 3P3D P→NSX630N Mic5.3B 630A 3P3D P→GS800/3P3F+正面延伸旋转手柄 黑色+旋转手柄轴200mm/630-1250A</t>
        </is>
      </c>
    </row>
    <row r="1499" s="308">
      <c r="A1499" s="108">
        <f>ROW()-ROW(A$1497)</f>
        <v/>
      </c>
      <c r="B1499" s="112" t="inlineStr">
        <is>
          <t>熔断器</t>
        </is>
      </c>
      <c r="C1499" s="109" t="inlineStr">
        <is>
          <t>NH3 gG 690V/630A</t>
        </is>
      </c>
      <c r="D1499" s="109" t="inlineStr">
        <is>
          <t>茗熔</t>
        </is>
      </c>
      <c r="E1499" s="110" t="inlineStr">
        <is>
          <t>只</t>
        </is>
      </c>
      <c r="F1499" s="110" t="n">
        <v>3</v>
      </c>
      <c r="G1499" s="385">
        <f>IF(AND(B1499="",C1499=""),"",ROUND(M1499*L1499*N1499,2))</f>
        <v/>
      </c>
      <c r="H1499" s="385">
        <f>IF(AND(B1499="",C1499=""),"",ROUND(F1499*G1499,2))</f>
        <v/>
      </c>
      <c r="I1499" s="197" t="inlineStr"/>
      <c r="J1499" s="410">
        <f>IF(AND(B1499="",C1499=""),"",ROUND(M1499*N1499,2))</f>
        <v/>
      </c>
      <c r="K1499" s="411">
        <f>IF(AND(B1499="",C1499=""),"",ROUND(J1499*F1499,2))</f>
        <v/>
      </c>
      <c r="L1499" s="200" t="n">
        <v>1</v>
      </c>
      <c r="M1499" s="412" t="n">
        <v>62</v>
      </c>
      <c r="N1499" s="154" t="n">
        <v>1</v>
      </c>
      <c r="O1499" s="155">
        <f>IF(AND(B1499="",C1499=""),"",IF(G1499&gt;=20000,0.05,IF(G1499&gt;=10000,0.1,IF(G1499&gt;=5000,0.2,IF(G1499&gt;=1000,0.3,IF(G1499&gt;=0,0.4,{0}))))))</f>
        <v/>
      </c>
      <c r="P1499" s="413">
        <f>IF(AND(B1499="",C1499=""),"",ROUND(H1499*O1499,2))</f>
        <v/>
      </c>
      <c r="Q1499" s="401" t="inlineStr">
        <is>
          <t>元件</t>
        </is>
      </c>
      <c r="R1499" s="168" t="inlineStr"/>
      <c r="S1499" s="168" t="inlineStr"/>
      <c r="T1499" s="168" t="inlineStr">
        <is>
          <t>0</t>
        </is>
      </c>
      <c r="U1499" s="168" t="inlineStr">
        <is>
          <t>0</t>
        </is>
      </c>
      <c r="V1499" s="402" t="n"/>
      <c r="W1499" s="402" t="n"/>
      <c r="X1499" s="170" t="inlineStr">
        <is>
          <t>RT17(NT4) gG 400/690V 800A 3C</t>
        </is>
      </c>
    </row>
    <row r="1500" s="308">
      <c r="A1500" s="64">
        <f>ROW()-ROW(A$1497)</f>
        <v/>
      </c>
      <c r="B1500" s="22" t="inlineStr">
        <is>
          <t>多功能表</t>
        </is>
      </c>
      <c r="C1500" s="22" t="inlineStr">
        <is>
          <t>PM4101</t>
        </is>
      </c>
      <c r="D1500" s="109" t="inlineStr">
        <is>
          <t>甲供/施耐德电气</t>
        </is>
      </c>
      <c r="E1500" s="23" t="inlineStr">
        <is>
          <t>只</t>
        </is>
      </c>
      <c r="F1500" s="23" t="n">
        <v>1</v>
      </c>
      <c r="G1500" s="349">
        <f>IF(AND(B1500="",C1500=""),"",ROUND(M1500*L1500*N1500,2))</f>
        <v/>
      </c>
      <c r="H1500" s="349">
        <f>IF(AND(B1500="",C1500=""),"",ROUND(F1500*G1500,2))</f>
        <v/>
      </c>
      <c r="I1500" s="45" t="inlineStr"/>
      <c r="J1500" s="397">
        <f>IF(AND(B1500="",C1500=""),"",ROUND(M1500*N1500,2))</f>
        <v/>
      </c>
      <c r="K1500" s="398">
        <f>IF(AND(B1500="",C1500=""),"",ROUND(J1500*F1500,2))</f>
        <v/>
      </c>
      <c r="L1500" s="200" t="n">
        <v>1</v>
      </c>
      <c r="M1500" s="399" t="n">
        <v>1e-07</v>
      </c>
      <c r="N1500" s="154" t="n">
        <v>1</v>
      </c>
      <c r="O1500" s="155">
        <f>IF(AND(B1500="",C1500=""),"",IF(G1500&gt;=20000,0.05,IF(G1500&gt;=10000,0.1,IF(G1500&gt;=5000,0.2,IF(G1500&gt;=1000,0.3,IF(G1500&gt;=0,0.4,{0}))))))</f>
        <v/>
      </c>
      <c r="P1500" s="400">
        <f>IF(AND(B1500="",C1500=""),"",ROUND(H1500*O1500,2))</f>
        <v/>
      </c>
      <c r="Q1500" s="401" t="inlineStr">
        <is>
          <t>元件</t>
        </is>
      </c>
      <c r="R1500" s="168" t="inlineStr"/>
      <c r="S1500" s="168" t="inlineStr"/>
      <c r="T1500" s="168" t="inlineStr">
        <is>
          <t>0</t>
        </is>
      </c>
      <c r="U1500" s="168" t="inlineStr"/>
      <c r="V1500" s="402" t="n"/>
      <c r="W1500" s="402" t="n"/>
      <c r="X1500" s="170" t="inlineStr">
        <is>
          <t>PM→PM5350P</t>
        </is>
      </c>
    </row>
    <row r="1501" s="308">
      <c r="A1501" s="64">
        <f>ROW()-ROW(A$1497)</f>
        <v/>
      </c>
      <c r="B1501" s="112" t="inlineStr">
        <is>
          <t>电流互感器</t>
        </is>
      </c>
      <c r="C1501" s="22" t="inlineStr">
        <is>
          <t>SD-0.66-285III-C 5000/5A</t>
        </is>
      </c>
      <c r="D1501" s="112" t="inlineStr">
        <is>
          <t>桑迪</t>
        </is>
      </c>
      <c r="E1501" s="114" t="inlineStr">
        <is>
          <t>只</t>
        </is>
      </c>
      <c r="F1501" s="23" t="n">
        <v>3</v>
      </c>
      <c r="G1501" s="396">
        <f>IF(AND(B1501="",C1501=""),"",ROUND(M1501*L1501*N1501,2))</f>
        <v/>
      </c>
      <c r="H1501" s="349">
        <f>IF(AND(B1501="",C1501=""),"",ROUND(F1501*G1501,2))</f>
        <v/>
      </c>
      <c r="I1501" s="45" t="inlineStr"/>
      <c r="J1501" s="397">
        <f>IF(AND(B1501="",C1501=""),"",ROUND(M1501*N1501,2))</f>
        <v/>
      </c>
      <c r="K1501" s="398">
        <f>IF(AND(B1501="",C1501=""),"",ROUND(J1501*F1501,2))</f>
        <v/>
      </c>
      <c r="L1501" s="200" t="n">
        <v>1</v>
      </c>
      <c r="M1501" s="399" t="n">
        <v>1026.31</v>
      </c>
      <c r="N1501" s="154" t="n">
        <v>1</v>
      </c>
      <c r="O1501" s="155">
        <f>IF(AND(B1501="",C1501=""),"",IF(G1501&gt;=20000,0.05,IF(G1501&gt;=10000,0.1,IF(G1501&gt;=5000,0.2,IF(G1501&gt;=1000,0.3,IF(G1501&gt;=0,0.4,{0}))))))</f>
        <v/>
      </c>
      <c r="P1501" s="400">
        <f>IF(AND(B1501="",C1501=""),"",ROUND(H1501*O1501,2))</f>
        <v/>
      </c>
      <c r="Q1501" s="401" t="inlineStr">
        <is>
          <t>元件</t>
        </is>
      </c>
      <c r="R1501" s="168" t="inlineStr"/>
      <c r="S1501" s="168" t="inlineStr"/>
      <c r="T1501" s="168" t="inlineStr">
        <is>
          <t>0</t>
        </is>
      </c>
      <c r="U1501" s="168" t="inlineStr"/>
      <c r="V1501" s="402" t="n"/>
      <c r="W1501" s="402" t="n"/>
      <c r="X1501" s="170" t="inlineStr">
        <is>
          <t>BH-0.66/80C(P) 800/5A→SD-0.66-80II-V 800/5A→SD-0.66-40II-C 400/5A→SD-0.66-60II-C 600/5A→SD-0.66-60II-C 750/5A→SD-0.66-80II-V 800/5A→SD-0.66-60II-C 600/5A</t>
        </is>
      </c>
    </row>
    <row r="1502" s="308">
      <c r="A1502" s="64">
        <f>ROW()-ROW(A$1497)</f>
        <v/>
      </c>
      <c r="B1502" s="112" t="inlineStr">
        <is>
          <t>电流互感器</t>
        </is>
      </c>
      <c r="C1502" s="22" t="inlineStr">
        <is>
          <t>SD-0.66-60II-C 600/5A</t>
        </is>
      </c>
      <c r="D1502" s="112" t="inlineStr">
        <is>
          <t>桑迪</t>
        </is>
      </c>
      <c r="E1502" s="114" t="inlineStr">
        <is>
          <t>只</t>
        </is>
      </c>
      <c r="F1502" s="23" t="n">
        <v>3</v>
      </c>
      <c r="G1502" s="396">
        <f>IF(AND(B1502="",C1502=""),"",ROUND(M1502*L1502*N1502,2))</f>
        <v/>
      </c>
      <c r="H1502" s="349">
        <f>IF(AND(B1502="",C1502=""),"",ROUND(F1502*G1502,2))</f>
        <v/>
      </c>
      <c r="I1502" s="45" t="inlineStr"/>
      <c r="J1502" s="397">
        <f>IF(AND(B1502="",C1502=""),"",ROUND(M1502*N1502,2))</f>
        <v/>
      </c>
      <c r="K1502" s="398">
        <f>IF(AND(B1502="",C1502=""),"",ROUND(J1502*F1502,2))</f>
        <v/>
      </c>
      <c r="L1502" s="200" t="n">
        <v>1</v>
      </c>
      <c r="M1502" s="399" t="n">
        <v>63.7</v>
      </c>
      <c r="N1502" s="154" t="n">
        <v>1</v>
      </c>
      <c r="O1502" s="155">
        <f>IF(AND(B1502="",C1502=""),"",IF(G1502&gt;=20000,0.05,IF(G1502&gt;=10000,0.1,IF(G1502&gt;=5000,0.2,IF(G1502&gt;=1000,0.3,IF(G1502&gt;=0,0.4,{0}))))))</f>
        <v/>
      </c>
      <c r="P1502" s="400">
        <f>IF(AND(B1502="",C1502=""),"",ROUND(H1502*O1502,2))</f>
        <v/>
      </c>
      <c r="Q1502" s="401" t="inlineStr">
        <is>
          <t>元件</t>
        </is>
      </c>
      <c r="R1502" s="168" t="inlineStr"/>
      <c r="S1502" s="168" t="inlineStr"/>
      <c r="T1502" s="168" t="inlineStr">
        <is>
          <t>0</t>
        </is>
      </c>
      <c r="U1502" s="168" t="inlineStr"/>
      <c r="V1502" s="402" t="n"/>
      <c r="W1502" s="402" t="n"/>
      <c r="X1502" s="170" t="inlineStr">
        <is>
          <t>BH-0.66/80C(P) 800/5A→SD-0.66-80II-V 800/5A→SD-0.66-40II-C 400/5A→SD-0.66-60II-C 600/5A→SD-0.66-60II-C 750/5A→SD-0.66-80II-V 800/5A→SD-0.66-60II-C 600/5A→SD-0.66-60II-C 800/5A</t>
        </is>
      </c>
    </row>
    <row r="1503" s="308">
      <c r="A1503" s="64">
        <f>ROW()-ROW(A$1497)</f>
        <v/>
      </c>
      <c r="B1503" s="22" t="inlineStr">
        <is>
          <t>SVG</t>
        </is>
      </c>
      <c r="C1503" s="22" t="inlineStr">
        <is>
          <t>250kvar</t>
        </is>
      </c>
      <c r="D1503" s="27" t="inlineStr">
        <is>
          <t>甲供</t>
        </is>
      </c>
      <c r="E1503" s="23" t="inlineStr">
        <is>
          <t>套</t>
        </is>
      </c>
      <c r="F1503" s="23">
        <f>IF(AND(B1503="",C1503=""),"",1)</f>
        <v/>
      </c>
      <c r="G1503" s="349">
        <f>IF(AND(B1503="",C1503=""),"",ROUND(M1503*L1503*N1503,2))</f>
        <v/>
      </c>
      <c r="H1503" s="349">
        <f>IF(AND(B1503="",C1503=""),"",ROUND(F1503*G1503,2))</f>
        <v/>
      </c>
      <c r="I1503" s="45" t="inlineStr"/>
      <c r="J1503" s="397">
        <f>IF(AND(B1503="",C1503=""),"",ROUND(M1503*N1503,2))</f>
        <v/>
      </c>
      <c r="K1503" s="398">
        <f>IF(AND(B1503="",C1503=""),"",ROUND(J1503*F1503,2))</f>
        <v/>
      </c>
      <c r="L1503" s="200" t="n">
        <v>1</v>
      </c>
      <c r="M1503" s="399" t="n">
        <v>1e-07</v>
      </c>
      <c r="N1503" s="154" t="n">
        <v>1</v>
      </c>
      <c r="O1503" s="155">
        <f>IF(AND(B1503="",C1503=""),"",IF(G1503&gt;=20000,0.05,IF(G1503&gt;=10000,0.1,IF(G1503&gt;=5000,0.2,IF(G1503&gt;=1000,0.3,IF(G1503&gt;=0,0.4,{0}))))))</f>
        <v/>
      </c>
      <c r="P1503" s="400">
        <f>IF(AND(B1503="",C1503=""),"",ROUND(H1503*O1503,2))</f>
        <v/>
      </c>
      <c r="Q1503" s="401" t="inlineStr">
        <is>
          <t>元件</t>
        </is>
      </c>
      <c r="R1503" s="168" t="inlineStr"/>
      <c r="S1503" s="168" t="inlineStr"/>
      <c r="T1503" s="168" t="inlineStr">
        <is>
          <t>0</t>
        </is>
      </c>
      <c r="U1503" s="168" t="inlineStr"/>
      <c r="V1503" s="402" t="n"/>
      <c r="W1503" s="402" t="n"/>
      <c r="X1503" s="170" t="inlineStr"/>
    </row>
    <row r="1504" s="308">
      <c r="A1504" s="64">
        <f>ROW()-ROW(A$1497)</f>
        <v/>
      </c>
      <c r="B1504" s="112" t="inlineStr">
        <is>
          <t>避雷器</t>
        </is>
      </c>
      <c r="C1504" s="22" t="inlineStr">
        <is>
          <t>YH3W2-0.28/1.3</t>
        </is>
      </c>
      <c r="D1504" s="22" t="inlineStr">
        <is>
          <t>国产优质</t>
        </is>
      </c>
      <c r="E1504" s="114" t="inlineStr">
        <is>
          <t>只</t>
        </is>
      </c>
      <c r="F1504" s="23" t="n">
        <v>3</v>
      </c>
      <c r="G1504" s="396">
        <f>IF(AND(B1504="",C1504=""),"",ROUND(M1504*L1504*N1504,2))</f>
        <v/>
      </c>
      <c r="H1504" s="349">
        <f>IF(AND(B1504="",C1504=""),"",ROUND(F1504*G1504,2))</f>
        <v/>
      </c>
      <c r="I1504" s="45" t="inlineStr"/>
      <c r="J1504" s="397">
        <f>IF(AND(B1504="",C1504=""),"",ROUND(M1504*N1504,2))</f>
        <v/>
      </c>
      <c r="K1504" s="398">
        <f>IF(AND(B1504="",C1504=""),"",ROUND(J1504*F1504,2))</f>
        <v/>
      </c>
      <c r="L1504" s="200" t="n">
        <v>1</v>
      </c>
      <c r="M1504" s="399" t="n">
        <v>25</v>
      </c>
      <c r="N1504" s="154" t="n">
        <v>1</v>
      </c>
      <c r="O1504" s="155">
        <f>IF(AND(B1504="",C1504=""),"",IF(G1504&gt;=20000,0.05,IF(G1504&gt;=10000,0.1,IF(G1504&gt;=5000,0.2,IF(G1504&gt;=1000,0.3,IF(G1504&gt;=0,0.4,{0}))))))</f>
        <v/>
      </c>
      <c r="P1504" s="400">
        <f>IF(AND(B1504="",C1504=""),"",ROUND(H1504*O1504,2))</f>
        <v/>
      </c>
      <c r="Q1504" s="401" t="inlineStr">
        <is>
          <t>元件</t>
        </is>
      </c>
      <c r="R1504" s="168" t="inlineStr"/>
      <c r="S1504" s="168" t="inlineStr"/>
      <c r="T1504" s="168" t="inlineStr">
        <is>
          <t>0</t>
        </is>
      </c>
      <c r="U1504" s="168" t="inlineStr">
        <is>
          <t>A9L208044</t>
        </is>
      </c>
      <c r="V1504" s="402" t="n"/>
      <c r="W1504" s="402" t="n"/>
      <c r="X1504" s="170" t="inlineStr"/>
    </row>
    <row r="1505" s="308">
      <c r="A1505" s="64">
        <f>ROW()-ROW(A$1497)</f>
        <v/>
      </c>
      <c r="B1505" s="112" t="inlineStr">
        <is>
          <t>温湿度控制器</t>
        </is>
      </c>
      <c r="C1505" s="112" t="inlineStr">
        <is>
          <t>ATH48G-11</t>
        </is>
      </c>
      <c r="D1505" s="22" t="inlineStr">
        <is>
          <t>杭州安廷</t>
        </is>
      </c>
      <c r="E1505" s="23" t="inlineStr">
        <is>
          <t>套</t>
        </is>
      </c>
      <c r="F1505" s="23" t="n">
        <v>1</v>
      </c>
      <c r="G1505" s="349">
        <f>IF(AND(B1505="",C1505=""),"",ROUND(M1505*L1505*N1505,2))</f>
        <v/>
      </c>
      <c r="H1505" s="396">
        <f>IF(AND(B1505="",C1505=""),"",ROUND(F1505*G1505,2))</f>
        <v/>
      </c>
      <c r="I1505" s="150" t="inlineStr"/>
      <c r="J1505" s="397">
        <f>IF(AND(B1505="",C1505=""),"",ROUND(M1505*N1505,2))</f>
        <v/>
      </c>
      <c r="K1505" s="398">
        <f>IF(AND(B1505="",C1505=""),"",ROUND(J1505*F1505,2))</f>
        <v/>
      </c>
      <c r="L1505" s="141" t="n">
        <v>1</v>
      </c>
      <c r="M1505" s="399" t="n">
        <v>450</v>
      </c>
      <c r="N1505" s="154" t="n">
        <v>1</v>
      </c>
      <c r="O1505" s="155">
        <f>IF(AND(B1505="",C1505=""),"",IF(G1505&gt;=20000,0.05,IF(G1505&gt;=10000,0.1,IF(G1505&gt;=5000,0.2,IF(G1505&gt;=1000,0.3,IF(G1505&gt;=0,0.4,{0}))))))</f>
        <v/>
      </c>
      <c r="P1505" s="400">
        <f>IF(AND(B1505="",C1505=""),"",ROUND(H1505*O1505,2))</f>
        <v/>
      </c>
      <c r="Q1505" s="401" t="inlineStr">
        <is>
          <t>元件</t>
        </is>
      </c>
      <c r="R1505" s="168" t="inlineStr"/>
      <c r="S1505" s="168" t="inlineStr"/>
      <c r="T1505" s="168" t="inlineStr">
        <is>
          <t>0</t>
        </is>
      </c>
      <c r="U1505" s="168" t="inlineStr"/>
      <c r="V1505" s="402" t="n"/>
      <c r="W1505" s="402" t="n"/>
      <c r="X1505" s="170" t="inlineStr"/>
    </row>
    <row r="1506" s="308">
      <c r="A1506" s="64">
        <f>ROW()-ROW(A$1497)</f>
        <v/>
      </c>
      <c r="B1506" s="22" t="inlineStr">
        <is>
          <t>电容柜散热风扇</t>
        </is>
      </c>
      <c r="C1506" s="22" t="inlineStr">
        <is>
          <t>SF2208HA2BMT+SVF105SND</t>
        </is>
      </c>
      <c r="D1506" s="22" t="inlineStr">
        <is>
          <t>源顶</t>
        </is>
      </c>
      <c r="E1506" s="23" t="inlineStr">
        <is>
          <t>只</t>
        </is>
      </c>
      <c r="F1506" s="23" t="n">
        <v>2</v>
      </c>
      <c r="G1506" s="349">
        <f>IF(AND(B1506="",C1506=""),"",ROUND(M1506*L1506*N1506,2))</f>
        <v/>
      </c>
      <c r="H1506" s="349">
        <f>IF(AND(B1506="",C1506=""),"",ROUND(F1506*G1506,2))</f>
        <v/>
      </c>
      <c r="I1506" s="45" t="inlineStr"/>
      <c r="J1506" s="397">
        <f>IF(AND(B1506="",C1506=""),"",ROUND(M1506*N1506,2))</f>
        <v/>
      </c>
      <c r="K1506" s="398">
        <f>IF(AND(B1506="",C1506=""),"",ROUND(J1506*F1506,2))</f>
        <v/>
      </c>
      <c r="L1506" s="200" t="n">
        <v>1</v>
      </c>
      <c r="M1506" s="399" t="n">
        <v>241</v>
      </c>
      <c r="N1506" s="154" t="n">
        <v>1</v>
      </c>
      <c r="O1506" s="155">
        <f>IF(AND(B1506="",C1506=""),"",IF(G1506&gt;=20000,0.05,IF(G1506&gt;=10000,0.1,IF(G1506&gt;=5000,0.2,IF(G1506&gt;=1000,0.3,IF(G1506&gt;=0,0.4,{0}))))))</f>
        <v/>
      </c>
      <c r="P1506" s="400">
        <f>IF(AND(B1506="",C1506=""),"",ROUND(H1506*O1506,2))</f>
        <v/>
      </c>
      <c r="Q1506" s="401" t="inlineStr">
        <is>
          <t>元件</t>
        </is>
      </c>
      <c r="R1506" s="168" t="inlineStr"/>
      <c r="S1506" s="168" t="inlineStr"/>
      <c r="T1506" s="168" t="inlineStr">
        <is>
          <t>0</t>
        </is>
      </c>
      <c r="U1506" s="168" t="inlineStr">
        <is>
          <t>0</t>
        </is>
      </c>
      <c r="V1506" s="402" t="n"/>
      <c r="W1506" s="402" t="n"/>
      <c r="X1506" s="170" t="inlineStr">
        <is>
          <t>SF2208HA2BMT+SVF105SND</t>
        </is>
      </c>
    </row>
    <row r="1507" s="308">
      <c r="A1507" s="64">
        <f>ROW()-ROW(A$1497)</f>
        <v/>
      </c>
      <c r="B1507" s="22" t="inlineStr">
        <is>
          <t>带熔丝端子</t>
        </is>
      </c>
      <c r="C1507" s="22" t="inlineStr">
        <is>
          <t>UK 5-HESI</t>
        </is>
      </c>
      <c r="D1507" s="22" t="inlineStr">
        <is>
          <t>菲尼克斯</t>
        </is>
      </c>
      <c r="E1507" s="23" t="inlineStr">
        <is>
          <t>只</t>
        </is>
      </c>
      <c r="F1507" s="23" t="n">
        <v>10</v>
      </c>
      <c r="G1507" s="349">
        <f>IF(AND(B1507="",C1507=""),"",ROUND(M1507*L1507*N1507,2))</f>
        <v/>
      </c>
      <c r="H1507" s="349">
        <f>IF(AND(B1507="",C1507=""),"",ROUND(F1507*G1507,2))</f>
        <v/>
      </c>
      <c r="I1507" s="45" t="inlineStr"/>
      <c r="J1507" s="397">
        <f>IF(AND(B1507="",C1507=""),"",ROUND(M1507*N1507,2))</f>
        <v/>
      </c>
      <c r="K1507" s="398">
        <f>IF(AND(B1507="",C1507=""),"",ROUND(J1507*F1507,2))</f>
        <v/>
      </c>
      <c r="L1507" s="200" t="n">
        <v>1</v>
      </c>
      <c r="M1507" s="399" t="n">
        <v>7</v>
      </c>
      <c r="N1507" s="154" t="n">
        <v>1</v>
      </c>
      <c r="O1507" s="155">
        <f>IF(AND(B1507="",C1507=""),"",IF(G1507&gt;=20000,0.05,IF(G1507&gt;=10000,0.1,IF(G1507&gt;=5000,0.2,IF(G1507&gt;=1000,0.3,IF(G1507&gt;=0,0.4,{0}))))))</f>
        <v/>
      </c>
      <c r="P1507" s="400">
        <f>IF(AND(B1507="",C1507=""),"",ROUND(H1507*O1507,2))</f>
        <v/>
      </c>
      <c r="Q1507" s="401" t="inlineStr">
        <is>
          <t>元件</t>
        </is>
      </c>
      <c r="R1507" s="168" t="inlineStr"/>
      <c r="S1507" s="168" t="inlineStr"/>
      <c r="T1507" s="168" t="inlineStr">
        <is>
          <t>0</t>
        </is>
      </c>
      <c r="U1507" s="168" t="inlineStr">
        <is>
          <t>3004100</t>
        </is>
      </c>
      <c r="V1507" s="402" t="n"/>
      <c r="W1507" s="402" t="n"/>
      <c r="X1507" s="170" t="inlineStr"/>
    </row>
    <row r="1508" s="308">
      <c r="A1508" s="64">
        <f>ROW()-ROW(A$1497)</f>
        <v/>
      </c>
      <c r="B1508" s="22" t="inlineStr">
        <is>
          <t>水平母排</t>
        </is>
      </c>
      <c r="C1508" s="22" t="inlineStr">
        <is>
          <t>TMY 4*(2*100*5)+2*50*5</t>
        </is>
      </c>
      <c r="D1508" s="22" t="inlineStr">
        <is>
          <t>国产优质</t>
        </is>
      </c>
      <c r="E1508" s="23" t="inlineStr">
        <is>
          <t>米</t>
        </is>
      </c>
      <c r="F1508" s="23" t="n">
        <v>0.9</v>
      </c>
      <c r="G1508" s="349">
        <f>IF(AND(B1508="",C1508=""),"",ROUND(M1508*L1508*N1508,2))</f>
        <v/>
      </c>
      <c r="H1508" s="349">
        <f>IF(AND(B1508="",C1508=""),"",ROUND(F1508*G1508,2))</f>
        <v/>
      </c>
      <c r="I1508" s="45" t="inlineStr"/>
      <c r="J1508" s="397">
        <f>IF(AND(B1508="",C1508=""),"",ROUND(M1508*N1508,2))</f>
        <v/>
      </c>
      <c r="K1508" s="398">
        <f>IF(AND(B1508="",C1508=""),"",ROUND(J1508*F1508,2))</f>
        <v/>
      </c>
      <c r="L1508" s="200" t="n">
        <v>1</v>
      </c>
      <c r="M1508" s="399" t="n">
        <v>4329.60525</v>
      </c>
      <c r="N1508" s="154">
        <f>(6317.932*1*1+2684.8*1*1)/9002.732</f>
        <v/>
      </c>
      <c r="O1508" s="155">
        <f>IF(AND(B1508="",C1508=""),"",IF(G1508&gt;=20000,0.05,IF(G1508&gt;=10000,0.1,IF(G1508&gt;=5000,0.2,IF(G1508&gt;=1000,0.3,IF(G1508&gt;=0,0.4,{0}))))))</f>
        <v/>
      </c>
      <c r="P1508" s="400">
        <f>IF(AND(B1508="",C1508=""),"",ROUND(H1508*O1508,2))</f>
        <v/>
      </c>
      <c r="Q1508" s="401" t="inlineStr">
        <is>
          <t>母排</t>
        </is>
      </c>
      <c r="R1508" s="168" t="inlineStr"/>
      <c r="S1508" s="168" t="inlineStr"/>
      <c r="T1508" s="168" t="inlineStr">
        <is>
          <t>0</t>
        </is>
      </c>
      <c r="U1508" s="168" t="inlineStr">
        <is>
          <t>0</t>
        </is>
      </c>
      <c r="V1508" s="402" t="n"/>
      <c r="W1508" s="402" t="n"/>
      <c r="X1508" s="170" t="inlineStr"/>
    </row>
    <row r="1509" s="308">
      <c r="A1509" s="64">
        <f>ROW()-ROW(A$1497)</f>
        <v/>
      </c>
      <c r="B1509" s="22" t="inlineStr">
        <is>
          <t>铜排</t>
        </is>
      </c>
      <c r="C1509" s="27" t="inlineStr">
        <is>
          <t>TMY 30*8</t>
        </is>
      </c>
      <c r="D1509" s="22" t="inlineStr">
        <is>
          <t>国产优质</t>
        </is>
      </c>
      <c r="E1509" s="23" t="inlineStr">
        <is>
          <t>米</t>
        </is>
      </c>
      <c r="F1509" s="23" t="n">
        <v>3</v>
      </c>
      <c r="G1509" s="349">
        <f>IF(AND(B1509="",C1509=""),"",ROUND(M1509*L1509*N1509,2))</f>
        <v/>
      </c>
      <c r="H1509" s="349">
        <f>IF(AND(B1509="",C1509=""),"",ROUND(F1509*G1509,2))</f>
        <v/>
      </c>
      <c r="I1509" s="45" t="inlineStr"/>
      <c r="J1509" s="397">
        <f>IF(AND(B1509="",C1509=""),"",ROUND(M1509*N1509,2))</f>
        <v/>
      </c>
      <c r="K1509" s="398">
        <f>IF(AND(B1509="",C1509=""),"",ROUND(J1509*F1509,2))</f>
        <v/>
      </c>
      <c r="L1509" s="200" t="n">
        <v>1</v>
      </c>
      <c r="M1509" s="399" t="n">
        <v>230.91228</v>
      </c>
      <c r="N1509" s="154" t="n">
        <v>1</v>
      </c>
      <c r="O1509" s="155">
        <f>IF(AND(B1509="",C1509=""),"",IF(G1509&gt;=20000,0.05,IF(G1509&gt;=10000,0.1,IF(G1509&gt;=5000,0.2,IF(G1509&gt;=1000,0.3,IF(G1509&gt;=0,0.4,{0}))))))</f>
        <v/>
      </c>
      <c r="P1509" s="400">
        <f>IF(AND(B1509="",C1509=""),"",ROUND(H1509*O1509,2))</f>
        <v/>
      </c>
      <c r="Q1509" s="401" t="inlineStr">
        <is>
          <t>母排</t>
        </is>
      </c>
      <c r="R1509" s="168" t="inlineStr"/>
      <c r="S1509" s="168" t="inlineStr"/>
      <c r="T1509" s="168" t="inlineStr">
        <is>
          <t>0</t>
        </is>
      </c>
      <c r="U1509" s="168" t="inlineStr">
        <is>
          <t>0</t>
        </is>
      </c>
      <c r="V1509" s="402" t="n"/>
      <c r="W1509" s="402" t="n"/>
      <c r="X1509" s="170" t="inlineStr"/>
    </row>
    <row r="1510" s="308">
      <c r="A1510" s="64">
        <f>ROW()-ROW(A$1497)</f>
        <v/>
      </c>
      <c r="B1510" s="22" t="inlineStr">
        <is>
          <t>线缆</t>
        </is>
      </c>
      <c r="C1510" s="27" t="inlineStr">
        <is>
          <t>95mm²</t>
        </is>
      </c>
      <c r="D1510" s="22" t="inlineStr">
        <is>
          <t>凯布斯</t>
        </is>
      </c>
      <c r="E1510" s="23" t="inlineStr">
        <is>
          <t>米</t>
        </is>
      </c>
      <c r="F1510" s="23" t="n">
        <v>9</v>
      </c>
      <c r="G1510" s="349">
        <f>IF(AND(B1510="",C1510=""),"",ROUND(M1510*L1510*N1510,2))</f>
        <v/>
      </c>
      <c r="H1510" s="349">
        <f>IF(AND(B1510="",C1510=""),"",ROUND(F1510*G1510,2))</f>
        <v/>
      </c>
      <c r="I1510" s="45" t="inlineStr"/>
      <c r="J1510" s="397">
        <f>IF(AND(B1510="",C1510=""),"",ROUND(M1510*N1510,2))</f>
        <v/>
      </c>
      <c r="K1510" s="398">
        <f>IF(AND(B1510="",C1510=""),"",ROUND(J1510*F1510,2))</f>
        <v/>
      </c>
      <c r="L1510" s="200" t="n">
        <v>1</v>
      </c>
      <c r="M1510" s="399" t="n">
        <v>86.45</v>
      </c>
      <c r="N1510" s="154" t="n">
        <v>1</v>
      </c>
      <c r="O1510" s="155">
        <f>IF(AND(B1510="",C1510=""),"",IF(G1510&gt;=20000,0.05,IF(G1510&gt;=10000,0.1,IF(G1510&gt;=5000,0.2,IF(G1510&gt;=1000,0.3,IF(G1510&gt;=0,0.4,{0}))))))</f>
        <v/>
      </c>
      <c r="P1510" s="400">
        <f>IF(AND(B1510="",C1510=""),"",ROUND(H1510*O1510,2))</f>
        <v/>
      </c>
      <c r="Q1510" s="401" t="inlineStr">
        <is>
          <t>元件</t>
        </is>
      </c>
      <c r="R1510" s="168" t="inlineStr"/>
      <c r="S1510" s="168" t="inlineStr"/>
      <c r="T1510" s="168" t="inlineStr">
        <is>
          <t>0</t>
        </is>
      </c>
      <c r="U1510" s="168" t="inlineStr"/>
      <c r="V1510" s="402" t="n"/>
      <c r="W1510" s="402" t="n"/>
      <c r="X1510" s="170" t="inlineStr">
        <is>
          <t>TMY 60*5</t>
        </is>
      </c>
    </row>
    <row r="1511" s="308">
      <c r="A1511" s="64">
        <f>ROW()-ROW(A$1497)</f>
        <v/>
      </c>
      <c r="B1511" s="22" t="inlineStr">
        <is>
          <t>辅料</t>
        </is>
      </c>
      <c r="C1511" s="22" t="inlineStr"/>
      <c r="D1511" s="22" t="inlineStr"/>
      <c r="E1511" s="23" t="inlineStr">
        <is>
          <t>套</t>
        </is>
      </c>
      <c r="F1511" s="23" t="n">
        <v>1</v>
      </c>
      <c r="G1511" s="349">
        <f>IF(AND(B1511="",C1511=""),"",ROUND(M1511*L1511*N1511,2))</f>
        <v/>
      </c>
      <c r="H1511" s="349">
        <f>IF(AND(B1511="",C1511=""),"",ROUND(F1511*G1511,2))</f>
        <v/>
      </c>
      <c r="I1511" s="45" t="inlineStr"/>
      <c r="J1511" s="397">
        <f>IF(AND(B1511="",C1511=""),"",ROUND(M1511*N1511,2))</f>
        <v/>
      </c>
      <c r="K1511" s="398">
        <f>IF(AND(B1511="",C1511=""),"",ROUND(J1511*F1511,2))</f>
        <v/>
      </c>
      <c r="L1511" s="200" t="n">
        <v>1</v>
      </c>
      <c r="M1511" s="399" t="n">
        <v>1000</v>
      </c>
      <c r="N1511" s="154" t="n">
        <v>1</v>
      </c>
      <c r="O1511" s="155">
        <f>IF(AND(B1511="",C1511=""),"",IF(G1511&gt;=20000,0.05,IF(G1511&gt;=10000,0.1,IF(G1511&gt;=5000,0.2,IF(G1511&gt;=1000,0.3,IF(G1511&gt;=0,0.4,{0}))))))</f>
        <v/>
      </c>
      <c r="P1511" s="400">
        <f>IF(AND(B1511="",C1511=""),"",ROUND(H1511*O1511,2))</f>
        <v/>
      </c>
      <c r="Q1511" s="401" t="inlineStr">
        <is>
          <t>辅料</t>
        </is>
      </c>
      <c r="R1511" s="168" t="inlineStr"/>
      <c r="S1511" s="168" t="inlineStr"/>
      <c r="T1511" s="168" t="inlineStr">
        <is>
          <t>0</t>
        </is>
      </c>
      <c r="U1511" s="168" t="inlineStr">
        <is>
          <t>0</t>
        </is>
      </c>
      <c r="V1511" s="402" t="n"/>
      <c r="W1511" s="402" t="n"/>
      <c r="X1511" s="170" t="inlineStr"/>
    </row>
    <row r="1512" s="308">
      <c r="A1512" s="64">
        <f>ROW()-ROW(A$1497)</f>
        <v/>
      </c>
      <c r="B1512" s="22" t="inlineStr">
        <is>
          <t>柜体Blokset</t>
        </is>
      </c>
      <c r="C1512" s="22" t="inlineStr">
        <is>
          <t>800W*1200D*2200H</t>
        </is>
      </c>
      <c r="D1512" s="22" t="inlineStr">
        <is>
          <t>清科</t>
        </is>
      </c>
      <c r="E1512" s="23" t="inlineStr">
        <is>
          <t>台</t>
        </is>
      </c>
      <c r="F1512" s="23" t="n">
        <v>1</v>
      </c>
      <c r="G1512" s="349">
        <f>IF(AND(B1512="",C1512=""),"",ROUND(M1512*L1512*N1512,2))</f>
        <v/>
      </c>
      <c r="H1512" s="349">
        <f>IF(AND(B1512="",C1512=""),"",ROUND(F1512*G1512,2))</f>
        <v/>
      </c>
      <c r="I1512" s="45" t="inlineStr"/>
      <c r="J1512" s="397">
        <f>IF(AND(B1512="",C1512=""),"",ROUND(M1512*N1512,2))</f>
        <v/>
      </c>
      <c r="K1512" s="398">
        <f>IF(AND(B1512="",C1512=""),"",ROUND(J1512*F1512,2))</f>
        <v/>
      </c>
      <c r="L1512" s="200" t="n">
        <v>1</v>
      </c>
      <c r="M1512" s="399" t="n">
        <v>4346</v>
      </c>
      <c r="N1512" s="154" t="n">
        <v>1</v>
      </c>
      <c r="O1512" s="155">
        <f>IF(AND(B1512="",C1512=""),"",IF(G1512&gt;=20000,0.05,IF(G1512&gt;=10000,0.1,IF(G1512&gt;=5000,0.2,IF(G1512&gt;=1000,0.3,IF(G1512&gt;=0,0.4,{0}))))))</f>
        <v/>
      </c>
      <c r="P1512" s="400">
        <f>IF(AND(B1512="",C1512=""),"",ROUND(H1512*O1512,2))</f>
        <v/>
      </c>
      <c r="Q1512" s="401" t="inlineStr">
        <is>
          <t>箱体</t>
        </is>
      </c>
      <c r="R1512" s="168" t="inlineStr"/>
      <c r="S1512" s="168" t="inlineStr"/>
      <c r="T1512" s="168" t="inlineStr">
        <is>
          <t>0</t>
        </is>
      </c>
      <c r="U1512" s="168" t="inlineStr"/>
      <c r="V1512" s="402" t="n"/>
      <c r="W1512" s="402" t="n"/>
      <c r="X1512" s="170" t="inlineStr">
        <is>
          <t>1300W*1000D*2200H→800W*1000D*2200H BC</t>
        </is>
      </c>
    </row>
    <row r="1513" s="308">
      <c r="A1513" s="64">
        <f>ROW()-ROW(A$1497)</f>
        <v/>
      </c>
      <c r="B1513" s="22" t="inlineStr"/>
      <c r="C1513" s="22" t="inlineStr"/>
      <c r="D1513" s="22" t="inlineStr"/>
      <c r="E1513" s="23" t="n"/>
      <c r="F1513" s="23">
        <f>IF(AND(B1513="",C1513=""),"",1)</f>
        <v/>
      </c>
      <c r="G1513" s="349">
        <f>IF(AND(B1513="",C1513=""),"",ROUND(M1513*L1513*N1513,2))</f>
        <v/>
      </c>
      <c r="H1513" s="349">
        <f>IF(AND(B1513="",C1513=""),"",ROUND(F1513*G1513,2))</f>
        <v/>
      </c>
      <c r="I1513" s="45" t="inlineStr"/>
      <c r="J1513" s="397">
        <f>IF(AND(B1513="",C1513=""),"",ROUND(M1513*N1513,2))</f>
        <v/>
      </c>
      <c r="K1513" s="398">
        <f>IF(AND(B1513="",C1513=""),"",ROUND(J1513*F1513,2))</f>
        <v/>
      </c>
      <c r="L1513" s="200">
        <f>IF(AND(B1513="",C1513=""),"",1)</f>
        <v/>
      </c>
      <c r="M1513" s="399" t="n"/>
      <c r="N1513" s="154">
        <f>IF(AND(B1513="",C1513=""),"",1)</f>
        <v/>
      </c>
      <c r="O1513" s="155">
        <f>IF(AND(B1513="",C1513=""),"",IF(J1513&gt;=20000,0.05,IF(J1513&gt;=10000,0.1,IF(J1513&gt;=5000,0.2,IF(J1513&gt;=1000,0.3,IF(J1513&gt;=0,0.4,{0}))))))</f>
        <v/>
      </c>
      <c r="P1513" s="400">
        <f>IF(AND(B1513="",C1513=""),"",ROUND(H1513*O1513,2))</f>
        <v/>
      </c>
      <c r="Q1513" s="401">
        <f>IF(AND(B1513="",C1513=""),"","元件")</f>
        <v/>
      </c>
      <c r="R1513" s="168" t="inlineStr"/>
      <c r="S1513" s="168" t="inlineStr"/>
      <c r="T1513" s="168" t="inlineStr"/>
      <c r="U1513" s="168" t="inlineStr"/>
      <c r="V1513" s="402" t="n"/>
      <c r="W1513" s="402" t="n"/>
      <c r="X1513" s="170" t="inlineStr"/>
    </row>
    <row r="1514" s="308">
      <c r="A1514" s="64">
        <f>ROW()-ROW(A$1497)</f>
        <v/>
      </c>
      <c r="B1514" s="171" t="inlineStr">
        <is>
          <t>小计</t>
        </is>
      </c>
      <c r="C1514" s="172" t="n"/>
      <c r="D1514" s="204" t="n"/>
      <c r="E1514" s="114" t="n"/>
      <c r="F1514" s="114" t="n"/>
      <c r="G1514" s="396" t="n"/>
      <c r="H1514" s="396">
        <f>ROUND(SUM(H1497:INDEX(H:H,ROW()-1)),2)</f>
        <v/>
      </c>
      <c r="I1514" s="45" t="inlineStr"/>
      <c r="J1514" s="397" t="n"/>
      <c r="K1514" s="398">
        <f>ROUND(SUM(K1497:INDEX(K:K,ROW()-1)),2)</f>
        <v/>
      </c>
      <c r="L1514" s="200" t="n"/>
      <c r="M1514" s="399" t="n"/>
      <c r="N1514" s="154" t="n"/>
      <c r="O1514" s="155" t="n"/>
      <c r="P1514" s="400" t="n"/>
      <c r="Q1514" s="401" t="n"/>
      <c r="R1514" s="168" t="inlineStr"/>
      <c r="S1514" s="168" t="inlineStr"/>
      <c r="T1514" s="168" t="inlineStr"/>
      <c r="U1514" s="168" t="inlineStr"/>
      <c r="V1514" s="402">
        <f>ROUND(SUMPRODUCT(F1497:INDEX(F:F,ROW()-1),V1497:INDEX(V:V,ROW()-1)),2)</f>
        <v/>
      </c>
      <c r="W1514" s="402">
        <f>ROUND(SUMPRODUCT(F1497:INDEX(F:F,ROW()-1),W1497:INDEX(W:W,ROW()-1)),2)</f>
        <v/>
      </c>
      <c r="X1514" s="170" t="inlineStr"/>
    </row>
    <row r="1515" s="308">
      <c r="A1515" s="64">
        <f>ROW()-ROW(A$1497)</f>
        <v/>
      </c>
      <c r="B1515" s="171" t="inlineStr">
        <is>
          <t>综合费(人工、管理、税金、利润等)</t>
        </is>
      </c>
      <c r="C1515" s="172" t="n"/>
      <c r="D1515" s="204" t="n"/>
      <c r="E1515" s="114" t="n"/>
      <c r="F1515" s="114" t="n"/>
      <c r="G1515" s="396" t="n"/>
      <c r="H1515" s="396">
        <f>2500</f>
        <v/>
      </c>
      <c r="I1515" s="45" t="inlineStr"/>
      <c r="J1515" s="397" t="n"/>
      <c r="K1515" s="398" t="n"/>
      <c r="L1515" s="200" t="n"/>
      <c r="M1515" s="399" t="n"/>
      <c r="N1515" s="154" t="n"/>
      <c r="O1515" s="155" t="n"/>
      <c r="P1515" s="400" t="n"/>
      <c r="Q1515" s="401" t="inlineStr">
        <is>
          <t>费用</t>
        </is>
      </c>
      <c r="R1515" s="168" t="inlineStr"/>
      <c r="S1515" s="168" t="inlineStr"/>
      <c r="T1515" s="168" t="inlineStr"/>
      <c r="U1515" s="168" t="inlineStr"/>
      <c r="V1515" s="402" t="n"/>
      <c r="W1515" s="402" t="n"/>
      <c r="X1515" s="170" t="inlineStr"/>
    </row>
    <row r="1516" s="308">
      <c r="A1516" s="64">
        <f>ROW()-ROW(A$1497)</f>
        <v/>
      </c>
      <c r="B1516" s="204" t="inlineStr">
        <is>
          <t>单台合计</t>
        </is>
      </c>
      <c r="C1516" s="172" t="n"/>
      <c r="D1516" s="204" t="n"/>
      <c r="E1516" s="114" t="n"/>
      <c r="F1516" s="114" t="n"/>
      <c r="G1516" s="396" t="n"/>
      <c r="H1516" s="396">
        <f>ROUND(SUM(H1514:H1515),2)</f>
        <v/>
      </c>
      <c r="I1516" s="181" t="n"/>
      <c r="J1516" s="397" t="n"/>
      <c r="K1516" s="398">
        <f>ROUND(SUM(K1514:K1515),2)</f>
        <v/>
      </c>
      <c r="L1516" s="209" t="n"/>
      <c r="M1516" s="399" t="n"/>
      <c r="N1516" s="210" t="n"/>
      <c r="O1516" s="211" t="n"/>
      <c r="P1516" s="400" t="n"/>
      <c r="Q1516" s="401" t="n"/>
      <c r="R1516" s="168" t="inlineStr"/>
      <c r="S1516" s="168" t="inlineStr"/>
      <c r="T1516" s="168" t="inlineStr"/>
      <c r="U1516" s="168" t="inlineStr"/>
      <c r="V1516" s="402" t="n"/>
      <c r="W1516" s="402" t="n"/>
      <c r="X1516" s="170" t="inlineStr"/>
    </row>
    <row r="1517" s="308">
      <c r="A1517" s="173" t="inlineStr">
        <is>
          <t>总计</t>
        </is>
      </c>
      <c r="B1517" s="205" t="n"/>
      <c r="C1517" s="175" t="n"/>
      <c r="D1517" s="206" t="n"/>
      <c r="E1517" s="206" t="inlineStr">
        <is>
          <t>台</t>
        </is>
      </c>
      <c r="F1517" s="206" t="n">
        <v>2</v>
      </c>
      <c r="G1517" s="414">
        <f>ROUND(H1516,2)</f>
        <v/>
      </c>
      <c r="H1517" s="414">
        <f>ROUND(F1517*G1517,2)</f>
        <v/>
      </c>
      <c r="I1517" s="185" t="n"/>
      <c r="J1517" s="415" t="n"/>
      <c r="K1517" s="416">
        <f>ROUND(K1516*F1517,2)</f>
        <v/>
      </c>
      <c r="L1517" s="214" t="n"/>
      <c r="M1517" s="417" t="n"/>
      <c r="N1517" s="216" t="n"/>
      <c r="O1517" s="217" t="n"/>
      <c r="P1517" s="418" t="n"/>
      <c r="Q1517" s="401" t="n"/>
      <c r="R1517" s="168" t="inlineStr"/>
      <c r="S1517" s="168" t="inlineStr"/>
      <c r="T1517" s="168" t="inlineStr"/>
      <c r="U1517" s="168" t="inlineStr"/>
      <c r="V1517" s="402" t="n"/>
      <c r="W1517" s="402" t="n"/>
      <c r="X1517" s="170" t="inlineStr"/>
    </row>
    <row r="1518" customFormat="1" s="4">
      <c r="A1518" s="6" t="n"/>
      <c r="B1518" s="195" t="inlineStr"/>
      <c r="C1518" s="195" t="inlineStr"/>
      <c r="D1518" s="195" t="inlineStr"/>
      <c r="Q1518" s="159" t="n"/>
      <c r="R1518" s="159" t="n"/>
      <c r="S1518" s="159" t="n"/>
      <c r="T1518" s="159" t="n"/>
      <c r="U1518" s="159" t="n"/>
      <c r="X1518" s="195" t="inlineStr"/>
    </row>
    <row r="1519" customFormat="1" s="4">
      <c r="A1519" s="6" t="n"/>
      <c r="B1519" s="195" t="inlineStr"/>
      <c r="C1519" s="195" t="inlineStr"/>
      <c r="D1519" s="195" t="inlineStr"/>
      <c r="Q1519" s="159" t="n"/>
      <c r="R1519" s="159" t="n"/>
      <c r="S1519" s="159" t="n"/>
      <c r="T1519" s="159" t="n"/>
      <c r="U1519" s="159" t="n"/>
      <c r="X1519" s="195" t="inlineStr"/>
    </row>
    <row r="1520" s="308">
      <c r="A1520" s="208">
        <f>CONCATENATE("报价人：",项目信息!$B$8)</f>
        <v/>
      </c>
      <c r="B1520" s="208" t="n"/>
      <c r="C1520" s="4" t="n"/>
      <c r="D1520" s="4" t="n"/>
      <c r="E1520" s="4" t="n"/>
      <c r="F1520" s="4" t="n"/>
      <c r="G1520" s="4" t="n"/>
      <c r="H1520" s="178">
        <f>项目信息!$B$9</f>
        <v/>
      </c>
      <c r="Q1520" s="159" t="n"/>
      <c r="R1520" s="159" t="n"/>
      <c r="S1520" s="159" t="n"/>
      <c r="T1520" s="159" t="n"/>
      <c r="U1520" s="159" t="n"/>
      <c r="X1520" s="203" t="inlineStr"/>
    </row>
    <row r="1521" s="308">
      <c r="A1521" s="8">
        <f>T(项目信息!$B$22)</f>
        <v/>
      </c>
      <c r="Q1521" s="159" t="n"/>
      <c r="R1521" s="159" t="n"/>
      <c r="S1521" s="159" t="n"/>
      <c r="T1521" s="159" t="n"/>
      <c r="U1521" s="159" t="n"/>
    </row>
    <row r="1522" s="308">
      <c r="A1522" s="9">
        <f>T(项目信息!$B$23)</f>
        <v/>
      </c>
      <c r="Q1522" s="159" t="n"/>
      <c r="R1522" s="159" t="n"/>
      <c r="S1522" s="159" t="n"/>
      <c r="T1522" s="159" t="n"/>
      <c r="U1522" s="159" t="n"/>
    </row>
    <row r="1523" s="308">
      <c r="A1523" s="97" t="inlineStr">
        <is>
          <t>成套产品报价明细表</t>
        </is>
      </c>
      <c r="B1523" s="378" t="n"/>
      <c r="C1523" s="378" t="n"/>
      <c r="D1523" s="378" t="n"/>
      <c r="E1523" s="378" t="n"/>
      <c r="F1523" s="378" t="n"/>
      <c r="G1523" s="378" t="n"/>
      <c r="H1523" s="378" t="n"/>
      <c r="I1523" s="378" t="n"/>
      <c r="Q1523" s="159" t="n"/>
      <c r="R1523" s="159" t="n"/>
      <c r="S1523" s="159" t="n"/>
      <c r="T1523" s="159" t="n"/>
      <c r="U1523" s="159" t="n"/>
    </row>
    <row r="1524" customFormat="1" s="2">
      <c r="A1524" s="98" t="inlineStr">
        <is>
          <t>柜号:</t>
        </is>
      </c>
      <c r="B1524" s="99" t="inlineStr">
        <is>
          <t>AAN13-03、BAN14-03</t>
        </is>
      </c>
      <c r="C1524" s="100" t="inlineStr">
        <is>
          <t>型号:</t>
        </is>
      </c>
      <c r="D1524" s="99" t="inlineStr">
        <is>
          <t>BlokSeT</t>
        </is>
      </c>
      <c r="E1524" s="379" t="n"/>
      <c r="F1524" s="101" t="inlineStr">
        <is>
          <t>名称:</t>
        </is>
      </c>
      <c r="G1524" s="99" t="inlineStr">
        <is>
          <t>联络柜</t>
        </is>
      </c>
      <c r="H1524" s="379" t="n"/>
      <c r="I1524" s="380" t="inlineStr"/>
      <c r="J1524" s="131" t="inlineStr">
        <is>
          <t>箱柜尺寸:</t>
        </is>
      </c>
      <c r="K1524" s="132" t="inlineStr">
        <is>
          <t>700W*1200D*2200H</t>
        </is>
      </c>
      <c r="L1524" s="131" t="inlineStr">
        <is>
          <t>类别:</t>
        </is>
      </c>
      <c r="M1524" s="132" t="inlineStr">
        <is>
          <t>低压固定柜</t>
        </is>
      </c>
      <c r="N1524" s="381" t="inlineStr"/>
      <c r="Q1524" s="160" t="n"/>
      <c r="R1524" s="160" t="n"/>
      <c r="S1524" s="160" t="n"/>
      <c r="T1524" s="160" t="n"/>
      <c r="U1524" s="160" t="n"/>
    </row>
    <row r="1525" ht="20.1" customFormat="1" customHeight="1" s="3">
      <c r="A1525" s="102" t="inlineStr">
        <is>
          <t>序号</t>
        </is>
      </c>
      <c r="B1525" s="103" t="inlineStr">
        <is>
          <t>元件名称</t>
        </is>
      </c>
      <c r="C1525" s="103" t="inlineStr">
        <is>
          <t>型号规格</t>
        </is>
      </c>
      <c r="D1525" s="104" t="inlineStr">
        <is>
          <t>生产厂家</t>
        </is>
      </c>
      <c r="E1525" s="105" t="inlineStr">
        <is>
          <t>单位</t>
        </is>
      </c>
      <c r="F1525" s="105" t="inlineStr">
        <is>
          <t>数量</t>
        </is>
      </c>
      <c r="G1525" s="382" t="inlineStr">
        <is>
          <t>单   价</t>
        </is>
      </c>
      <c r="H1525" s="383" t="inlineStr">
        <is>
          <t>总   价</t>
        </is>
      </c>
      <c r="I1525" s="134" t="inlineStr">
        <is>
          <t>备注</t>
        </is>
      </c>
      <c r="J1525" s="384" t="inlineStr">
        <is>
          <t>成本单价</t>
        </is>
      </c>
      <c r="K1525" s="384" t="inlineStr">
        <is>
          <t>成本总价</t>
        </is>
      </c>
      <c r="L1525" s="136" t="inlineStr">
        <is>
          <t>报出
系数</t>
        </is>
      </c>
      <c r="M1525" s="384" t="inlineStr">
        <is>
          <t>表价</t>
        </is>
      </c>
      <c r="N1525" s="136" t="inlineStr">
        <is>
          <t>折扣
系数</t>
        </is>
      </c>
      <c r="O1525" s="137" t="inlineStr">
        <is>
          <t>取费
系数</t>
        </is>
      </c>
      <c r="P1525" s="384" t="inlineStr">
        <is>
          <t>成套费</t>
        </is>
      </c>
      <c r="Q1525" s="161" t="inlineStr">
        <is>
          <t>类别</t>
        </is>
      </c>
      <c r="R1525" s="161" t="inlineStr">
        <is>
          <t>物料编码</t>
        </is>
      </c>
      <c r="S1525" s="161" t="inlineStr">
        <is>
          <t>产地</t>
        </is>
      </c>
      <c r="T1525" s="161" t="inlineStr">
        <is>
          <t>加工费</t>
        </is>
      </c>
      <c r="U1525" s="161" t="inlineStr">
        <is>
          <t>订货号</t>
        </is>
      </c>
      <c r="V1525" s="161" t="inlineStr">
        <is>
          <t>人工</t>
        </is>
      </c>
      <c r="W1525" s="161" t="inlineStr">
        <is>
          <t>辅料</t>
        </is>
      </c>
      <c r="X1525" s="162" t="inlineStr"/>
    </row>
    <row r="1526" customFormat="1" s="3">
      <c r="A1526" s="108">
        <f>ROW()-ROW(A$1525)</f>
        <v/>
      </c>
      <c r="B1526" s="109" t="inlineStr">
        <is>
          <t>双电源</t>
        </is>
      </c>
      <c r="C1526" s="109" t="inlineStr">
        <is>
          <t>MT20 H1 3P MIC 6.0 D</t>
        </is>
      </c>
      <c r="D1526" s="22" t="inlineStr">
        <is>
          <t>甲供/施耐德电气</t>
        </is>
      </c>
      <c r="E1526" s="110" t="inlineStr">
        <is>
          <t>只</t>
        </is>
      </c>
      <c r="F1526" s="110" t="n">
        <v>1</v>
      </c>
      <c r="G1526" s="385">
        <f>IF(AND(B1526="",C1526=""),"",ROUND(M1526*L1526*N1526,2))</f>
        <v/>
      </c>
      <c r="H1526" s="385">
        <f>IF(AND(B1526="",C1526=""),"",ROUND(F1526*G1526,2))</f>
        <v/>
      </c>
      <c r="I1526" s="138" t="inlineStr"/>
      <c r="J1526" s="386">
        <f>IF(AND(B1526="",C1526=""),"",ROUND(M1526*N1526,2))</f>
        <v/>
      </c>
      <c r="K1526" s="387">
        <f>IF(AND(B1526="",C1526=""),"",ROUND(J1526*F1526,2))</f>
        <v/>
      </c>
      <c r="L1526" s="141" t="n">
        <v>1</v>
      </c>
      <c r="M1526" s="388" t="n">
        <v>1e-07</v>
      </c>
      <c r="N1526" s="143" t="n">
        <v>1</v>
      </c>
      <c r="O1526" s="144">
        <f>IF(AND(B1526="",C1526=""),"",IF(G1526&gt;=20000,0.05,IF(G1526&gt;=10000,0.1,IF(G1526&gt;=5000,0.2,IF(G1526&gt;=1000,0.3,IF(G1526&gt;=0,0.4,{0}))))))</f>
        <v/>
      </c>
      <c r="P1526" s="389">
        <f>IF(AND(B1526="",C1526=""),"",ROUND(H1526*O1526,2))</f>
        <v/>
      </c>
      <c r="Q1526" s="390" t="inlineStr">
        <is>
          <t>元件</t>
        </is>
      </c>
      <c r="R1526" s="164" t="inlineStr"/>
      <c r="S1526" s="164" t="inlineStr"/>
      <c r="T1526" s="164" t="inlineStr">
        <is>
          <t>0</t>
        </is>
      </c>
      <c r="U1526" s="164" t="inlineStr">
        <is>
          <t>48327+48500+33542+48527+48494+48484+48408+48603+48170+48175+48384</t>
        </is>
      </c>
      <c r="V1526" s="391" t="n"/>
      <c r="W1526" s="391" t="n"/>
      <c r="X1526"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1527" customFormat="1" s="3">
      <c r="A1527" s="64">
        <f>ROW()-ROW(A$1525)</f>
        <v/>
      </c>
      <c r="B1527" s="27" t="inlineStr">
        <is>
          <t>多功能表</t>
        </is>
      </c>
      <c r="C1527" s="22" t="inlineStr">
        <is>
          <t>PM5350P</t>
        </is>
      </c>
      <c r="D1527" s="22" t="inlineStr">
        <is>
          <t>甲供/施耐德电气</t>
        </is>
      </c>
      <c r="E1527" s="110" t="inlineStr">
        <is>
          <t>只</t>
        </is>
      </c>
      <c r="F1527" s="23" t="n">
        <v>1</v>
      </c>
      <c r="G1527" s="353">
        <f>IF(AND(B1527="",C1527=""),"",ROUND(M1527*L1527*N1527,2))</f>
        <v/>
      </c>
      <c r="H1527" s="349">
        <f>IF(AND(B1527="",C1527=""),"",ROUND(F1527*G1527,2))</f>
        <v/>
      </c>
      <c r="I1527" s="45" t="inlineStr"/>
      <c r="J1527" s="392">
        <f>IF(AND(B1527="",C1527=""),"",ROUND(M1527*N1527,2))</f>
        <v/>
      </c>
      <c r="K1527" s="393">
        <f>IF(AND(B1527="",C1527=""),"",ROUND(J1527*F1527,2))</f>
        <v/>
      </c>
      <c r="L1527" s="141" t="n">
        <v>1</v>
      </c>
      <c r="M1527" s="394" t="n">
        <v>1e-07</v>
      </c>
      <c r="N1527" s="143" t="n">
        <v>1</v>
      </c>
      <c r="O1527" s="144">
        <f>IF(AND(B1527="",C1527=""),"",IF(G1527&gt;=20000,0.05,IF(G1527&gt;=10000,0.1,IF(G1527&gt;=5000,0.2,IF(G1527&gt;=1000,0.3,IF(G1527&gt;=0,0.4,{0}))))))</f>
        <v/>
      </c>
      <c r="P1527" s="395">
        <f>IF(AND(B1527="",C1527=""),"",ROUND(H1527*O1527,2))</f>
        <v/>
      </c>
      <c r="Q1527" s="390" t="inlineStr">
        <is>
          <t>元件</t>
        </is>
      </c>
      <c r="R1527" s="164" t="inlineStr"/>
      <c r="S1527" s="164" t="inlineStr"/>
      <c r="T1527" s="164" t="inlineStr">
        <is>
          <t>0</t>
        </is>
      </c>
      <c r="U1527" s="164" t="inlineStr">
        <is>
          <t>True</t>
        </is>
      </c>
      <c r="V1527" s="391" t="n"/>
      <c r="W1527" s="391" t="n"/>
      <c r="X1527" s="166" t="inlineStr">
        <is>
          <t>PM→PM4633→PM4201</t>
        </is>
      </c>
    </row>
    <row r="1528" customFormat="1" s="3">
      <c r="A1528" s="64">
        <f>ROW()-ROW(A$1525)</f>
        <v/>
      </c>
      <c r="B1528" s="27" t="inlineStr">
        <is>
          <t>电流互感器</t>
        </is>
      </c>
      <c r="C1528" s="22" t="inlineStr">
        <is>
          <t>SD-0.66-100II-C 2000/5A</t>
        </is>
      </c>
      <c r="D1528" s="27" t="inlineStr">
        <is>
          <t>桑迪</t>
        </is>
      </c>
      <c r="E1528" s="110" t="inlineStr">
        <is>
          <t>只</t>
        </is>
      </c>
      <c r="F1528" s="23" t="n">
        <v>3</v>
      </c>
      <c r="G1528" s="349">
        <f>IF(AND(B1528="",C1528=""),"",ROUND(M1528*L1528*N1528,2))</f>
        <v/>
      </c>
      <c r="H1528" s="349">
        <f>IF(AND(B1528="",C1528=""),"",ROUND(F1528*G1528,2))</f>
        <v/>
      </c>
      <c r="I1528" s="45" t="inlineStr"/>
      <c r="J1528" s="392">
        <f>IF(AND(B1528="",C1528=""),"",ROUND(M1528*N1528,2))</f>
        <v/>
      </c>
      <c r="K1528" s="393">
        <f>IF(AND(B1528="",C1528=""),"",ROUND(J1528*F1528,2))</f>
        <v/>
      </c>
      <c r="L1528" s="141" t="n">
        <v>1</v>
      </c>
      <c r="M1528" s="394" t="n">
        <v>146.25</v>
      </c>
      <c r="N1528" s="143" t="n">
        <v>1</v>
      </c>
      <c r="O1528" s="144">
        <f>IF(AND(B1528="",C1528=""),"",IF(G1528&gt;=20000,0.05,IF(G1528&gt;=10000,0.1,IF(G1528&gt;=5000,0.2,IF(G1528&gt;=1000,0.3,IF(G1528&gt;=0,0.4,{0}))))))</f>
        <v/>
      </c>
      <c r="P1528" s="395">
        <f>IF(AND(B1528="",C1528=""),"",ROUND(H1528*O1528,2))</f>
        <v/>
      </c>
      <c r="Q1528" s="390" t="inlineStr">
        <is>
          <t>元件</t>
        </is>
      </c>
      <c r="R1528" s="164" t="inlineStr"/>
      <c r="S1528" s="164" t="inlineStr"/>
      <c r="T1528" s="164" t="inlineStr">
        <is>
          <t>0</t>
        </is>
      </c>
      <c r="U1528" s="164" t="inlineStr">
        <is>
          <t>710141426552500</t>
        </is>
      </c>
      <c r="V1528" s="391" t="n"/>
      <c r="W1528" s="391" t="n"/>
      <c r="X1528"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1600/5A→SD-0.66-160III-C 5000/5A→SD-0.66-130III-V 3000/5A</t>
        </is>
      </c>
    </row>
    <row r="1529" s="308">
      <c r="A1529" s="64">
        <f>ROW()-ROW(A$1525)</f>
        <v/>
      </c>
      <c r="B1529" s="112" t="inlineStr">
        <is>
          <t>温湿度控制器</t>
        </is>
      </c>
      <c r="C1529" s="112" t="inlineStr">
        <is>
          <t>ATH48G-11</t>
        </is>
      </c>
      <c r="D1529" s="22" t="inlineStr">
        <is>
          <t>杭州安廷</t>
        </is>
      </c>
      <c r="E1529" s="23" t="inlineStr">
        <is>
          <t>套</t>
        </is>
      </c>
      <c r="F1529" s="23" t="n">
        <v>1</v>
      </c>
      <c r="G1529" s="349">
        <f>IF(AND(B1529="",C1529=""),"",ROUND(M1529*L1529*N1529,2))</f>
        <v/>
      </c>
      <c r="H1529" s="396">
        <f>IF(AND(B1529="",C1529=""),"",ROUND(F1529*G1529,2))</f>
        <v/>
      </c>
      <c r="I1529" s="150" t="inlineStr"/>
      <c r="J1529" s="397">
        <f>IF(AND(B1529="",C1529=""),"",ROUND(M1529*N1529,2))</f>
        <v/>
      </c>
      <c r="K1529" s="398">
        <f>IF(AND(B1529="",C1529=""),"",ROUND(J1529*F1529,2))</f>
        <v/>
      </c>
      <c r="L1529" s="141" t="n">
        <v>1</v>
      </c>
      <c r="M1529" s="399" t="n">
        <v>450</v>
      </c>
      <c r="N1529" s="154" t="n">
        <v>1</v>
      </c>
      <c r="O1529" s="155">
        <f>IF(AND(B1529="",C1529=""),"",IF(G1529&gt;=20000,0.05,IF(G1529&gt;=10000,0.1,IF(G1529&gt;=5000,0.2,IF(G1529&gt;=1000,0.3,IF(G1529&gt;=0,0.4,{0}))))))</f>
        <v/>
      </c>
      <c r="P1529" s="400">
        <f>IF(AND(B1529="",C1529=""),"",ROUND(H1529*O1529,2))</f>
        <v/>
      </c>
      <c r="Q1529" s="401" t="inlineStr">
        <is>
          <t>元件</t>
        </is>
      </c>
      <c r="R1529" s="168" t="inlineStr"/>
      <c r="S1529" s="168" t="inlineStr"/>
      <c r="T1529" s="168" t="inlineStr">
        <is>
          <t>0</t>
        </is>
      </c>
      <c r="U1529" s="168" t="inlineStr"/>
      <c r="V1529" s="402" t="n"/>
      <c r="W1529" s="402" t="n"/>
      <c r="X1529" s="170" t="inlineStr"/>
    </row>
    <row r="1530" s="308">
      <c r="A1530" s="64">
        <f>ROW()-ROW(A$1525)</f>
        <v/>
      </c>
      <c r="B1530" s="112" t="inlineStr">
        <is>
          <t>指示灯</t>
        </is>
      </c>
      <c r="C1530" s="112" t="inlineStr">
        <is>
          <t>XB2BVM3LC</t>
        </is>
      </c>
      <c r="D1530" s="112" t="inlineStr">
        <is>
          <t>甲供/施耐德电气</t>
        </is>
      </c>
      <c r="E1530" s="114" t="inlineStr">
        <is>
          <t>只</t>
        </is>
      </c>
      <c r="F1530" s="114" t="n">
        <v>1</v>
      </c>
      <c r="G1530" s="396">
        <f>IF(AND(B1530="",C1530=""),"",ROUND(M1530*L1530*N1530,2))</f>
        <v/>
      </c>
      <c r="H1530" s="396">
        <f>IF(AND(B1530="",C1530=""),"",ROUND(F1530*G1530,2))</f>
        <v/>
      </c>
      <c r="I1530" s="150" t="inlineStr"/>
      <c r="J1530" s="397">
        <f>IF(AND(B1530="",C1530=""),"",ROUND(M1530*N1530,2))</f>
        <v/>
      </c>
      <c r="K1530" s="398">
        <f>IF(AND(B1530="",C1530=""),"",ROUND(J1530*F1530,2))</f>
        <v/>
      </c>
      <c r="L1530" s="141" t="n">
        <v>1</v>
      </c>
      <c r="M1530" s="399" t="n">
        <v>1e-07</v>
      </c>
      <c r="N1530" s="154" t="n">
        <v>1</v>
      </c>
      <c r="O1530" s="155">
        <f>IF(AND(B1530="",C1530=""),"",IF(G1530&gt;=20000,0.05,IF(G1530&gt;=10000,0.1,IF(G1530&gt;=5000,0.2,IF(G1530&gt;=1000,0.3,IF(G1530&gt;=0,0.4,{0}))))))</f>
        <v/>
      </c>
      <c r="P1530" s="400">
        <f>IF(AND(B1530="",C1530=""),"",ROUND(H1530*O1530,2))</f>
        <v/>
      </c>
      <c r="Q1530" s="401" t="inlineStr">
        <is>
          <t>元件</t>
        </is>
      </c>
      <c r="R1530" s="168" t="inlineStr"/>
      <c r="S1530" s="168" t="inlineStr"/>
      <c r="T1530" s="168" t="inlineStr">
        <is>
          <t>0</t>
        </is>
      </c>
      <c r="U1530" s="168" t="inlineStr">
        <is>
          <t>XA2EVM3LC</t>
        </is>
      </c>
      <c r="V1530" s="402" t="n"/>
      <c r="W1530" s="402" t="n"/>
      <c r="X1530" s="170" t="inlineStr"/>
    </row>
    <row r="1531" s="308">
      <c r="A1531" s="64">
        <f>ROW()-ROW(A$1525)</f>
        <v/>
      </c>
      <c r="B1531" s="112" t="inlineStr">
        <is>
          <t>指示灯</t>
        </is>
      </c>
      <c r="C1531" s="22" t="inlineStr">
        <is>
          <t>XB2BVM4LC</t>
        </is>
      </c>
      <c r="D1531" s="112" t="inlineStr">
        <is>
          <t>甲供/施耐德电气</t>
        </is>
      </c>
      <c r="E1531" s="114" t="inlineStr">
        <is>
          <t>只</t>
        </is>
      </c>
      <c r="F1531" s="114" t="n">
        <v>1</v>
      </c>
      <c r="G1531" s="396">
        <f>IF(AND(B1531="",C1531=""),"",ROUND(M1531*L1531*N1531,2))</f>
        <v/>
      </c>
      <c r="H1531" s="396">
        <f>IF(AND(B1531="",C1531=""),"",ROUND(F1531*G1531,2))</f>
        <v/>
      </c>
      <c r="I1531" s="150" t="inlineStr"/>
      <c r="J1531" s="397">
        <f>IF(AND(B1531="",C1531=""),"",ROUND(M1531*N1531,2))</f>
        <v/>
      </c>
      <c r="K1531" s="398">
        <f>IF(AND(B1531="",C1531=""),"",ROUND(J1531*F1531,2))</f>
        <v/>
      </c>
      <c r="L1531" s="141" t="n">
        <v>1</v>
      </c>
      <c r="M1531" s="399" t="n">
        <v>1e-07</v>
      </c>
      <c r="N1531" s="154" t="n">
        <v>1</v>
      </c>
      <c r="O1531" s="155">
        <f>IF(AND(B1531="",C1531=""),"",IF(G1531&gt;=20000,0.05,IF(G1531&gt;=10000,0.1,IF(G1531&gt;=5000,0.2,IF(G1531&gt;=1000,0.3,IF(G1531&gt;=0,0.4,{0}))))))</f>
        <v/>
      </c>
      <c r="P1531" s="400">
        <f>IF(AND(B1531="",C1531=""),"",ROUND(H1531*O1531,2))</f>
        <v/>
      </c>
      <c r="Q1531" s="401" t="inlineStr">
        <is>
          <t>元件</t>
        </is>
      </c>
      <c r="R1531" s="168" t="inlineStr"/>
      <c r="S1531" s="168" t="inlineStr"/>
      <c r="T1531" s="168" t="inlineStr">
        <is>
          <t>0</t>
        </is>
      </c>
      <c r="U1531" s="168" t="inlineStr">
        <is>
          <t>XA2EVM4LC</t>
        </is>
      </c>
      <c r="V1531" s="402" t="n"/>
      <c r="W1531" s="402" t="n"/>
      <c r="X1531" s="170" t="inlineStr"/>
    </row>
    <row r="1532" s="308">
      <c r="A1532" s="64">
        <f>ROW()-ROW(A$1525)</f>
        <v/>
      </c>
      <c r="B1532" s="112" t="inlineStr">
        <is>
          <t>指示灯</t>
        </is>
      </c>
      <c r="C1532" s="112" t="inlineStr">
        <is>
          <t>XB2BVM5LC</t>
        </is>
      </c>
      <c r="D1532" s="112" t="inlineStr">
        <is>
          <t>甲供/施耐德电气</t>
        </is>
      </c>
      <c r="E1532" s="114" t="inlineStr">
        <is>
          <t>只</t>
        </is>
      </c>
      <c r="F1532" s="114" t="n">
        <v>1</v>
      </c>
      <c r="G1532" s="396">
        <f>IF(AND(B1532="",C1532=""),"",ROUND(M1532*L1532*N1532,2))</f>
        <v/>
      </c>
      <c r="H1532" s="396">
        <f>IF(AND(B1532="",C1532=""),"",ROUND(F1532*G1532,2))</f>
        <v/>
      </c>
      <c r="I1532" s="150" t="inlineStr"/>
      <c r="J1532" s="397">
        <f>IF(AND(B1532="",C1532=""),"",ROUND(M1532*N1532,2))</f>
        <v/>
      </c>
      <c r="K1532" s="398">
        <f>IF(AND(B1532="",C1532=""),"",ROUND(J1532*F1532,2))</f>
        <v/>
      </c>
      <c r="L1532" s="141" t="n">
        <v>1</v>
      </c>
      <c r="M1532" s="399" t="n">
        <v>1e-07</v>
      </c>
      <c r="N1532" s="154" t="n">
        <v>1</v>
      </c>
      <c r="O1532" s="155">
        <f>IF(AND(B1532="",C1532=""),"",IF(G1532&gt;=20000,0.05,IF(G1532&gt;=10000,0.1,IF(G1532&gt;=5000,0.2,IF(G1532&gt;=1000,0.3,IF(G1532&gt;=0,0.4,{0}))))))</f>
        <v/>
      </c>
      <c r="P1532" s="400">
        <f>IF(AND(B1532="",C1532=""),"",ROUND(H1532*O1532,2))</f>
        <v/>
      </c>
      <c r="Q1532" s="401" t="inlineStr">
        <is>
          <t>元件</t>
        </is>
      </c>
      <c r="R1532" s="168" t="inlineStr"/>
      <c r="S1532" s="168" t="inlineStr"/>
      <c r="T1532" s="168" t="inlineStr">
        <is>
          <t>0</t>
        </is>
      </c>
      <c r="U1532" s="168" t="inlineStr">
        <is>
          <t>XA2EVM5LC</t>
        </is>
      </c>
      <c r="V1532" s="402" t="n"/>
      <c r="W1532" s="402" t="n"/>
      <c r="X1532" s="170" t="inlineStr"/>
    </row>
    <row r="1533" s="308">
      <c r="A1533" s="64">
        <f>ROW()-ROW(A$1525)</f>
        <v/>
      </c>
      <c r="B1533" s="112" t="inlineStr">
        <is>
          <t>按钮</t>
        </is>
      </c>
      <c r="C1533" s="112" t="inlineStr">
        <is>
          <t>XB2BA31C</t>
        </is>
      </c>
      <c r="D1533" s="112" t="inlineStr">
        <is>
          <t>甲供/施耐德电气</t>
        </is>
      </c>
      <c r="E1533" s="114" t="inlineStr">
        <is>
          <t>只</t>
        </is>
      </c>
      <c r="F1533" s="114" t="n">
        <v>1</v>
      </c>
      <c r="G1533" s="396">
        <f>IF(AND(B1533="",C1533=""),"",ROUND(M1533*L1533*N1533,2))</f>
        <v/>
      </c>
      <c r="H1533" s="396">
        <f>IF(AND(B1533="",C1533=""),"",ROUND(F1533*G1533,2))</f>
        <v/>
      </c>
      <c r="I1533" s="150" t="inlineStr"/>
      <c r="J1533" s="397">
        <f>IF(AND(B1533="",C1533=""),"",ROUND(M1533*N1533,2))</f>
        <v/>
      </c>
      <c r="K1533" s="398">
        <f>IF(AND(B1533="",C1533=""),"",ROUND(J1533*F1533,2))</f>
        <v/>
      </c>
      <c r="L1533" s="141" t="n">
        <v>1</v>
      </c>
      <c r="M1533" s="399" t="n">
        <v>1e-07</v>
      </c>
      <c r="N1533" s="154" t="n">
        <v>1</v>
      </c>
      <c r="O1533" s="155">
        <f>IF(AND(B1533="",C1533=""),"",IF(G1533&gt;=20000,0.05,IF(G1533&gt;=10000,0.1,IF(G1533&gt;=5000,0.2,IF(G1533&gt;=1000,0.3,IF(G1533&gt;=0,0.4,{0}))))))</f>
        <v/>
      </c>
      <c r="P1533" s="400">
        <f>IF(AND(B1533="",C1533=""),"",ROUND(H1533*O1533,2))</f>
        <v/>
      </c>
      <c r="Q1533" s="401" t="inlineStr">
        <is>
          <t>元件</t>
        </is>
      </c>
      <c r="R1533" s="168" t="inlineStr"/>
      <c r="S1533" s="168" t="inlineStr"/>
      <c r="T1533" s="168" t="inlineStr">
        <is>
          <t>0</t>
        </is>
      </c>
      <c r="U1533" s="168" t="inlineStr">
        <is>
          <t>XB2BA31C</t>
        </is>
      </c>
      <c r="V1533" s="402" t="n"/>
      <c r="W1533" s="402" t="n"/>
      <c r="X1533" s="170" t="inlineStr">
        <is>
          <t>XA2EA31</t>
        </is>
      </c>
    </row>
    <row r="1534" s="308">
      <c r="A1534" s="64">
        <f>ROW()-ROW(A$1525)</f>
        <v/>
      </c>
      <c r="B1534" s="22" t="inlineStr">
        <is>
          <t>按钮</t>
        </is>
      </c>
      <c r="C1534" s="22" t="inlineStr">
        <is>
          <t>XB2BA42C</t>
        </is>
      </c>
      <c r="D1534" s="22" t="inlineStr">
        <is>
          <t>甲供/施耐德电气</t>
        </is>
      </c>
      <c r="E1534" s="23" t="inlineStr">
        <is>
          <t>只</t>
        </is>
      </c>
      <c r="F1534" s="23" t="n">
        <v>1</v>
      </c>
      <c r="G1534" s="349">
        <f>IF(AND(B1534="",C1534=""),"",ROUND(M1534*L1534*N1534,2))</f>
        <v/>
      </c>
      <c r="H1534" s="396">
        <f>IF(AND(B1534="",C1534=""),"",ROUND(F1534*G1534,2))</f>
        <v/>
      </c>
      <c r="I1534" s="150" t="inlineStr"/>
      <c r="J1534" s="397">
        <f>IF(AND(B1534="",C1534=""),"",ROUND(M1534*N1534,2))</f>
        <v/>
      </c>
      <c r="K1534" s="398">
        <f>IF(AND(B1534="",C1534=""),"",ROUND(J1534*F1534,2))</f>
        <v/>
      </c>
      <c r="L1534" s="141" t="n">
        <v>1</v>
      </c>
      <c r="M1534" s="399" t="n">
        <v>1e-07</v>
      </c>
      <c r="N1534" s="154" t="n">
        <v>1</v>
      </c>
      <c r="O1534" s="155">
        <f>IF(AND(B1534="",C1534=""),"",IF(G1534&gt;=20000,0.05,IF(G1534&gt;=10000,0.1,IF(G1534&gt;=5000,0.2,IF(G1534&gt;=1000,0.3,IF(G1534&gt;=0,0.4,{0}))))))</f>
        <v/>
      </c>
      <c r="P1534" s="400">
        <f>IF(AND(B1534="",C1534=""),"",ROUND(H1534*O1534,2))</f>
        <v/>
      </c>
      <c r="Q1534" s="401" t="inlineStr">
        <is>
          <t>元件</t>
        </is>
      </c>
      <c r="R1534" s="168" t="inlineStr"/>
      <c r="S1534" s="168" t="inlineStr"/>
      <c r="T1534" s="168" t="inlineStr">
        <is>
          <t>0</t>
        </is>
      </c>
      <c r="U1534" s="168" t="inlineStr">
        <is>
          <t>XB2BA42C</t>
        </is>
      </c>
      <c r="V1534" s="402" t="n"/>
      <c r="W1534" s="402" t="n"/>
      <c r="X1534" s="170" t="inlineStr">
        <is>
          <t>XA2EA41</t>
        </is>
      </c>
    </row>
    <row r="1535" s="308">
      <c r="A1535" s="64">
        <f>ROW()-ROW(A$1525)</f>
        <v/>
      </c>
      <c r="B1535" s="112" t="inlineStr">
        <is>
          <t>带熔丝端子</t>
        </is>
      </c>
      <c r="C1535" s="112" t="inlineStr">
        <is>
          <t>UK 5-HESI</t>
        </is>
      </c>
      <c r="D1535" s="22" t="inlineStr">
        <is>
          <t>菲尼克斯</t>
        </is>
      </c>
      <c r="E1535" s="23" t="inlineStr">
        <is>
          <t>只</t>
        </is>
      </c>
      <c r="F1535" s="23" t="n">
        <v>7</v>
      </c>
      <c r="G1535" s="349">
        <f>IF(AND(B1535="",C1535=""),"",ROUND(M1535*L1535*N1535,2))</f>
        <v/>
      </c>
      <c r="H1535" s="396">
        <f>IF(AND(B1535="",C1535=""),"",ROUND(F1535*G1535,2))</f>
        <v/>
      </c>
      <c r="I1535" s="150" t="inlineStr"/>
      <c r="J1535" s="397">
        <f>IF(AND(B1535="",C1535=""),"",ROUND(M1535*N1535,2))</f>
        <v/>
      </c>
      <c r="K1535" s="398">
        <f>IF(AND(B1535="",C1535=""),"",ROUND(J1535*F1535,2))</f>
        <v/>
      </c>
      <c r="L1535" s="141" t="n">
        <v>1</v>
      </c>
      <c r="M1535" s="399" t="n">
        <v>7</v>
      </c>
      <c r="N1535" s="154" t="n">
        <v>1</v>
      </c>
      <c r="O1535" s="155">
        <f>IF(AND(B1535="",C1535=""),"",IF(G1535&gt;=20000,0.05,IF(G1535&gt;=10000,0.1,IF(G1535&gt;=5000,0.2,IF(G1535&gt;=1000,0.3,IF(G1535&gt;=0,0.4,{0}))))))</f>
        <v/>
      </c>
      <c r="P1535" s="400">
        <f>IF(AND(B1535="",C1535=""),"",ROUND(H1535*O1535,2))</f>
        <v/>
      </c>
      <c r="Q1535" s="401" t="inlineStr">
        <is>
          <t>元件</t>
        </is>
      </c>
      <c r="R1535" s="168" t="inlineStr"/>
      <c r="S1535" s="168" t="inlineStr"/>
      <c r="T1535" s="168" t="inlineStr">
        <is>
          <t>0</t>
        </is>
      </c>
      <c r="U1535" s="168" t="inlineStr"/>
      <c r="V1535" s="402" t="n"/>
      <c r="W1535" s="402" t="n"/>
      <c r="X1535" s="170" t="inlineStr"/>
    </row>
    <row r="1536" s="308">
      <c r="A1536" s="64">
        <f>ROW()-ROW(A$1525)</f>
        <v/>
      </c>
      <c r="B1536" s="33" t="inlineStr">
        <is>
          <t>水平母排</t>
        </is>
      </c>
      <c r="C1536" s="22" t="inlineStr">
        <is>
          <t>TMY 4*(2*100*5)+2*50*5</t>
        </is>
      </c>
      <c r="D1536" s="22" t="inlineStr">
        <is>
          <t>国产优质</t>
        </is>
      </c>
      <c r="E1536" s="23" t="inlineStr">
        <is>
          <t>米</t>
        </is>
      </c>
      <c r="F1536" s="23" t="n">
        <v>0.8</v>
      </c>
      <c r="G1536" s="349">
        <f>IF(AND(B1536="",C1536=""),"",ROUND(M1536*L1536*N1536,2))</f>
        <v/>
      </c>
      <c r="H1536" s="349">
        <f>IF(AND(B1536="",C1536=""),"",ROUND(F1536*G1536,2))</f>
        <v/>
      </c>
      <c r="I1536" s="179" t="inlineStr"/>
      <c r="J1536" s="397">
        <f>IF(AND(B1536="",C1536=""),"",ROUND(M1536*N1536,2))</f>
        <v/>
      </c>
      <c r="K1536" s="398">
        <f>IF(AND(B1536="",C1536=""),"",ROUND(J1536*F1536,2))</f>
        <v/>
      </c>
      <c r="L1536" s="141" t="n">
        <v>1</v>
      </c>
      <c r="M1536" s="399" t="n">
        <v>4329.60525</v>
      </c>
      <c r="N1536" s="154">
        <f>(6317.932*1*1+2684.8*1*1)/9002.732</f>
        <v/>
      </c>
      <c r="O1536" s="155">
        <f>IF(AND(B1536="",C1536=""),"",IF(G1536&gt;=20000,0.05,IF(G1536&gt;=10000,0.1,IF(G1536&gt;=5000,0.2,IF(G1536&gt;=1000,0.3,IF(G1536&gt;=0,0.4,{0}))))))</f>
        <v/>
      </c>
      <c r="P1536" s="400">
        <f>IF(AND(B1536="",C1536=""),"",ROUND(H1536*O1536,2))</f>
        <v/>
      </c>
      <c r="Q1536" s="401" t="inlineStr">
        <is>
          <t>母排</t>
        </is>
      </c>
      <c r="R1536" s="168" t="inlineStr"/>
      <c r="S1536" s="168" t="inlineStr"/>
      <c r="T1536" s="168" t="inlineStr">
        <is>
          <t>0</t>
        </is>
      </c>
      <c r="U1536" s="168" t="inlineStr"/>
      <c r="V1536" s="402" t="n"/>
      <c r="W1536" s="402" t="n"/>
      <c r="X1536" s="170" t="inlineStr"/>
    </row>
    <row r="1537" customFormat="1" s="3">
      <c r="A1537" s="64">
        <f>ROW()-ROW(A$1525)</f>
        <v/>
      </c>
      <c r="B1537" s="27" t="inlineStr">
        <is>
          <t>铜排</t>
        </is>
      </c>
      <c r="C1537" s="27" t="inlineStr">
        <is>
          <t>TMY</t>
        </is>
      </c>
      <c r="D1537" s="22" t="inlineStr">
        <is>
          <t>国产优质</t>
        </is>
      </c>
      <c r="E1537" s="23" t="inlineStr">
        <is>
          <t>kg</t>
        </is>
      </c>
      <c r="F1537" s="28" t="n">
        <v>151</v>
      </c>
      <c r="G1537" s="353">
        <f>IF(AND(B1537="",C1537=""),"",ROUND(M1537*L1537*N1537,2))</f>
        <v/>
      </c>
      <c r="H1537" s="353">
        <f>IF(AND(B1537="",C1537=""),"",ROUND(F1537*G1537,2))</f>
        <v/>
      </c>
      <c r="I1537" s="180" t="inlineStr"/>
      <c r="J1537" s="392">
        <f>IF(AND(B1537="",C1537=""),"",ROUND(M1537*N1537,2))</f>
        <v/>
      </c>
      <c r="K1537" s="393">
        <f>IF(AND(B1537="",C1537=""),"",ROUND(J1537*F1537,2))</f>
        <v/>
      </c>
      <c r="L1537" s="141" t="n">
        <v>1</v>
      </c>
      <c r="M1537" s="394" t="n">
        <v>108.105</v>
      </c>
      <c r="N1537" s="143" t="n">
        <v>1</v>
      </c>
      <c r="O1537" s="144">
        <f>IF(AND(B1537="",C1537=""),"",IF(G1537&gt;=20000,0.05,IF(G1537&gt;=10000,0.1,IF(G1537&gt;=5000,0.2,IF(G1537&gt;=1000,0.3,IF(G1537&gt;=0,0.4,{0}))))))</f>
        <v/>
      </c>
      <c r="P1537" s="395">
        <f>IF(AND(B1537="",C1537=""),"",ROUND(H1537*O1537,2))</f>
        <v/>
      </c>
      <c r="Q1537" s="390" t="inlineStr">
        <is>
          <t>母排</t>
        </is>
      </c>
      <c r="R1537" s="164" t="inlineStr"/>
      <c r="S1537" s="164" t="inlineStr"/>
      <c r="T1537" s="164" t="inlineStr">
        <is>
          <t>0</t>
        </is>
      </c>
      <c r="U1537" s="164" t="inlineStr"/>
      <c r="V1537" s="391" t="n"/>
      <c r="W1537" s="391" t="n"/>
      <c r="X1537" s="166" t="inlineStr"/>
    </row>
    <row r="1538" s="308">
      <c r="A1538" s="64">
        <f>ROW()-ROW(A$1525)</f>
        <v/>
      </c>
      <c r="B1538" s="22" t="inlineStr">
        <is>
          <t>辅料</t>
        </is>
      </c>
      <c r="C1538" s="22" t="inlineStr"/>
      <c r="D1538" s="22" t="inlineStr"/>
      <c r="E1538" s="23" t="inlineStr">
        <is>
          <t>套</t>
        </is>
      </c>
      <c r="F1538" s="23" t="n">
        <v>1</v>
      </c>
      <c r="G1538" s="349">
        <f>IF(AND(B1538="",C1538=""),"",ROUND(M1538*L1538*N1538,2))</f>
        <v/>
      </c>
      <c r="H1538" s="349">
        <f>IF(AND(B1538="",C1538=""),"",ROUND(F1538*G1538,2))</f>
        <v/>
      </c>
      <c r="I1538" s="179" t="inlineStr"/>
      <c r="J1538" s="397">
        <f>IF(AND(B1538="",C1538=""),"",ROUND(M1538*N1538,2))</f>
        <v/>
      </c>
      <c r="K1538" s="398">
        <f>IF(AND(B1538="",C1538=""),"",ROUND(J1538*F1538,2))</f>
        <v/>
      </c>
      <c r="L1538" s="141" t="n">
        <v>1</v>
      </c>
      <c r="M1538" s="399" t="n">
        <v>550</v>
      </c>
      <c r="N1538" s="154" t="n">
        <v>1</v>
      </c>
      <c r="O1538" s="155">
        <f>IF(AND(B1538="",C1538=""),"",IF(G1538&gt;=20000,0.05,IF(G1538&gt;=10000,0.1,IF(G1538&gt;=5000,0.2,IF(G1538&gt;=1000,0.3,IF(G1538&gt;=0,0.4,{0}))))))</f>
        <v/>
      </c>
      <c r="P1538" s="400">
        <f>IF(AND(B1538="",C1538=""),"",ROUND(H1538*O1538,2))</f>
        <v/>
      </c>
      <c r="Q1538" s="401" t="inlineStr">
        <is>
          <t>辅料</t>
        </is>
      </c>
      <c r="R1538" s="168" t="inlineStr"/>
      <c r="S1538" s="168" t="inlineStr"/>
      <c r="T1538" s="168" t="inlineStr">
        <is>
          <t>0</t>
        </is>
      </c>
      <c r="U1538" s="168" t="inlineStr"/>
      <c r="V1538" s="402" t="n"/>
      <c r="W1538" s="402" t="n"/>
      <c r="X1538" s="170" t="inlineStr"/>
    </row>
    <row r="1539" s="308">
      <c r="A1539" s="64">
        <f>ROW()-ROW(A$1525)</f>
        <v/>
      </c>
      <c r="B1539" s="22" t="inlineStr">
        <is>
          <t>柜体Blokset</t>
        </is>
      </c>
      <c r="C1539" s="33" t="inlineStr">
        <is>
          <t>700W*1200D*2200H</t>
        </is>
      </c>
      <c r="D1539" s="22" t="inlineStr">
        <is>
          <t>清科</t>
        </is>
      </c>
      <c r="E1539" s="23" t="inlineStr">
        <is>
          <t>台</t>
        </is>
      </c>
      <c r="F1539" s="23" t="n">
        <v>1</v>
      </c>
      <c r="G1539" s="349">
        <f>IF(AND(B1539="",C1539=""),"",ROUND(M1539*L1539*N1539,2))</f>
        <v/>
      </c>
      <c r="H1539" s="349">
        <f>IF(AND(B1539="",C1539=""),"",ROUND(F1539*G1539,2))</f>
        <v/>
      </c>
      <c r="I1539" s="179" t="inlineStr"/>
      <c r="J1539" s="397">
        <f>IF(AND(B1539="",C1539=""),"",ROUND(M1539*N1539,2))</f>
        <v/>
      </c>
      <c r="K1539" s="398">
        <f>IF(AND(B1539="",C1539=""),"",ROUND(J1539*F1539,2))</f>
        <v/>
      </c>
      <c r="L1539" s="141" t="n">
        <v>1</v>
      </c>
      <c r="M1539" s="399" t="n">
        <v>4010</v>
      </c>
      <c r="N1539" s="154" t="n">
        <v>1</v>
      </c>
      <c r="O1539" s="155">
        <f>IF(AND(B1539="",C1539=""),"",IF(G1539&gt;=20000,0.05,IF(G1539&gt;=10000,0.1,IF(G1539&gt;=5000,0.2,IF(G1539&gt;=1000,0.3,IF(G1539&gt;=0,0.4,{0}))))))</f>
        <v/>
      </c>
      <c r="P1539" s="400">
        <f>IF(AND(B1539="",C1539=""),"",ROUND(H1539*O1539,2))</f>
        <v/>
      </c>
      <c r="Q1539" s="401" t="inlineStr">
        <is>
          <t>箱体</t>
        </is>
      </c>
      <c r="R1539" s="168" t="inlineStr"/>
      <c r="S1539" s="168" t="inlineStr"/>
      <c r="T1539" s="168" t="inlineStr">
        <is>
          <t>0</t>
        </is>
      </c>
      <c r="U1539" s="168" t="inlineStr"/>
      <c r="V1539" s="402" t="n"/>
      <c r="W1539" s="402" t="n"/>
      <c r="X1539" s="170" t="inlineStr"/>
    </row>
    <row r="1540" customFormat="1" s="3">
      <c r="A1540" s="64">
        <f>ROW()-ROW(A$1525)</f>
        <v/>
      </c>
      <c r="B1540" s="27" t="inlineStr"/>
      <c r="C1540" s="27" t="inlineStr"/>
      <c r="D1540" s="27" t="inlineStr"/>
      <c r="E1540" s="28" t="n"/>
      <c r="F1540" s="28">
        <f>IF(AND(B1540="",C1540=""),"",1)</f>
        <v/>
      </c>
      <c r="G1540" s="353" t="n"/>
      <c r="H1540" s="353">
        <f>IF(AND(B1540="",C1540=""),"",ROUND(F1540*G1540,2))</f>
        <v/>
      </c>
      <c r="I1540" s="180" t="inlineStr"/>
      <c r="J1540" s="392">
        <f>IF(AND(B1540="",C1540=""),"",ROUND(M1540*N1540,2))</f>
        <v/>
      </c>
      <c r="K1540" s="393">
        <f>IF(AND(B1540="",C1540=""),"",ROUND(J1540*F1540,2))</f>
        <v/>
      </c>
      <c r="L1540" s="141">
        <f>IF(AND(B1540="",C1540=""),"",1)</f>
        <v/>
      </c>
      <c r="M1540" s="394" t="n"/>
      <c r="N1540" s="143">
        <f>IF(AND(B1540="",C1540=""),"",1)</f>
        <v/>
      </c>
      <c r="O1540" s="144">
        <f>IF(AND(B1540="",C1540=""),"",IF(J1540&gt;=20000,0.05,IF(J1540&gt;=10000,0.1,IF(J1540&gt;=5000,0.2,IF(J1540&gt;=1000,0.3,IF(J1540&gt;=0,0.4,{0}))))))</f>
        <v/>
      </c>
      <c r="P1540" s="395">
        <f>IF(AND(B1540="",C1540=""),"",ROUND(H1540*O1540,2))</f>
        <v/>
      </c>
      <c r="Q1540" s="390">
        <f>IF(AND(B1540="",C1540=""),"","元件")</f>
        <v/>
      </c>
      <c r="R1540" s="164" t="inlineStr"/>
      <c r="S1540" s="164" t="inlineStr"/>
      <c r="T1540" s="164" t="inlineStr"/>
      <c r="U1540" s="164" t="inlineStr"/>
      <c r="V1540" s="391" t="n"/>
      <c r="W1540" s="391" t="n"/>
      <c r="X1540" s="166" t="inlineStr"/>
    </row>
    <row r="1541" customFormat="1" s="3">
      <c r="A1541" s="64">
        <f>ROW()-ROW(A$1525)</f>
        <v/>
      </c>
      <c r="B1541" s="27" t="inlineStr"/>
      <c r="C1541" s="27" t="inlineStr"/>
      <c r="D1541" s="27" t="inlineStr"/>
      <c r="E1541" s="28" t="n"/>
      <c r="F1541" s="28">
        <f>IF(AND(B1541="",C1541=""),"",1)</f>
        <v/>
      </c>
      <c r="G1541" s="353">
        <f>IF(AND(B1541="",C1541=""),"",ROUND(M1541*L1541*N1541,2))</f>
        <v/>
      </c>
      <c r="H1541" s="353">
        <f>IF(AND(B1541="",C1541=""),"",ROUND(F1541*G1541,2))</f>
        <v/>
      </c>
      <c r="I1541" s="180" t="inlineStr"/>
      <c r="J1541" s="392">
        <f>IF(AND(B1541="",C1541=""),"",ROUND(M1541*N1541,2))</f>
        <v/>
      </c>
      <c r="K1541" s="393">
        <f>IF(AND(B1541="",C1541=""),"",ROUND(J1541*F1541,2))</f>
        <v/>
      </c>
      <c r="L1541" s="141">
        <f>IF(AND(B1541="",C1541=""),"",1)</f>
        <v/>
      </c>
      <c r="M1541" s="394" t="n"/>
      <c r="N1541" s="143">
        <f>IF(AND(B1541="",C1541=""),"",1)</f>
        <v/>
      </c>
      <c r="O1541" s="144">
        <f>IF(AND(B1541="",C1541=""),"",IF(J1541&gt;=20000,0.05,IF(J1541&gt;=10000,0.1,IF(J1541&gt;=5000,0.2,IF(J1541&gt;=1000,0.3,IF(J1541&gt;=0,0.4,{0}))))))</f>
        <v/>
      </c>
      <c r="P1541" s="395">
        <f>IF(AND(B1541="",C1541=""),"",ROUND(H1541*O1541,2))</f>
        <v/>
      </c>
      <c r="Q1541" s="390">
        <f>IF(AND(B1541="",C1541=""),"","元件")</f>
        <v/>
      </c>
      <c r="R1541" s="164" t="inlineStr"/>
      <c r="S1541" s="164" t="inlineStr"/>
      <c r="T1541" s="164" t="inlineStr"/>
      <c r="U1541" s="164" t="inlineStr"/>
      <c r="V1541" s="391" t="n"/>
      <c r="W1541" s="391" t="n"/>
      <c r="X1541" s="166" t="inlineStr"/>
    </row>
    <row r="1542" customFormat="1" s="3">
      <c r="A1542" s="64">
        <f>ROW()-ROW(A$1525)</f>
        <v/>
      </c>
      <c r="B1542" s="171" t="inlineStr">
        <is>
          <t>小计</t>
        </is>
      </c>
      <c r="C1542" s="172" t="n"/>
      <c r="D1542" s="82" t="n"/>
      <c r="E1542" s="28" t="n"/>
      <c r="F1542" s="28" t="n"/>
      <c r="G1542" s="353" t="n"/>
      <c r="H1542" s="353">
        <f>ROUND(SUM(H1525:INDEX(H:H,ROW()-1)),2)</f>
        <v/>
      </c>
      <c r="I1542" s="45" t="inlineStr"/>
      <c r="J1542" s="392" t="n"/>
      <c r="K1542" s="393">
        <f>ROUND(SUM(K1525:INDEX(K:K,ROW()-1)),2)</f>
        <v/>
      </c>
      <c r="L1542" s="141" t="n"/>
      <c r="M1542" s="394" t="n"/>
      <c r="N1542" s="143" t="n"/>
      <c r="O1542" s="144" t="n"/>
      <c r="P1542" s="395" t="n"/>
      <c r="Q1542" s="390" t="n"/>
      <c r="R1542" s="164" t="inlineStr"/>
      <c r="S1542" s="164" t="inlineStr"/>
      <c r="T1542" s="164" t="inlineStr"/>
      <c r="U1542" s="164" t="inlineStr"/>
      <c r="V1542" s="391">
        <f>ROUND(SUMPRODUCT(F1525:INDEX(F:F,ROW()-1),V1525:INDEX(V:V,ROW()-1)),2)</f>
        <v/>
      </c>
      <c r="W1542" s="391">
        <f>ROUND(SUMPRODUCT(F1525:INDEX(F:F,ROW()-1),W1525:INDEX(W:W,ROW()-1)),2)</f>
        <v/>
      </c>
      <c r="X1542" s="166" t="inlineStr"/>
    </row>
    <row r="1543" customFormat="1" s="3">
      <c r="A1543" s="64">
        <f>ROW()-ROW(A$1525)</f>
        <v/>
      </c>
      <c r="B1543" s="171" t="inlineStr">
        <is>
          <t>综合费(人工、管理、税金、利润等)</t>
        </is>
      </c>
      <c r="C1543" s="172" t="n"/>
      <c r="D1543" s="82" t="n"/>
      <c r="E1543" s="28" t="n"/>
      <c r="F1543" s="28" t="n"/>
      <c r="G1543" s="353" t="n"/>
      <c r="H1543" s="353">
        <f>2500</f>
        <v/>
      </c>
      <c r="I1543" s="45" t="inlineStr"/>
      <c r="J1543" s="392" t="n"/>
      <c r="K1543" s="393" t="n"/>
      <c r="L1543" s="141" t="n"/>
      <c r="M1543" s="394" t="n"/>
      <c r="N1543" s="143" t="n"/>
      <c r="O1543" s="144" t="n"/>
      <c r="P1543" s="395" t="n"/>
      <c r="Q1543" s="390" t="inlineStr">
        <is>
          <t>费用</t>
        </is>
      </c>
      <c r="R1543" s="164" t="inlineStr"/>
      <c r="S1543" s="164" t="inlineStr"/>
      <c r="T1543" s="164" t="inlineStr"/>
      <c r="U1543" s="164" t="inlineStr"/>
      <c r="V1543" s="391" t="n"/>
      <c r="W1543" s="391" t="n"/>
      <c r="X1543" s="166" t="inlineStr"/>
    </row>
    <row r="1544" customFormat="1" s="3">
      <c r="A1544" s="64">
        <f>ROW()-ROW(A$1525)</f>
        <v/>
      </c>
      <c r="B1544" s="82" t="inlineStr">
        <is>
          <t>单台合计</t>
        </is>
      </c>
      <c r="C1544" s="172" t="n"/>
      <c r="D1544" s="82" t="n"/>
      <c r="E1544" s="28" t="n"/>
      <c r="F1544" s="28" t="n"/>
      <c r="G1544" s="353" t="n"/>
      <c r="H1544" s="353">
        <f>ROUND(SUM(H1542:H1543),2)</f>
        <v/>
      </c>
      <c r="I1544" s="181" t="n"/>
      <c r="J1544" s="392" t="n"/>
      <c r="K1544" s="393">
        <f>ROUND(SUM(K1542:K1543),2)</f>
        <v/>
      </c>
      <c r="L1544" s="182" t="n"/>
      <c r="M1544" s="394" t="n"/>
      <c r="N1544" s="183" t="n"/>
      <c r="O1544" s="184" t="n"/>
      <c r="P1544" s="395" t="n"/>
      <c r="Q1544" s="390" t="n"/>
      <c r="R1544" s="164" t="inlineStr"/>
      <c r="S1544" s="164" t="inlineStr"/>
      <c r="T1544" s="164" t="inlineStr"/>
      <c r="U1544" s="164" t="inlineStr"/>
      <c r="V1544" s="391" t="n"/>
      <c r="W1544" s="391" t="n"/>
      <c r="X1544" s="166" t="inlineStr"/>
    </row>
    <row r="1545" customFormat="1" s="3">
      <c r="A1545" s="173" t="inlineStr">
        <is>
          <t>总计</t>
        </is>
      </c>
      <c r="B1545" s="174" t="n"/>
      <c r="C1545" s="175" t="n"/>
      <c r="D1545" s="176" t="n"/>
      <c r="E1545" s="176" t="inlineStr">
        <is>
          <t>台</t>
        </is>
      </c>
      <c r="F1545" s="176" t="n">
        <v>2</v>
      </c>
      <c r="G1545" s="403">
        <f>ROUND(H1544,2)</f>
        <v/>
      </c>
      <c r="H1545" s="403">
        <f>ROUND(F1545*G1545,2)</f>
        <v/>
      </c>
      <c r="I1545" s="185" t="n"/>
      <c r="J1545" s="404" t="n"/>
      <c r="K1545" s="405">
        <f>ROUND(K1544*F1545,2)</f>
        <v/>
      </c>
      <c r="L1545" s="188" t="n"/>
      <c r="M1545" s="406" t="n"/>
      <c r="N1545" s="190" t="n"/>
      <c r="O1545" s="191" t="n"/>
      <c r="P1545" s="407" t="n"/>
      <c r="Q1545" s="390" t="n"/>
      <c r="R1545" s="164" t="inlineStr"/>
      <c r="S1545" s="164" t="inlineStr"/>
      <c r="T1545" s="164" t="inlineStr"/>
      <c r="U1545" s="164" t="inlineStr"/>
      <c r="V1545" s="391" t="n"/>
      <c r="W1545" s="391" t="n"/>
      <c r="X1545" s="166" t="inlineStr"/>
    </row>
    <row r="1546" customFormat="1" s="2">
      <c r="A1546" s="89" t="n"/>
      <c r="B1546" s="132" t="inlineStr"/>
      <c r="C1546" s="132" t="inlineStr"/>
      <c r="D1546" s="132" t="inlineStr"/>
      <c r="Q1546" s="160" t="n"/>
      <c r="R1546" s="160" t="n"/>
      <c r="S1546" s="160" t="n"/>
      <c r="T1546" s="160" t="n"/>
      <c r="U1546" s="160" t="n"/>
      <c r="X1546" s="132" t="inlineStr"/>
    </row>
    <row r="1547" customFormat="1" s="2">
      <c r="A1547" s="89" t="n"/>
      <c r="B1547" s="132" t="inlineStr"/>
      <c r="C1547" s="132" t="inlineStr"/>
      <c r="D1547" s="132" t="inlineStr"/>
      <c r="Q1547" s="160" t="n"/>
      <c r="R1547" s="160" t="n"/>
      <c r="S1547" s="160" t="n"/>
      <c r="T1547" s="160" t="n"/>
      <c r="U1547" s="160" t="n"/>
      <c r="X1547" s="132" t="inlineStr"/>
    </row>
    <row r="1548" customFormat="1" s="3">
      <c r="A1548" s="92">
        <f>CONCATENATE("报价人：",项目信息!$B$8)</f>
        <v/>
      </c>
      <c r="B1548" s="92" t="n"/>
      <c r="C1548" s="2" t="n"/>
      <c r="D1548" s="2" t="n"/>
      <c r="E1548" s="2" t="n"/>
      <c r="F1548" s="2" t="n"/>
      <c r="G1548" s="2" t="n"/>
      <c r="H1548" s="178">
        <f>项目信息!$B$9</f>
        <v/>
      </c>
      <c r="Q1548" s="160" t="n"/>
      <c r="R1548" s="160" t="n"/>
      <c r="S1548" s="160" t="n"/>
      <c r="T1548" s="160" t="n"/>
      <c r="U1548" s="160" t="n"/>
      <c r="X1548" s="162" t="inlineStr"/>
    </row>
    <row r="1549" s="308">
      <c r="A1549" s="8">
        <f>T(项目信息!$B$22)</f>
        <v/>
      </c>
      <c r="Q1549" s="159" t="n"/>
      <c r="R1549" s="159" t="n"/>
      <c r="S1549" s="159" t="n"/>
      <c r="T1549" s="159" t="n"/>
      <c r="U1549" s="159" t="n"/>
    </row>
    <row r="1550" s="308">
      <c r="A1550" s="9">
        <f>T(项目信息!$B$23)</f>
        <v/>
      </c>
      <c r="Q1550" s="159" t="n"/>
      <c r="R1550" s="159" t="n"/>
      <c r="S1550" s="159" t="n"/>
      <c r="T1550" s="159" t="n"/>
      <c r="U1550" s="159" t="n"/>
    </row>
    <row r="1551" s="308">
      <c r="A1551" s="97" t="inlineStr">
        <is>
          <t>成套产品报价明细表</t>
        </is>
      </c>
      <c r="B1551" s="378" t="n"/>
      <c r="C1551" s="378" t="n"/>
      <c r="D1551" s="378" t="n"/>
      <c r="E1551" s="378" t="n"/>
      <c r="F1551" s="378" t="n"/>
      <c r="G1551" s="378" t="n"/>
      <c r="H1551" s="378" t="n"/>
      <c r="I1551" s="378" t="n"/>
      <c r="Q1551" s="159" t="n"/>
      <c r="R1551" s="159" t="n"/>
      <c r="S1551" s="159" t="n"/>
      <c r="T1551" s="159" t="n"/>
      <c r="U1551" s="159" t="n"/>
    </row>
    <row r="1552" customFormat="1" s="4">
      <c r="A1552" s="98" t="inlineStr">
        <is>
          <t>柜号:</t>
        </is>
      </c>
      <c r="B1552" s="99" t="inlineStr">
        <is>
          <t>AAN13-04、BAN14-04</t>
        </is>
      </c>
      <c r="C1552" s="100" t="inlineStr">
        <is>
          <t>型号:</t>
        </is>
      </c>
      <c r="D1552" s="99" t="inlineStr">
        <is>
          <t>BlokSeT</t>
        </is>
      </c>
      <c r="E1552" s="379" t="n"/>
      <c r="F1552" s="101" t="inlineStr">
        <is>
          <t>名称:</t>
        </is>
      </c>
      <c r="G1552" s="99" t="inlineStr">
        <is>
          <t>馈线柜</t>
        </is>
      </c>
      <c r="H1552" s="379" t="n"/>
      <c r="I1552" s="408" t="inlineStr"/>
      <c r="J1552" s="194" t="inlineStr">
        <is>
          <t>箱柜尺寸:</t>
        </is>
      </c>
      <c r="K1552" s="195" t="inlineStr">
        <is>
          <t>700W*1200D*2200H</t>
        </is>
      </c>
      <c r="L1552" s="194" t="inlineStr">
        <is>
          <t>类别:</t>
        </is>
      </c>
      <c r="M1552" s="195" t="inlineStr">
        <is>
          <t>低压固定柜</t>
        </is>
      </c>
      <c r="N1552" s="409" t="inlineStr"/>
      <c r="Q1552" s="159" t="n"/>
      <c r="R1552" s="159" t="n"/>
      <c r="S1552" s="159" t="n"/>
      <c r="T1552" s="159" t="n"/>
      <c r="U1552" s="159" t="n"/>
    </row>
    <row r="1553" ht="20.1" customHeight="1" s="308">
      <c r="A1553" s="102" t="inlineStr">
        <is>
          <t>序号</t>
        </is>
      </c>
      <c r="B1553" s="103" t="inlineStr">
        <is>
          <t>元件名称</t>
        </is>
      </c>
      <c r="C1553" s="103" t="inlineStr">
        <is>
          <t>型号规格</t>
        </is>
      </c>
      <c r="D1553" s="104" t="inlineStr">
        <is>
          <t>生产厂家</t>
        </is>
      </c>
      <c r="E1553" s="105" t="inlineStr">
        <is>
          <t>单位</t>
        </is>
      </c>
      <c r="F1553" s="105" t="inlineStr">
        <is>
          <t>数量</t>
        </is>
      </c>
      <c r="G1553" s="382" t="inlineStr">
        <is>
          <t>单   价</t>
        </is>
      </c>
      <c r="H1553" s="383" t="inlineStr">
        <is>
          <t>总   价</t>
        </is>
      </c>
      <c r="I1553" s="134" t="inlineStr">
        <is>
          <t>备注</t>
        </is>
      </c>
      <c r="J1553" s="384" t="inlineStr">
        <is>
          <t>成本单价</t>
        </is>
      </c>
      <c r="K1553" s="384" t="inlineStr">
        <is>
          <t>成本总价</t>
        </is>
      </c>
      <c r="L1553" s="136" t="inlineStr">
        <is>
          <t>报出
系数</t>
        </is>
      </c>
      <c r="M1553" s="384" t="inlineStr">
        <is>
          <t>表价</t>
        </is>
      </c>
      <c r="N1553" s="136" t="inlineStr">
        <is>
          <t>折扣
系数</t>
        </is>
      </c>
      <c r="O1553" s="137" t="inlineStr">
        <is>
          <t>取费
系数</t>
        </is>
      </c>
      <c r="P1553" s="384" t="inlineStr">
        <is>
          <t>成套费</t>
        </is>
      </c>
      <c r="Q1553" s="161" t="inlineStr">
        <is>
          <t>类别</t>
        </is>
      </c>
      <c r="R1553" s="161" t="inlineStr">
        <is>
          <t>物料编码</t>
        </is>
      </c>
      <c r="S1553" s="161" t="inlineStr">
        <is>
          <t>产地</t>
        </is>
      </c>
      <c r="T1553" s="161" t="inlineStr">
        <is>
          <t>加工费</t>
        </is>
      </c>
      <c r="U1553" s="161" t="inlineStr">
        <is>
          <t>订货号</t>
        </is>
      </c>
      <c r="V1553" s="161" t="inlineStr">
        <is>
          <t>人工</t>
        </is>
      </c>
      <c r="W1553" s="161" t="inlineStr">
        <is>
          <t>辅料</t>
        </is>
      </c>
      <c r="X1553" s="203" t="inlineStr"/>
    </row>
    <row r="1554" s="308">
      <c r="A1554" s="64">
        <f>ROW()-ROW(A$1553)</f>
        <v/>
      </c>
      <c r="B1554" s="22" t="inlineStr">
        <is>
          <t>框架断路器</t>
        </is>
      </c>
      <c r="C1554" s="22" t="inlineStr">
        <is>
          <t>MT20 H1 4P MIC5.0 E</t>
        </is>
      </c>
      <c r="D1554" s="22" t="inlineStr">
        <is>
          <t>甲供/施耐德电气</t>
        </is>
      </c>
      <c r="E1554" s="23" t="inlineStr">
        <is>
          <t>只</t>
        </is>
      </c>
      <c r="F1554" s="23" t="n">
        <v>1</v>
      </c>
      <c r="G1554" s="349">
        <f>IF(AND(B1554="",C1554=""),"",ROUND(M1554*L1554*N1554,2))</f>
        <v/>
      </c>
      <c r="H1554" s="349">
        <f>IF(AND(B1554="",C1554=""),"",ROUND(F1554*G1554,2))</f>
        <v/>
      </c>
      <c r="I1554" s="45" t="inlineStr"/>
      <c r="J1554" s="397">
        <f>IF(AND(B1554="",C1554=""),"",ROUND(M1554*N1554,2))</f>
        <v/>
      </c>
      <c r="K1554" s="398">
        <f>IF(AND(B1554="",C1554=""),"",ROUND(J1554*F1554,2))</f>
        <v/>
      </c>
      <c r="L1554" s="200" t="n">
        <v>1</v>
      </c>
      <c r="M1554" s="399" t="n">
        <v>1e-07</v>
      </c>
      <c r="N1554" s="154" t="n">
        <v>1</v>
      </c>
      <c r="O1554" s="155">
        <f>IF(AND(B1554="",C1554=""),"",IF(G1554&gt;=20000,0.05,IF(G1554&gt;=10000,0.1,IF(G1554&gt;=5000,0.2,IF(G1554&gt;=1000,0.3,IF(G1554&gt;=0,0.4,{0}))))))</f>
        <v/>
      </c>
      <c r="P1554" s="400">
        <f>IF(AND(B1554="",C1554=""),"",ROUND(H1554*O1554,2))</f>
        <v/>
      </c>
      <c r="Q1554" s="401" t="inlineStr">
        <is>
          <t>元件</t>
        </is>
      </c>
      <c r="R1554" s="168" t="inlineStr"/>
      <c r="S1554" s="168" t="inlineStr"/>
      <c r="T1554" s="168" t="inlineStr">
        <is>
          <t>0</t>
        </is>
      </c>
      <c r="U1554" s="168" t="inlineStr">
        <is>
          <t>C16F32D160</t>
        </is>
      </c>
      <c r="V1554" s="402" t="n"/>
      <c r="W1554" s="402" t="n"/>
      <c r="X1554" s="170" t="inlineStr">
        <is>
          <t>NSX630N Mic2.3 630A 3P3D F→NSX630F MIC2.3 630 3P F→NSX630F MIC 2.3 630 3P F</t>
        </is>
      </c>
    </row>
    <row r="1555" s="308">
      <c r="A1555" s="64">
        <f>ROW()-ROW(A$1553)</f>
        <v/>
      </c>
      <c r="B1555" s="22" t="inlineStr">
        <is>
          <t>电流互感器</t>
        </is>
      </c>
      <c r="C1555" s="22" t="inlineStr">
        <is>
          <t>SD-0.66-100II-C 2000/5A</t>
        </is>
      </c>
      <c r="D1555" s="22" t="inlineStr">
        <is>
          <t>桑迪</t>
        </is>
      </c>
      <c r="E1555" s="23" t="inlineStr">
        <is>
          <t>只</t>
        </is>
      </c>
      <c r="F1555" s="23" t="n">
        <v>3</v>
      </c>
      <c r="G1555" s="349">
        <f>IF(AND(B1555="",C1555=""),"",ROUND(M1555*L1555*N1555,2))</f>
        <v/>
      </c>
      <c r="H1555" s="396">
        <f>IF(AND(B1555="",C1555=""),"",ROUND(F1555*G1555,2))</f>
        <v/>
      </c>
      <c r="I1555" s="219" t="inlineStr"/>
      <c r="J1555" s="397">
        <f>IF(AND(B1555="",C1555=""),"",ROUND(M1555*N1555,2))</f>
        <v/>
      </c>
      <c r="K1555" s="398">
        <f>IF(AND(B1555="",C1555=""),"",ROUND(J1555*F1555,2))</f>
        <v/>
      </c>
      <c r="L1555" s="200" t="n">
        <v>1</v>
      </c>
      <c r="M1555" s="399" t="n">
        <v>146.25</v>
      </c>
      <c r="N1555" s="154" t="n">
        <v>1</v>
      </c>
      <c r="O1555" s="155">
        <f>IF(AND(B1555="",C1555=""),"",IF(G1555&gt;=20000,0.05,IF(G1555&gt;=10000,0.1,IF(G1555&gt;=5000,0.2,IF(G1555&gt;=1000,0.3,IF(G1555&gt;=0,0.4,{0}))))))</f>
        <v/>
      </c>
      <c r="P1555" s="400">
        <f>IF(AND(B1555="",C1555=""),"",ROUND(H1555*O1555,2))</f>
        <v/>
      </c>
      <c r="Q1555" s="401" t="inlineStr">
        <is>
          <t>元件</t>
        </is>
      </c>
      <c r="R1555" s="168" t="inlineStr"/>
      <c r="S1555" s="168" t="inlineStr"/>
      <c r="T1555" s="168" t="inlineStr">
        <is>
          <t>0</t>
        </is>
      </c>
      <c r="U1555" s="168" t="inlineStr">
        <is>
          <t>710141426552500</t>
        </is>
      </c>
      <c r="V1555" s="402" t="n"/>
      <c r="W1555" s="402" t="n"/>
      <c r="X1555" s="170" t="inlineStr">
        <is>
          <t>SD→SD-0.66-40II-C 400/5A→SD-0.66-30I 250/5A→SD-0.66-30I 150/5A→SD-0.66-60II-C 750/5A→SD-0.66-60II-C 600/5A→SD-0.66-30I 150/5A→SD-0.66-40II-C 400/5A→SD-0.66-100II-C 1600/5A→SD-0.66-80II-V 1000/5A→SD-0.66-80II-V 1250/5A→SD-0.66-130III-V 3000/5A</t>
        </is>
      </c>
    </row>
    <row r="1556" s="308">
      <c r="A1556" s="64">
        <f>ROW()-ROW(A$1553)</f>
        <v/>
      </c>
      <c r="B1556" s="112" t="inlineStr">
        <is>
          <t>多功能表</t>
        </is>
      </c>
      <c r="C1556" s="112" t="inlineStr">
        <is>
          <t>PM4101</t>
        </is>
      </c>
      <c r="D1556" s="112" t="inlineStr">
        <is>
          <t>甲供/施耐德电气</t>
        </is>
      </c>
      <c r="E1556" s="114" t="inlineStr">
        <is>
          <t>只</t>
        </is>
      </c>
      <c r="F1556" s="114" t="n">
        <v>1</v>
      </c>
      <c r="G1556" s="396">
        <f>IF(AND(B1556="",C1556=""),"",ROUND(M1556*L1556*N1556,2))</f>
        <v/>
      </c>
      <c r="H1556" s="349">
        <f>IF(AND(B1556="",C1556=""),"",ROUND(F1556*G1556,2))</f>
        <v/>
      </c>
      <c r="I1556" s="45" t="inlineStr"/>
      <c r="J1556" s="397">
        <f>IF(AND(B1556="",C1556=""),"",ROUND(M1556*N1556,2))</f>
        <v/>
      </c>
      <c r="K1556" s="398">
        <f>IF(AND(B1556="",C1556=""),"",ROUND(J1556*F1556,2))</f>
        <v/>
      </c>
      <c r="L1556" s="200" t="n">
        <v>1</v>
      </c>
      <c r="M1556" s="399" t="n">
        <v>1e-07</v>
      </c>
      <c r="N1556" s="154" t="n">
        <v>1</v>
      </c>
      <c r="O1556" s="155">
        <f>IF(AND(B1556="",C1556=""),"",IF(J1556&gt;=20000,0.05,IF(J1556&gt;=10000,0.1,IF(J1556&gt;=5000,0.2,IF(J1556&gt;=1000,0.3,IF(J1556&gt;=0,0.4,{0}))))))</f>
        <v/>
      </c>
      <c r="P1556" s="400">
        <f>IF(AND(B1556="",C1556=""),"",ROUND(H1556*O1556,2))</f>
        <v/>
      </c>
      <c r="Q1556" s="401" t="inlineStr">
        <is>
          <t>元件</t>
        </is>
      </c>
      <c r="R1556" s="168" t="inlineStr"/>
      <c r="S1556" s="168" t="inlineStr"/>
      <c r="T1556" s="168" t="inlineStr">
        <is>
          <t>0</t>
        </is>
      </c>
      <c r="U1556" s="168" t="inlineStr"/>
      <c r="V1556" s="402" t="n"/>
      <c r="W1556" s="402" t="n"/>
      <c r="X1556" s="170" t="inlineStr"/>
    </row>
    <row r="1557" customFormat="1" s="3">
      <c r="A1557" s="64">
        <f>ROW()-ROW(A$1553)</f>
        <v/>
      </c>
      <c r="B1557" s="22" t="inlineStr">
        <is>
          <t>指示灯</t>
        </is>
      </c>
      <c r="C1557" s="22" t="inlineStr">
        <is>
          <t>XB2BVM3LC</t>
        </is>
      </c>
      <c r="D1557" s="22" t="inlineStr">
        <is>
          <t>甲供/施耐德电气</t>
        </is>
      </c>
      <c r="E1557" s="23" t="inlineStr">
        <is>
          <t>只</t>
        </is>
      </c>
      <c r="F1557" s="23" t="n">
        <v>1</v>
      </c>
      <c r="G1557" s="349">
        <f>IF(AND(B1557="",C1557=""),"",ROUND(M1557*L1557*N1557,2))</f>
        <v/>
      </c>
      <c r="H1557" s="353">
        <f>IF(AND(B1557="",C1557=""),"",ROUND(F1557*G1557,2))</f>
        <v/>
      </c>
      <c r="I1557" s="180" t="inlineStr"/>
      <c r="J1557" s="392">
        <f>IF(AND(B1557="",C1557=""),"",ROUND(M1557*N1557,2))</f>
        <v/>
      </c>
      <c r="K1557" s="393">
        <f>IF(AND(B1557="",C1557=""),"",ROUND(J1557*F1557,2))</f>
        <v/>
      </c>
      <c r="L1557" s="141" t="n">
        <v>1</v>
      </c>
      <c r="M1557" s="394" t="n">
        <v>1e-07</v>
      </c>
      <c r="N1557" s="220" t="n">
        <v>1</v>
      </c>
      <c r="O1557" s="221">
        <f>IF(AND(B1557="",C1557=""),"",IF(G1557&gt;=20000,0.05,IF(G1557&gt;=10000,0.1,IF(G1557&gt;=5000,0.2,IF(G1557&gt;=1000,0.3,IF(G1557&gt;=0,0.4,{0}))))))</f>
        <v/>
      </c>
      <c r="P1557" s="419">
        <f>IF(AND(B1557="",C1557=""),"",ROUND(H1557*O1557,2))</f>
        <v/>
      </c>
      <c r="Q1557" s="420" t="inlineStr">
        <is>
          <t>元件</t>
        </is>
      </c>
      <c r="R1557" s="231" t="inlineStr"/>
      <c r="S1557" s="231" t="inlineStr"/>
      <c r="T1557" s="231" t="inlineStr">
        <is>
          <t>0</t>
        </is>
      </c>
      <c r="U1557" s="231" t="inlineStr">
        <is>
          <t>XB2BVM3LC</t>
        </is>
      </c>
      <c r="V1557" s="421" t="n"/>
      <c r="W1557" s="421" t="n"/>
      <c r="X1557" s="166" t="inlineStr">
        <is>
          <t>XA2EVM3LC</t>
        </is>
      </c>
    </row>
    <row r="1558" customFormat="1" s="3">
      <c r="A1558" s="64">
        <f>ROW()-ROW(A$1553)</f>
        <v/>
      </c>
      <c r="B1558" s="22" t="inlineStr">
        <is>
          <t>指示灯</t>
        </is>
      </c>
      <c r="C1558" s="22" t="inlineStr">
        <is>
          <t>XB2BVM4LC</t>
        </is>
      </c>
      <c r="D1558" s="22" t="inlineStr">
        <is>
          <t>甲供/施耐德电气</t>
        </is>
      </c>
      <c r="E1558" s="23" t="inlineStr">
        <is>
          <t>只</t>
        </is>
      </c>
      <c r="F1558" s="23" t="n">
        <v>1</v>
      </c>
      <c r="G1558" s="349">
        <f>IF(AND(B1558="",C1558=""),"",ROUND(M1558*L1558*N1558,2))</f>
        <v/>
      </c>
      <c r="H1558" s="353">
        <f>IF(AND(B1558="",C1558=""),"",ROUND(F1558*G1558,2))</f>
        <v/>
      </c>
      <c r="I1558" s="180" t="inlineStr"/>
      <c r="J1558" s="392">
        <f>IF(AND(B1558="",C1558=""),"",ROUND(M1558*N1558,2))</f>
        <v/>
      </c>
      <c r="K1558" s="393">
        <f>IF(AND(B1558="",C1558=""),"",ROUND(J1558*F1558,2))</f>
        <v/>
      </c>
      <c r="L1558" s="141" t="n">
        <v>1</v>
      </c>
      <c r="M1558" s="394" t="n">
        <v>1e-07</v>
      </c>
      <c r="N1558" s="220" t="n">
        <v>1</v>
      </c>
      <c r="O1558" s="221">
        <f>IF(AND(B1558="",C1558=""),"",IF(G1558&gt;=20000,0.05,IF(G1558&gt;=10000,0.1,IF(G1558&gt;=5000,0.2,IF(G1558&gt;=1000,0.3,IF(G1558&gt;=0,0.4,{0}))))))</f>
        <v/>
      </c>
      <c r="P1558" s="419">
        <f>IF(AND(B1558="",C1558=""),"",ROUND(H1558*O1558,2))</f>
        <v/>
      </c>
      <c r="Q1558" s="420" t="inlineStr">
        <is>
          <t>元件</t>
        </is>
      </c>
      <c r="R1558" s="231" t="inlineStr"/>
      <c r="S1558" s="231" t="inlineStr"/>
      <c r="T1558" s="231" t="inlineStr">
        <is>
          <t>0</t>
        </is>
      </c>
      <c r="U1558" s="231" t="inlineStr">
        <is>
          <t>XB2BVM4LC</t>
        </is>
      </c>
      <c r="V1558" s="421" t="n"/>
      <c r="W1558" s="421" t="n"/>
      <c r="X1558" s="166" t="inlineStr">
        <is>
          <t>XA2EVM4LC</t>
        </is>
      </c>
    </row>
    <row r="1559" s="308">
      <c r="A1559" s="64">
        <f>ROW()-ROW(A$1553)</f>
        <v/>
      </c>
      <c r="B1559" s="112" t="inlineStr">
        <is>
          <t>指示灯</t>
        </is>
      </c>
      <c r="C1559" s="112" t="inlineStr">
        <is>
          <t>XB2BVM5LC</t>
        </is>
      </c>
      <c r="D1559" s="112" t="inlineStr">
        <is>
          <t>甲供/施耐德电气</t>
        </is>
      </c>
      <c r="E1559" s="114" t="inlineStr">
        <is>
          <t>只</t>
        </is>
      </c>
      <c r="F1559" s="114" t="n">
        <v>1</v>
      </c>
      <c r="G1559" s="396">
        <f>IF(AND(B1559="",C1559=""),"",ROUND(M1559*L1559*N1559,2))</f>
        <v/>
      </c>
      <c r="H1559" s="396">
        <f>IF(AND(B1559="",C1559=""),"",ROUND(F1559*G1559,2))</f>
        <v/>
      </c>
      <c r="I1559" s="150" t="inlineStr"/>
      <c r="J1559" s="397">
        <f>IF(AND(B1559="",C1559=""),"",ROUND(M1559*N1559,2))</f>
        <v/>
      </c>
      <c r="K1559" s="398">
        <f>IF(AND(B1559="",C1559=""),"",ROUND(J1559*F1559,2))</f>
        <v/>
      </c>
      <c r="L1559" s="141" t="n">
        <v>1</v>
      </c>
      <c r="M1559" s="399" t="n">
        <v>1e-07</v>
      </c>
      <c r="N1559" s="154" t="n">
        <v>1</v>
      </c>
      <c r="O1559" s="155">
        <f>IF(AND(B1559="",C1559=""),"",IF(G1559&gt;=20000,0.05,IF(G1559&gt;=10000,0.1,IF(G1559&gt;=5000,0.2,IF(G1559&gt;=1000,0.3,IF(G1559&gt;=0,0.4,{0}))))))</f>
        <v/>
      </c>
      <c r="P1559" s="400">
        <f>IF(AND(B1559="",C1559=""),"",ROUND(H1559*O1559,2))</f>
        <v/>
      </c>
      <c r="Q1559" s="401" t="inlineStr">
        <is>
          <t>元件</t>
        </is>
      </c>
      <c r="R1559" s="168" t="inlineStr"/>
      <c r="S1559" s="168" t="inlineStr"/>
      <c r="T1559" s="168" t="inlineStr">
        <is>
          <t>0</t>
        </is>
      </c>
      <c r="U1559" s="168" t="inlineStr">
        <is>
          <t>XA2EVM5LC</t>
        </is>
      </c>
      <c r="V1559" s="402" t="n"/>
      <c r="W1559" s="402" t="n"/>
      <c r="X1559" s="170" t="inlineStr"/>
    </row>
    <row r="1560" s="308">
      <c r="A1560" s="64">
        <f>ROW()-ROW(A$1553)</f>
        <v/>
      </c>
      <c r="B1560" s="112" t="inlineStr">
        <is>
          <t>按钮</t>
        </is>
      </c>
      <c r="C1560" s="112" t="inlineStr">
        <is>
          <t>XB2BA31C</t>
        </is>
      </c>
      <c r="D1560" s="112" t="inlineStr">
        <is>
          <t>甲供/施耐德电气</t>
        </is>
      </c>
      <c r="E1560" s="114" t="inlineStr">
        <is>
          <t>只</t>
        </is>
      </c>
      <c r="F1560" s="114" t="n">
        <v>1</v>
      </c>
      <c r="G1560" s="396">
        <f>IF(AND(B1560="",C1560=""),"",ROUND(M1560*L1560*N1560,2))</f>
        <v/>
      </c>
      <c r="H1560" s="396">
        <f>IF(AND(B1560="",C1560=""),"",ROUND(F1560*G1560,2))</f>
        <v/>
      </c>
      <c r="I1560" s="150" t="inlineStr"/>
      <c r="J1560" s="397">
        <f>IF(AND(B1560="",C1560=""),"",ROUND(M1560*N1560,2))</f>
        <v/>
      </c>
      <c r="K1560" s="398">
        <f>IF(AND(B1560="",C1560=""),"",ROUND(J1560*F1560,2))</f>
        <v/>
      </c>
      <c r="L1560" s="141" t="n">
        <v>1</v>
      </c>
      <c r="M1560" s="399" t="n">
        <v>1e-07</v>
      </c>
      <c r="N1560" s="154" t="n">
        <v>1</v>
      </c>
      <c r="O1560" s="155">
        <f>IF(AND(B1560="",C1560=""),"",IF(G1560&gt;=20000,0.05,IF(G1560&gt;=10000,0.1,IF(G1560&gt;=5000,0.2,IF(G1560&gt;=1000,0.3,IF(G1560&gt;=0,0.4,{0}))))))</f>
        <v/>
      </c>
      <c r="P1560" s="400">
        <f>IF(AND(B1560="",C1560=""),"",ROUND(H1560*O1560,2))</f>
        <v/>
      </c>
      <c r="Q1560" s="401" t="inlineStr">
        <is>
          <t>元件</t>
        </is>
      </c>
      <c r="R1560" s="168" t="inlineStr"/>
      <c r="S1560" s="168" t="inlineStr"/>
      <c r="T1560" s="168" t="inlineStr">
        <is>
          <t>0</t>
        </is>
      </c>
      <c r="U1560" s="168" t="inlineStr">
        <is>
          <t>XB2BA31C</t>
        </is>
      </c>
      <c r="V1560" s="402" t="n"/>
      <c r="W1560" s="402" t="n"/>
      <c r="X1560" s="170" t="inlineStr">
        <is>
          <t>XA2EA31</t>
        </is>
      </c>
    </row>
    <row r="1561" s="308">
      <c r="A1561" s="64">
        <f>ROW()-ROW(A$1553)</f>
        <v/>
      </c>
      <c r="B1561" s="22" t="inlineStr">
        <is>
          <t>按钮</t>
        </is>
      </c>
      <c r="C1561" s="22" t="inlineStr">
        <is>
          <t>XB2BA42C</t>
        </is>
      </c>
      <c r="D1561" s="22" t="inlineStr">
        <is>
          <t>甲供/施耐德电气</t>
        </is>
      </c>
      <c r="E1561" s="23" t="inlineStr">
        <is>
          <t>只</t>
        </is>
      </c>
      <c r="F1561" s="23" t="n">
        <v>1</v>
      </c>
      <c r="G1561" s="349">
        <f>IF(AND(B1561="",C1561=""),"",ROUND(M1561*L1561*N1561,2))</f>
        <v/>
      </c>
      <c r="H1561" s="396">
        <f>IF(AND(B1561="",C1561=""),"",ROUND(F1561*G1561,2))</f>
        <v/>
      </c>
      <c r="I1561" s="150" t="inlineStr"/>
      <c r="J1561" s="397">
        <f>IF(AND(B1561="",C1561=""),"",ROUND(M1561*N1561,2))</f>
        <v/>
      </c>
      <c r="K1561" s="398">
        <f>IF(AND(B1561="",C1561=""),"",ROUND(J1561*F1561,2))</f>
        <v/>
      </c>
      <c r="L1561" s="141" t="n">
        <v>1</v>
      </c>
      <c r="M1561" s="399" t="n">
        <v>1e-07</v>
      </c>
      <c r="N1561" s="154" t="n">
        <v>1</v>
      </c>
      <c r="O1561" s="155">
        <f>IF(AND(B1561="",C1561=""),"",IF(G1561&gt;=20000,0.05,IF(G1561&gt;=10000,0.1,IF(G1561&gt;=5000,0.2,IF(G1561&gt;=1000,0.3,IF(G1561&gt;=0,0.4,{0}))))))</f>
        <v/>
      </c>
      <c r="P1561" s="400">
        <f>IF(AND(B1561="",C1561=""),"",ROUND(H1561*O1561,2))</f>
        <v/>
      </c>
      <c r="Q1561" s="401" t="inlineStr">
        <is>
          <t>元件</t>
        </is>
      </c>
      <c r="R1561" s="168" t="inlineStr"/>
      <c r="S1561" s="168" t="inlineStr"/>
      <c r="T1561" s="168" t="inlineStr">
        <is>
          <t>0</t>
        </is>
      </c>
      <c r="U1561" s="168" t="inlineStr">
        <is>
          <t>XB2BA42C</t>
        </is>
      </c>
      <c r="V1561" s="402" t="n"/>
      <c r="W1561" s="402" t="n"/>
      <c r="X1561" s="170" t="inlineStr">
        <is>
          <t>XA2EA41</t>
        </is>
      </c>
    </row>
    <row r="1562" s="308">
      <c r="A1562" s="64">
        <f>ROW()-ROW(A$1553)</f>
        <v/>
      </c>
      <c r="B1562" s="112" t="inlineStr">
        <is>
          <t>温湿度控制器</t>
        </is>
      </c>
      <c r="C1562" s="112" t="inlineStr">
        <is>
          <t>ATH48G-11</t>
        </is>
      </c>
      <c r="D1562" s="22" t="inlineStr">
        <is>
          <t>杭州安廷</t>
        </is>
      </c>
      <c r="E1562" s="23" t="inlineStr">
        <is>
          <t>套</t>
        </is>
      </c>
      <c r="F1562" s="23" t="n">
        <v>1</v>
      </c>
      <c r="G1562" s="349">
        <f>IF(AND(B1562="",C1562=""),"",ROUND(M1562*L1562*N1562,2))</f>
        <v/>
      </c>
      <c r="H1562" s="396">
        <f>IF(AND(B1562="",C1562=""),"",ROUND(F1562*G1562,2))</f>
        <v/>
      </c>
      <c r="I1562" s="150" t="inlineStr"/>
      <c r="J1562" s="397">
        <f>IF(AND(B1562="",C1562=""),"",ROUND(M1562*N1562,2))</f>
        <v/>
      </c>
      <c r="K1562" s="398">
        <f>IF(AND(B1562="",C1562=""),"",ROUND(J1562*F1562,2))</f>
        <v/>
      </c>
      <c r="L1562" s="141" t="n">
        <v>1</v>
      </c>
      <c r="M1562" s="399" t="n">
        <v>450</v>
      </c>
      <c r="N1562" s="154" t="n">
        <v>1</v>
      </c>
      <c r="O1562" s="155">
        <f>IF(AND(B1562="",C1562=""),"",IF(G1562&gt;=20000,0.05,IF(G1562&gt;=10000,0.1,IF(G1562&gt;=5000,0.2,IF(G1562&gt;=1000,0.3,IF(G1562&gt;=0,0.4,{0}))))))</f>
        <v/>
      </c>
      <c r="P1562" s="400">
        <f>IF(AND(B1562="",C1562=""),"",ROUND(H1562*O1562,2))</f>
        <v/>
      </c>
      <c r="Q1562" s="401" t="inlineStr">
        <is>
          <t>元件</t>
        </is>
      </c>
      <c r="R1562" s="168" t="inlineStr"/>
      <c r="S1562" s="168" t="inlineStr"/>
      <c r="T1562" s="168" t="inlineStr">
        <is>
          <t>0</t>
        </is>
      </c>
      <c r="U1562" s="168" t="inlineStr"/>
      <c r="V1562" s="402" t="n"/>
      <c r="W1562" s="402" t="n"/>
      <c r="X1562" s="170" t="inlineStr"/>
    </row>
    <row r="1563" s="308">
      <c r="A1563" s="64">
        <f>ROW()-ROW(A$1553)</f>
        <v/>
      </c>
      <c r="B1563" s="22" t="inlineStr">
        <is>
          <t>中间继电器</t>
        </is>
      </c>
      <c r="C1563" s="22" t="inlineStr">
        <is>
          <t>RXM4AB2P7+RXZE2S114M+RXZ400</t>
        </is>
      </c>
      <c r="D1563" s="22" t="inlineStr">
        <is>
          <t>甲供/施耐德电气</t>
        </is>
      </c>
      <c r="E1563" s="23" t="inlineStr">
        <is>
          <t>只</t>
        </is>
      </c>
      <c r="F1563" s="23" t="n">
        <v>2</v>
      </c>
      <c r="G1563" s="349">
        <f>IF(AND(B1563="",C1563=""),"",ROUND(M1563*L1563*N1563,2))</f>
        <v/>
      </c>
      <c r="H1563" s="349">
        <f>IF(AND(B1563="",C1563=""),"",ROUND(F1563*G1563,2))</f>
        <v/>
      </c>
      <c r="I1563" s="45" t="inlineStr"/>
      <c r="J1563" s="397">
        <f>IF(AND(B1563="",C1563=""),"",ROUND(M1563*N1563,2))</f>
        <v/>
      </c>
      <c r="K1563" s="398">
        <f>IF(AND(B1563="",C1563=""),"",ROUND(J1563*F1563,2))</f>
        <v/>
      </c>
      <c r="L1563" s="141" t="n">
        <v>1</v>
      </c>
      <c r="M1563" s="399" t="n">
        <v>1e-07</v>
      </c>
      <c r="N1563" s="154" t="n">
        <v>1</v>
      </c>
      <c r="O1563" s="155">
        <f>IF(AND(B1563="",C1563=""),"",IF(G1563&gt;=20000,0.05,IF(G1563&gt;=10000,0.1,IF(G1563&gt;=5000,0.2,IF(G1563&gt;=1000,0.3,IF(G1563&gt;=0,0.4,{0}))))))</f>
        <v/>
      </c>
      <c r="P1563" s="400">
        <f>IF(AND(B1563="",C1563=""),"",ROUND(H1563*O1563,2))</f>
        <v/>
      </c>
      <c r="Q1563" s="401" t="inlineStr">
        <is>
          <t>元件</t>
        </is>
      </c>
      <c r="R1563" s="168" t="inlineStr"/>
      <c r="S1563" s="168" t="inlineStr"/>
      <c r="T1563" s="168" t="inlineStr">
        <is>
          <t>0</t>
        </is>
      </c>
      <c r="U1563" s="168" t="inlineStr">
        <is>
          <t>RXM4AB2P7+RXZE2S114M+RXZ400</t>
        </is>
      </c>
      <c r="V1563" s="402" t="n"/>
      <c r="W1563" s="402" t="n"/>
      <c r="X1563" s="170" t="inlineStr">
        <is>
          <t>REL-IR-BL/L-230AC/4X21，含底座→RXM4AB2P7+RXZE2S114M+RXZ400→REL-IR-BL/L-230AC/4X21，含底座</t>
        </is>
      </c>
    </row>
    <row r="1564" customFormat="1" s="3">
      <c r="A1564" s="64">
        <f>ROW()-ROW(A$1553)</f>
        <v/>
      </c>
      <c r="B1564" s="22" t="inlineStr">
        <is>
          <t>带熔丝端子</t>
        </is>
      </c>
      <c r="C1564" s="22" t="inlineStr">
        <is>
          <t>UK 5-HESI</t>
        </is>
      </c>
      <c r="D1564" s="22" t="inlineStr">
        <is>
          <t>菲尼克斯</t>
        </is>
      </c>
      <c r="E1564" s="23" t="inlineStr">
        <is>
          <t>只</t>
        </is>
      </c>
      <c r="F1564" s="23" t="n">
        <v>4</v>
      </c>
      <c r="G1564" s="349">
        <f>IF(AND(B1564="",C1564=""),"",ROUND(M1564*L1564*N1564,2))</f>
        <v/>
      </c>
      <c r="H1564" s="349">
        <f>IF(AND(B1564="",C1564=""),"",ROUND(F1564*G1564,2))</f>
        <v/>
      </c>
      <c r="I1564" s="45" t="inlineStr"/>
      <c r="J1564" s="392">
        <f>IF(AND(B1564="",C1564=""),"",ROUND(M1564*N1564,2))</f>
        <v/>
      </c>
      <c r="K1564" s="393">
        <f>IF(AND(B1564="",C1564=""),"",ROUND(J1564*F1564,2))</f>
        <v/>
      </c>
      <c r="L1564" s="141" t="n">
        <v>1</v>
      </c>
      <c r="M1564" s="394" t="n">
        <v>7</v>
      </c>
      <c r="N1564" s="220" t="n">
        <v>1</v>
      </c>
      <c r="O1564" s="221">
        <f>IF(AND(B1564="",C1564=""),"",IF(G1564&gt;=20000,0.05,IF(G1564&gt;=10000,0.1,IF(G1564&gt;=5000,0.2,IF(G1564&gt;=1000,0.3,IF(G1564&gt;=0,0.4,{0}))))))</f>
        <v/>
      </c>
      <c r="P1564" s="419">
        <f>IF(AND(B1564="",C1564=""),"",ROUND(H1564*O1564,2))</f>
        <v/>
      </c>
      <c r="Q1564" s="420" t="inlineStr">
        <is>
          <t>元件</t>
        </is>
      </c>
      <c r="R1564" s="231" t="inlineStr"/>
      <c r="S1564" s="231" t="inlineStr"/>
      <c r="T1564" s="231" t="inlineStr">
        <is>
          <t>0</t>
        </is>
      </c>
      <c r="U1564" s="231" t="inlineStr">
        <is>
          <t>True</t>
        </is>
      </c>
      <c r="V1564" s="421" t="n"/>
      <c r="W1564" s="421" t="n"/>
      <c r="X1564" s="166" t="inlineStr"/>
    </row>
    <row r="1565" s="308">
      <c r="A1565" s="64">
        <f>ROW()-ROW(A$1553)</f>
        <v/>
      </c>
      <c r="B1565" s="22" t="inlineStr">
        <is>
          <t>水平母排</t>
        </is>
      </c>
      <c r="C1565" s="22" t="inlineStr">
        <is>
          <t>TMY 4*(2*100*5)+2*50*5</t>
        </is>
      </c>
      <c r="D1565" s="22" t="inlineStr">
        <is>
          <t>国产优质</t>
        </is>
      </c>
      <c r="E1565" s="23" t="inlineStr">
        <is>
          <t>米</t>
        </is>
      </c>
      <c r="F1565" s="23" t="n">
        <v>0.8</v>
      </c>
      <c r="G1565" s="349">
        <f>IF(AND(B1565="",C1565=""),"",ROUND(M1565*L1565*N1565,2))</f>
        <v/>
      </c>
      <c r="H1565" s="349">
        <f>IF(AND(B1565="",C1565=""),"",ROUND(F1565*G1565,2))</f>
        <v/>
      </c>
      <c r="I1565" s="45" t="inlineStr"/>
      <c r="J1565" s="397">
        <f>IF(AND(B1565="",C1565=""),"",ROUND(M1565*N1565,2))</f>
        <v/>
      </c>
      <c r="K1565" s="398">
        <f>IF(AND(B1565="",C1565=""),"",ROUND(J1565*F1565,2))</f>
        <v/>
      </c>
      <c r="L1565" s="200" t="n">
        <v>1</v>
      </c>
      <c r="M1565" s="399" t="n">
        <v>4329.60525</v>
      </c>
      <c r="N1565" s="154">
        <f>(6317.932*1*1+2684.8*1*1)/9002.732</f>
        <v/>
      </c>
      <c r="O1565" s="155">
        <f>IF(AND(B1565="",C1565=""),"",IF(J1565&gt;=20000,0.05,IF(J1565&gt;=10000,0.1,IF(J1565&gt;=5000,0.2,IF(J1565&gt;=1000,0.3,IF(J1565&gt;=0,0.4,{0}))))))</f>
        <v/>
      </c>
      <c r="P1565" s="400">
        <f>IF(AND(B1565="",C1565=""),"",ROUND(H1565*O1565,2))</f>
        <v/>
      </c>
      <c r="Q1565" s="401" t="inlineStr">
        <is>
          <t>母排</t>
        </is>
      </c>
      <c r="R1565" s="168" t="inlineStr"/>
      <c r="S1565" s="168" t="inlineStr"/>
      <c r="T1565" s="168" t="inlineStr">
        <is>
          <t>0</t>
        </is>
      </c>
      <c r="U1565" s="168" t="inlineStr"/>
      <c r="V1565" s="402" t="n"/>
      <c r="W1565" s="402" t="n"/>
      <c r="X1565" s="170" t="inlineStr"/>
    </row>
    <row r="1566" customFormat="1" s="5">
      <c r="A1566" s="64">
        <f>ROW()-ROW(A$1553)</f>
        <v/>
      </c>
      <c r="B1566" s="22" t="inlineStr">
        <is>
          <t>桩头排</t>
        </is>
      </c>
      <c r="C1566" s="22" t="inlineStr">
        <is>
          <t>TMY</t>
        </is>
      </c>
      <c r="D1566" s="22" t="inlineStr">
        <is>
          <t>国产优质</t>
        </is>
      </c>
      <c r="E1566" s="23" t="inlineStr">
        <is>
          <t>kg</t>
        </is>
      </c>
      <c r="F1566" s="23" t="n">
        <v>103</v>
      </c>
      <c r="G1566" s="349">
        <f>IF(AND(B1566="",C1566=""),"",ROUND(M1566*L1566*N1566,2))</f>
        <v/>
      </c>
      <c r="H1566" s="349">
        <f>IF(AND(B1566="",C1566=""),"",ROUND(F1566*G1566,2))</f>
        <v/>
      </c>
      <c r="I1566" s="45" t="inlineStr"/>
      <c r="J1566" s="422">
        <f>IF(AND(B1566="",C1566=""),"",ROUND(M1566*N1566,2))</f>
        <v/>
      </c>
      <c r="K1566" s="423">
        <f>IF(AND(B1566="",C1566=""),"",ROUND(J1566*F1566,2))</f>
        <v/>
      </c>
      <c r="L1566" s="225" t="n">
        <v>1</v>
      </c>
      <c r="M1566" s="424" t="n">
        <v>108.105</v>
      </c>
      <c r="N1566" s="227" t="n">
        <v>1</v>
      </c>
      <c r="O1566" s="228">
        <f>IF(AND(B1566="",C1566=""),"",IF(G1566&gt;=20000,0.05,IF(G1566&gt;=10000,0.1,IF(G1566&gt;=5000,0.2,IF(G1566&gt;=1000,0.3,IF(G1566&gt;=0,0.4,{0}))))))</f>
        <v/>
      </c>
      <c r="P1566" s="425">
        <f>IF(AND(B1566="",C1566=""),"",ROUND(H1566*O1566,2))</f>
        <v/>
      </c>
      <c r="Q1566" s="426" t="inlineStr">
        <is>
          <t>母排</t>
        </is>
      </c>
      <c r="R1566" s="234" t="inlineStr"/>
      <c r="S1566" s="234" t="inlineStr"/>
      <c r="T1566" s="235" t="inlineStr">
        <is>
          <t>0</t>
        </is>
      </c>
      <c r="U1566" s="235" t="inlineStr"/>
      <c r="V1566" s="427" t="n"/>
      <c r="W1566" s="427" t="n"/>
      <c r="X1566" s="237" t="inlineStr">
        <is>
          <t>TMY 2*30*5→TMY 30*8</t>
        </is>
      </c>
    </row>
    <row r="1567" s="308">
      <c r="A1567" s="64">
        <f>ROW()-ROW(A$1553)</f>
        <v/>
      </c>
      <c r="B1567" s="112" t="inlineStr">
        <is>
          <t>辅料</t>
        </is>
      </c>
      <c r="C1567" s="112" t="inlineStr"/>
      <c r="D1567" s="112" t="inlineStr"/>
      <c r="E1567" s="114" t="inlineStr">
        <is>
          <t>套</t>
        </is>
      </c>
      <c r="F1567" s="114" t="n">
        <v>1</v>
      </c>
      <c r="G1567" s="396">
        <f>IF(AND(B1567="",C1567=""),"",ROUND(M1567*L1567*N1567,2))</f>
        <v/>
      </c>
      <c r="H1567" s="396">
        <f>IF(AND(B1567="",C1567=""),"",ROUND(F1567*G1567,2))</f>
        <v/>
      </c>
      <c r="I1567" s="219" t="inlineStr"/>
      <c r="J1567" s="397">
        <f>IF(AND(B1567="",C1567=""),"",ROUND(M1567*N1567,2))</f>
        <v/>
      </c>
      <c r="K1567" s="398">
        <f>IF(AND(B1567="",C1567=""),"",ROUND(J1567*F1567,2))</f>
        <v/>
      </c>
      <c r="L1567" s="200" t="n">
        <v>1</v>
      </c>
      <c r="M1567" s="399" t="n">
        <v>550</v>
      </c>
      <c r="N1567" s="154" t="n">
        <v>1</v>
      </c>
      <c r="O1567" s="155">
        <f>IF(AND(B1567="",C1567=""),"",IF(G1567&gt;=20000,0.05,IF(G1567&gt;=10000,0.1,IF(G1567&gt;=5000,0.2,IF(G1567&gt;=1000,0.3,IF(G1567&gt;=0,0.4,{0}))))))</f>
        <v/>
      </c>
      <c r="P1567" s="400">
        <f>IF(AND(B1567="",C1567=""),"",ROUND(H1567*O1567,2))</f>
        <v/>
      </c>
      <c r="Q1567" s="401" t="inlineStr">
        <is>
          <t>辅料</t>
        </is>
      </c>
      <c r="R1567" s="168" t="inlineStr"/>
      <c r="S1567" s="168" t="inlineStr"/>
      <c r="T1567" s="168" t="inlineStr">
        <is>
          <t>0</t>
        </is>
      </c>
      <c r="U1567" s="168" t="inlineStr"/>
      <c r="V1567" s="402" t="n"/>
      <c r="W1567" s="402" t="n"/>
      <c r="X1567" s="170" t="inlineStr"/>
    </row>
    <row r="1568" s="308">
      <c r="A1568" s="64">
        <f>ROW()-ROW(A$1553)</f>
        <v/>
      </c>
      <c r="B1568" s="112" t="inlineStr">
        <is>
          <t>柜体Blokset</t>
        </is>
      </c>
      <c r="C1568" s="22" t="inlineStr">
        <is>
          <t>700W*1200D*2200H</t>
        </is>
      </c>
      <c r="D1568" s="112" t="inlineStr">
        <is>
          <t>清科</t>
        </is>
      </c>
      <c r="E1568" s="114" t="inlineStr">
        <is>
          <t>台</t>
        </is>
      </c>
      <c r="F1568" s="114" t="n">
        <v>1</v>
      </c>
      <c r="G1568" s="396">
        <f>IF(AND(B1568="",C1568=""),"",ROUND(M1568*L1568*N1568,2))</f>
        <v/>
      </c>
      <c r="H1568" s="396">
        <f>IF(AND(B1568="",C1568=""),"",ROUND(F1568*G1568,2))</f>
        <v/>
      </c>
      <c r="I1568" s="219" t="inlineStr"/>
      <c r="J1568" s="397">
        <f>IF(AND(B1568="",C1568=""),"",ROUND(M1568*N1568,2))</f>
        <v/>
      </c>
      <c r="K1568" s="398">
        <f>IF(AND(B1568="",C1568=""),"",ROUND(J1568*F1568,2))</f>
        <v/>
      </c>
      <c r="L1568" s="200" t="n">
        <v>1</v>
      </c>
      <c r="M1568" s="399" t="n">
        <v>4010</v>
      </c>
      <c r="N1568" s="154" t="n">
        <v>1</v>
      </c>
      <c r="O1568" s="155">
        <f>IF(AND(B1568="",C1568=""),"",IF(G1568&gt;=20000,0.05,IF(G1568&gt;=10000,0.1,IF(G1568&gt;=5000,0.2,IF(G1568&gt;=1000,0.3,IF(G1568&gt;=0,0.4,{0}))))))</f>
        <v/>
      </c>
      <c r="P1568" s="400">
        <f>IF(AND(B1568="",C1568=""),"",ROUND(H1568*O1568,2))</f>
        <v/>
      </c>
      <c r="Q1568" s="401" t="inlineStr">
        <is>
          <t>箱体</t>
        </is>
      </c>
      <c r="R1568" s="168" t="inlineStr"/>
      <c r="S1568" s="168" t="inlineStr"/>
      <c r="T1568" s="168" t="inlineStr">
        <is>
          <t>0</t>
        </is>
      </c>
      <c r="U1568" s="168" t="inlineStr"/>
      <c r="V1568" s="402" t="n"/>
      <c r="W1568" s="402" t="n"/>
      <c r="X1568" s="170" t="inlineStr">
        <is>
          <t>BlokSeT</t>
        </is>
      </c>
    </row>
    <row r="1569" s="308">
      <c r="A1569" s="64">
        <f>ROW()-ROW(A$1553)</f>
        <v/>
      </c>
      <c r="B1569" s="22" t="inlineStr"/>
      <c r="C1569" s="22" t="inlineStr"/>
      <c r="D1569" s="22" t="inlineStr"/>
      <c r="E1569" s="23" t="n"/>
      <c r="F1569" s="23">
        <f>IF(AND(B1569="",C1569=""),"",1)</f>
        <v/>
      </c>
      <c r="G1569" s="349">
        <f>IF(AND(B1569="",C1569=""),"",ROUND(M1569*L1569*N1569,2))</f>
        <v/>
      </c>
      <c r="H1569" s="349">
        <f>IF(AND(B1569="",C1569=""),"",ROUND(F1569*G1569,2))</f>
        <v/>
      </c>
      <c r="I1569" s="45" t="inlineStr"/>
      <c r="J1569" s="397">
        <f>IF(AND(B1569="",C1569=""),"",ROUND(M1569*N1569,2))</f>
        <v/>
      </c>
      <c r="K1569" s="398">
        <f>IF(AND(B1569="",C1569=""),"",ROUND(J1569*F1569,2))</f>
        <v/>
      </c>
      <c r="L1569" s="200">
        <f>IF(AND(B1569="",C1569=""),"",1)</f>
        <v/>
      </c>
      <c r="M1569" s="399" t="n"/>
      <c r="N1569" s="154">
        <f>IF(AND(B1569="",C1569=""),"",1)</f>
        <v/>
      </c>
      <c r="O1569" s="155">
        <f>IF(AND(B1569="",C1569=""),"",IF(J1569&gt;=20000,0.05,IF(J1569&gt;=10000,0.1,IF(J1569&gt;=5000,0.2,IF(J1569&gt;=1000,0.3,IF(J1569&gt;=0,0.4,{0}))))))</f>
        <v/>
      </c>
      <c r="P1569" s="400">
        <f>IF(AND(B1569="",C1569=""),"",ROUND(H1569*O1569,2))</f>
        <v/>
      </c>
      <c r="Q1569" s="401">
        <f>IF(AND(B1569="",C1569=""),"","元件")</f>
        <v/>
      </c>
      <c r="R1569" s="168" t="inlineStr"/>
      <c r="S1569" s="168" t="inlineStr"/>
      <c r="T1569" s="168" t="inlineStr"/>
      <c r="U1569" s="168" t="inlineStr"/>
      <c r="V1569" s="402" t="n"/>
      <c r="W1569" s="402" t="n"/>
      <c r="X1569" s="170" t="inlineStr"/>
    </row>
    <row r="1570" s="308">
      <c r="A1570" s="64">
        <f>ROW()-ROW(A$1553)</f>
        <v/>
      </c>
      <c r="B1570" s="171" t="inlineStr">
        <is>
          <t>小计</t>
        </is>
      </c>
      <c r="C1570" s="172" t="n"/>
      <c r="D1570" s="204" t="n"/>
      <c r="E1570" s="114" t="n"/>
      <c r="F1570" s="114" t="n"/>
      <c r="G1570" s="396" t="n"/>
      <c r="H1570" s="396">
        <f>ROUND(SUM(H1553:INDEX(H:H,ROW()-1)),2)</f>
        <v/>
      </c>
      <c r="I1570" s="45" t="inlineStr"/>
      <c r="J1570" s="397" t="n"/>
      <c r="K1570" s="398">
        <f>ROUND(SUM(K1553:INDEX(K:K,ROW()-1)),2)</f>
        <v/>
      </c>
      <c r="L1570" s="200" t="n"/>
      <c r="M1570" s="399" t="n"/>
      <c r="N1570" s="154" t="n"/>
      <c r="O1570" s="155" t="n"/>
      <c r="P1570" s="400" t="n"/>
      <c r="Q1570" s="401" t="n"/>
      <c r="R1570" s="168" t="inlineStr"/>
      <c r="S1570" s="168" t="inlineStr"/>
      <c r="T1570" s="168" t="inlineStr"/>
      <c r="U1570" s="168" t="inlineStr"/>
      <c r="V1570" s="402">
        <f>ROUND(SUMPRODUCT(F1553:INDEX(F:F,ROW()-1),V1553:INDEX(V:V,ROW()-1)),2)</f>
        <v/>
      </c>
      <c r="W1570" s="402">
        <f>ROUND(SUMPRODUCT(F1553:INDEX(F:F,ROW()-1),W1553:INDEX(W:W,ROW()-1)),2)</f>
        <v/>
      </c>
      <c r="X1570" s="170" t="inlineStr"/>
    </row>
    <row r="1571" s="308">
      <c r="A1571" s="64">
        <f>ROW()-ROW(A$1553)</f>
        <v/>
      </c>
      <c r="B1571" s="171" t="inlineStr">
        <is>
          <t>综合费(人工、管理、税金、利润等)</t>
        </is>
      </c>
      <c r="C1571" s="172" t="n"/>
      <c r="D1571" s="204" t="n"/>
      <c r="E1571" s="114" t="n"/>
      <c r="F1571" s="114" t="n"/>
      <c r="G1571" s="396" t="n"/>
      <c r="H1571" s="396">
        <f>2500</f>
        <v/>
      </c>
      <c r="I1571" s="45" t="inlineStr"/>
      <c r="J1571" s="397" t="n"/>
      <c r="K1571" s="398" t="n"/>
      <c r="L1571" s="200" t="n"/>
      <c r="M1571" s="399" t="n"/>
      <c r="N1571" s="154" t="n"/>
      <c r="O1571" s="155" t="n"/>
      <c r="P1571" s="400" t="n"/>
      <c r="Q1571" s="401" t="inlineStr">
        <is>
          <t>费用</t>
        </is>
      </c>
      <c r="R1571" s="168" t="inlineStr"/>
      <c r="S1571" s="168" t="inlineStr"/>
      <c r="T1571" s="168" t="inlineStr"/>
      <c r="U1571" s="168" t="inlineStr"/>
      <c r="V1571" s="402" t="n"/>
      <c r="W1571" s="402" t="n"/>
      <c r="X1571" s="170" t="inlineStr"/>
    </row>
    <row r="1572" s="308">
      <c r="A1572" s="64">
        <f>ROW()-ROW(A$1553)</f>
        <v/>
      </c>
      <c r="B1572" s="204" t="inlineStr">
        <is>
          <t>单台合计</t>
        </is>
      </c>
      <c r="C1572" s="172" t="n"/>
      <c r="D1572" s="204" t="n"/>
      <c r="E1572" s="114" t="n"/>
      <c r="F1572" s="114" t="n"/>
      <c r="G1572" s="396" t="n"/>
      <c r="H1572" s="396">
        <f>ROUND(SUM(H1570:H1571),2)</f>
        <v/>
      </c>
      <c r="I1572" s="181" t="n"/>
      <c r="J1572" s="397" t="n"/>
      <c r="K1572" s="398">
        <f>ROUND(SUM(K1570:K1571),2)</f>
        <v/>
      </c>
      <c r="L1572" s="209" t="n"/>
      <c r="M1572" s="399" t="n"/>
      <c r="N1572" s="210" t="n"/>
      <c r="O1572" s="211" t="n"/>
      <c r="P1572" s="400" t="n"/>
      <c r="Q1572" s="401" t="n"/>
      <c r="R1572" s="168" t="inlineStr"/>
      <c r="S1572" s="168" t="inlineStr"/>
      <c r="T1572" s="168" t="inlineStr"/>
      <c r="U1572" s="168" t="inlineStr"/>
      <c r="V1572" s="402" t="n"/>
      <c r="W1572" s="402" t="n"/>
      <c r="X1572" s="170" t="inlineStr"/>
    </row>
    <row r="1573" s="308">
      <c r="A1573" s="173" t="inlineStr">
        <is>
          <t>总计</t>
        </is>
      </c>
      <c r="B1573" s="205" t="n"/>
      <c r="C1573" s="175" t="n"/>
      <c r="D1573" s="206" t="n"/>
      <c r="E1573" s="206" t="inlineStr">
        <is>
          <t>台</t>
        </is>
      </c>
      <c r="F1573" s="206" t="n">
        <v>2</v>
      </c>
      <c r="G1573" s="414">
        <f>ROUND(H1572,2)</f>
        <v/>
      </c>
      <c r="H1573" s="414">
        <f>ROUND(F1573*G1573,2)</f>
        <v/>
      </c>
      <c r="I1573" s="185" t="n"/>
      <c r="J1573" s="415" t="n"/>
      <c r="K1573" s="416">
        <f>ROUND(K1572*F1573,2)</f>
        <v/>
      </c>
      <c r="L1573" s="214" t="n"/>
      <c r="M1573" s="417" t="n"/>
      <c r="N1573" s="216" t="n"/>
      <c r="O1573" s="217" t="n"/>
      <c r="P1573" s="418" t="n"/>
      <c r="Q1573" s="401" t="n"/>
      <c r="R1573" s="168" t="inlineStr"/>
      <c r="S1573" s="168" t="inlineStr"/>
      <c r="T1573" s="168" t="inlineStr"/>
      <c r="U1573" s="168" t="inlineStr"/>
      <c r="V1573" s="402" t="n"/>
      <c r="W1573" s="402" t="n"/>
      <c r="X1573" s="170" t="inlineStr"/>
    </row>
    <row r="1574" customFormat="1" s="4">
      <c r="A1574" s="6" t="n"/>
      <c r="B1574" s="195" t="inlineStr"/>
      <c r="C1574" s="195" t="inlineStr"/>
      <c r="D1574" s="195" t="inlineStr"/>
      <c r="Q1574" s="159" t="n"/>
      <c r="R1574" s="159" t="n"/>
      <c r="S1574" s="159" t="n"/>
      <c r="T1574" s="159" t="n"/>
      <c r="U1574" s="159" t="n"/>
      <c r="X1574" s="195" t="inlineStr"/>
    </row>
    <row r="1575" customFormat="1" s="4">
      <c r="A1575" s="6" t="n"/>
      <c r="B1575" s="195" t="inlineStr"/>
      <c r="C1575" s="195" t="inlineStr"/>
      <c r="D1575" s="195" t="inlineStr"/>
      <c r="Q1575" s="159" t="n"/>
      <c r="R1575" s="159" t="n"/>
      <c r="S1575" s="159" t="n"/>
      <c r="T1575" s="159" t="n"/>
      <c r="U1575" s="159" t="n"/>
      <c r="X1575" s="195" t="inlineStr"/>
    </row>
    <row r="1576" s="308">
      <c r="A1576" s="208">
        <f>CONCATENATE("报价人：",项目信息!$B$8)</f>
        <v/>
      </c>
      <c r="B1576" s="208" t="n"/>
      <c r="C1576" s="4" t="n"/>
      <c r="D1576" s="4" t="n"/>
      <c r="E1576" s="4" t="n"/>
      <c r="F1576" s="4" t="n"/>
      <c r="G1576" s="4" t="n"/>
      <c r="H1576" s="178">
        <f>项目信息!$B$9</f>
        <v/>
      </c>
      <c r="Q1576" s="159" t="n"/>
      <c r="R1576" s="159" t="n"/>
      <c r="S1576" s="159" t="n"/>
      <c r="T1576" s="159" t="n"/>
      <c r="U1576" s="159" t="n"/>
      <c r="X1576" s="203" t="inlineStr"/>
    </row>
    <row r="1577" s="308">
      <c r="A1577" s="8">
        <f>T(项目信息!$B$22)</f>
        <v/>
      </c>
      <c r="Q1577" s="159" t="n"/>
      <c r="R1577" s="159" t="n"/>
      <c r="S1577" s="159" t="n"/>
      <c r="T1577" s="159" t="n"/>
      <c r="U1577" s="159" t="n"/>
    </row>
    <row r="1578" s="308">
      <c r="A1578" s="9">
        <f>T(项目信息!$B$23)</f>
        <v/>
      </c>
      <c r="Q1578" s="159" t="n"/>
      <c r="R1578" s="159" t="n"/>
      <c r="S1578" s="159" t="n"/>
      <c r="T1578" s="159" t="n"/>
      <c r="U1578" s="159" t="n"/>
    </row>
    <row r="1579" s="308">
      <c r="A1579" s="97" t="inlineStr">
        <is>
          <t>成套产品报价明细表</t>
        </is>
      </c>
      <c r="B1579" s="378" t="n"/>
      <c r="C1579" s="378" t="n"/>
      <c r="D1579" s="378" t="n"/>
      <c r="E1579" s="378" t="n"/>
      <c r="F1579" s="378" t="n"/>
      <c r="G1579" s="378" t="n"/>
      <c r="H1579" s="378" t="n"/>
      <c r="I1579" s="378" t="n"/>
      <c r="Q1579" s="159" t="n"/>
      <c r="R1579" s="159" t="n"/>
      <c r="S1579" s="159" t="n"/>
      <c r="T1579" s="159" t="n"/>
      <c r="U1579" s="159" t="n"/>
    </row>
    <row r="1580" customFormat="1" s="4">
      <c r="A1580" s="98" t="inlineStr">
        <is>
          <t>柜号:</t>
        </is>
      </c>
      <c r="B1580" s="99" t="inlineStr">
        <is>
          <t>AAN13-05、BAN14-05</t>
        </is>
      </c>
      <c r="C1580" s="100" t="inlineStr">
        <is>
          <t>型号:</t>
        </is>
      </c>
      <c r="D1580" s="99" t="inlineStr">
        <is>
          <t>BlokSeT</t>
        </is>
      </c>
      <c r="E1580" s="379" t="n"/>
      <c r="F1580" s="101" t="inlineStr">
        <is>
          <t>名称:</t>
        </is>
      </c>
      <c r="G1580" s="99" t="inlineStr">
        <is>
          <t>馈线柜</t>
        </is>
      </c>
      <c r="H1580" s="379" t="n"/>
      <c r="I1580" s="408" t="inlineStr"/>
      <c r="J1580" s="194" t="inlineStr">
        <is>
          <t>箱柜尺寸:</t>
        </is>
      </c>
      <c r="K1580" s="195" t="inlineStr">
        <is>
          <t>400W*1200D*2200H</t>
        </is>
      </c>
      <c r="L1580" s="194" t="inlineStr">
        <is>
          <t>类别:</t>
        </is>
      </c>
      <c r="M1580" s="195" t="inlineStr">
        <is>
          <t>低压固定柜</t>
        </is>
      </c>
      <c r="N1580" s="409" t="inlineStr"/>
      <c r="Q1580" s="159" t="n"/>
      <c r="R1580" s="159" t="n"/>
      <c r="S1580" s="159" t="n"/>
      <c r="T1580" s="159" t="n"/>
      <c r="U1580" s="159" t="n"/>
    </row>
    <row r="1581" ht="20.1" customHeight="1" s="308">
      <c r="A1581" s="102" t="inlineStr">
        <is>
          <t>序号</t>
        </is>
      </c>
      <c r="B1581" s="103" t="inlineStr">
        <is>
          <t>元件名称</t>
        </is>
      </c>
      <c r="C1581" s="103" t="inlineStr">
        <is>
          <t>型号规格</t>
        </is>
      </c>
      <c r="D1581" s="104" t="inlineStr">
        <is>
          <t>生产厂家</t>
        </is>
      </c>
      <c r="E1581" s="105" t="inlineStr">
        <is>
          <t>单位</t>
        </is>
      </c>
      <c r="F1581" s="105" t="inlineStr">
        <is>
          <t>数量</t>
        </is>
      </c>
      <c r="G1581" s="382" t="inlineStr">
        <is>
          <t>单   价</t>
        </is>
      </c>
      <c r="H1581" s="383" t="inlineStr">
        <is>
          <t>总   价</t>
        </is>
      </c>
      <c r="I1581" s="134" t="inlineStr">
        <is>
          <t>备注</t>
        </is>
      </c>
      <c r="J1581" s="384" t="inlineStr">
        <is>
          <t>成本单价</t>
        </is>
      </c>
      <c r="K1581" s="384" t="inlineStr">
        <is>
          <t>成本总价</t>
        </is>
      </c>
      <c r="L1581" s="136" t="inlineStr">
        <is>
          <t>报出
系数</t>
        </is>
      </c>
      <c r="M1581" s="384" t="inlineStr">
        <is>
          <t>表价</t>
        </is>
      </c>
      <c r="N1581" s="136" t="inlineStr">
        <is>
          <t>折扣
系数</t>
        </is>
      </c>
      <c r="O1581" s="137" t="inlineStr">
        <is>
          <t>取费
系数</t>
        </is>
      </c>
      <c r="P1581" s="384" t="inlineStr">
        <is>
          <t>成套费</t>
        </is>
      </c>
      <c r="Q1581" s="161" t="inlineStr">
        <is>
          <t>类别</t>
        </is>
      </c>
      <c r="R1581" s="161" t="inlineStr">
        <is>
          <t>物料编码</t>
        </is>
      </c>
      <c r="S1581" s="161" t="inlineStr">
        <is>
          <t>产地</t>
        </is>
      </c>
      <c r="T1581" s="161" t="inlineStr">
        <is>
          <t>加工费</t>
        </is>
      </c>
      <c r="U1581" s="161" t="inlineStr">
        <is>
          <t>订货号</t>
        </is>
      </c>
      <c r="V1581" s="161" t="inlineStr">
        <is>
          <t>人工</t>
        </is>
      </c>
      <c r="W1581" s="161" t="inlineStr">
        <is>
          <t>辅料</t>
        </is>
      </c>
      <c r="X1581" s="203" t="inlineStr"/>
    </row>
    <row r="1582" s="308">
      <c r="A1582" s="64">
        <f>ROW()-ROW(A$1581)</f>
        <v/>
      </c>
      <c r="B1582" s="22" t="inlineStr">
        <is>
          <t>框架断路器</t>
        </is>
      </c>
      <c r="C1582" s="22" t="inlineStr">
        <is>
          <t>MT10 N1a SG 3P MIC5.0 E</t>
        </is>
      </c>
      <c r="D1582" s="22" t="inlineStr">
        <is>
          <t>甲供/施耐德电气</t>
        </is>
      </c>
      <c r="E1582" s="23" t="inlineStr">
        <is>
          <t>只</t>
        </is>
      </c>
      <c r="F1582" s="23" t="n">
        <v>2</v>
      </c>
      <c r="G1582" s="349">
        <f>IF(AND(B1582="",C1582=""),"",ROUND(M1582*L1582*N1582,2))</f>
        <v/>
      </c>
      <c r="H1582" s="349">
        <f>IF(AND(B1582="",C1582=""),"",ROUND(F1582*G1582,2))</f>
        <v/>
      </c>
      <c r="I1582" s="45" t="inlineStr"/>
      <c r="J1582" s="397">
        <f>IF(AND(B1582="",C1582=""),"",ROUND(M1582*N1582,2))</f>
        <v/>
      </c>
      <c r="K1582" s="398">
        <f>IF(AND(B1582="",C1582=""),"",ROUND(J1582*F1582,2))</f>
        <v/>
      </c>
      <c r="L1582" s="200" t="n">
        <v>1</v>
      </c>
      <c r="M1582" s="399" t="n">
        <v>1e-07</v>
      </c>
      <c r="N1582" s="154" t="n">
        <v>1</v>
      </c>
      <c r="O1582" s="155">
        <f>IF(AND(B1582="",C1582=""),"",IF(G1582&gt;=20000,0.05,IF(G1582&gt;=10000,0.1,IF(G1582&gt;=5000,0.2,IF(G1582&gt;=1000,0.3,IF(G1582&gt;=0,0.4,{0}))))))</f>
        <v/>
      </c>
      <c r="P1582" s="400">
        <f>IF(AND(B1582="",C1582=""),"",ROUND(H1582*O1582,2))</f>
        <v/>
      </c>
      <c r="Q1582" s="401" t="inlineStr">
        <is>
          <t>元件</t>
        </is>
      </c>
      <c r="R1582" s="168" t="inlineStr"/>
      <c r="S1582" s="168" t="inlineStr"/>
      <c r="T1582" s="168" t="inlineStr">
        <is>
          <t>0</t>
        </is>
      </c>
      <c r="U1582" s="168" t="inlineStr">
        <is>
          <t>C16F32D160</t>
        </is>
      </c>
      <c r="V1582" s="402" t="n"/>
      <c r="W1582" s="402" t="n"/>
      <c r="X1582" s="170" t="inlineStr">
        <is>
          <t>NSX630N Mic2.3 630A 3P3D F→NSX630F MIC2.3 630 3P F→NSX630F MIC 2.3 630 3P F</t>
        </is>
      </c>
    </row>
    <row r="1583" s="308">
      <c r="A1583" s="64">
        <f>ROW()-ROW(A$1581)</f>
        <v/>
      </c>
      <c r="B1583" s="22" t="inlineStr">
        <is>
          <t>电流互感器</t>
        </is>
      </c>
      <c r="C1583" s="22" t="inlineStr">
        <is>
          <t>SD-0.66-80II-V 1000/5A</t>
        </is>
      </c>
      <c r="D1583" s="22" t="inlineStr">
        <is>
          <t>桑迪</t>
        </is>
      </c>
      <c r="E1583" s="23" t="inlineStr">
        <is>
          <t>只</t>
        </is>
      </c>
      <c r="F1583" s="23" t="n">
        <v>6</v>
      </c>
      <c r="G1583" s="349">
        <f>IF(AND(B1583="",C1583=""),"",ROUND(M1583*L1583*N1583,2))</f>
        <v/>
      </c>
      <c r="H1583" s="396">
        <f>IF(AND(B1583="",C1583=""),"",ROUND(F1583*G1583,2))</f>
        <v/>
      </c>
      <c r="I1583" s="219" t="inlineStr"/>
      <c r="J1583" s="397">
        <f>IF(AND(B1583="",C1583=""),"",ROUND(M1583*N1583,2))</f>
        <v/>
      </c>
      <c r="K1583" s="398">
        <f>IF(AND(B1583="",C1583=""),"",ROUND(J1583*F1583,2))</f>
        <v/>
      </c>
      <c r="L1583" s="200" t="n">
        <v>1</v>
      </c>
      <c r="M1583" s="399" t="n">
        <v>91.65000000000001</v>
      </c>
      <c r="N1583" s="154" t="n">
        <v>1</v>
      </c>
      <c r="O1583" s="155">
        <f>IF(AND(B1583="",C1583=""),"",IF(G1583&gt;=20000,0.05,IF(G1583&gt;=10000,0.1,IF(G1583&gt;=5000,0.2,IF(G1583&gt;=1000,0.3,IF(G1583&gt;=0,0.4,{0}))))))</f>
        <v/>
      </c>
      <c r="P1583" s="400">
        <f>IF(AND(B1583="",C1583=""),"",ROUND(H1583*O1583,2))</f>
        <v/>
      </c>
      <c r="Q1583" s="401" t="inlineStr">
        <is>
          <t>元件</t>
        </is>
      </c>
      <c r="R1583" s="168" t="inlineStr"/>
      <c r="S1583" s="168" t="inlineStr"/>
      <c r="T1583" s="168" t="inlineStr">
        <is>
          <t>0</t>
        </is>
      </c>
      <c r="U1583" s="168" t="inlineStr">
        <is>
          <t>710141426552500</t>
        </is>
      </c>
      <c r="V1583" s="402" t="n"/>
      <c r="W1583" s="402" t="n"/>
      <c r="X1583" s="170" t="inlineStr">
        <is>
          <t>SD→SD-0.66-40II-C 400/5A→SD-0.66-30I 250/5A→SD-0.66-30I 150/5A→SD-0.66-60II-C 750/5A→SD-0.66-60II-C 600/5A→SD-0.66-30I 150/5A→SD-0.66-40II-C 400/5A→SD-0.66-100II-C 1600/5A→SD-0.66-80II-V 1000/5A→SD-0.66-80II-V 1250/5A</t>
        </is>
      </c>
    </row>
    <row r="1584" s="308">
      <c r="A1584" s="64">
        <f>ROW()-ROW(A$1581)</f>
        <v/>
      </c>
      <c r="B1584" s="112" t="inlineStr">
        <is>
          <t>多功能表</t>
        </is>
      </c>
      <c r="C1584" s="112" t="inlineStr">
        <is>
          <t>PM4101</t>
        </is>
      </c>
      <c r="D1584" s="112" t="inlineStr">
        <is>
          <t>甲供/施耐德电气</t>
        </is>
      </c>
      <c r="E1584" s="114" t="inlineStr">
        <is>
          <t>只</t>
        </is>
      </c>
      <c r="F1584" s="114" t="n">
        <v>2</v>
      </c>
      <c r="G1584" s="396">
        <f>IF(AND(B1584="",C1584=""),"",ROUND(M1584*L1584*N1584,2))</f>
        <v/>
      </c>
      <c r="H1584" s="349">
        <f>IF(AND(B1584="",C1584=""),"",ROUND(F1584*G1584,2))</f>
        <v/>
      </c>
      <c r="I1584" s="45" t="inlineStr"/>
      <c r="J1584" s="397">
        <f>IF(AND(B1584="",C1584=""),"",ROUND(M1584*N1584,2))</f>
        <v/>
      </c>
      <c r="K1584" s="398">
        <f>IF(AND(B1584="",C1584=""),"",ROUND(J1584*F1584,2))</f>
        <v/>
      </c>
      <c r="L1584" s="200" t="n">
        <v>1</v>
      </c>
      <c r="M1584" s="399" t="n">
        <v>1e-07</v>
      </c>
      <c r="N1584" s="154" t="n">
        <v>1</v>
      </c>
      <c r="O1584" s="155">
        <f>IF(AND(B1584="",C1584=""),"",IF(J1584&gt;=20000,0.05,IF(J1584&gt;=10000,0.1,IF(J1584&gt;=5000,0.2,IF(J1584&gt;=1000,0.3,IF(J1584&gt;=0,0.4,{0}))))))</f>
        <v/>
      </c>
      <c r="P1584" s="400">
        <f>IF(AND(B1584="",C1584=""),"",ROUND(H1584*O1584,2))</f>
        <v/>
      </c>
      <c r="Q1584" s="401" t="inlineStr">
        <is>
          <t>元件</t>
        </is>
      </c>
      <c r="R1584" s="168" t="inlineStr"/>
      <c r="S1584" s="168" t="inlineStr"/>
      <c r="T1584" s="168" t="inlineStr">
        <is>
          <t>0</t>
        </is>
      </c>
      <c r="U1584" s="168" t="inlineStr"/>
      <c r="V1584" s="402" t="n"/>
      <c r="W1584" s="402" t="n"/>
      <c r="X1584" s="170" t="inlineStr"/>
    </row>
    <row r="1585" customFormat="1" s="3">
      <c r="A1585" s="64">
        <f>ROW()-ROW(A$1581)</f>
        <v/>
      </c>
      <c r="B1585" s="22" t="inlineStr">
        <is>
          <t>指示灯</t>
        </is>
      </c>
      <c r="C1585" s="22" t="inlineStr">
        <is>
          <t>XB2BVM3LC</t>
        </is>
      </c>
      <c r="D1585" s="22" t="inlineStr">
        <is>
          <t>甲供/施耐德电气</t>
        </is>
      </c>
      <c r="E1585" s="23" t="inlineStr">
        <is>
          <t>只</t>
        </is>
      </c>
      <c r="F1585" s="23" t="n">
        <v>2</v>
      </c>
      <c r="G1585" s="349">
        <f>IF(AND(B1585="",C1585=""),"",ROUND(M1585*L1585*N1585,2))</f>
        <v/>
      </c>
      <c r="H1585" s="353">
        <f>IF(AND(B1585="",C1585=""),"",ROUND(F1585*G1585,2))</f>
        <v/>
      </c>
      <c r="I1585" s="180" t="inlineStr"/>
      <c r="J1585" s="392">
        <f>IF(AND(B1585="",C1585=""),"",ROUND(M1585*N1585,2))</f>
        <v/>
      </c>
      <c r="K1585" s="393">
        <f>IF(AND(B1585="",C1585=""),"",ROUND(J1585*F1585,2))</f>
        <v/>
      </c>
      <c r="L1585" s="141" t="n">
        <v>1</v>
      </c>
      <c r="M1585" s="394" t="n">
        <v>1e-07</v>
      </c>
      <c r="N1585" s="220" t="n">
        <v>1</v>
      </c>
      <c r="O1585" s="221">
        <f>IF(AND(B1585="",C1585=""),"",IF(G1585&gt;=20000,0.05,IF(G1585&gt;=10000,0.1,IF(G1585&gt;=5000,0.2,IF(G1585&gt;=1000,0.3,IF(G1585&gt;=0,0.4,{0}))))))</f>
        <v/>
      </c>
      <c r="P1585" s="419">
        <f>IF(AND(B1585="",C1585=""),"",ROUND(H1585*O1585,2))</f>
        <v/>
      </c>
      <c r="Q1585" s="420" t="inlineStr">
        <is>
          <t>元件</t>
        </is>
      </c>
      <c r="R1585" s="231" t="inlineStr"/>
      <c r="S1585" s="231" t="inlineStr"/>
      <c r="T1585" s="231" t="inlineStr">
        <is>
          <t>0</t>
        </is>
      </c>
      <c r="U1585" s="231" t="inlineStr">
        <is>
          <t>XB2BVM3LC</t>
        </is>
      </c>
      <c r="V1585" s="421" t="n"/>
      <c r="W1585" s="421" t="n"/>
      <c r="X1585" s="166" t="inlineStr">
        <is>
          <t>XA2EVM3LC</t>
        </is>
      </c>
    </row>
    <row r="1586" customFormat="1" s="3">
      <c r="A1586" s="64">
        <f>ROW()-ROW(A$1581)</f>
        <v/>
      </c>
      <c r="B1586" s="22" t="inlineStr">
        <is>
          <t>指示灯</t>
        </is>
      </c>
      <c r="C1586" s="22" t="inlineStr">
        <is>
          <t>XB2BVM4LC</t>
        </is>
      </c>
      <c r="D1586" s="22" t="inlineStr">
        <is>
          <t>甲供/施耐德电气</t>
        </is>
      </c>
      <c r="E1586" s="23" t="inlineStr">
        <is>
          <t>只</t>
        </is>
      </c>
      <c r="F1586" s="23" t="n">
        <v>2</v>
      </c>
      <c r="G1586" s="349">
        <f>IF(AND(B1586="",C1586=""),"",ROUND(M1586*L1586*N1586,2))</f>
        <v/>
      </c>
      <c r="H1586" s="353">
        <f>IF(AND(B1586="",C1586=""),"",ROUND(F1586*G1586,2))</f>
        <v/>
      </c>
      <c r="I1586" s="180" t="inlineStr"/>
      <c r="J1586" s="392">
        <f>IF(AND(B1586="",C1586=""),"",ROUND(M1586*N1586,2))</f>
        <v/>
      </c>
      <c r="K1586" s="393">
        <f>IF(AND(B1586="",C1586=""),"",ROUND(J1586*F1586,2))</f>
        <v/>
      </c>
      <c r="L1586" s="141" t="n">
        <v>1</v>
      </c>
      <c r="M1586" s="394" t="n">
        <v>1e-07</v>
      </c>
      <c r="N1586" s="220" t="n">
        <v>1</v>
      </c>
      <c r="O1586" s="221">
        <f>IF(AND(B1586="",C1586=""),"",IF(G1586&gt;=20000,0.05,IF(G1586&gt;=10000,0.1,IF(G1586&gt;=5000,0.2,IF(G1586&gt;=1000,0.3,IF(G1586&gt;=0,0.4,{0}))))))</f>
        <v/>
      </c>
      <c r="P1586" s="419">
        <f>IF(AND(B1586="",C1586=""),"",ROUND(H1586*O1586,2))</f>
        <v/>
      </c>
      <c r="Q1586" s="420" t="inlineStr">
        <is>
          <t>元件</t>
        </is>
      </c>
      <c r="R1586" s="231" t="inlineStr"/>
      <c r="S1586" s="231" t="inlineStr"/>
      <c r="T1586" s="231" t="inlineStr">
        <is>
          <t>0</t>
        </is>
      </c>
      <c r="U1586" s="231" t="inlineStr">
        <is>
          <t>XB2BVM4LC</t>
        </is>
      </c>
      <c r="V1586" s="421" t="n"/>
      <c r="W1586" s="421" t="n"/>
      <c r="X1586" s="166" t="inlineStr">
        <is>
          <t>XA2EVM4LC</t>
        </is>
      </c>
    </row>
    <row r="1587" s="308">
      <c r="A1587" s="64">
        <f>ROW()-ROW(A$1581)</f>
        <v/>
      </c>
      <c r="B1587" s="112" t="inlineStr">
        <is>
          <t>指示灯</t>
        </is>
      </c>
      <c r="C1587" s="112" t="inlineStr">
        <is>
          <t>XB2BVM5LC</t>
        </is>
      </c>
      <c r="D1587" s="112" t="inlineStr">
        <is>
          <t>甲供/施耐德电气</t>
        </is>
      </c>
      <c r="E1587" s="114" t="inlineStr">
        <is>
          <t>只</t>
        </is>
      </c>
      <c r="F1587" s="114" t="n">
        <v>2</v>
      </c>
      <c r="G1587" s="396">
        <f>IF(AND(B1587="",C1587=""),"",ROUND(M1587*L1587*N1587,2))</f>
        <v/>
      </c>
      <c r="H1587" s="396">
        <f>IF(AND(B1587="",C1587=""),"",ROUND(F1587*G1587,2))</f>
        <v/>
      </c>
      <c r="I1587" s="150" t="inlineStr"/>
      <c r="J1587" s="397">
        <f>IF(AND(B1587="",C1587=""),"",ROUND(M1587*N1587,2))</f>
        <v/>
      </c>
      <c r="K1587" s="398">
        <f>IF(AND(B1587="",C1587=""),"",ROUND(J1587*F1587,2))</f>
        <v/>
      </c>
      <c r="L1587" s="141" t="n">
        <v>1</v>
      </c>
      <c r="M1587" s="399" t="n">
        <v>1e-07</v>
      </c>
      <c r="N1587" s="154" t="n">
        <v>1</v>
      </c>
      <c r="O1587" s="155">
        <f>IF(AND(B1587="",C1587=""),"",IF(G1587&gt;=20000,0.05,IF(G1587&gt;=10000,0.1,IF(G1587&gt;=5000,0.2,IF(G1587&gt;=1000,0.3,IF(G1587&gt;=0,0.4,{0}))))))</f>
        <v/>
      </c>
      <c r="P1587" s="400">
        <f>IF(AND(B1587="",C1587=""),"",ROUND(H1587*O1587,2))</f>
        <v/>
      </c>
      <c r="Q1587" s="401" t="inlineStr">
        <is>
          <t>元件</t>
        </is>
      </c>
      <c r="R1587" s="168" t="inlineStr"/>
      <c r="S1587" s="168" t="inlineStr"/>
      <c r="T1587" s="168" t="inlineStr">
        <is>
          <t>0</t>
        </is>
      </c>
      <c r="U1587" s="168" t="inlineStr">
        <is>
          <t>XA2EVM5LC</t>
        </is>
      </c>
      <c r="V1587" s="402" t="n"/>
      <c r="W1587" s="402" t="n"/>
      <c r="X1587" s="170" t="inlineStr"/>
    </row>
    <row r="1588" s="308">
      <c r="A1588" s="64">
        <f>ROW()-ROW(A$1581)</f>
        <v/>
      </c>
      <c r="B1588" s="112" t="inlineStr">
        <is>
          <t>按钮</t>
        </is>
      </c>
      <c r="C1588" s="112" t="inlineStr">
        <is>
          <t>XB2BA31C</t>
        </is>
      </c>
      <c r="D1588" s="112" t="inlineStr">
        <is>
          <t>甲供/施耐德电气</t>
        </is>
      </c>
      <c r="E1588" s="114" t="inlineStr">
        <is>
          <t>只</t>
        </is>
      </c>
      <c r="F1588" s="114" t="n">
        <v>2</v>
      </c>
      <c r="G1588" s="396">
        <f>IF(AND(B1588="",C1588=""),"",ROUND(M1588*L1588*N1588,2))</f>
        <v/>
      </c>
      <c r="H1588" s="396">
        <f>IF(AND(B1588="",C1588=""),"",ROUND(F1588*G1588,2))</f>
        <v/>
      </c>
      <c r="I1588" s="150" t="inlineStr"/>
      <c r="J1588" s="397">
        <f>IF(AND(B1588="",C1588=""),"",ROUND(M1588*N1588,2))</f>
        <v/>
      </c>
      <c r="K1588" s="398">
        <f>IF(AND(B1588="",C1588=""),"",ROUND(J1588*F1588,2))</f>
        <v/>
      </c>
      <c r="L1588" s="141" t="n">
        <v>1</v>
      </c>
      <c r="M1588" s="399" t="n">
        <v>1e-07</v>
      </c>
      <c r="N1588" s="154" t="n">
        <v>1</v>
      </c>
      <c r="O1588" s="155">
        <f>IF(AND(B1588="",C1588=""),"",IF(G1588&gt;=20000,0.05,IF(G1588&gt;=10000,0.1,IF(G1588&gt;=5000,0.2,IF(G1588&gt;=1000,0.3,IF(G1588&gt;=0,0.4,{0}))))))</f>
        <v/>
      </c>
      <c r="P1588" s="400">
        <f>IF(AND(B1588="",C1588=""),"",ROUND(H1588*O1588,2))</f>
        <v/>
      </c>
      <c r="Q1588" s="401" t="inlineStr">
        <is>
          <t>元件</t>
        </is>
      </c>
      <c r="R1588" s="168" t="inlineStr"/>
      <c r="S1588" s="168" t="inlineStr"/>
      <c r="T1588" s="168" t="inlineStr">
        <is>
          <t>0</t>
        </is>
      </c>
      <c r="U1588" s="168" t="inlineStr">
        <is>
          <t>XB2BA31C</t>
        </is>
      </c>
      <c r="V1588" s="402" t="n"/>
      <c r="W1588" s="402" t="n"/>
      <c r="X1588" s="170" t="inlineStr">
        <is>
          <t>XA2EA31</t>
        </is>
      </c>
    </row>
    <row r="1589" s="308">
      <c r="A1589" s="64">
        <f>ROW()-ROW(A$1581)</f>
        <v/>
      </c>
      <c r="B1589" s="22" t="inlineStr">
        <is>
          <t>按钮</t>
        </is>
      </c>
      <c r="C1589" s="22" t="inlineStr">
        <is>
          <t>XB2BA42C</t>
        </is>
      </c>
      <c r="D1589" s="22" t="inlineStr">
        <is>
          <t>甲供/施耐德电气</t>
        </is>
      </c>
      <c r="E1589" s="23" t="inlineStr">
        <is>
          <t>只</t>
        </is>
      </c>
      <c r="F1589" s="23" t="n">
        <v>2</v>
      </c>
      <c r="G1589" s="349">
        <f>IF(AND(B1589="",C1589=""),"",ROUND(M1589*L1589*N1589,2))</f>
        <v/>
      </c>
      <c r="H1589" s="396">
        <f>IF(AND(B1589="",C1589=""),"",ROUND(F1589*G1589,2))</f>
        <v/>
      </c>
      <c r="I1589" s="150" t="inlineStr"/>
      <c r="J1589" s="397">
        <f>IF(AND(B1589="",C1589=""),"",ROUND(M1589*N1589,2))</f>
        <v/>
      </c>
      <c r="K1589" s="398">
        <f>IF(AND(B1589="",C1589=""),"",ROUND(J1589*F1589,2))</f>
        <v/>
      </c>
      <c r="L1589" s="141" t="n">
        <v>1</v>
      </c>
      <c r="M1589" s="399" t="n">
        <v>1e-07</v>
      </c>
      <c r="N1589" s="154" t="n">
        <v>1</v>
      </c>
      <c r="O1589" s="155">
        <f>IF(AND(B1589="",C1589=""),"",IF(G1589&gt;=20000,0.05,IF(G1589&gt;=10000,0.1,IF(G1589&gt;=5000,0.2,IF(G1589&gt;=1000,0.3,IF(G1589&gt;=0,0.4,{0}))))))</f>
        <v/>
      </c>
      <c r="P1589" s="400">
        <f>IF(AND(B1589="",C1589=""),"",ROUND(H1589*O1589,2))</f>
        <v/>
      </c>
      <c r="Q1589" s="401" t="inlineStr">
        <is>
          <t>元件</t>
        </is>
      </c>
      <c r="R1589" s="168" t="inlineStr"/>
      <c r="S1589" s="168" t="inlineStr"/>
      <c r="T1589" s="168" t="inlineStr">
        <is>
          <t>0</t>
        </is>
      </c>
      <c r="U1589" s="168" t="inlineStr">
        <is>
          <t>XB2BA42C</t>
        </is>
      </c>
      <c r="V1589" s="402" t="n"/>
      <c r="W1589" s="402" t="n"/>
      <c r="X1589" s="170" t="inlineStr">
        <is>
          <t>XA2EA41</t>
        </is>
      </c>
    </row>
    <row r="1590" s="308">
      <c r="A1590" s="64">
        <f>ROW()-ROW(A$1581)</f>
        <v/>
      </c>
      <c r="B1590" s="112" t="inlineStr">
        <is>
          <t>温湿度控制器</t>
        </is>
      </c>
      <c r="C1590" s="112" t="inlineStr">
        <is>
          <t>ATH48G-11</t>
        </is>
      </c>
      <c r="D1590" s="22" t="inlineStr">
        <is>
          <t>杭州安廷</t>
        </is>
      </c>
      <c r="E1590" s="23" t="inlineStr">
        <is>
          <t>套</t>
        </is>
      </c>
      <c r="F1590" s="23" t="n">
        <v>1</v>
      </c>
      <c r="G1590" s="349">
        <f>IF(AND(B1590="",C1590=""),"",ROUND(M1590*L1590*N1590,2))</f>
        <v/>
      </c>
      <c r="H1590" s="396">
        <f>IF(AND(B1590="",C1590=""),"",ROUND(F1590*G1590,2))</f>
        <v/>
      </c>
      <c r="I1590" s="150" t="inlineStr"/>
      <c r="J1590" s="397">
        <f>IF(AND(B1590="",C1590=""),"",ROUND(M1590*N1590,2))</f>
        <v/>
      </c>
      <c r="K1590" s="398">
        <f>IF(AND(B1590="",C1590=""),"",ROUND(J1590*F1590,2))</f>
        <v/>
      </c>
      <c r="L1590" s="141" t="n">
        <v>1</v>
      </c>
      <c r="M1590" s="399" t="n">
        <v>450</v>
      </c>
      <c r="N1590" s="154" t="n">
        <v>1</v>
      </c>
      <c r="O1590" s="155">
        <f>IF(AND(B1590="",C1590=""),"",IF(G1590&gt;=20000,0.05,IF(G1590&gt;=10000,0.1,IF(G1590&gt;=5000,0.2,IF(G1590&gt;=1000,0.3,IF(G1590&gt;=0,0.4,{0}))))))</f>
        <v/>
      </c>
      <c r="P1590" s="400">
        <f>IF(AND(B1590="",C1590=""),"",ROUND(H1590*O1590,2))</f>
        <v/>
      </c>
      <c r="Q1590" s="401" t="inlineStr">
        <is>
          <t>元件</t>
        </is>
      </c>
      <c r="R1590" s="168" t="inlineStr"/>
      <c r="S1590" s="168" t="inlineStr"/>
      <c r="T1590" s="168" t="inlineStr">
        <is>
          <t>0</t>
        </is>
      </c>
      <c r="U1590" s="168" t="inlineStr"/>
      <c r="V1590" s="402" t="n"/>
      <c r="W1590" s="402" t="n"/>
      <c r="X1590" s="170" t="inlineStr"/>
    </row>
    <row r="1591" s="308">
      <c r="A1591" s="64">
        <f>ROW()-ROW(A$1581)</f>
        <v/>
      </c>
      <c r="B1591" s="22" t="inlineStr">
        <is>
          <t>中间继电器</t>
        </is>
      </c>
      <c r="C1591" s="22" t="inlineStr">
        <is>
          <t>RXM4AB2P7+RXZE2S114M+RXZ400</t>
        </is>
      </c>
      <c r="D1591" s="22" t="inlineStr">
        <is>
          <t>甲供/施耐德电气</t>
        </is>
      </c>
      <c r="E1591" s="23" t="inlineStr">
        <is>
          <t>只</t>
        </is>
      </c>
      <c r="F1591" s="23" t="n">
        <v>4</v>
      </c>
      <c r="G1591" s="349">
        <f>IF(AND(B1591="",C1591=""),"",ROUND(M1591*L1591*N1591,2))</f>
        <v/>
      </c>
      <c r="H1591" s="349">
        <f>IF(AND(B1591="",C1591=""),"",ROUND(F1591*G1591,2))</f>
        <v/>
      </c>
      <c r="I1591" s="45" t="inlineStr"/>
      <c r="J1591" s="397">
        <f>IF(AND(B1591="",C1591=""),"",ROUND(M1591*N1591,2))</f>
        <v/>
      </c>
      <c r="K1591" s="398">
        <f>IF(AND(B1591="",C1591=""),"",ROUND(J1591*F1591,2))</f>
        <v/>
      </c>
      <c r="L1591" s="141" t="n">
        <v>1</v>
      </c>
      <c r="M1591" s="399" t="n">
        <v>1e-07</v>
      </c>
      <c r="N1591" s="154" t="n">
        <v>1</v>
      </c>
      <c r="O1591" s="155">
        <f>IF(AND(B1591="",C1591=""),"",IF(G1591&gt;=20000,0.05,IF(G1591&gt;=10000,0.1,IF(G1591&gt;=5000,0.2,IF(G1591&gt;=1000,0.3,IF(G1591&gt;=0,0.4,{0}))))))</f>
        <v/>
      </c>
      <c r="P1591" s="400">
        <f>IF(AND(B1591="",C1591=""),"",ROUND(H1591*O1591,2))</f>
        <v/>
      </c>
      <c r="Q1591" s="401" t="inlineStr">
        <is>
          <t>元件</t>
        </is>
      </c>
      <c r="R1591" s="168" t="inlineStr"/>
      <c r="S1591" s="168" t="inlineStr"/>
      <c r="T1591" s="168" t="inlineStr">
        <is>
          <t>0</t>
        </is>
      </c>
      <c r="U1591" s="168" t="inlineStr">
        <is>
          <t>RXM4AB2P7+RXZE2S114M+RXZ400</t>
        </is>
      </c>
      <c r="V1591" s="402" t="n"/>
      <c r="W1591" s="402" t="n"/>
      <c r="X1591" s="170" t="inlineStr">
        <is>
          <t>REL-IR-BL/L-230AC/4X21，含底座→RXM4AB2P7+RXZE2S114M+RXZ400→REL-IR-BL/L-230AC/4X21，含底座</t>
        </is>
      </c>
    </row>
    <row r="1592" customFormat="1" s="3">
      <c r="A1592" s="64">
        <f>ROW()-ROW(A$1581)</f>
        <v/>
      </c>
      <c r="B1592" s="22" t="inlineStr">
        <is>
          <t>带熔丝端子</t>
        </is>
      </c>
      <c r="C1592" s="22" t="inlineStr">
        <is>
          <t>UK 5-HESI</t>
        </is>
      </c>
      <c r="D1592" s="22" t="inlineStr">
        <is>
          <t>菲尼克斯</t>
        </is>
      </c>
      <c r="E1592" s="23" t="inlineStr">
        <is>
          <t>只</t>
        </is>
      </c>
      <c r="F1592" s="23" t="n">
        <v>8</v>
      </c>
      <c r="G1592" s="349">
        <f>IF(AND(B1592="",C1592=""),"",ROUND(M1592*L1592*N1592,2))</f>
        <v/>
      </c>
      <c r="H1592" s="349">
        <f>IF(AND(B1592="",C1592=""),"",ROUND(F1592*G1592,2))</f>
        <v/>
      </c>
      <c r="I1592" s="45" t="inlineStr"/>
      <c r="J1592" s="392">
        <f>IF(AND(B1592="",C1592=""),"",ROUND(M1592*N1592,2))</f>
        <v/>
      </c>
      <c r="K1592" s="393">
        <f>IF(AND(B1592="",C1592=""),"",ROUND(J1592*F1592,2))</f>
        <v/>
      </c>
      <c r="L1592" s="141" t="n">
        <v>1</v>
      </c>
      <c r="M1592" s="394" t="n">
        <v>7</v>
      </c>
      <c r="N1592" s="220" t="n">
        <v>1</v>
      </c>
      <c r="O1592" s="221">
        <f>IF(AND(B1592="",C1592=""),"",IF(G1592&gt;=20000,0.05,IF(G1592&gt;=10000,0.1,IF(G1592&gt;=5000,0.2,IF(G1592&gt;=1000,0.3,IF(G1592&gt;=0,0.4,{0}))))))</f>
        <v/>
      </c>
      <c r="P1592" s="419">
        <f>IF(AND(B1592="",C1592=""),"",ROUND(H1592*O1592,2))</f>
        <v/>
      </c>
      <c r="Q1592" s="420" t="inlineStr">
        <is>
          <t>元件</t>
        </is>
      </c>
      <c r="R1592" s="231" t="inlineStr"/>
      <c r="S1592" s="231" t="inlineStr"/>
      <c r="T1592" s="231" t="inlineStr">
        <is>
          <t>0</t>
        </is>
      </c>
      <c r="U1592" s="231" t="inlineStr">
        <is>
          <t>True</t>
        </is>
      </c>
      <c r="V1592" s="421" t="n"/>
      <c r="W1592" s="421" t="n"/>
      <c r="X1592" s="166" t="inlineStr"/>
    </row>
    <row r="1593" s="308">
      <c r="A1593" s="64">
        <f>ROW()-ROW(A$1581)</f>
        <v/>
      </c>
      <c r="B1593" s="22" t="inlineStr">
        <is>
          <t>水平母排</t>
        </is>
      </c>
      <c r="C1593" s="22" t="inlineStr">
        <is>
          <t>TMY 4*(2*100*5)+2*50*5</t>
        </is>
      </c>
      <c r="D1593" s="22" t="inlineStr">
        <is>
          <t>国产优质</t>
        </is>
      </c>
      <c r="E1593" s="23" t="inlineStr">
        <is>
          <t>米</t>
        </is>
      </c>
      <c r="F1593" s="23" t="n">
        <v>0.5</v>
      </c>
      <c r="G1593" s="349">
        <f>IF(AND(B1593="",C1593=""),"",ROUND(M1593*L1593*N1593,2))</f>
        <v/>
      </c>
      <c r="H1593" s="349">
        <f>IF(AND(B1593="",C1593=""),"",ROUND(F1593*G1593,2))</f>
        <v/>
      </c>
      <c r="I1593" s="45" t="inlineStr"/>
      <c r="J1593" s="397">
        <f>IF(AND(B1593="",C1593=""),"",ROUND(M1593*N1593,2))</f>
        <v/>
      </c>
      <c r="K1593" s="398">
        <f>IF(AND(B1593="",C1593=""),"",ROUND(J1593*F1593,2))</f>
        <v/>
      </c>
      <c r="L1593" s="200" t="n">
        <v>1</v>
      </c>
      <c r="M1593" s="399" t="n">
        <v>4329.60525</v>
      </c>
      <c r="N1593" s="154">
        <f>(6317.932*1*1+2684.8*1*1)/9002.732</f>
        <v/>
      </c>
      <c r="O1593" s="155">
        <f>IF(AND(B1593="",C1593=""),"",IF(J1593&gt;=20000,0.05,IF(J1593&gt;=10000,0.1,IF(J1593&gt;=5000,0.2,IF(J1593&gt;=1000,0.3,IF(J1593&gt;=0,0.4,{0}))))))</f>
        <v/>
      </c>
      <c r="P1593" s="400">
        <f>IF(AND(B1593="",C1593=""),"",ROUND(H1593*O1593,2))</f>
        <v/>
      </c>
      <c r="Q1593" s="401" t="inlineStr">
        <is>
          <t>母排</t>
        </is>
      </c>
      <c r="R1593" s="168" t="inlineStr"/>
      <c r="S1593" s="168" t="inlineStr"/>
      <c r="T1593" s="168" t="inlineStr">
        <is>
          <t>0</t>
        </is>
      </c>
      <c r="U1593" s="168" t="inlineStr"/>
      <c r="V1593" s="402" t="n"/>
      <c r="W1593" s="402" t="n"/>
      <c r="X1593" s="170" t="inlineStr"/>
    </row>
    <row r="1594" customFormat="1" s="5">
      <c r="A1594" s="64">
        <f>ROW()-ROW(A$1581)</f>
        <v/>
      </c>
      <c r="B1594" s="22" t="inlineStr">
        <is>
          <t>桩头排</t>
        </is>
      </c>
      <c r="C1594" s="22" t="inlineStr">
        <is>
          <t>TMY 3*80*5</t>
        </is>
      </c>
      <c r="D1594" s="22" t="inlineStr">
        <is>
          <t>国产优质</t>
        </is>
      </c>
      <c r="E1594" s="23" t="inlineStr">
        <is>
          <t>米</t>
        </is>
      </c>
      <c r="F1594" s="23" t="n">
        <v>3</v>
      </c>
      <c r="G1594" s="349">
        <f>IF(AND(B1594="",C1594=""),"",ROUND(M1594*L1594*N1594,2))</f>
        <v/>
      </c>
      <c r="H1594" s="349">
        <f>IF(AND(B1594="",C1594=""),"",ROUND(F1594*G1594,2))</f>
        <v/>
      </c>
      <c r="I1594" s="45" t="inlineStr"/>
      <c r="J1594" s="422">
        <f>IF(AND(B1594="",C1594=""),"",ROUND(M1594*N1594,2))</f>
        <v/>
      </c>
      <c r="K1594" s="423">
        <f>IF(AND(B1594="",C1594=""),"",ROUND(J1594*F1594,2))</f>
        <v/>
      </c>
      <c r="L1594" s="225" t="n">
        <v>1</v>
      </c>
      <c r="M1594" s="424" t="n">
        <v>1154.5614</v>
      </c>
      <c r="N1594" s="227" t="n">
        <v>1</v>
      </c>
      <c r="O1594" s="228">
        <f>IF(AND(B1594="",C1594=""),"",IF(G1594&gt;=20000,0.05,IF(G1594&gt;=10000,0.1,IF(G1594&gt;=5000,0.2,IF(G1594&gt;=1000,0.3,IF(G1594&gt;=0,0.4,{0}))))))</f>
        <v/>
      </c>
      <c r="P1594" s="425">
        <f>IF(AND(B1594="",C1594=""),"",ROUND(H1594*O1594,2))</f>
        <v/>
      </c>
      <c r="Q1594" s="426" t="inlineStr">
        <is>
          <t>母排</t>
        </is>
      </c>
      <c r="R1594" s="234" t="inlineStr"/>
      <c r="S1594" s="234" t="inlineStr"/>
      <c r="T1594" s="235" t="inlineStr">
        <is>
          <t>0</t>
        </is>
      </c>
      <c r="U1594" s="235" t="inlineStr"/>
      <c r="V1594" s="427" t="n"/>
      <c r="W1594" s="427" t="n"/>
      <c r="X1594" s="237" t="inlineStr">
        <is>
          <t>TMY 2*30*5→TMY 30*8</t>
        </is>
      </c>
    </row>
    <row r="1595" customFormat="1" s="5">
      <c r="A1595" s="64">
        <f>ROW()-ROW(A$1581)</f>
        <v/>
      </c>
      <c r="B1595" s="22" t="inlineStr">
        <is>
          <t>垂直排</t>
        </is>
      </c>
      <c r="C1595" s="22" t="inlineStr">
        <is>
          <t>TMY 3*80*5</t>
        </is>
      </c>
      <c r="D1595" s="22" t="inlineStr">
        <is>
          <t>国产优质</t>
        </is>
      </c>
      <c r="E1595" s="23" t="inlineStr">
        <is>
          <t>米</t>
        </is>
      </c>
      <c r="F1595" s="23" t="n">
        <v>2</v>
      </c>
      <c r="G1595" s="349">
        <f>IF(AND(B1595="",C1595=""),"",ROUND(M1595*L1595*N1595,2))</f>
        <v/>
      </c>
      <c r="H1595" s="349">
        <f>IF(AND(B1595="",C1595=""),"",ROUND(F1595*G1595,2))</f>
        <v/>
      </c>
      <c r="I1595" s="45" t="inlineStr"/>
      <c r="J1595" s="422">
        <f>IF(AND(B1595="",C1595=""),"",ROUND(M1595*N1595,2))</f>
        <v/>
      </c>
      <c r="K1595" s="423">
        <f>IF(AND(B1595="",C1595=""),"",ROUND(J1595*F1595,2))</f>
        <v/>
      </c>
      <c r="L1595" s="225" t="n">
        <v>1</v>
      </c>
      <c r="M1595" s="424" t="n">
        <v>1154.5614</v>
      </c>
      <c r="N1595" s="227" t="n">
        <v>1</v>
      </c>
      <c r="O1595" s="228">
        <f>IF(AND(B1595="",C1595=""),"",IF(G1595&gt;=20000,0.05,IF(G1595&gt;=10000,0.1,IF(G1595&gt;=5000,0.2,IF(G1595&gt;=1000,0.3,IF(G1595&gt;=0,0.4,{0}))))))</f>
        <v/>
      </c>
      <c r="P1595" s="425">
        <f>IF(AND(B1595="",C1595=""),"",ROUND(H1595*O1595,2))</f>
        <v/>
      </c>
      <c r="Q1595" s="426" t="inlineStr">
        <is>
          <t>母排</t>
        </is>
      </c>
      <c r="R1595" s="234" t="inlineStr"/>
      <c r="S1595" s="234" t="inlineStr"/>
      <c r="T1595" s="235" t="inlineStr">
        <is>
          <t>0</t>
        </is>
      </c>
      <c r="U1595" s="235" t="inlineStr"/>
      <c r="V1595" s="427" t="n"/>
      <c r="W1595" s="427" t="n"/>
      <c r="X1595" s="237" t="inlineStr">
        <is>
          <t>TMY 2*30*5→TMY 30*8</t>
        </is>
      </c>
    </row>
    <row r="1596" customFormat="1" s="5">
      <c r="A1596" s="64">
        <f>ROW()-ROW(A$1581)</f>
        <v/>
      </c>
      <c r="B1596" s="22" t="inlineStr">
        <is>
          <t>N排</t>
        </is>
      </c>
      <c r="C1596" s="22" t="inlineStr">
        <is>
          <t>TMY 80*10</t>
        </is>
      </c>
      <c r="D1596" s="22" t="inlineStr">
        <is>
          <t>国产优质</t>
        </is>
      </c>
      <c r="E1596" s="23" t="inlineStr">
        <is>
          <t>米</t>
        </is>
      </c>
      <c r="F1596" s="23" t="n">
        <v>3</v>
      </c>
      <c r="G1596" s="349">
        <f>IF(AND(B1596="",C1596=""),"",ROUND(M1596*L1596*N1596,2))</f>
        <v/>
      </c>
      <c r="H1596" s="349">
        <f>IF(AND(B1596="",C1596=""),"",ROUND(F1596*G1596,2))</f>
        <v/>
      </c>
      <c r="I1596" s="45" t="inlineStr"/>
      <c r="J1596" s="422">
        <f>IF(AND(B1596="",C1596=""),"",ROUND(M1596*N1596,2))</f>
        <v/>
      </c>
      <c r="K1596" s="423">
        <f>IF(AND(B1596="",C1596=""),"",ROUND(J1596*F1596,2))</f>
        <v/>
      </c>
      <c r="L1596" s="225" t="n">
        <v>1</v>
      </c>
      <c r="M1596" s="424" t="n">
        <v>769.7076</v>
      </c>
      <c r="N1596" s="227" t="n">
        <v>1</v>
      </c>
      <c r="O1596" s="228">
        <f>IF(AND(B1596="",C1596=""),"",IF(G1596&gt;=20000,0.05,IF(G1596&gt;=10000,0.1,IF(G1596&gt;=5000,0.2,IF(G1596&gt;=1000,0.3,IF(G1596&gt;=0,0.4,{0}))))))</f>
        <v/>
      </c>
      <c r="P1596" s="425">
        <f>IF(AND(B1596="",C1596=""),"",ROUND(H1596*O1596,2))</f>
        <v/>
      </c>
      <c r="Q1596" s="426" t="inlineStr">
        <is>
          <t>母排</t>
        </is>
      </c>
      <c r="R1596" s="234" t="inlineStr"/>
      <c r="S1596" s="234" t="inlineStr"/>
      <c r="T1596" s="235" t="inlineStr">
        <is>
          <t>0</t>
        </is>
      </c>
      <c r="U1596" s="235" t="inlineStr"/>
      <c r="V1596" s="427" t="n"/>
      <c r="W1596" s="427" t="n"/>
      <c r="X1596" s="237" t="inlineStr">
        <is>
          <t>TMY 2*30*5→TMY 30*8</t>
        </is>
      </c>
    </row>
    <row r="1597" customFormat="1" s="5">
      <c r="A1597" s="64">
        <f>ROW()-ROW(A$1581)</f>
        <v/>
      </c>
      <c r="B1597" s="22" t="inlineStr">
        <is>
          <t>PE排</t>
        </is>
      </c>
      <c r="C1597" s="22" t="inlineStr">
        <is>
          <t>TMY 2*50*5</t>
        </is>
      </c>
      <c r="D1597" s="22" t="inlineStr">
        <is>
          <t>国产优质</t>
        </is>
      </c>
      <c r="E1597" s="23" t="inlineStr">
        <is>
          <t>米</t>
        </is>
      </c>
      <c r="F1597" s="23" t="n">
        <v>2</v>
      </c>
      <c r="G1597" s="349">
        <f>IF(AND(B1597="",C1597=""),"",ROUND(M1597*L1597*N1597,2))</f>
        <v/>
      </c>
      <c r="H1597" s="349">
        <f>IF(AND(B1597="",C1597=""),"",ROUND(F1597*G1597,2))</f>
        <v/>
      </c>
      <c r="I1597" s="45" t="inlineStr"/>
      <c r="J1597" s="422">
        <f>IF(AND(B1597="",C1597=""),"",ROUND(M1597*N1597,2))</f>
        <v/>
      </c>
      <c r="K1597" s="423">
        <f>IF(AND(B1597="",C1597=""),"",ROUND(J1597*F1597,2))</f>
        <v/>
      </c>
      <c r="L1597" s="225" t="n">
        <v>1</v>
      </c>
      <c r="M1597" s="424" t="n">
        <v>481.06725</v>
      </c>
      <c r="N1597" s="227" t="n">
        <v>1</v>
      </c>
      <c r="O1597" s="228">
        <f>IF(AND(B1597="",C1597=""),"",IF(G1597&gt;=20000,0.05,IF(G1597&gt;=10000,0.1,IF(G1597&gt;=5000,0.2,IF(G1597&gt;=1000,0.3,IF(G1597&gt;=0,0.4,{0}))))))</f>
        <v/>
      </c>
      <c r="P1597" s="425">
        <f>IF(AND(B1597="",C1597=""),"",ROUND(H1597*O1597,2))</f>
        <v/>
      </c>
      <c r="Q1597" s="426" t="inlineStr">
        <is>
          <t>母排</t>
        </is>
      </c>
      <c r="R1597" s="234" t="inlineStr"/>
      <c r="S1597" s="234" t="inlineStr"/>
      <c r="T1597" s="235" t="inlineStr">
        <is>
          <t>0</t>
        </is>
      </c>
      <c r="U1597" s="235" t="inlineStr"/>
      <c r="V1597" s="427" t="n"/>
      <c r="W1597" s="427" t="n"/>
      <c r="X1597" s="237" t="inlineStr">
        <is>
          <t>TMY 2*30*5→TMY 30*8</t>
        </is>
      </c>
    </row>
    <row r="1598" s="308">
      <c r="A1598" s="64">
        <f>ROW()-ROW(A$1581)</f>
        <v/>
      </c>
      <c r="B1598" s="112" t="inlineStr">
        <is>
          <t>辅料</t>
        </is>
      </c>
      <c r="C1598" s="112" t="inlineStr"/>
      <c r="D1598" s="112" t="inlineStr"/>
      <c r="E1598" s="114" t="inlineStr">
        <is>
          <t>套</t>
        </is>
      </c>
      <c r="F1598" s="114" t="n">
        <v>1</v>
      </c>
      <c r="G1598" s="396">
        <f>IF(AND(B1598="",C1598=""),"",ROUND(M1598*L1598*N1598,2))</f>
        <v/>
      </c>
      <c r="H1598" s="396">
        <f>IF(AND(B1598="",C1598=""),"",ROUND(F1598*G1598,2))</f>
        <v/>
      </c>
      <c r="I1598" s="219" t="inlineStr"/>
      <c r="J1598" s="397">
        <f>IF(AND(B1598="",C1598=""),"",ROUND(M1598*N1598,2))</f>
        <v/>
      </c>
      <c r="K1598" s="398">
        <f>IF(AND(B1598="",C1598=""),"",ROUND(J1598*F1598,2))</f>
        <v/>
      </c>
      <c r="L1598" s="200" t="n">
        <v>1</v>
      </c>
      <c r="M1598" s="399" t="n">
        <v>800</v>
      </c>
      <c r="N1598" s="154" t="n">
        <v>1</v>
      </c>
      <c r="O1598" s="155">
        <f>IF(AND(B1598="",C1598=""),"",IF(G1598&gt;=20000,0.05,IF(G1598&gt;=10000,0.1,IF(G1598&gt;=5000,0.2,IF(G1598&gt;=1000,0.3,IF(G1598&gt;=0,0.4,{0}))))))</f>
        <v/>
      </c>
      <c r="P1598" s="400">
        <f>IF(AND(B1598="",C1598=""),"",ROUND(H1598*O1598,2))</f>
        <v/>
      </c>
      <c r="Q1598" s="401" t="inlineStr">
        <is>
          <t>辅料</t>
        </is>
      </c>
      <c r="R1598" s="168" t="inlineStr"/>
      <c r="S1598" s="168" t="inlineStr"/>
      <c r="T1598" s="168" t="inlineStr">
        <is>
          <t>0</t>
        </is>
      </c>
      <c r="U1598" s="168" t="inlineStr"/>
      <c r="V1598" s="402" t="n"/>
      <c r="W1598" s="402" t="n"/>
      <c r="X1598" s="170" t="inlineStr"/>
    </row>
    <row r="1599" s="308">
      <c r="A1599" s="64">
        <f>ROW()-ROW(A$1581)</f>
        <v/>
      </c>
      <c r="B1599" s="112" t="inlineStr">
        <is>
          <t>柜体Blokset</t>
        </is>
      </c>
      <c r="C1599" s="22" t="inlineStr">
        <is>
          <t>400W*1200D*2200H</t>
        </is>
      </c>
      <c r="D1599" s="112" t="inlineStr">
        <is>
          <t>清科</t>
        </is>
      </c>
      <c r="E1599" s="114" t="inlineStr">
        <is>
          <t>台</t>
        </is>
      </c>
      <c r="F1599" s="114" t="n">
        <v>1</v>
      </c>
      <c r="G1599" s="396">
        <f>IF(AND(B1599="",C1599=""),"",ROUND(M1599*L1599*N1599,2))</f>
        <v/>
      </c>
      <c r="H1599" s="396">
        <f>IF(AND(B1599="",C1599=""),"",ROUND(F1599*G1599,2))</f>
        <v/>
      </c>
      <c r="I1599" s="219" t="inlineStr"/>
      <c r="J1599" s="397">
        <f>IF(AND(B1599="",C1599=""),"",ROUND(M1599*N1599,2))</f>
        <v/>
      </c>
      <c r="K1599" s="398">
        <f>IF(AND(B1599="",C1599=""),"",ROUND(J1599*F1599,2))</f>
        <v/>
      </c>
      <c r="L1599" s="200" t="n">
        <v>1</v>
      </c>
      <c r="M1599" s="399" t="n">
        <v>4916</v>
      </c>
      <c r="N1599" s="154" t="n">
        <v>1</v>
      </c>
      <c r="O1599" s="155">
        <f>IF(AND(B1599="",C1599=""),"",IF(G1599&gt;=20000,0.05,IF(G1599&gt;=10000,0.1,IF(G1599&gt;=5000,0.2,IF(G1599&gt;=1000,0.3,IF(G1599&gt;=0,0.4,{0}))))))</f>
        <v/>
      </c>
      <c r="P1599" s="400">
        <f>IF(AND(B1599="",C1599=""),"",ROUND(H1599*O1599,2))</f>
        <v/>
      </c>
      <c r="Q1599" s="401" t="inlineStr">
        <is>
          <t>箱体</t>
        </is>
      </c>
      <c r="R1599" s="168" t="inlineStr"/>
      <c r="S1599" s="168" t="inlineStr"/>
      <c r="T1599" s="168" t="inlineStr">
        <is>
          <t>0</t>
        </is>
      </c>
      <c r="U1599" s="168" t="inlineStr"/>
      <c r="V1599" s="402" t="n"/>
      <c r="W1599" s="402" t="n"/>
      <c r="X1599" s="170" t="inlineStr">
        <is>
          <t>BlokSeT</t>
        </is>
      </c>
    </row>
    <row r="1600" s="308">
      <c r="A1600" s="64">
        <f>ROW()-ROW(A$1581)</f>
        <v/>
      </c>
      <c r="B1600" s="22" t="inlineStr"/>
      <c r="C1600" s="22" t="inlineStr"/>
      <c r="D1600" s="22" t="inlineStr"/>
      <c r="E1600" s="23" t="n"/>
      <c r="F1600" s="23">
        <f>IF(AND(B1600="",C1600=""),"",1)</f>
        <v/>
      </c>
      <c r="G1600" s="349">
        <f>IF(AND(B1600="",C1600=""),"",ROUND(M1600*L1600*N1600,2))</f>
        <v/>
      </c>
      <c r="H1600" s="349">
        <f>IF(AND(B1600="",C1600=""),"",ROUND(F1600*G1600,2))</f>
        <v/>
      </c>
      <c r="I1600" s="45" t="inlineStr"/>
      <c r="J1600" s="397">
        <f>IF(AND(B1600="",C1600=""),"",ROUND(M1600*N1600,2))</f>
        <v/>
      </c>
      <c r="K1600" s="398">
        <f>IF(AND(B1600="",C1600=""),"",ROUND(J1600*F1600,2))</f>
        <v/>
      </c>
      <c r="L1600" s="200">
        <f>IF(AND(B1600="",C1600=""),"",1)</f>
        <v/>
      </c>
      <c r="M1600" s="399" t="n"/>
      <c r="N1600" s="154">
        <f>IF(AND(B1600="",C1600=""),"",1)</f>
        <v/>
      </c>
      <c r="O1600" s="155">
        <f>IF(AND(B1600="",C1600=""),"",IF(J1600&gt;=20000,0.05,IF(J1600&gt;=10000,0.1,IF(J1600&gt;=5000,0.2,IF(J1600&gt;=1000,0.3,IF(J1600&gt;=0,0.4,{0}))))))</f>
        <v/>
      </c>
      <c r="P1600" s="400">
        <f>IF(AND(B1600="",C1600=""),"",ROUND(H1600*O1600,2))</f>
        <v/>
      </c>
      <c r="Q1600" s="401">
        <f>IF(AND(B1600="",C1600=""),"","元件")</f>
        <v/>
      </c>
      <c r="R1600" s="168" t="inlineStr"/>
      <c r="S1600" s="168" t="inlineStr"/>
      <c r="T1600" s="168" t="inlineStr"/>
      <c r="U1600" s="168" t="inlineStr"/>
      <c r="V1600" s="402" t="n"/>
      <c r="W1600" s="402" t="n"/>
      <c r="X1600" s="170" t="inlineStr"/>
    </row>
    <row r="1601" s="308">
      <c r="A1601" s="64">
        <f>ROW()-ROW(A$1581)</f>
        <v/>
      </c>
      <c r="B1601" s="171" t="inlineStr">
        <is>
          <t>小计</t>
        </is>
      </c>
      <c r="C1601" s="172" t="n"/>
      <c r="D1601" s="204" t="n"/>
      <c r="E1601" s="114" t="n"/>
      <c r="F1601" s="114" t="n"/>
      <c r="G1601" s="396" t="n"/>
      <c r="H1601" s="396">
        <f>ROUND(SUM(H1581:INDEX(H:H,ROW()-1)),2)</f>
        <v/>
      </c>
      <c r="I1601" s="45" t="inlineStr"/>
      <c r="J1601" s="397" t="n"/>
      <c r="K1601" s="398">
        <f>ROUND(SUM(K1581:INDEX(K:K,ROW()-1)),2)</f>
        <v/>
      </c>
      <c r="L1601" s="200" t="n"/>
      <c r="M1601" s="399" t="n"/>
      <c r="N1601" s="154" t="n"/>
      <c r="O1601" s="155" t="n"/>
      <c r="P1601" s="400" t="n"/>
      <c r="Q1601" s="401" t="n"/>
      <c r="R1601" s="168" t="inlineStr"/>
      <c r="S1601" s="168" t="inlineStr"/>
      <c r="T1601" s="168" t="inlineStr"/>
      <c r="U1601" s="168" t="inlineStr"/>
      <c r="V1601" s="402">
        <f>ROUND(SUMPRODUCT(F1581:INDEX(F:F,ROW()-1),V1581:INDEX(V:V,ROW()-1)),2)</f>
        <v/>
      </c>
      <c r="W1601" s="402">
        <f>ROUND(SUMPRODUCT(F1581:INDEX(F:F,ROW()-1),W1581:INDEX(W:W,ROW()-1)),2)</f>
        <v/>
      </c>
      <c r="X1601" s="170" t="inlineStr"/>
    </row>
    <row r="1602" s="308">
      <c r="A1602" s="64">
        <f>ROW()-ROW(A$1581)</f>
        <v/>
      </c>
      <c r="B1602" s="171" t="inlineStr">
        <is>
          <t>综合费(人工、管理、税金、利润等)</t>
        </is>
      </c>
      <c r="C1602" s="172" t="n"/>
      <c r="D1602" s="204" t="n"/>
      <c r="E1602" s="114" t="n"/>
      <c r="F1602" s="114" t="n"/>
      <c r="G1602" s="396" t="n"/>
      <c r="H1602" s="396">
        <f>2500</f>
        <v/>
      </c>
      <c r="I1602" s="45" t="inlineStr"/>
      <c r="J1602" s="397" t="n"/>
      <c r="K1602" s="398" t="n"/>
      <c r="L1602" s="200" t="n"/>
      <c r="M1602" s="399" t="n"/>
      <c r="N1602" s="154" t="n"/>
      <c r="O1602" s="155" t="n"/>
      <c r="P1602" s="400" t="n"/>
      <c r="Q1602" s="401" t="inlineStr">
        <is>
          <t>费用</t>
        </is>
      </c>
      <c r="R1602" s="168" t="inlineStr"/>
      <c r="S1602" s="168" t="inlineStr"/>
      <c r="T1602" s="168" t="inlineStr"/>
      <c r="U1602" s="168" t="inlineStr"/>
      <c r="V1602" s="402" t="n"/>
      <c r="W1602" s="402" t="n"/>
      <c r="X1602" s="170" t="inlineStr"/>
    </row>
    <row r="1603" s="308">
      <c r="A1603" s="64">
        <f>ROW()-ROW(A$1581)</f>
        <v/>
      </c>
      <c r="B1603" s="204" t="inlineStr">
        <is>
          <t>单台合计</t>
        </is>
      </c>
      <c r="C1603" s="172" t="n"/>
      <c r="D1603" s="204" t="n"/>
      <c r="E1603" s="114" t="n"/>
      <c r="F1603" s="114" t="n"/>
      <c r="G1603" s="396" t="n"/>
      <c r="H1603" s="396">
        <f>ROUND(SUM(H1601:H1602),2)</f>
        <v/>
      </c>
      <c r="I1603" s="181" t="n"/>
      <c r="J1603" s="397" t="n"/>
      <c r="K1603" s="398">
        <f>ROUND(SUM(K1601:K1602),2)</f>
        <v/>
      </c>
      <c r="L1603" s="209" t="n"/>
      <c r="M1603" s="399" t="n"/>
      <c r="N1603" s="210" t="n"/>
      <c r="O1603" s="211" t="n"/>
      <c r="P1603" s="400" t="n"/>
      <c r="Q1603" s="401" t="n"/>
      <c r="R1603" s="168" t="inlineStr"/>
      <c r="S1603" s="168" t="inlineStr"/>
      <c r="T1603" s="168" t="inlineStr"/>
      <c r="U1603" s="168" t="inlineStr"/>
      <c r="V1603" s="402" t="n"/>
      <c r="W1603" s="402" t="n"/>
      <c r="X1603" s="170" t="inlineStr"/>
    </row>
    <row r="1604" s="308">
      <c r="A1604" s="173" t="inlineStr">
        <is>
          <t>总计</t>
        </is>
      </c>
      <c r="B1604" s="205" t="n"/>
      <c r="C1604" s="175" t="n"/>
      <c r="D1604" s="206" t="n"/>
      <c r="E1604" s="206" t="inlineStr">
        <is>
          <t>台</t>
        </is>
      </c>
      <c r="F1604" s="206" t="n">
        <v>2</v>
      </c>
      <c r="G1604" s="414">
        <f>ROUND(H1603,2)</f>
        <v/>
      </c>
      <c r="H1604" s="414">
        <f>ROUND(F1604*G1604,2)</f>
        <v/>
      </c>
      <c r="I1604" s="185" t="n"/>
      <c r="J1604" s="415" t="n"/>
      <c r="K1604" s="416">
        <f>ROUND(K1603*F1604,2)</f>
        <v/>
      </c>
      <c r="L1604" s="214" t="n"/>
      <c r="M1604" s="417" t="n"/>
      <c r="N1604" s="216" t="n"/>
      <c r="O1604" s="217" t="n"/>
      <c r="P1604" s="418" t="n"/>
      <c r="Q1604" s="401" t="n"/>
      <c r="R1604" s="168" t="inlineStr"/>
      <c r="S1604" s="168" t="inlineStr"/>
      <c r="T1604" s="168" t="inlineStr"/>
      <c r="U1604" s="168" t="inlineStr"/>
      <c r="V1604" s="402" t="n"/>
      <c r="W1604" s="402" t="n"/>
      <c r="X1604" s="170" t="inlineStr"/>
    </row>
    <row r="1605" customFormat="1" s="4">
      <c r="A1605" s="6" t="n"/>
      <c r="B1605" s="195" t="inlineStr"/>
      <c r="C1605" s="195" t="inlineStr"/>
      <c r="D1605" s="195" t="inlineStr"/>
      <c r="Q1605" s="159" t="n"/>
      <c r="R1605" s="159" t="n"/>
      <c r="S1605" s="159" t="n"/>
      <c r="T1605" s="159" t="n"/>
      <c r="U1605" s="159" t="n"/>
      <c r="X1605" s="195" t="inlineStr"/>
    </row>
    <row r="1606" customFormat="1" s="4">
      <c r="A1606" s="6" t="n"/>
      <c r="B1606" s="195" t="inlineStr"/>
      <c r="C1606" s="195" t="inlineStr"/>
      <c r="D1606" s="195" t="inlineStr"/>
      <c r="Q1606" s="159" t="n"/>
      <c r="R1606" s="159" t="n"/>
      <c r="S1606" s="159" t="n"/>
      <c r="T1606" s="159" t="n"/>
      <c r="U1606" s="159" t="n"/>
      <c r="X1606" s="195" t="inlineStr"/>
    </row>
    <row r="1607" s="308">
      <c r="A1607" s="208">
        <f>CONCATENATE("报价人：",项目信息!$B$8)</f>
        <v/>
      </c>
      <c r="B1607" s="208" t="n"/>
      <c r="C1607" s="4" t="n"/>
      <c r="D1607" s="4" t="n"/>
      <c r="E1607" s="4" t="n"/>
      <c r="F1607" s="4" t="n"/>
      <c r="G1607" s="4" t="n"/>
      <c r="H1607" s="178">
        <f>项目信息!$B$9</f>
        <v/>
      </c>
      <c r="Q1607" s="159" t="n"/>
      <c r="R1607" s="159" t="n"/>
      <c r="S1607" s="159" t="n"/>
      <c r="T1607" s="159" t="n"/>
      <c r="U1607" s="159" t="n"/>
      <c r="X1607" s="203" t="inlineStr"/>
    </row>
    <row r="1608" s="308">
      <c r="A1608" s="8">
        <f>T(项目信息!$B$22)</f>
        <v/>
      </c>
      <c r="Q1608" s="159" t="n"/>
      <c r="R1608" s="159" t="n"/>
      <c r="S1608" s="159" t="n"/>
      <c r="T1608" s="159" t="n"/>
      <c r="U1608" s="159" t="n"/>
    </row>
    <row r="1609" s="308">
      <c r="A1609" s="9">
        <f>T(项目信息!$B$23)</f>
        <v/>
      </c>
      <c r="Q1609" s="159" t="n"/>
      <c r="R1609" s="159" t="n"/>
      <c r="S1609" s="159" t="n"/>
      <c r="T1609" s="159" t="n"/>
      <c r="U1609" s="159" t="n"/>
    </row>
    <row r="1610" s="308">
      <c r="A1610" s="97" t="inlineStr">
        <is>
          <t>成套产品报价明细表</t>
        </is>
      </c>
      <c r="B1610" s="378" t="n"/>
      <c r="C1610" s="378" t="n"/>
      <c r="D1610" s="378" t="n"/>
      <c r="E1610" s="378" t="n"/>
      <c r="F1610" s="378" t="n"/>
      <c r="G1610" s="378" t="n"/>
      <c r="H1610" s="378" t="n"/>
      <c r="I1610" s="378" t="n"/>
      <c r="Q1610" s="159" t="n"/>
      <c r="R1610" s="159" t="n"/>
      <c r="S1610" s="159" t="n"/>
      <c r="T1610" s="159" t="n"/>
      <c r="U1610" s="159" t="n"/>
    </row>
    <row r="1611" customFormat="1" s="4">
      <c r="A1611" s="98" t="inlineStr">
        <is>
          <t>柜号:</t>
        </is>
      </c>
      <c r="B1611" s="99" t="inlineStr">
        <is>
          <t>AAN13-06</t>
        </is>
      </c>
      <c r="C1611" s="100" t="inlineStr">
        <is>
          <t>型号:</t>
        </is>
      </c>
      <c r="D1611" s="99" t="inlineStr">
        <is>
          <t>BlokSeT</t>
        </is>
      </c>
      <c r="E1611" s="379" t="n"/>
      <c r="F1611" s="101" t="inlineStr">
        <is>
          <t>名称:</t>
        </is>
      </c>
      <c r="G1611" s="99" t="inlineStr">
        <is>
          <t>馈线柜</t>
        </is>
      </c>
      <c r="H1611" s="379" t="n"/>
      <c r="I1611" s="408" t="inlineStr"/>
      <c r="J1611" s="194" t="inlineStr">
        <is>
          <t>箱柜尺寸:</t>
        </is>
      </c>
      <c r="K1611" s="195" t="inlineStr">
        <is>
          <t>600W*1200D*2200H</t>
        </is>
      </c>
      <c r="L1611" s="194" t="inlineStr">
        <is>
          <t>类别:</t>
        </is>
      </c>
      <c r="M1611" s="195" t="inlineStr">
        <is>
          <t>低压固定柜</t>
        </is>
      </c>
      <c r="N1611" s="409" t="inlineStr"/>
      <c r="Q1611" s="159" t="n"/>
      <c r="R1611" s="159" t="n"/>
      <c r="S1611" s="159" t="n"/>
      <c r="T1611" s="159" t="n"/>
      <c r="U1611" s="159" t="n"/>
    </row>
    <row r="1612" ht="20.1" customHeight="1" s="308">
      <c r="A1612" s="102" t="inlineStr">
        <is>
          <t>序号</t>
        </is>
      </c>
      <c r="B1612" s="103" t="inlineStr">
        <is>
          <t>元件名称</t>
        </is>
      </c>
      <c r="C1612" s="103" t="inlineStr">
        <is>
          <t>型号规格</t>
        </is>
      </c>
      <c r="D1612" s="104" t="inlineStr">
        <is>
          <t>生产厂家</t>
        </is>
      </c>
      <c r="E1612" s="105" t="inlineStr">
        <is>
          <t>单位</t>
        </is>
      </c>
      <c r="F1612" s="105" t="inlineStr">
        <is>
          <t>数量</t>
        </is>
      </c>
      <c r="G1612" s="382" t="inlineStr">
        <is>
          <t>单   价</t>
        </is>
      </c>
      <c r="H1612" s="383" t="inlineStr">
        <is>
          <t>总   价</t>
        </is>
      </c>
      <c r="I1612" s="134" t="inlineStr">
        <is>
          <t>备注</t>
        </is>
      </c>
      <c r="J1612" s="384" t="inlineStr">
        <is>
          <t>成本单价</t>
        </is>
      </c>
      <c r="K1612" s="384" t="inlineStr">
        <is>
          <t>成本总价</t>
        </is>
      </c>
      <c r="L1612" s="136" t="inlineStr">
        <is>
          <t>报出
系数</t>
        </is>
      </c>
      <c r="M1612" s="384" t="inlineStr">
        <is>
          <t>表价</t>
        </is>
      </c>
      <c r="N1612" s="136" t="inlineStr">
        <is>
          <t>折扣
系数</t>
        </is>
      </c>
      <c r="O1612" s="137" t="inlineStr">
        <is>
          <t>取费
系数</t>
        </is>
      </c>
      <c r="P1612" s="384" t="inlineStr">
        <is>
          <t>成套费</t>
        </is>
      </c>
      <c r="Q1612" s="161" t="inlineStr">
        <is>
          <t>类别</t>
        </is>
      </c>
      <c r="R1612" s="161" t="inlineStr">
        <is>
          <t>物料编码</t>
        </is>
      </c>
      <c r="S1612" s="161" t="inlineStr">
        <is>
          <t>产地</t>
        </is>
      </c>
      <c r="T1612" s="161" t="inlineStr">
        <is>
          <t>加工费</t>
        </is>
      </c>
      <c r="U1612" s="161" t="inlineStr">
        <is>
          <t>订货号</t>
        </is>
      </c>
      <c r="V1612" s="161" t="inlineStr">
        <is>
          <t>人工</t>
        </is>
      </c>
      <c r="W1612" s="161" t="inlineStr">
        <is>
          <t>辅料</t>
        </is>
      </c>
      <c r="X1612" s="203" t="inlineStr"/>
    </row>
    <row r="1613" s="308">
      <c r="A1613" s="64">
        <f>ROW()-ROW(A$1612)</f>
        <v/>
      </c>
      <c r="B1613" s="22" t="inlineStr">
        <is>
          <t>塑壳断路器</t>
        </is>
      </c>
      <c r="C1613" s="22" t="inlineStr">
        <is>
          <t>NSX160H TM160D 3P3D P</t>
        </is>
      </c>
      <c r="D1613" s="22" t="inlineStr">
        <is>
          <t>甲供/施耐德电气</t>
        </is>
      </c>
      <c r="E1613" s="23" t="inlineStr">
        <is>
          <t>只</t>
        </is>
      </c>
      <c r="F1613" s="23" t="n">
        <v>1</v>
      </c>
      <c r="G1613" s="349">
        <f>IF(AND(B1613="",C1613=""),"",ROUND(M1613*L1613*N1613,2))</f>
        <v/>
      </c>
      <c r="H1613" s="349">
        <f>IF(AND(B1613="",C1613=""),"",ROUND(F1613*G1613,2))</f>
        <v/>
      </c>
      <c r="I1613" s="45" t="inlineStr"/>
      <c r="J1613" s="397">
        <f>IF(AND(B1613="",C1613=""),"",ROUND(M1613*N1613,2))</f>
        <v/>
      </c>
      <c r="K1613" s="398">
        <f>IF(AND(B1613="",C1613=""),"",ROUND(J1613*F1613,2))</f>
        <v/>
      </c>
      <c r="L1613" s="200" t="n">
        <v>1</v>
      </c>
      <c r="M1613" s="399" t="n">
        <v>1e-07</v>
      </c>
      <c r="N1613" s="154" t="n">
        <v>1</v>
      </c>
      <c r="O1613" s="155">
        <f>IF(AND(B1613="",C1613=""),"",IF(G1613&gt;=20000,0.05,IF(G1613&gt;=10000,0.1,IF(G1613&gt;=5000,0.2,IF(G1613&gt;=1000,0.3,IF(G1613&gt;=0,0.4,{0}))))))</f>
        <v/>
      </c>
      <c r="P1613" s="400">
        <f>IF(AND(B1613="",C1613=""),"",ROUND(H1613*O1613,2))</f>
        <v/>
      </c>
      <c r="Q1613" s="401" t="inlineStr">
        <is>
          <t>元件</t>
        </is>
      </c>
      <c r="R1613" s="168" t="inlineStr"/>
      <c r="S1613" s="168" t="inlineStr"/>
      <c r="T1613" s="168" t="inlineStr">
        <is>
          <t>0</t>
        </is>
      </c>
      <c r="U1613" s="168" t="inlineStr">
        <is>
          <t>C16F32D160</t>
        </is>
      </c>
      <c r="V1613" s="402" t="n"/>
      <c r="W1613" s="402" t="n"/>
      <c r="X1613" s="170" t="inlineStr">
        <is>
          <t>NSX630N Mic2.3 630A 3P3D F→NSX630F MIC2.3 630 3P F→NSX630F MIC 2.3 630 3P F</t>
        </is>
      </c>
    </row>
    <row r="1614" s="308">
      <c r="A1614" s="64">
        <f>ROW()-ROW(A$1612)</f>
        <v/>
      </c>
      <c r="B1614" s="22" t="inlineStr">
        <is>
          <t>塑壳断路器</t>
        </is>
      </c>
      <c r="C1614" s="22" t="inlineStr">
        <is>
          <t>NSX250H TM250D 3P3D P</t>
        </is>
      </c>
      <c r="D1614" s="22" t="inlineStr">
        <is>
          <t>甲供/施耐德电气</t>
        </is>
      </c>
      <c r="E1614" s="23" t="inlineStr">
        <is>
          <t>只</t>
        </is>
      </c>
      <c r="F1614" s="23" t="n">
        <v>2</v>
      </c>
      <c r="G1614" s="349">
        <f>IF(AND(B1614="",C1614=""),"",ROUND(M1614*L1614*N1614,2))</f>
        <v/>
      </c>
      <c r="H1614" s="349">
        <f>IF(AND(B1614="",C1614=""),"",ROUND(F1614*G1614,2))</f>
        <v/>
      </c>
      <c r="I1614" s="45" t="inlineStr"/>
      <c r="J1614" s="397">
        <f>IF(AND(B1614="",C1614=""),"",ROUND(M1614*N1614,2))</f>
        <v/>
      </c>
      <c r="K1614" s="398">
        <f>IF(AND(B1614="",C1614=""),"",ROUND(J1614*F1614,2))</f>
        <v/>
      </c>
      <c r="L1614" s="200" t="n">
        <v>1</v>
      </c>
      <c r="M1614" s="399" t="n">
        <v>1e-07</v>
      </c>
      <c r="N1614" s="154" t="n">
        <v>1</v>
      </c>
      <c r="O1614" s="155">
        <f>IF(AND(B1614="",C1614=""),"",IF(G1614&gt;=20000,0.05,IF(G1614&gt;=10000,0.1,IF(G1614&gt;=5000,0.2,IF(G1614&gt;=1000,0.3,IF(G1614&gt;=0,0.4,{0}))))))</f>
        <v/>
      </c>
      <c r="P1614" s="400">
        <f>IF(AND(B1614="",C1614=""),"",ROUND(H1614*O1614,2))</f>
        <v/>
      </c>
      <c r="Q1614" s="401" t="inlineStr">
        <is>
          <t>元件</t>
        </is>
      </c>
      <c r="R1614" s="168" t="inlineStr"/>
      <c r="S1614" s="168" t="inlineStr"/>
      <c r="T1614" s="168" t="inlineStr">
        <is>
          <t>0</t>
        </is>
      </c>
      <c r="U1614" s="168" t="inlineStr">
        <is>
          <t>C16F32D160</t>
        </is>
      </c>
      <c r="V1614" s="402" t="n"/>
      <c r="W1614" s="402" t="n"/>
      <c r="X1614" s="170" t="inlineStr">
        <is>
          <t>NSX630N Mic2.3 630A 3P3D F→NSX630F MIC2.3 630 3P F→NSX630F MIC 2.3 630 3P F</t>
        </is>
      </c>
    </row>
    <row r="1615" s="308">
      <c r="A1615" s="64">
        <f>ROW()-ROW(A$1612)</f>
        <v/>
      </c>
      <c r="B1615" s="22" t="inlineStr">
        <is>
          <t>塑壳断路器</t>
        </is>
      </c>
      <c r="C1615" s="22" t="inlineStr">
        <is>
          <t>NSX400H Mic2.3 400A 3P3D P</t>
        </is>
      </c>
      <c r="D1615" s="22" t="inlineStr">
        <is>
          <t>甲供/施耐德电气</t>
        </is>
      </c>
      <c r="E1615" s="23" t="inlineStr">
        <is>
          <t>只</t>
        </is>
      </c>
      <c r="F1615" s="23" t="n">
        <v>3</v>
      </c>
      <c r="G1615" s="349">
        <f>IF(AND(B1615="",C1615=""),"",ROUND(M1615*L1615*N1615,2))</f>
        <v/>
      </c>
      <c r="H1615" s="349">
        <f>IF(AND(B1615="",C1615=""),"",ROUND(F1615*G1615,2))</f>
        <v/>
      </c>
      <c r="I1615" s="45" t="inlineStr"/>
      <c r="J1615" s="397">
        <f>IF(AND(B1615="",C1615=""),"",ROUND(M1615*N1615,2))</f>
        <v/>
      </c>
      <c r="K1615" s="398">
        <f>IF(AND(B1615="",C1615=""),"",ROUND(J1615*F1615,2))</f>
        <v/>
      </c>
      <c r="L1615" s="200" t="n">
        <v>1</v>
      </c>
      <c r="M1615" s="399" t="n">
        <v>1e-07</v>
      </c>
      <c r="N1615" s="154" t="n">
        <v>1</v>
      </c>
      <c r="O1615" s="155">
        <f>IF(AND(B1615="",C1615=""),"",IF(G1615&gt;=20000,0.05,IF(G1615&gt;=10000,0.1,IF(G1615&gt;=5000,0.2,IF(G1615&gt;=1000,0.3,IF(G1615&gt;=0,0.4,{0}))))))</f>
        <v/>
      </c>
      <c r="P1615" s="400">
        <f>IF(AND(B1615="",C1615=""),"",ROUND(H1615*O1615,2))</f>
        <v/>
      </c>
      <c r="Q1615" s="401" t="inlineStr">
        <is>
          <t>元件</t>
        </is>
      </c>
      <c r="R1615" s="168" t="inlineStr"/>
      <c r="S1615" s="168" t="inlineStr"/>
      <c r="T1615" s="168" t="inlineStr">
        <is>
          <t>0</t>
        </is>
      </c>
      <c r="U1615" s="168" t="inlineStr"/>
      <c r="V1615" s="402" t="n"/>
      <c r="W1615" s="402" t="n"/>
      <c r="X1615" s="170" t="inlineStr"/>
    </row>
    <row r="1616" s="308">
      <c r="A1616" s="64">
        <f>ROW()-ROW(A$1612)</f>
        <v/>
      </c>
      <c r="B1616" s="22" t="inlineStr">
        <is>
          <t>塑壳断路器</t>
        </is>
      </c>
      <c r="C1616" s="22" t="inlineStr">
        <is>
          <t>NSX400H Mic2.3 400A 4P4D P</t>
        </is>
      </c>
      <c r="D1616" s="22" t="inlineStr">
        <is>
          <t>甲供/施耐德电气</t>
        </is>
      </c>
      <c r="E1616" s="23" t="inlineStr">
        <is>
          <t>只</t>
        </is>
      </c>
      <c r="F1616" s="23" t="n">
        <v>1</v>
      </c>
      <c r="G1616" s="349">
        <f>IF(AND(B1616="",C1616=""),"",ROUND(M1616*L1616*N1616,2))</f>
        <v/>
      </c>
      <c r="H1616" s="349">
        <f>IF(AND(B1616="",C1616=""),"",ROUND(F1616*G1616,2))</f>
        <v/>
      </c>
      <c r="I1616" s="45" t="inlineStr"/>
      <c r="J1616" s="397">
        <f>IF(AND(B1616="",C1616=""),"",ROUND(M1616*N1616,2))</f>
        <v/>
      </c>
      <c r="K1616" s="398">
        <f>IF(AND(B1616="",C1616=""),"",ROUND(J1616*F1616,2))</f>
        <v/>
      </c>
      <c r="L1616" s="200" t="n">
        <v>1</v>
      </c>
      <c r="M1616" s="399" t="n">
        <v>1e-07</v>
      </c>
      <c r="N1616" s="154" t="n">
        <v>1</v>
      </c>
      <c r="O1616" s="155">
        <f>IF(AND(B1616="",C1616=""),"",IF(G1616&gt;=20000,0.05,IF(G1616&gt;=10000,0.1,IF(G1616&gt;=5000,0.2,IF(G1616&gt;=1000,0.3,IF(G1616&gt;=0,0.4,{0}))))))</f>
        <v/>
      </c>
      <c r="P1616" s="400">
        <f>IF(AND(B1616="",C1616=""),"",ROUND(H1616*O1616,2))</f>
        <v/>
      </c>
      <c r="Q1616" s="401" t="inlineStr">
        <is>
          <t>元件</t>
        </is>
      </c>
      <c r="R1616" s="168" t="inlineStr"/>
      <c r="S1616" s="168" t="inlineStr"/>
      <c r="T1616" s="168" t="inlineStr">
        <is>
          <t>0</t>
        </is>
      </c>
      <c r="U1616" s="168" t="inlineStr"/>
      <c r="V1616" s="402" t="n"/>
      <c r="W1616" s="402" t="n"/>
      <c r="X1616" s="170" t="inlineStr"/>
    </row>
    <row r="1617" s="308">
      <c r="A1617" s="64">
        <f>ROW()-ROW(A$1612)</f>
        <v/>
      </c>
      <c r="B1617" s="22" t="inlineStr">
        <is>
          <t>电流互感器</t>
        </is>
      </c>
      <c r="C1617" s="22" t="inlineStr">
        <is>
          <t>SD-0.66-30I 150/5A</t>
        </is>
      </c>
      <c r="D1617" s="22" t="inlineStr">
        <is>
          <t>桑迪</t>
        </is>
      </c>
      <c r="E1617" s="23" t="inlineStr">
        <is>
          <t>只</t>
        </is>
      </c>
      <c r="F1617" s="23" t="n">
        <v>3</v>
      </c>
      <c r="G1617" s="349">
        <f>IF(AND(B1617="",C1617=""),"",ROUND(M1617*L1617*N1617,2))</f>
        <v/>
      </c>
      <c r="H1617" s="396">
        <f>IF(AND(B1617="",C1617=""),"",ROUND(F1617*G1617,2))</f>
        <v/>
      </c>
      <c r="I1617" s="219" t="inlineStr"/>
      <c r="J1617" s="397">
        <f>IF(AND(B1617="",C1617=""),"",ROUND(M1617*N1617,2))</f>
        <v/>
      </c>
      <c r="K1617" s="398">
        <f>IF(AND(B1617="",C1617=""),"",ROUND(J1617*F1617,2))</f>
        <v/>
      </c>
      <c r="L1617" s="200" t="n">
        <v>1</v>
      </c>
      <c r="M1617" s="399" t="n">
        <v>29.95</v>
      </c>
      <c r="N1617" s="154" t="n">
        <v>1</v>
      </c>
      <c r="O1617" s="155">
        <f>IF(AND(B1617="",C1617=""),"",IF(G1617&gt;=20000,0.05,IF(G1617&gt;=10000,0.1,IF(G1617&gt;=5000,0.2,IF(G1617&gt;=1000,0.3,IF(G1617&gt;=0,0.4,{0}))))))</f>
        <v/>
      </c>
      <c r="P1617" s="400">
        <f>IF(AND(B1617="",C1617=""),"",ROUND(H1617*O1617,2))</f>
        <v/>
      </c>
      <c r="Q1617" s="401" t="inlineStr">
        <is>
          <t>元件</t>
        </is>
      </c>
      <c r="R1617" s="168" t="inlineStr"/>
      <c r="S1617" s="168" t="inlineStr"/>
      <c r="T1617" s="168" t="inlineStr">
        <is>
          <t>0</t>
        </is>
      </c>
      <c r="U1617" s="168" t="inlineStr">
        <is>
          <t>710140200000049</t>
        </is>
      </c>
      <c r="V1617" s="402" t="n"/>
      <c r="W1617" s="402" t="n"/>
      <c r="X1617" s="170" t="inlineStr">
        <is>
          <t>SD→SD-0.66-40II-C 400/5A→SD-0.66-30I 250/5A→SD-0.66-30I 150/5A→SD-0.66-60II-C 750/5A→SD-0.66-60II-C 600/5A→SD-0.66-30I 150/5A→SD-0.66-40II-C 400/5A→SD-0.66-100II-C 1600/5A→SD-0.66-80II-V 1000/5A</t>
        </is>
      </c>
    </row>
    <row r="1618" s="308">
      <c r="A1618" s="64">
        <f>ROW()-ROW(A$1612)</f>
        <v/>
      </c>
      <c r="B1618" s="22" t="inlineStr">
        <is>
          <t>电流互感器</t>
        </is>
      </c>
      <c r="C1618" s="22" t="inlineStr">
        <is>
          <t>SD-0.66-30I 250/5A</t>
        </is>
      </c>
      <c r="D1618" s="22" t="inlineStr">
        <is>
          <t>桑迪</t>
        </is>
      </c>
      <c r="E1618" s="23" t="inlineStr">
        <is>
          <t>只</t>
        </is>
      </c>
      <c r="F1618" s="23" t="n">
        <v>6</v>
      </c>
      <c r="G1618" s="349">
        <f>IF(AND(B1618="",C1618=""),"",ROUND(M1618*L1618*N1618,2))</f>
        <v/>
      </c>
      <c r="H1618" s="396">
        <f>IF(AND(B1618="",C1618=""),"",ROUND(F1618*G1618,2))</f>
        <v/>
      </c>
      <c r="I1618" s="219" t="inlineStr"/>
      <c r="J1618" s="397">
        <f>IF(AND(B1618="",C1618=""),"",ROUND(M1618*N1618,2))</f>
        <v/>
      </c>
      <c r="K1618" s="398">
        <f>IF(AND(B1618="",C1618=""),"",ROUND(J1618*F1618,2))</f>
        <v/>
      </c>
      <c r="L1618" s="200" t="n">
        <v>1</v>
      </c>
      <c r="M1618" s="399" t="n">
        <v>26.65</v>
      </c>
      <c r="N1618" s="154" t="n">
        <v>1</v>
      </c>
      <c r="O1618" s="155">
        <f>IF(AND(B1618="",C1618=""),"",IF(G1618&gt;=20000,0.05,IF(G1618&gt;=10000,0.1,IF(G1618&gt;=5000,0.2,IF(G1618&gt;=1000,0.3,IF(G1618&gt;=0,0.4,{0}))))))</f>
        <v/>
      </c>
      <c r="P1618" s="400">
        <f>IF(AND(B1618="",C1618=""),"",ROUND(H1618*O1618,2))</f>
        <v/>
      </c>
      <c r="Q1618" s="401" t="inlineStr">
        <is>
          <t>元件</t>
        </is>
      </c>
      <c r="R1618" s="168" t="inlineStr"/>
      <c r="S1618" s="168" t="inlineStr"/>
      <c r="T1618" s="168" t="inlineStr">
        <is>
          <t>0</t>
        </is>
      </c>
      <c r="U1618" s="168" t="inlineStr">
        <is>
          <t>710140200000049</t>
        </is>
      </c>
      <c r="V1618" s="402" t="n"/>
      <c r="W1618" s="402" t="n"/>
      <c r="X1618" s="170" t="inlineStr">
        <is>
          <t>SD→SD-0.66-40II-C 400/5A→SD-0.66-30I 250/5A→SD-0.66-30I 150/5A→SD-0.66-60II-C 750/5A→SD-0.66-60II-C 600/5A→SD-0.66-30I 150/5A→SD-0.66-40II-C 400/5A→SD-0.66-100II-C 1600/5A→SD-0.66-80II-V 1000/5A</t>
        </is>
      </c>
    </row>
    <row r="1619" s="308">
      <c r="A1619" s="64">
        <f>ROW()-ROW(A$1612)</f>
        <v/>
      </c>
      <c r="B1619" s="22" t="inlineStr">
        <is>
          <t>电流互感器</t>
        </is>
      </c>
      <c r="C1619" s="22" t="inlineStr">
        <is>
          <t>SD-0.66-40II-C 400/5A</t>
        </is>
      </c>
      <c r="D1619" s="22" t="inlineStr">
        <is>
          <t>桑迪</t>
        </is>
      </c>
      <c r="E1619" s="23" t="inlineStr">
        <is>
          <t>只</t>
        </is>
      </c>
      <c r="F1619" s="23" t="n">
        <v>9</v>
      </c>
      <c r="G1619" s="349">
        <f>IF(AND(B1619="",C1619=""),"",ROUND(M1619*L1619*N1619,2))</f>
        <v/>
      </c>
      <c r="H1619" s="396">
        <f>IF(AND(B1619="",C1619=""),"",ROUND(F1619*G1619,2))</f>
        <v/>
      </c>
      <c r="I1619" s="219" t="inlineStr"/>
      <c r="J1619" s="397">
        <f>IF(AND(B1619="",C1619=""),"",ROUND(M1619*N1619,2))</f>
        <v/>
      </c>
      <c r="K1619" s="398">
        <f>IF(AND(B1619="",C1619=""),"",ROUND(J1619*F1619,2))</f>
        <v/>
      </c>
      <c r="L1619" s="200" t="n">
        <v>1</v>
      </c>
      <c r="M1619" s="399" t="n">
        <v>52</v>
      </c>
      <c r="N1619" s="154" t="n">
        <v>1</v>
      </c>
      <c r="O1619" s="155">
        <f>IF(AND(B1619="",C1619=""),"",IF(G1619&gt;=20000,0.05,IF(G1619&gt;=10000,0.1,IF(G1619&gt;=5000,0.2,IF(G1619&gt;=1000,0.3,IF(G1619&gt;=0,0.4,{0}))))))</f>
        <v/>
      </c>
      <c r="P1619" s="400">
        <f>IF(AND(B1619="",C1619=""),"",ROUND(H1619*O1619,2))</f>
        <v/>
      </c>
      <c r="Q1619" s="401" t="inlineStr">
        <is>
          <t>元件</t>
        </is>
      </c>
      <c r="R1619" s="168" t="inlineStr"/>
      <c r="S1619" s="168" t="inlineStr"/>
      <c r="T1619" s="168" t="inlineStr">
        <is>
          <t>0</t>
        </is>
      </c>
      <c r="U1619" s="168" t="inlineStr">
        <is>
          <t>710140200000049</t>
        </is>
      </c>
      <c r="V1619" s="402" t="n"/>
      <c r="W1619" s="402" t="n"/>
      <c r="X1619" s="170" t="inlineStr">
        <is>
          <t>SD→SD-0.66-40II-C 400/5A→SD-0.66-30I 250/5A→SD-0.66-30I 150/5A→SD-0.66-60II-C 750/5A→SD-0.66-60II-C 600/5A→SD-0.66-30I 150/5A→SD-0.66-40II-C 400/5A→SD-0.66-100II-C 1600/5A→SD-0.66-80II-V 1000/5A</t>
        </is>
      </c>
    </row>
    <row r="1620" s="308">
      <c r="A1620" s="64">
        <f>ROW()-ROW(A$1612)</f>
        <v/>
      </c>
      <c r="B1620" s="22" t="inlineStr">
        <is>
          <t>电流互感器</t>
        </is>
      </c>
      <c r="C1620" s="22" t="inlineStr">
        <is>
          <t>SD-0.66-60II-C 600/5A</t>
        </is>
      </c>
      <c r="D1620" s="22" t="inlineStr">
        <is>
          <t>桑迪</t>
        </is>
      </c>
      <c r="E1620" s="23" t="inlineStr">
        <is>
          <t>只</t>
        </is>
      </c>
      <c r="F1620" s="23" t="n">
        <v>3</v>
      </c>
      <c r="G1620" s="349">
        <f>IF(AND(B1620="",C1620=""),"",ROUND(M1620*L1620*N1620,2))</f>
        <v/>
      </c>
      <c r="H1620" s="396">
        <f>IF(AND(B1620="",C1620=""),"",ROUND(F1620*G1620,2))</f>
        <v/>
      </c>
      <c r="I1620" s="219" t="inlineStr"/>
      <c r="J1620" s="397">
        <f>IF(AND(B1620="",C1620=""),"",ROUND(M1620*N1620,2))</f>
        <v/>
      </c>
      <c r="K1620" s="398">
        <f>IF(AND(B1620="",C1620=""),"",ROUND(J1620*F1620,2))</f>
        <v/>
      </c>
      <c r="L1620" s="200" t="n">
        <v>1</v>
      </c>
      <c r="M1620" s="399" t="n">
        <v>63.7</v>
      </c>
      <c r="N1620" s="154" t="n">
        <v>1</v>
      </c>
      <c r="O1620" s="155">
        <f>IF(AND(B1620="",C1620=""),"",IF(G1620&gt;=20000,0.05,IF(G1620&gt;=10000,0.1,IF(G1620&gt;=5000,0.2,IF(G1620&gt;=1000,0.3,IF(G1620&gt;=0,0.4,{0}))))))</f>
        <v/>
      </c>
      <c r="P1620" s="400">
        <f>IF(AND(B1620="",C1620=""),"",ROUND(H1620*O1620,2))</f>
        <v/>
      </c>
      <c r="Q1620" s="401" t="inlineStr">
        <is>
          <t>元件</t>
        </is>
      </c>
      <c r="R1620" s="168" t="inlineStr"/>
      <c r="S1620" s="168" t="inlineStr"/>
      <c r="T1620" s="168" t="inlineStr">
        <is>
          <t>0</t>
        </is>
      </c>
      <c r="U1620" s="168" t="inlineStr"/>
      <c r="V1620" s="402" t="n"/>
      <c r="W1620" s="402" t="n"/>
      <c r="X1620" s="170" t="inlineStr">
        <is>
          <t>SD→SD-0.66-40II-C 400/5A→SD-0.66-30I 250/5A→SD-0.66-30I 150/5A→SD-0.66-60II-C 750/5A→SD-0.66-60II-C 600/5A→SD-0.66-30I 150/5A→SD-0.66-40II-C 400/5A→SD-0.66-100II-C 1600/5A→SD-0.66-80II-V 1000/5A→SD-0.66-40II-C 400/5A</t>
        </is>
      </c>
    </row>
    <row r="1621" s="308">
      <c r="A1621" s="64">
        <f>ROW()-ROW(A$1612)</f>
        <v/>
      </c>
      <c r="B1621" s="112" t="inlineStr">
        <is>
          <t>多功能表</t>
        </is>
      </c>
      <c r="C1621" s="112" t="inlineStr">
        <is>
          <t>PM4101</t>
        </is>
      </c>
      <c r="D1621" s="112" t="inlineStr">
        <is>
          <t>甲供/施耐德电气</t>
        </is>
      </c>
      <c r="E1621" s="114" t="inlineStr">
        <is>
          <t>只</t>
        </is>
      </c>
      <c r="F1621" s="114" t="n">
        <v>7</v>
      </c>
      <c r="G1621" s="396">
        <f>IF(AND(B1621="",C1621=""),"",ROUND(M1621*L1621*N1621,2))</f>
        <v/>
      </c>
      <c r="H1621" s="349">
        <f>IF(AND(B1621="",C1621=""),"",ROUND(F1621*G1621,2))</f>
        <v/>
      </c>
      <c r="I1621" s="45" t="inlineStr"/>
      <c r="J1621" s="397">
        <f>IF(AND(B1621="",C1621=""),"",ROUND(M1621*N1621,2))</f>
        <v/>
      </c>
      <c r="K1621" s="398">
        <f>IF(AND(B1621="",C1621=""),"",ROUND(J1621*F1621,2))</f>
        <v/>
      </c>
      <c r="L1621" s="200" t="n">
        <v>1</v>
      </c>
      <c r="M1621" s="399" t="n">
        <v>1e-07</v>
      </c>
      <c r="N1621" s="154" t="n">
        <v>1</v>
      </c>
      <c r="O1621" s="155">
        <f>IF(AND(B1621="",C1621=""),"",IF(J1621&gt;=20000,0.05,IF(J1621&gt;=10000,0.1,IF(J1621&gt;=5000,0.2,IF(J1621&gt;=1000,0.3,IF(J1621&gt;=0,0.4,{0}))))))</f>
        <v/>
      </c>
      <c r="P1621" s="400">
        <f>IF(AND(B1621="",C1621=""),"",ROUND(H1621*O1621,2))</f>
        <v/>
      </c>
      <c r="Q1621" s="401" t="inlineStr">
        <is>
          <t>元件</t>
        </is>
      </c>
      <c r="R1621" s="168" t="inlineStr"/>
      <c r="S1621" s="168" t="inlineStr"/>
      <c r="T1621" s="168" t="inlineStr">
        <is>
          <t>0</t>
        </is>
      </c>
      <c r="U1621" s="168" t="inlineStr"/>
      <c r="V1621" s="402" t="n"/>
      <c r="W1621" s="402" t="n"/>
      <c r="X1621" s="170" t="inlineStr"/>
    </row>
    <row r="1622" customFormat="1" s="3">
      <c r="A1622" s="64">
        <f>ROW()-ROW(A$1612)</f>
        <v/>
      </c>
      <c r="B1622" s="22" t="inlineStr">
        <is>
          <t>指示灯</t>
        </is>
      </c>
      <c r="C1622" s="22" t="inlineStr">
        <is>
          <t>XB2BVM3LC</t>
        </is>
      </c>
      <c r="D1622" s="22" t="inlineStr">
        <is>
          <t>甲供/施耐德电气</t>
        </is>
      </c>
      <c r="E1622" s="23" t="inlineStr">
        <is>
          <t>只</t>
        </is>
      </c>
      <c r="F1622" s="23" t="n">
        <v>7</v>
      </c>
      <c r="G1622" s="349">
        <f>IF(AND(B1622="",C1622=""),"",ROUND(M1622*L1622*N1622,2))</f>
        <v/>
      </c>
      <c r="H1622" s="353">
        <f>IF(AND(B1622="",C1622=""),"",ROUND(F1622*G1622,2))</f>
        <v/>
      </c>
      <c r="I1622" s="180" t="inlineStr"/>
      <c r="J1622" s="392">
        <f>IF(AND(B1622="",C1622=""),"",ROUND(M1622*N1622,2))</f>
        <v/>
      </c>
      <c r="K1622" s="393">
        <f>IF(AND(B1622="",C1622=""),"",ROUND(J1622*F1622,2))</f>
        <v/>
      </c>
      <c r="L1622" s="141" t="n">
        <v>1</v>
      </c>
      <c r="M1622" s="394" t="n">
        <v>1e-07</v>
      </c>
      <c r="N1622" s="220" t="n">
        <v>1</v>
      </c>
      <c r="O1622" s="221">
        <f>IF(AND(B1622="",C1622=""),"",IF(G1622&gt;=20000,0.05,IF(G1622&gt;=10000,0.1,IF(G1622&gt;=5000,0.2,IF(G1622&gt;=1000,0.3,IF(G1622&gt;=0,0.4,{0}))))))</f>
        <v/>
      </c>
      <c r="P1622" s="419">
        <f>IF(AND(B1622="",C1622=""),"",ROUND(H1622*O1622,2))</f>
        <v/>
      </c>
      <c r="Q1622" s="420" t="inlineStr">
        <is>
          <t>元件</t>
        </is>
      </c>
      <c r="R1622" s="231" t="inlineStr"/>
      <c r="S1622" s="231" t="inlineStr"/>
      <c r="T1622" s="231" t="inlineStr">
        <is>
          <t>0</t>
        </is>
      </c>
      <c r="U1622" s="231" t="inlineStr">
        <is>
          <t>XB2BVM3LC</t>
        </is>
      </c>
      <c r="V1622" s="421" t="n"/>
      <c r="W1622" s="421" t="n"/>
      <c r="X1622" s="166" t="inlineStr">
        <is>
          <t>XA2EVM3LC</t>
        </is>
      </c>
    </row>
    <row r="1623" customFormat="1" s="3">
      <c r="A1623" s="64">
        <f>ROW()-ROW(A$1612)</f>
        <v/>
      </c>
      <c r="B1623" s="22" t="inlineStr">
        <is>
          <t>指示灯</t>
        </is>
      </c>
      <c r="C1623" s="22" t="inlineStr">
        <is>
          <t>XB2BVM4LC</t>
        </is>
      </c>
      <c r="D1623" s="22" t="inlineStr">
        <is>
          <t>甲供/施耐德电气</t>
        </is>
      </c>
      <c r="E1623" s="23" t="inlineStr">
        <is>
          <t>只</t>
        </is>
      </c>
      <c r="F1623" s="23" t="n">
        <v>7</v>
      </c>
      <c r="G1623" s="349">
        <f>IF(AND(B1623="",C1623=""),"",ROUND(M1623*L1623*N1623,2))</f>
        <v/>
      </c>
      <c r="H1623" s="353">
        <f>IF(AND(B1623="",C1623=""),"",ROUND(F1623*G1623,2))</f>
        <v/>
      </c>
      <c r="I1623" s="180" t="inlineStr"/>
      <c r="J1623" s="392">
        <f>IF(AND(B1623="",C1623=""),"",ROUND(M1623*N1623,2))</f>
        <v/>
      </c>
      <c r="K1623" s="393">
        <f>IF(AND(B1623="",C1623=""),"",ROUND(J1623*F1623,2))</f>
        <v/>
      </c>
      <c r="L1623" s="141" t="n">
        <v>1</v>
      </c>
      <c r="M1623" s="394" t="n">
        <v>1e-07</v>
      </c>
      <c r="N1623" s="220" t="n">
        <v>1</v>
      </c>
      <c r="O1623" s="221">
        <f>IF(AND(B1623="",C1623=""),"",IF(G1623&gt;=20000,0.05,IF(G1623&gt;=10000,0.1,IF(G1623&gt;=5000,0.2,IF(G1623&gt;=1000,0.3,IF(G1623&gt;=0,0.4,{0}))))))</f>
        <v/>
      </c>
      <c r="P1623" s="419">
        <f>IF(AND(B1623="",C1623=""),"",ROUND(H1623*O1623,2))</f>
        <v/>
      </c>
      <c r="Q1623" s="420" t="inlineStr">
        <is>
          <t>元件</t>
        </is>
      </c>
      <c r="R1623" s="231" t="inlineStr"/>
      <c r="S1623" s="231" t="inlineStr"/>
      <c r="T1623" s="231" t="inlineStr">
        <is>
          <t>0</t>
        </is>
      </c>
      <c r="U1623" s="231" t="inlineStr">
        <is>
          <t>XB2BVM4LC</t>
        </is>
      </c>
      <c r="V1623" s="421" t="n"/>
      <c r="W1623" s="421" t="n"/>
      <c r="X1623" s="166" t="inlineStr">
        <is>
          <t>XA2EVM4LC</t>
        </is>
      </c>
    </row>
    <row r="1624" s="308">
      <c r="A1624" s="64">
        <f>ROW()-ROW(A$1612)</f>
        <v/>
      </c>
      <c r="B1624" s="112" t="inlineStr">
        <is>
          <t>温湿度控制器</t>
        </is>
      </c>
      <c r="C1624" s="112" t="inlineStr">
        <is>
          <t>ATH48G-11</t>
        </is>
      </c>
      <c r="D1624" s="22" t="inlineStr">
        <is>
          <t>杭州安廷</t>
        </is>
      </c>
      <c r="E1624" s="23" t="inlineStr">
        <is>
          <t>套</t>
        </is>
      </c>
      <c r="F1624" s="23" t="n">
        <v>1</v>
      </c>
      <c r="G1624" s="349">
        <f>IF(AND(B1624="",C1624=""),"",ROUND(M1624*L1624*N1624,2))</f>
        <v/>
      </c>
      <c r="H1624" s="396">
        <f>IF(AND(B1624="",C1624=""),"",ROUND(F1624*G1624,2))</f>
        <v/>
      </c>
      <c r="I1624" s="150" t="inlineStr"/>
      <c r="J1624" s="397">
        <f>IF(AND(B1624="",C1624=""),"",ROUND(M1624*N1624,2))</f>
        <v/>
      </c>
      <c r="K1624" s="398">
        <f>IF(AND(B1624="",C1624=""),"",ROUND(J1624*F1624,2))</f>
        <v/>
      </c>
      <c r="L1624" s="141" t="n">
        <v>1</v>
      </c>
      <c r="M1624" s="399" t="n">
        <v>450</v>
      </c>
      <c r="N1624" s="154" t="n">
        <v>1</v>
      </c>
      <c r="O1624" s="155">
        <f>IF(AND(B1624="",C1624=""),"",IF(G1624&gt;=20000,0.05,IF(G1624&gt;=10000,0.1,IF(G1624&gt;=5000,0.2,IF(G1624&gt;=1000,0.3,IF(G1624&gt;=0,0.4,{0}))))))</f>
        <v/>
      </c>
      <c r="P1624" s="400">
        <f>IF(AND(B1624="",C1624=""),"",ROUND(H1624*O1624,2))</f>
        <v/>
      </c>
      <c r="Q1624" s="401" t="inlineStr">
        <is>
          <t>元件</t>
        </is>
      </c>
      <c r="R1624" s="168" t="inlineStr"/>
      <c r="S1624" s="168" t="inlineStr"/>
      <c r="T1624" s="168" t="inlineStr">
        <is>
          <t>0</t>
        </is>
      </c>
      <c r="U1624" s="168" t="inlineStr"/>
      <c r="V1624" s="402" t="n"/>
      <c r="W1624" s="402" t="n"/>
      <c r="X1624" s="170" t="inlineStr"/>
    </row>
    <row r="1625" s="308">
      <c r="A1625" s="64">
        <f>ROW()-ROW(A$1612)</f>
        <v/>
      </c>
      <c r="B1625" s="22" t="inlineStr">
        <is>
          <t>中间继电器</t>
        </is>
      </c>
      <c r="C1625" s="22" t="inlineStr">
        <is>
          <t>RXM4AB2P7+RXZE2S114M+RXZ400</t>
        </is>
      </c>
      <c r="D1625" s="22" t="inlineStr">
        <is>
          <t>甲供/施耐德电气</t>
        </is>
      </c>
      <c r="E1625" s="23" t="inlineStr">
        <is>
          <t>只</t>
        </is>
      </c>
      <c r="F1625" s="23" t="n">
        <v>14</v>
      </c>
      <c r="G1625" s="349">
        <f>IF(AND(B1625="",C1625=""),"",ROUND(M1625*L1625*N1625,2))</f>
        <v/>
      </c>
      <c r="H1625" s="349">
        <f>IF(AND(B1625="",C1625=""),"",ROUND(F1625*G1625,2))</f>
        <v/>
      </c>
      <c r="I1625" s="45" t="inlineStr"/>
      <c r="J1625" s="397">
        <f>IF(AND(B1625="",C1625=""),"",ROUND(M1625*N1625,2))</f>
        <v/>
      </c>
      <c r="K1625" s="398">
        <f>IF(AND(B1625="",C1625=""),"",ROUND(J1625*F1625,2))</f>
        <v/>
      </c>
      <c r="L1625" s="141" t="n">
        <v>1</v>
      </c>
      <c r="M1625" s="399" t="n">
        <v>1e-07</v>
      </c>
      <c r="N1625" s="154" t="n">
        <v>1</v>
      </c>
      <c r="O1625" s="155">
        <f>IF(AND(B1625="",C1625=""),"",IF(G1625&gt;=20000,0.05,IF(G1625&gt;=10000,0.1,IF(G1625&gt;=5000,0.2,IF(G1625&gt;=1000,0.3,IF(G1625&gt;=0,0.4,{0}))))))</f>
        <v/>
      </c>
      <c r="P1625" s="400">
        <f>IF(AND(B1625="",C1625=""),"",ROUND(H1625*O1625,2))</f>
        <v/>
      </c>
      <c r="Q1625" s="401" t="inlineStr">
        <is>
          <t>元件</t>
        </is>
      </c>
      <c r="R1625" s="168" t="inlineStr"/>
      <c r="S1625" s="168" t="inlineStr"/>
      <c r="T1625" s="168" t="inlineStr">
        <is>
          <t>0</t>
        </is>
      </c>
      <c r="U1625" s="168" t="inlineStr">
        <is>
          <t>RXM4AB2P7+RXZE2S114M+RXZ400</t>
        </is>
      </c>
      <c r="V1625" s="402" t="n"/>
      <c r="W1625" s="402" t="n"/>
      <c r="X1625" s="170" t="inlineStr">
        <is>
          <t>REL-IR-BL/L-230AC/4X21，含底座→RXM4AB2P7+RXZE2S114M+RXZ400→REL-IR-BL/L-230AC/4X21，含底座</t>
        </is>
      </c>
    </row>
    <row r="1626" customFormat="1" s="3">
      <c r="A1626" s="64">
        <f>ROW()-ROW(A$1612)</f>
        <v/>
      </c>
      <c r="B1626" s="22" t="inlineStr">
        <is>
          <t>带熔丝端子</t>
        </is>
      </c>
      <c r="C1626" s="22" t="inlineStr">
        <is>
          <t>UK 5-HESI</t>
        </is>
      </c>
      <c r="D1626" s="22" t="inlineStr">
        <is>
          <t>菲尼克斯</t>
        </is>
      </c>
      <c r="E1626" s="23" t="inlineStr">
        <is>
          <t>只</t>
        </is>
      </c>
      <c r="F1626" s="23" t="n">
        <v>28</v>
      </c>
      <c r="G1626" s="349">
        <f>IF(AND(B1626="",C1626=""),"",ROUND(M1626*L1626*N1626,2))</f>
        <v/>
      </c>
      <c r="H1626" s="349">
        <f>IF(AND(B1626="",C1626=""),"",ROUND(F1626*G1626,2))</f>
        <v/>
      </c>
      <c r="I1626" s="45" t="inlineStr"/>
      <c r="J1626" s="392">
        <f>IF(AND(B1626="",C1626=""),"",ROUND(M1626*N1626,2))</f>
        <v/>
      </c>
      <c r="K1626" s="393">
        <f>IF(AND(B1626="",C1626=""),"",ROUND(J1626*F1626,2))</f>
        <v/>
      </c>
      <c r="L1626" s="141" t="n">
        <v>1</v>
      </c>
      <c r="M1626" s="394" t="n">
        <v>7</v>
      </c>
      <c r="N1626" s="220" t="n">
        <v>1</v>
      </c>
      <c r="O1626" s="221">
        <f>IF(AND(B1626="",C1626=""),"",IF(G1626&gt;=20000,0.05,IF(G1626&gt;=10000,0.1,IF(G1626&gt;=5000,0.2,IF(G1626&gt;=1000,0.3,IF(G1626&gt;=0,0.4,{0}))))))</f>
        <v/>
      </c>
      <c r="P1626" s="419">
        <f>IF(AND(B1626="",C1626=""),"",ROUND(H1626*O1626,2))</f>
        <v/>
      </c>
      <c r="Q1626" s="420" t="inlineStr">
        <is>
          <t>元件</t>
        </is>
      </c>
      <c r="R1626" s="231" t="inlineStr"/>
      <c r="S1626" s="231" t="inlineStr"/>
      <c r="T1626" s="231" t="inlineStr">
        <is>
          <t>0</t>
        </is>
      </c>
      <c r="U1626" s="231" t="inlineStr">
        <is>
          <t>True</t>
        </is>
      </c>
      <c r="V1626" s="421" t="n"/>
      <c r="W1626" s="421" t="n"/>
      <c r="X1626" s="166" t="inlineStr"/>
    </row>
    <row r="1627" s="308">
      <c r="A1627" s="64">
        <f>ROW()-ROW(A$1612)</f>
        <v/>
      </c>
      <c r="B1627" s="22" t="inlineStr">
        <is>
          <t>水平母排</t>
        </is>
      </c>
      <c r="C1627" s="22" t="inlineStr">
        <is>
          <t>TMY 4*(2*100*5)+2*50*5</t>
        </is>
      </c>
      <c r="D1627" s="22" t="inlineStr">
        <is>
          <t>国产优质</t>
        </is>
      </c>
      <c r="E1627" s="23" t="inlineStr">
        <is>
          <t>米</t>
        </is>
      </c>
      <c r="F1627" s="23" t="n">
        <v>0.7</v>
      </c>
      <c r="G1627" s="349">
        <f>IF(AND(B1627="",C1627=""),"",ROUND(M1627*L1627*N1627,2))</f>
        <v/>
      </c>
      <c r="H1627" s="349">
        <f>IF(AND(B1627="",C1627=""),"",ROUND(F1627*G1627,2))</f>
        <v/>
      </c>
      <c r="I1627" s="45" t="inlineStr"/>
      <c r="J1627" s="397">
        <f>IF(AND(B1627="",C1627=""),"",ROUND(M1627*N1627,2))</f>
        <v/>
      </c>
      <c r="K1627" s="398">
        <f>IF(AND(B1627="",C1627=""),"",ROUND(J1627*F1627,2))</f>
        <v/>
      </c>
      <c r="L1627" s="200" t="n">
        <v>1</v>
      </c>
      <c r="M1627" s="399" t="n">
        <v>4329.60525</v>
      </c>
      <c r="N1627" s="154">
        <f>(6317.932*1*1+2684.8*1*1)/9002.732</f>
        <v/>
      </c>
      <c r="O1627" s="155">
        <f>IF(AND(B1627="",C1627=""),"",IF(J1627&gt;=20000,0.05,IF(J1627&gt;=10000,0.1,IF(J1627&gt;=5000,0.2,IF(J1627&gt;=1000,0.3,IF(J1627&gt;=0,0.4,{0}))))))</f>
        <v/>
      </c>
      <c r="P1627" s="400">
        <f>IF(AND(B1627="",C1627=""),"",ROUND(H1627*O1627,2))</f>
        <v/>
      </c>
      <c r="Q1627" s="401" t="inlineStr">
        <is>
          <t>母排</t>
        </is>
      </c>
      <c r="R1627" s="168" t="inlineStr"/>
      <c r="S1627" s="168" t="inlineStr"/>
      <c r="T1627" s="168" t="inlineStr">
        <is>
          <t>0</t>
        </is>
      </c>
      <c r="U1627" s="168" t="inlineStr"/>
      <c r="V1627" s="402" t="n"/>
      <c r="W1627" s="402" t="n"/>
      <c r="X1627" s="170" t="inlineStr"/>
    </row>
    <row r="1628" customFormat="1" s="5">
      <c r="A1628" s="64">
        <f>ROW()-ROW(A$1612)</f>
        <v/>
      </c>
      <c r="B1628" s="22" t="inlineStr">
        <is>
          <t>垂直排</t>
        </is>
      </c>
      <c r="C1628" s="22" t="inlineStr">
        <is>
          <t>TMY 4*2*80*5</t>
        </is>
      </c>
      <c r="D1628" s="22" t="inlineStr">
        <is>
          <t>国产优质</t>
        </is>
      </c>
      <c r="E1628" s="23" t="inlineStr">
        <is>
          <t>米</t>
        </is>
      </c>
      <c r="F1628" s="23" t="n">
        <v>2</v>
      </c>
      <c r="G1628" s="349">
        <f>IF(AND(B1628="",C1628=""),"",ROUND(M1628*L1628*N1628,2))</f>
        <v/>
      </c>
      <c r="H1628" s="349">
        <f>IF(AND(B1628="",C1628=""),"",ROUND(F1628*G1628,2))</f>
        <v/>
      </c>
      <c r="I1628" s="45" t="inlineStr"/>
      <c r="J1628" s="422">
        <f>IF(AND(B1628="",C1628=""),"",ROUND(M1628*N1628,2))</f>
        <v/>
      </c>
      <c r="K1628" s="423">
        <f>IF(AND(B1628="",C1628=""),"",ROUND(J1628*F1628,2))</f>
        <v/>
      </c>
      <c r="L1628" s="225" t="n">
        <v>1</v>
      </c>
      <c r="M1628" s="424" t="n">
        <v>3078.8304</v>
      </c>
      <c r="N1628" s="227" t="n">
        <v>1</v>
      </c>
      <c r="O1628" s="228">
        <f>IF(AND(B1628="",C1628=""),"",IF(G1628&gt;=20000,0.05,IF(G1628&gt;=10000,0.1,IF(G1628&gt;=5000,0.2,IF(G1628&gt;=1000,0.3,IF(G1628&gt;=0,0.4,{0}))))))</f>
        <v/>
      </c>
      <c r="P1628" s="425">
        <f>IF(AND(B1628="",C1628=""),"",ROUND(H1628*O1628,2))</f>
        <v/>
      </c>
      <c r="Q1628" s="426" t="inlineStr">
        <is>
          <t>母排</t>
        </is>
      </c>
      <c r="R1628" s="234" t="inlineStr"/>
      <c r="S1628" s="234" t="inlineStr"/>
      <c r="T1628" s="235" t="inlineStr">
        <is>
          <t>0</t>
        </is>
      </c>
      <c r="U1628" s="235" t="inlineStr"/>
      <c r="V1628" s="427" t="n"/>
      <c r="W1628" s="427" t="n"/>
      <c r="X1628" s="237" t="inlineStr">
        <is>
          <t>TMY 2*30*5→TMY 30*8</t>
        </is>
      </c>
    </row>
    <row r="1629" customFormat="1" s="5">
      <c r="A1629" s="64">
        <f>ROW()-ROW(A$1612)</f>
        <v/>
      </c>
      <c r="B1629" s="22" t="inlineStr">
        <is>
          <t>N排</t>
        </is>
      </c>
      <c r="C1629" s="22" t="inlineStr">
        <is>
          <t>TMY 80*10</t>
        </is>
      </c>
      <c r="D1629" s="22" t="inlineStr">
        <is>
          <t>国产优质</t>
        </is>
      </c>
      <c r="E1629" s="23" t="inlineStr">
        <is>
          <t>米</t>
        </is>
      </c>
      <c r="F1629" s="23" t="n">
        <v>1</v>
      </c>
      <c r="G1629" s="349">
        <f>IF(AND(B1629="",C1629=""),"",ROUND(M1629*L1629*N1629,2))</f>
        <v/>
      </c>
      <c r="H1629" s="349">
        <f>IF(AND(B1629="",C1629=""),"",ROUND(F1629*G1629,2))</f>
        <v/>
      </c>
      <c r="I1629" s="45" t="inlineStr"/>
      <c r="J1629" s="422">
        <f>IF(AND(B1629="",C1629=""),"",ROUND(M1629*N1629,2))</f>
        <v/>
      </c>
      <c r="K1629" s="423">
        <f>IF(AND(B1629="",C1629=""),"",ROUND(J1629*F1629,2))</f>
        <v/>
      </c>
      <c r="L1629" s="225" t="n">
        <v>1</v>
      </c>
      <c r="M1629" s="424" t="n">
        <v>769.7076</v>
      </c>
      <c r="N1629" s="227" t="n">
        <v>1</v>
      </c>
      <c r="O1629" s="228">
        <f>IF(AND(B1629="",C1629=""),"",IF(G1629&gt;=20000,0.05,IF(G1629&gt;=10000,0.1,IF(G1629&gt;=5000,0.2,IF(G1629&gt;=1000,0.3,IF(G1629&gt;=0,0.4,{0}))))))</f>
        <v/>
      </c>
      <c r="P1629" s="425">
        <f>IF(AND(B1629="",C1629=""),"",ROUND(H1629*O1629,2))</f>
        <v/>
      </c>
      <c r="Q1629" s="426" t="inlineStr">
        <is>
          <t>母排</t>
        </is>
      </c>
      <c r="R1629" s="234" t="inlineStr"/>
      <c r="S1629" s="234" t="inlineStr"/>
      <c r="T1629" s="235" t="inlineStr">
        <is>
          <t>0</t>
        </is>
      </c>
      <c r="U1629" s="235" t="inlineStr"/>
      <c r="V1629" s="427" t="n"/>
      <c r="W1629" s="427" t="n"/>
      <c r="X1629" s="237" t="inlineStr">
        <is>
          <t>TMY 2*30*5→TMY 30*8</t>
        </is>
      </c>
    </row>
    <row r="1630" customFormat="1" s="5">
      <c r="A1630" s="64">
        <f>ROW()-ROW(A$1612)</f>
        <v/>
      </c>
      <c r="B1630" s="22" t="inlineStr">
        <is>
          <t>PE排</t>
        </is>
      </c>
      <c r="C1630" s="22" t="inlineStr">
        <is>
          <t>TMY 2*50*5</t>
        </is>
      </c>
      <c r="D1630" s="22" t="inlineStr">
        <is>
          <t>国产优质</t>
        </is>
      </c>
      <c r="E1630" s="23" t="inlineStr">
        <is>
          <t>米</t>
        </is>
      </c>
      <c r="F1630" s="23" t="n">
        <v>2</v>
      </c>
      <c r="G1630" s="349">
        <f>IF(AND(B1630="",C1630=""),"",ROUND(M1630*L1630*N1630,2))</f>
        <v/>
      </c>
      <c r="H1630" s="349">
        <f>IF(AND(B1630="",C1630=""),"",ROUND(F1630*G1630,2))</f>
        <v/>
      </c>
      <c r="I1630" s="45" t="inlineStr"/>
      <c r="J1630" s="422">
        <f>IF(AND(B1630="",C1630=""),"",ROUND(M1630*N1630,2))</f>
        <v/>
      </c>
      <c r="K1630" s="423">
        <f>IF(AND(B1630="",C1630=""),"",ROUND(J1630*F1630,2))</f>
        <v/>
      </c>
      <c r="L1630" s="225" t="n">
        <v>1</v>
      </c>
      <c r="M1630" s="424" t="n">
        <v>481.06725</v>
      </c>
      <c r="N1630" s="227" t="n">
        <v>1</v>
      </c>
      <c r="O1630" s="228">
        <f>IF(AND(B1630="",C1630=""),"",IF(G1630&gt;=20000,0.05,IF(G1630&gt;=10000,0.1,IF(G1630&gt;=5000,0.2,IF(G1630&gt;=1000,0.3,IF(G1630&gt;=0,0.4,{0}))))))</f>
        <v/>
      </c>
      <c r="P1630" s="425">
        <f>IF(AND(B1630="",C1630=""),"",ROUND(H1630*O1630,2))</f>
        <v/>
      </c>
      <c r="Q1630" s="426" t="inlineStr">
        <is>
          <t>母排</t>
        </is>
      </c>
      <c r="R1630" s="234" t="inlineStr"/>
      <c r="S1630" s="234" t="inlineStr"/>
      <c r="T1630" s="235" t="inlineStr">
        <is>
          <t>0</t>
        </is>
      </c>
      <c r="U1630" s="235" t="inlineStr"/>
      <c r="V1630" s="427" t="n"/>
      <c r="W1630" s="427" t="n"/>
      <c r="X1630" s="237" t="inlineStr">
        <is>
          <t>TMY 2*30*5→TMY 30*8</t>
        </is>
      </c>
    </row>
    <row r="1631" customFormat="1" s="5">
      <c r="A1631" s="64">
        <f>ROW()-ROW(A$1612)</f>
        <v/>
      </c>
      <c r="B1631" s="22" t="inlineStr">
        <is>
          <t>400A铜排</t>
        </is>
      </c>
      <c r="C1631" s="22" t="inlineStr">
        <is>
          <t>TMY 30*5</t>
        </is>
      </c>
      <c r="D1631" s="22" t="inlineStr">
        <is>
          <t>国产优质</t>
        </is>
      </c>
      <c r="E1631" s="23" t="inlineStr">
        <is>
          <t>米</t>
        </is>
      </c>
      <c r="F1631" s="23" t="n">
        <v>13.9</v>
      </c>
      <c r="G1631" s="349">
        <f>IF(AND(B1631="",C1631=""),"",ROUND(M1631*L1631*N1631,2))</f>
        <v/>
      </c>
      <c r="H1631" s="349">
        <f>IF(AND(B1631="",C1631=""),"",ROUND(F1631*G1631,2))</f>
        <v/>
      </c>
      <c r="I1631" s="45" t="inlineStr"/>
      <c r="J1631" s="422">
        <f>IF(AND(B1631="",C1631=""),"",ROUND(M1631*N1631,2))</f>
        <v/>
      </c>
      <c r="K1631" s="423">
        <f>IF(AND(B1631="",C1631=""),"",ROUND(J1631*F1631,2))</f>
        <v/>
      </c>
      <c r="L1631" s="225" t="n">
        <v>1</v>
      </c>
      <c r="M1631" s="424" t="n">
        <v>144.320175</v>
      </c>
      <c r="N1631" s="227" t="n">
        <v>1</v>
      </c>
      <c r="O1631" s="228">
        <f>IF(AND(B1631="",C1631=""),"",IF(G1631&gt;=20000,0.05,IF(G1631&gt;=10000,0.1,IF(G1631&gt;=5000,0.2,IF(G1631&gt;=1000,0.3,IF(G1631&gt;=0,0.4,{0}))))))</f>
        <v/>
      </c>
      <c r="P1631" s="425">
        <f>IF(AND(B1631="",C1631=""),"",ROUND(H1631*O1631,2))</f>
        <v/>
      </c>
      <c r="Q1631" s="426" t="inlineStr">
        <is>
          <t>母排</t>
        </is>
      </c>
      <c r="R1631" s="234" t="inlineStr"/>
      <c r="S1631" s="234" t="inlineStr"/>
      <c r="T1631" s="235" t="inlineStr">
        <is>
          <t>0</t>
        </is>
      </c>
      <c r="U1631" s="235" t="inlineStr"/>
      <c r="V1631" s="427" t="n"/>
      <c r="W1631" s="427" t="n"/>
      <c r="X1631" s="237" t="inlineStr">
        <is>
          <t>TMY 2*30*5→TMY 30*8</t>
        </is>
      </c>
    </row>
    <row r="1632" s="308">
      <c r="A1632" s="64">
        <f>ROW()-ROW(A$1612)</f>
        <v/>
      </c>
      <c r="B1632" s="112" t="inlineStr">
        <is>
          <t>辅料</t>
        </is>
      </c>
      <c r="C1632" s="112" t="inlineStr"/>
      <c r="D1632" s="112" t="inlineStr"/>
      <c r="E1632" s="114" t="inlineStr">
        <is>
          <t>套</t>
        </is>
      </c>
      <c r="F1632" s="114" t="n">
        <v>1</v>
      </c>
      <c r="G1632" s="396">
        <f>IF(AND(B1632="",C1632=""),"",ROUND(M1632*L1632*N1632,2))</f>
        <v/>
      </c>
      <c r="H1632" s="396">
        <f>IF(AND(B1632="",C1632=""),"",ROUND(F1632*G1632,2))</f>
        <v/>
      </c>
      <c r="I1632" s="219" t="inlineStr"/>
      <c r="J1632" s="397">
        <f>IF(AND(B1632="",C1632=""),"",ROUND(M1632*N1632,2))</f>
        <v/>
      </c>
      <c r="K1632" s="398">
        <f>IF(AND(B1632="",C1632=""),"",ROUND(J1632*F1632,2))</f>
        <v/>
      </c>
      <c r="L1632" s="200" t="n">
        <v>1</v>
      </c>
      <c r="M1632" s="399" t="n">
        <v>1380.6</v>
      </c>
      <c r="N1632" s="154" t="n">
        <v>1</v>
      </c>
      <c r="O1632" s="155">
        <f>IF(AND(B1632="",C1632=""),"",IF(G1632&gt;=20000,0.05,IF(G1632&gt;=10000,0.1,IF(G1632&gt;=5000,0.2,IF(G1632&gt;=1000,0.3,IF(G1632&gt;=0,0.4,{0}))))))</f>
        <v/>
      </c>
      <c r="P1632" s="400">
        <f>IF(AND(B1632="",C1632=""),"",ROUND(H1632*O1632,2))</f>
        <v/>
      </c>
      <c r="Q1632" s="401" t="inlineStr">
        <is>
          <t>辅料</t>
        </is>
      </c>
      <c r="R1632" s="168" t="inlineStr"/>
      <c r="S1632" s="168" t="inlineStr"/>
      <c r="T1632" s="168" t="inlineStr">
        <is>
          <t>0</t>
        </is>
      </c>
      <c r="U1632" s="168" t="inlineStr"/>
      <c r="V1632" s="402" t="n"/>
      <c r="W1632" s="402" t="n"/>
      <c r="X1632" s="170" t="inlineStr"/>
    </row>
    <row r="1633" s="308">
      <c r="A1633" s="64">
        <f>ROW()-ROW(A$1612)</f>
        <v/>
      </c>
      <c r="B1633" s="112" t="inlineStr">
        <is>
          <t>柜体Blokset</t>
        </is>
      </c>
      <c r="C1633" s="22" t="inlineStr">
        <is>
          <t>600W*1200D*2200H</t>
        </is>
      </c>
      <c r="D1633" s="112" t="inlineStr">
        <is>
          <t>清科</t>
        </is>
      </c>
      <c r="E1633" s="114" t="inlineStr">
        <is>
          <t>台</t>
        </is>
      </c>
      <c r="F1633" s="114" t="n">
        <v>1</v>
      </c>
      <c r="G1633" s="396">
        <f>IF(AND(B1633="",C1633=""),"",ROUND(M1633*L1633*N1633,2))</f>
        <v/>
      </c>
      <c r="H1633" s="396">
        <f>IF(AND(B1633="",C1633=""),"",ROUND(F1633*G1633,2))</f>
        <v/>
      </c>
      <c r="I1633" s="219" t="inlineStr"/>
      <c r="J1633" s="397">
        <f>IF(AND(B1633="",C1633=""),"",ROUND(M1633*N1633,2))</f>
        <v/>
      </c>
      <c r="K1633" s="398">
        <f>IF(AND(B1633="",C1633=""),"",ROUND(J1633*F1633,2))</f>
        <v/>
      </c>
      <c r="L1633" s="200" t="n">
        <v>1</v>
      </c>
      <c r="M1633" s="399" t="n">
        <v>5698</v>
      </c>
      <c r="N1633" s="154" t="n">
        <v>1</v>
      </c>
      <c r="O1633" s="155">
        <f>IF(AND(B1633="",C1633=""),"",IF(G1633&gt;=20000,0.05,IF(G1633&gt;=10000,0.1,IF(G1633&gt;=5000,0.2,IF(G1633&gt;=1000,0.3,IF(G1633&gt;=0,0.4,{0}))))))</f>
        <v/>
      </c>
      <c r="P1633" s="400">
        <f>IF(AND(B1633="",C1633=""),"",ROUND(H1633*O1633,2))</f>
        <v/>
      </c>
      <c r="Q1633" s="401" t="inlineStr">
        <is>
          <t>箱体</t>
        </is>
      </c>
      <c r="R1633" s="168" t="inlineStr"/>
      <c r="S1633" s="168" t="inlineStr"/>
      <c r="T1633" s="168" t="inlineStr">
        <is>
          <t>0</t>
        </is>
      </c>
      <c r="U1633" s="168" t="inlineStr"/>
      <c r="V1633" s="402" t="n"/>
      <c r="W1633" s="402" t="n"/>
      <c r="X1633" s="170" t="inlineStr">
        <is>
          <t>BlokSeT</t>
        </is>
      </c>
    </row>
    <row r="1634" s="308">
      <c r="A1634" s="64">
        <f>ROW()-ROW(A$1612)</f>
        <v/>
      </c>
      <c r="B1634" s="22" t="inlineStr"/>
      <c r="C1634" s="22" t="inlineStr"/>
      <c r="D1634" s="22" t="inlineStr"/>
      <c r="E1634" s="23" t="n"/>
      <c r="F1634" s="23">
        <f>IF(AND(B1634="",C1634=""),"",1)</f>
        <v/>
      </c>
      <c r="G1634" s="349">
        <f>IF(AND(B1634="",C1634=""),"",ROUND(M1634*L1634*N1634,2))</f>
        <v/>
      </c>
      <c r="H1634" s="349">
        <f>IF(AND(B1634="",C1634=""),"",ROUND(F1634*G1634,2))</f>
        <v/>
      </c>
      <c r="I1634" s="45" t="inlineStr"/>
      <c r="J1634" s="397">
        <f>IF(AND(B1634="",C1634=""),"",ROUND(M1634*N1634,2))</f>
        <v/>
      </c>
      <c r="K1634" s="398">
        <f>IF(AND(B1634="",C1634=""),"",ROUND(J1634*F1634,2))</f>
        <v/>
      </c>
      <c r="L1634" s="200">
        <f>IF(AND(B1634="",C1634=""),"",1)</f>
        <v/>
      </c>
      <c r="M1634" s="399" t="n"/>
      <c r="N1634" s="154">
        <f>IF(AND(B1634="",C1634=""),"",1)</f>
        <v/>
      </c>
      <c r="O1634" s="155">
        <f>IF(AND(B1634="",C1634=""),"",IF(J1634&gt;=20000,0.05,IF(J1634&gt;=10000,0.1,IF(J1634&gt;=5000,0.2,IF(J1634&gt;=1000,0.3,IF(J1634&gt;=0,0.4,{0}))))))</f>
        <v/>
      </c>
      <c r="P1634" s="400">
        <f>IF(AND(B1634="",C1634=""),"",ROUND(H1634*O1634,2))</f>
        <v/>
      </c>
      <c r="Q1634" s="401">
        <f>IF(AND(B1634="",C1634=""),"","元件")</f>
        <v/>
      </c>
      <c r="R1634" s="168" t="inlineStr"/>
      <c r="S1634" s="168" t="inlineStr"/>
      <c r="T1634" s="168" t="inlineStr"/>
      <c r="U1634" s="168" t="inlineStr"/>
      <c r="V1634" s="402" t="n"/>
      <c r="W1634" s="402" t="n"/>
      <c r="X1634" s="170" t="inlineStr"/>
    </row>
    <row r="1635" s="308">
      <c r="A1635" s="64">
        <f>ROW()-ROW(A$1612)</f>
        <v/>
      </c>
      <c r="B1635" s="171" t="inlineStr">
        <is>
          <t>小计</t>
        </is>
      </c>
      <c r="C1635" s="172" t="n"/>
      <c r="D1635" s="204" t="n"/>
      <c r="E1635" s="114" t="n"/>
      <c r="F1635" s="114" t="n"/>
      <c r="G1635" s="396" t="n"/>
      <c r="H1635" s="396">
        <f>ROUND(SUM(H1612:INDEX(H:H,ROW()-1)),2)</f>
        <v/>
      </c>
      <c r="I1635" s="45" t="inlineStr"/>
      <c r="J1635" s="397" t="n"/>
      <c r="K1635" s="398">
        <f>ROUND(SUM(K1612:INDEX(K:K,ROW()-1)),2)</f>
        <v/>
      </c>
      <c r="L1635" s="200" t="n"/>
      <c r="M1635" s="399" t="n"/>
      <c r="N1635" s="154" t="n"/>
      <c r="O1635" s="155" t="n"/>
      <c r="P1635" s="400" t="n"/>
      <c r="Q1635" s="401" t="n"/>
      <c r="R1635" s="168" t="inlineStr"/>
      <c r="S1635" s="168" t="inlineStr"/>
      <c r="T1635" s="168" t="inlineStr"/>
      <c r="U1635" s="168" t="inlineStr"/>
      <c r="V1635" s="402">
        <f>ROUND(SUMPRODUCT(F1612:INDEX(F:F,ROW()-1),V1612:INDEX(V:V,ROW()-1)),2)</f>
        <v/>
      </c>
      <c r="W1635" s="402">
        <f>ROUND(SUMPRODUCT(F1612:INDEX(F:F,ROW()-1),W1612:INDEX(W:W,ROW()-1)),2)</f>
        <v/>
      </c>
      <c r="X1635" s="170" t="inlineStr"/>
    </row>
    <row r="1636" s="308">
      <c r="A1636" s="64">
        <f>ROW()-ROW(A$1612)</f>
        <v/>
      </c>
      <c r="B1636" s="171" t="inlineStr">
        <is>
          <t>综合费(人工、管理、税金、利润等)</t>
        </is>
      </c>
      <c r="C1636" s="172" t="n"/>
      <c r="D1636" s="204" t="n"/>
      <c r="E1636" s="114" t="n"/>
      <c r="F1636" s="114" t="n"/>
      <c r="G1636" s="396" t="n"/>
      <c r="H1636" s="396">
        <f>2500</f>
        <v/>
      </c>
      <c r="I1636" s="45" t="inlineStr"/>
      <c r="J1636" s="397" t="n"/>
      <c r="K1636" s="398" t="n"/>
      <c r="L1636" s="200" t="n"/>
      <c r="M1636" s="399" t="n"/>
      <c r="N1636" s="154" t="n"/>
      <c r="O1636" s="155" t="n"/>
      <c r="P1636" s="400" t="n"/>
      <c r="Q1636" s="401" t="inlineStr">
        <is>
          <t>费用</t>
        </is>
      </c>
      <c r="R1636" s="168" t="inlineStr"/>
      <c r="S1636" s="168" t="inlineStr"/>
      <c r="T1636" s="168" t="inlineStr"/>
      <c r="U1636" s="168" t="inlineStr"/>
      <c r="V1636" s="402" t="n"/>
      <c r="W1636" s="402" t="n"/>
      <c r="X1636" s="170" t="inlineStr"/>
    </row>
    <row r="1637" s="308">
      <c r="A1637" s="64">
        <f>ROW()-ROW(A$1612)</f>
        <v/>
      </c>
      <c r="B1637" s="204" t="inlineStr">
        <is>
          <t>单台合计</t>
        </is>
      </c>
      <c r="C1637" s="172" t="n"/>
      <c r="D1637" s="204" t="n"/>
      <c r="E1637" s="114" t="n"/>
      <c r="F1637" s="114" t="n"/>
      <c r="G1637" s="396" t="n"/>
      <c r="H1637" s="396">
        <f>ROUND(SUM(H1635:H1636),2)</f>
        <v/>
      </c>
      <c r="I1637" s="181" t="n"/>
      <c r="J1637" s="397" t="n"/>
      <c r="K1637" s="398">
        <f>ROUND(SUM(K1635:K1636),2)</f>
        <v/>
      </c>
      <c r="L1637" s="209" t="n"/>
      <c r="M1637" s="399" t="n"/>
      <c r="N1637" s="210" t="n"/>
      <c r="O1637" s="211" t="n"/>
      <c r="P1637" s="400" t="n"/>
      <c r="Q1637" s="401" t="n"/>
      <c r="R1637" s="168" t="inlineStr"/>
      <c r="S1637" s="168" t="inlineStr"/>
      <c r="T1637" s="168" t="inlineStr"/>
      <c r="U1637" s="168" t="inlineStr"/>
      <c r="V1637" s="402" t="n"/>
      <c r="W1637" s="402" t="n"/>
      <c r="X1637" s="170" t="inlineStr"/>
    </row>
    <row r="1638" s="308">
      <c r="A1638" s="173" t="inlineStr">
        <is>
          <t>总计</t>
        </is>
      </c>
      <c r="B1638" s="205" t="n"/>
      <c r="C1638" s="175" t="n"/>
      <c r="D1638" s="206" t="n"/>
      <c r="E1638" s="206" t="inlineStr">
        <is>
          <t>台</t>
        </is>
      </c>
      <c r="F1638" s="206" t="n">
        <v>1</v>
      </c>
      <c r="G1638" s="414">
        <f>ROUND(H1637,2)</f>
        <v/>
      </c>
      <c r="H1638" s="414">
        <f>ROUND(F1638*G1638,2)</f>
        <v/>
      </c>
      <c r="I1638" s="185" t="n"/>
      <c r="J1638" s="415" t="n"/>
      <c r="K1638" s="416">
        <f>ROUND(K1637*F1638,2)</f>
        <v/>
      </c>
      <c r="L1638" s="214" t="n"/>
      <c r="M1638" s="417" t="n"/>
      <c r="N1638" s="216" t="n"/>
      <c r="O1638" s="217" t="n"/>
      <c r="P1638" s="418" t="n"/>
      <c r="Q1638" s="401" t="n"/>
      <c r="R1638" s="168" t="inlineStr"/>
      <c r="S1638" s="168" t="inlineStr"/>
      <c r="T1638" s="168" t="inlineStr"/>
      <c r="U1638" s="168" t="inlineStr"/>
      <c r="V1638" s="402" t="n"/>
      <c r="W1638" s="402" t="n"/>
      <c r="X1638" s="170" t="inlineStr"/>
    </row>
    <row r="1639" customFormat="1" s="4">
      <c r="A1639" s="6" t="n"/>
      <c r="B1639" s="195" t="inlineStr"/>
      <c r="C1639" s="195" t="inlineStr"/>
      <c r="D1639" s="195" t="inlineStr"/>
      <c r="Q1639" s="159" t="n"/>
      <c r="R1639" s="159" t="n"/>
      <c r="S1639" s="159" t="n"/>
      <c r="T1639" s="159" t="n"/>
      <c r="U1639" s="159" t="n"/>
      <c r="X1639" s="195" t="inlineStr"/>
    </row>
    <row r="1640" customFormat="1" s="4">
      <c r="A1640" s="6" t="n"/>
      <c r="B1640" s="195" t="inlineStr"/>
      <c r="C1640" s="195" t="inlineStr"/>
      <c r="D1640" s="195" t="inlineStr"/>
      <c r="Q1640" s="159" t="n"/>
      <c r="R1640" s="159" t="n"/>
      <c r="S1640" s="159" t="n"/>
      <c r="T1640" s="159" t="n"/>
      <c r="U1640" s="159" t="n"/>
      <c r="X1640" s="195" t="inlineStr"/>
    </row>
    <row r="1641" s="308">
      <c r="A1641" s="208">
        <f>CONCATENATE("报价人：",项目信息!$B$8)</f>
        <v/>
      </c>
      <c r="B1641" s="208" t="n"/>
      <c r="C1641" s="4" t="n"/>
      <c r="D1641" s="4" t="n"/>
      <c r="E1641" s="4" t="n"/>
      <c r="F1641" s="4" t="n"/>
      <c r="G1641" s="4" t="n"/>
      <c r="H1641" s="178">
        <f>项目信息!$B$9</f>
        <v/>
      </c>
      <c r="Q1641" s="159" t="n"/>
      <c r="R1641" s="159" t="n"/>
      <c r="S1641" s="159" t="n"/>
      <c r="T1641" s="159" t="n"/>
      <c r="U1641" s="159" t="n"/>
      <c r="X1641" s="203" t="inlineStr"/>
    </row>
    <row r="1642" s="308">
      <c r="A1642" s="8">
        <f>T(项目信息!$B$22)</f>
        <v/>
      </c>
      <c r="Q1642" s="159" t="n"/>
      <c r="R1642" s="159" t="n"/>
      <c r="S1642" s="159" t="n"/>
      <c r="T1642" s="159" t="n"/>
      <c r="U1642" s="159" t="n"/>
    </row>
    <row r="1643" s="308">
      <c r="A1643" s="9">
        <f>T(项目信息!$B$23)</f>
        <v/>
      </c>
      <c r="Q1643" s="159" t="n"/>
      <c r="R1643" s="159" t="n"/>
      <c r="S1643" s="159" t="n"/>
      <c r="T1643" s="159" t="n"/>
      <c r="U1643" s="159" t="n"/>
    </row>
    <row r="1644" s="308">
      <c r="A1644" s="97" t="inlineStr">
        <is>
          <t>成套产品报价明细表</t>
        </is>
      </c>
      <c r="B1644" s="378" t="n"/>
      <c r="C1644" s="378" t="n"/>
      <c r="D1644" s="378" t="n"/>
      <c r="E1644" s="378" t="n"/>
      <c r="F1644" s="378" t="n"/>
      <c r="G1644" s="378" t="n"/>
      <c r="H1644" s="378" t="n"/>
      <c r="I1644" s="378" t="n"/>
      <c r="Q1644" s="159" t="n"/>
      <c r="R1644" s="159" t="n"/>
      <c r="S1644" s="159" t="n"/>
      <c r="T1644" s="159" t="n"/>
      <c r="U1644" s="159" t="n"/>
    </row>
    <row r="1645" customFormat="1" s="4">
      <c r="A1645" s="98" t="inlineStr">
        <is>
          <t>柜号:</t>
        </is>
      </c>
      <c r="B1645" s="99" t="inlineStr">
        <is>
          <t>BAN14-06</t>
        </is>
      </c>
      <c r="C1645" s="100" t="inlineStr">
        <is>
          <t>型号:</t>
        </is>
      </c>
      <c r="D1645" s="99" t="inlineStr">
        <is>
          <t>BlokSeT</t>
        </is>
      </c>
      <c r="E1645" s="379" t="n"/>
      <c r="F1645" s="101" t="inlineStr">
        <is>
          <t>名称:</t>
        </is>
      </c>
      <c r="G1645" s="99" t="inlineStr">
        <is>
          <t>馈线柜</t>
        </is>
      </c>
      <c r="H1645" s="379" t="n"/>
      <c r="I1645" s="408" t="inlineStr"/>
      <c r="J1645" s="194" t="inlineStr">
        <is>
          <t>箱柜尺寸:</t>
        </is>
      </c>
      <c r="K1645" s="195" t="inlineStr">
        <is>
          <t>600W*1200D*2200H</t>
        </is>
      </c>
      <c r="L1645" s="194" t="inlineStr">
        <is>
          <t>类别:</t>
        </is>
      </c>
      <c r="M1645" s="195" t="inlineStr">
        <is>
          <t>低压固定柜</t>
        </is>
      </c>
      <c r="N1645" s="409" t="inlineStr"/>
      <c r="Q1645" s="159" t="n"/>
      <c r="R1645" s="159" t="n"/>
      <c r="S1645" s="159" t="n"/>
      <c r="T1645" s="159" t="n"/>
      <c r="U1645" s="159" t="n"/>
    </row>
    <row r="1646" ht="20.1" customHeight="1" s="308">
      <c r="A1646" s="102" t="inlineStr">
        <is>
          <t>序号</t>
        </is>
      </c>
      <c r="B1646" s="103" t="inlineStr">
        <is>
          <t>元件名称</t>
        </is>
      </c>
      <c r="C1646" s="103" t="inlineStr">
        <is>
          <t>型号规格</t>
        </is>
      </c>
      <c r="D1646" s="104" t="inlineStr">
        <is>
          <t>生产厂家</t>
        </is>
      </c>
      <c r="E1646" s="105" t="inlineStr">
        <is>
          <t>单位</t>
        </is>
      </c>
      <c r="F1646" s="105" t="inlineStr">
        <is>
          <t>数量</t>
        </is>
      </c>
      <c r="G1646" s="382" t="inlineStr">
        <is>
          <t>单   价</t>
        </is>
      </c>
      <c r="H1646" s="383" t="inlineStr">
        <is>
          <t>总   价</t>
        </is>
      </c>
      <c r="I1646" s="134" t="inlineStr">
        <is>
          <t>备注</t>
        </is>
      </c>
      <c r="J1646" s="384" t="inlineStr">
        <is>
          <t>成本单价</t>
        </is>
      </c>
      <c r="K1646" s="384" t="inlineStr">
        <is>
          <t>成本总价</t>
        </is>
      </c>
      <c r="L1646" s="136" t="inlineStr">
        <is>
          <t>报出
系数</t>
        </is>
      </c>
      <c r="M1646" s="384" t="inlineStr">
        <is>
          <t>表价</t>
        </is>
      </c>
      <c r="N1646" s="136" t="inlineStr">
        <is>
          <t>折扣
系数</t>
        </is>
      </c>
      <c r="O1646" s="137" t="inlineStr">
        <is>
          <t>取费
系数</t>
        </is>
      </c>
      <c r="P1646" s="384" t="inlineStr">
        <is>
          <t>成套费</t>
        </is>
      </c>
      <c r="Q1646" s="161" t="inlineStr">
        <is>
          <t>类别</t>
        </is>
      </c>
      <c r="R1646" s="161" t="inlineStr">
        <is>
          <t>物料编码</t>
        </is>
      </c>
      <c r="S1646" s="161" t="inlineStr">
        <is>
          <t>产地</t>
        </is>
      </c>
      <c r="T1646" s="161" t="inlineStr">
        <is>
          <t>加工费</t>
        </is>
      </c>
      <c r="U1646" s="161" t="inlineStr">
        <is>
          <t>订货号</t>
        </is>
      </c>
      <c r="V1646" s="161" t="inlineStr">
        <is>
          <t>人工</t>
        </is>
      </c>
      <c r="W1646" s="161" t="inlineStr">
        <is>
          <t>辅料</t>
        </is>
      </c>
      <c r="X1646" s="203" t="inlineStr"/>
    </row>
    <row r="1647" s="308">
      <c r="A1647" s="64">
        <f>ROW()-ROW(A$1646)</f>
        <v/>
      </c>
      <c r="B1647" s="22" t="inlineStr">
        <is>
          <t>塑壳断路器</t>
        </is>
      </c>
      <c r="C1647" s="22" t="inlineStr">
        <is>
          <t>NSX160H TM160D 3P3D P</t>
        </is>
      </c>
      <c r="D1647" s="22" t="inlineStr">
        <is>
          <t>甲供/施耐德电气</t>
        </is>
      </c>
      <c r="E1647" s="23" t="inlineStr">
        <is>
          <t>只</t>
        </is>
      </c>
      <c r="F1647" s="23" t="n">
        <v>1</v>
      </c>
      <c r="G1647" s="349">
        <f>IF(AND(B1647="",C1647=""),"",ROUND(M1647*L1647*N1647,2))</f>
        <v/>
      </c>
      <c r="H1647" s="349">
        <f>IF(AND(B1647="",C1647=""),"",ROUND(F1647*G1647,2))</f>
        <v/>
      </c>
      <c r="I1647" s="45" t="inlineStr"/>
      <c r="J1647" s="397">
        <f>IF(AND(B1647="",C1647=""),"",ROUND(M1647*N1647,2))</f>
        <v/>
      </c>
      <c r="K1647" s="398">
        <f>IF(AND(B1647="",C1647=""),"",ROUND(J1647*F1647,2))</f>
        <v/>
      </c>
      <c r="L1647" s="200" t="n">
        <v>1</v>
      </c>
      <c r="M1647" s="399" t="n">
        <v>1e-07</v>
      </c>
      <c r="N1647" s="154" t="n">
        <v>1</v>
      </c>
      <c r="O1647" s="155">
        <f>IF(AND(B1647="",C1647=""),"",IF(G1647&gt;=20000,0.05,IF(G1647&gt;=10000,0.1,IF(G1647&gt;=5000,0.2,IF(G1647&gt;=1000,0.3,IF(G1647&gt;=0,0.4,{0}))))))</f>
        <v/>
      </c>
      <c r="P1647" s="400">
        <f>IF(AND(B1647="",C1647=""),"",ROUND(H1647*O1647,2))</f>
        <v/>
      </c>
      <c r="Q1647" s="401" t="inlineStr">
        <is>
          <t>元件</t>
        </is>
      </c>
      <c r="R1647" s="168" t="inlineStr"/>
      <c r="S1647" s="168" t="inlineStr"/>
      <c r="T1647" s="168" t="inlineStr">
        <is>
          <t>0</t>
        </is>
      </c>
      <c r="U1647" s="168" t="inlineStr">
        <is>
          <t>C16F32D160</t>
        </is>
      </c>
      <c r="V1647" s="402" t="n"/>
      <c r="W1647" s="402" t="n"/>
      <c r="X1647" s="170" t="inlineStr">
        <is>
          <t>NSX630N Mic2.3 630A 3P3D F→NSX630F MIC2.3 630 3P F→NSX630F MIC 2.3 630 3P F</t>
        </is>
      </c>
    </row>
    <row r="1648" s="308">
      <c r="A1648" s="64">
        <f>ROW()-ROW(A$1646)</f>
        <v/>
      </c>
      <c r="B1648" s="22" t="inlineStr">
        <is>
          <t>塑壳断路器</t>
        </is>
      </c>
      <c r="C1648" s="22" t="inlineStr">
        <is>
          <t>NSX250H TM250D 3P3D P</t>
        </is>
      </c>
      <c r="D1648" s="22" t="inlineStr">
        <is>
          <t>甲供/施耐德电气</t>
        </is>
      </c>
      <c r="E1648" s="23" t="inlineStr">
        <is>
          <t>只</t>
        </is>
      </c>
      <c r="F1648" s="23" t="n">
        <v>3</v>
      </c>
      <c r="G1648" s="349">
        <f>IF(AND(B1648="",C1648=""),"",ROUND(M1648*L1648*N1648,2))</f>
        <v/>
      </c>
      <c r="H1648" s="349">
        <f>IF(AND(B1648="",C1648=""),"",ROUND(F1648*G1648,2))</f>
        <v/>
      </c>
      <c r="I1648" s="45" t="inlineStr"/>
      <c r="J1648" s="397">
        <f>IF(AND(B1648="",C1648=""),"",ROUND(M1648*N1648,2))</f>
        <v/>
      </c>
      <c r="K1648" s="398">
        <f>IF(AND(B1648="",C1648=""),"",ROUND(J1648*F1648,2))</f>
        <v/>
      </c>
      <c r="L1648" s="200" t="n">
        <v>1</v>
      </c>
      <c r="M1648" s="399" t="n">
        <v>1e-07</v>
      </c>
      <c r="N1648" s="154" t="n">
        <v>1</v>
      </c>
      <c r="O1648" s="155">
        <f>IF(AND(B1648="",C1648=""),"",IF(G1648&gt;=20000,0.05,IF(G1648&gt;=10000,0.1,IF(G1648&gt;=5000,0.2,IF(G1648&gt;=1000,0.3,IF(G1648&gt;=0,0.4,{0}))))))</f>
        <v/>
      </c>
      <c r="P1648" s="400">
        <f>IF(AND(B1648="",C1648=""),"",ROUND(H1648*O1648,2))</f>
        <v/>
      </c>
      <c r="Q1648" s="401" t="inlineStr">
        <is>
          <t>元件</t>
        </is>
      </c>
      <c r="R1648" s="168" t="inlineStr"/>
      <c r="S1648" s="168" t="inlineStr"/>
      <c r="T1648" s="168" t="inlineStr">
        <is>
          <t>0</t>
        </is>
      </c>
      <c r="U1648" s="168" t="inlineStr">
        <is>
          <t>C16F32D160</t>
        </is>
      </c>
      <c r="V1648" s="402" t="n"/>
      <c r="W1648" s="402" t="n"/>
      <c r="X1648" s="170" t="inlineStr">
        <is>
          <t>NSX630N Mic2.3 630A 3P3D F→NSX630F MIC2.3 630 3P F→NSX630F MIC 2.3 630 3P F</t>
        </is>
      </c>
    </row>
    <row r="1649" s="308">
      <c r="A1649" s="64">
        <f>ROW()-ROW(A$1646)</f>
        <v/>
      </c>
      <c r="B1649" s="22" t="inlineStr">
        <is>
          <t>塑壳断路器</t>
        </is>
      </c>
      <c r="C1649" s="22" t="inlineStr">
        <is>
          <t>NSX400H Mic2.3 400A 3P3D P</t>
        </is>
      </c>
      <c r="D1649" s="22" t="inlineStr">
        <is>
          <t>甲供/施耐德电气</t>
        </is>
      </c>
      <c r="E1649" s="23" t="inlineStr">
        <is>
          <t>只</t>
        </is>
      </c>
      <c r="F1649" s="23" t="n">
        <v>3</v>
      </c>
      <c r="G1649" s="349">
        <f>IF(AND(B1649="",C1649=""),"",ROUND(M1649*L1649*N1649,2))</f>
        <v/>
      </c>
      <c r="H1649" s="349">
        <f>IF(AND(B1649="",C1649=""),"",ROUND(F1649*G1649,2))</f>
        <v/>
      </c>
      <c r="I1649" s="45" t="inlineStr"/>
      <c r="J1649" s="397">
        <f>IF(AND(B1649="",C1649=""),"",ROUND(M1649*N1649,2))</f>
        <v/>
      </c>
      <c r="K1649" s="398">
        <f>IF(AND(B1649="",C1649=""),"",ROUND(J1649*F1649,2))</f>
        <v/>
      </c>
      <c r="L1649" s="200" t="n">
        <v>1</v>
      </c>
      <c r="M1649" s="399" t="n">
        <v>1e-07</v>
      </c>
      <c r="N1649" s="154" t="n">
        <v>1</v>
      </c>
      <c r="O1649" s="155">
        <f>IF(AND(B1649="",C1649=""),"",IF(G1649&gt;=20000,0.05,IF(G1649&gt;=10000,0.1,IF(G1649&gt;=5000,0.2,IF(G1649&gt;=1000,0.3,IF(G1649&gt;=0,0.4,{0}))))))</f>
        <v/>
      </c>
      <c r="P1649" s="400">
        <f>IF(AND(B1649="",C1649=""),"",ROUND(H1649*O1649,2))</f>
        <v/>
      </c>
      <c r="Q1649" s="401" t="inlineStr">
        <is>
          <t>元件</t>
        </is>
      </c>
      <c r="R1649" s="168" t="inlineStr"/>
      <c r="S1649" s="168" t="inlineStr"/>
      <c r="T1649" s="168" t="inlineStr">
        <is>
          <t>0</t>
        </is>
      </c>
      <c r="U1649" s="168" t="inlineStr"/>
      <c r="V1649" s="402" t="n"/>
      <c r="W1649" s="402" t="n"/>
      <c r="X1649" s="170" t="inlineStr"/>
    </row>
    <row r="1650" s="308">
      <c r="A1650" s="64">
        <f>ROW()-ROW(A$1646)</f>
        <v/>
      </c>
      <c r="B1650" s="22" t="inlineStr">
        <is>
          <t>塑壳断路器</t>
        </is>
      </c>
      <c r="C1650" s="22" t="inlineStr">
        <is>
          <t>NSX400H Mic2.3 400A 4P4D P</t>
        </is>
      </c>
      <c r="D1650" s="22" t="inlineStr">
        <is>
          <t>甲供/施耐德电气</t>
        </is>
      </c>
      <c r="E1650" s="23" t="inlineStr">
        <is>
          <t>只</t>
        </is>
      </c>
      <c r="F1650" s="23" t="n">
        <v>1</v>
      </c>
      <c r="G1650" s="349">
        <f>IF(AND(B1650="",C1650=""),"",ROUND(M1650*L1650*N1650,2))</f>
        <v/>
      </c>
      <c r="H1650" s="349">
        <f>IF(AND(B1650="",C1650=""),"",ROUND(F1650*G1650,2))</f>
        <v/>
      </c>
      <c r="I1650" s="45" t="inlineStr"/>
      <c r="J1650" s="397">
        <f>IF(AND(B1650="",C1650=""),"",ROUND(M1650*N1650,2))</f>
        <v/>
      </c>
      <c r="K1650" s="398">
        <f>IF(AND(B1650="",C1650=""),"",ROUND(J1650*F1650,2))</f>
        <v/>
      </c>
      <c r="L1650" s="200" t="n">
        <v>1</v>
      </c>
      <c r="M1650" s="399" t="n">
        <v>1e-07</v>
      </c>
      <c r="N1650" s="154" t="n">
        <v>1</v>
      </c>
      <c r="O1650" s="155">
        <f>IF(AND(B1650="",C1650=""),"",IF(G1650&gt;=20000,0.05,IF(G1650&gt;=10000,0.1,IF(G1650&gt;=5000,0.2,IF(G1650&gt;=1000,0.3,IF(G1650&gt;=0,0.4,{0}))))))</f>
        <v/>
      </c>
      <c r="P1650" s="400">
        <f>IF(AND(B1650="",C1650=""),"",ROUND(H1650*O1650,2))</f>
        <v/>
      </c>
      <c r="Q1650" s="401" t="inlineStr">
        <is>
          <t>元件</t>
        </is>
      </c>
      <c r="R1650" s="168" t="inlineStr"/>
      <c r="S1650" s="168" t="inlineStr"/>
      <c r="T1650" s="168" t="inlineStr">
        <is>
          <t>0</t>
        </is>
      </c>
      <c r="U1650" s="168" t="inlineStr"/>
      <c r="V1650" s="402" t="n"/>
      <c r="W1650" s="402" t="n"/>
      <c r="X1650" s="170" t="inlineStr"/>
    </row>
    <row r="1651" s="308">
      <c r="A1651" s="64">
        <f>ROW()-ROW(A$1646)</f>
        <v/>
      </c>
      <c r="B1651" s="22" t="inlineStr">
        <is>
          <t>电流互感器</t>
        </is>
      </c>
      <c r="C1651" s="22" t="inlineStr">
        <is>
          <t>SD-0.66-30I 150/5A</t>
        </is>
      </c>
      <c r="D1651" s="22" t="inlineStr">
        <is>
          <t>桑迪</t>
        </is>
      </c>
      <c r="E1651" s="23" t="inlineStr">
        <is>
          <t>只</t>
        </is>
      </c>
      <c r="F1651" s="23" t="n">
        <v>3</v>
      </c>
      <c r="G1651" s="349">
        <f>IF(AND(B1651="",C1651=""),"",ROUND(M1651*L1651*N1651,2))</f>
        <v/>
      </c>
      <c r="H1651" s="396">
        <f>IF(AND(B1651="",C1651=""),"",ROUND(F1651*G1651,2))</f>
        <v/>
      </c>
      <c r="I1651" s="219" t="inlineStr"/>
      <c r="J1651" s="397">
        <f>IF(AND(B1651="",C1651=""),"",ROUND(M1651*N1651,2))</f>
        <v/>
      </c>
      <c r="K1651" s="398">
        <f>IF(AND(B1651="",C1651=""),"",ROUND(J1651*F1651,2))</f>
        <v/>
      </c>
      <c r="L1651" s="200" t="n">
        <v>1</v>
      </c>
      <c r="M1651" s="399" t="n">
        <v>29.95</v>
      </c>
      <c r="N1651" s="154" t="n">
        <v>1</v>
      </c>
      <c r="O1651" s="155">
        <f>IF(AND(B1651="",C1651=""),"",IF(G1651&gt;=20000,0.05,IF(G1651&gt;=10000,0.1,IF(G1651&gt;=5000,0.2,IF(G1651&gt;=1000,0.3,IF(G1651&gt;=0,0.4,{0}))))))</f>
        <v/>
      </c>
      <c r="P1651" s="400">
        <f>IF(AND(B1651="",C1651=""),"",ROUND(H1651*O1651,2))</f>
        <v/>
      </c>
      <c r="Q1651" s="401" t="inlineStr">
        <is>
          <t>元件</t>
        </is>
      </c>
      <c r="R1651" s="168" t="inlineStr"/>
      <c r="S1651" s="168" t="inlineStr"/>
      <c r="T1651" s="168" t="inlineStr">
        <is>
          <t>0</t>
        </is>
      </c>
      <c r="U1651" s="168" t="inlineStr">
        <is>
          <t>710140200000049</t>
        </is>
      </c>
      <c r="V1651" s="402" t="n"/>
      <c r="W1651" s="402" t="n"/>
      <c r="X1651" s="170" t="inlineStr">
        <is>
          <t>SD→SD-0.66-40II-C 400/5A→SD-0.66-30I 250/5A→SD-0.66-30I 150/5A→SD-0.66-60II-C 750/5A→SD-0.66-60II-C 600/5A→SD-0.66-30I 150/5A→SD-0.66-40II-C 400/5A→SD-0.66-100II-C 1600/5A→SD-0.66-80II-V 1000/5A</t>
        </is>
      </c>
    </row>
    <row r="1652" s="308">
      <c r="A1652" s="64">
        <f>ROW()-ROW(A$1646)</f>
        <v/>
      </c>
      <c r="B1652" s="22" t="inlineStr">
        <is>
          <t>电流互感器</t>
        </is>
      </c>
      <c r="C1652" s="22" t="inlineStr">
        <is>
          <t>SD-0.66-30I 250/5A</t>
        </is>
      </c>
      <c r="D1652" s="22" t="inlineStr">
        <is>
          <t>桑迪</t>
        </is>
      </c>
      <c r="E1652" s="23" t="inlineStr">
        <is>
          <t>只</t>
        </is>
      </c>
      <c r="F1652" s="23" t="n">
        <v>9</v>
      </c>
      <c r="G1652" s="349">
        <f>IF(AND(B1652="",C1652=""),"",ROUND(M1652*L1652*N1652,2))</f>
        <v/>
      </c>
      <c r="H1652" s="396">
        <f>IF(AND(B1652="",C1652=""),"",ROUND(F1652*G1652,2))</f>
        <v/>
      </c>
      <c r="I1652" s="219" t="inlineStr"/>
      <c r="J1652" s="397">
        <f>IF(AND(B1652="",C1652=""),"",ROUND(M1652*N1652,2))</f>
        <v/>
      </c>
      <c r="K1652" s="398">
        <f>IF(AND(B1652="",C1652=""),"",ROUND(J1652*F1652,2))</f>
        <v/>
      </c>
      <c r="L1652" s="200" t="n">
        <v>1</v>
      </c>
      <c r="M1652" s="399" t="n">
        <v>26.65</v>
      </c>
      <c r="N1652" s="154" t="n">
        <v>1</v>
      </c>
      <c r="O1652" s="155">
        <f>IF(AND(B1652="",C1652=""),"",IF(G1652&gt;=20000,0.05,IF(G1652&gt;=10000,0.1,IF(G1652&gt;=5000,0.2,IF(G1652&gt;=1000,0.3,IF(G1652&gt;=0,0.4,{0}))))))</f>
        <v/>
      </c>
      <c r="P1652" s="400">
        <f>IF(AND(B1652="",C1652=""),"",ROUND(H1652*O1652,2))</f>
        <v/>
      </c>
      <c r="Q1652" s="401" t="inlineStr">
        <is>
          <t>元件</t>
        </is>
      </c>
      <c r="R1652" s="168" t="inlineStr"/>
      <c r="S1652" s="168" t="inlineStr"/>
      <c r="T1652" s="168" t="inlineStr">
        <is>
          <t>0</t>
        </is>
      </c>
      <c r="U1652" s="168" t="inlineStr">
        <is>
          <t>710140200000049</t>
        </is>
      </c>
      <c r="V1652" s="402" t="n"/>
      <c r="W1652" s="402" t="n"/>
      <c r="X1652" s="170" t="inlineStr">
        <is>
          <t>SD→SD-0.66-40II-C 400/5A→SD-0.66-30I 250/5A→SD-0.66-30I 150/5A→SD-0.66-60II-C 750/5A→SD-0.66-60II-C 600/5A→SD-0.66-30I 150/5A→SD-0.66-40II-C 400/5A→SD-0.66-100II-C 1600/5A→SD-0.66-80II-V 1000/5A</t>
        </is>
      </c>
    </row>
    <row r="1653" s="308">
      <c r="A1653" s="64">
        <f>ROW()-ROW(A$1646)</f>
        <v/>
      </c>
      <c r="B1653" s="22" t="inlineStr">
        <is>
          <t>电流互感器</t>
        </is>
      </c>
      <c r="C1653" s="22" t="inlineStr">
        <is>
          <t>SD-0.66-40II-C 400/5A</t>
        </is>
      </c>
      <c r="D1653" s="22" t="inlineStr">
        <is>
          <t>桑迪</t>
        </is>
      </c>
      <c r="E1653" s="23" t="inlineStr">
        <is>
          <t>只</t>
        </is>
      </c>
      <c r="F1653" s="23" t="n">
        <v>9</v>
      </c>
      <c r="G1653" s="349">
        <f>IF(AND(B1653="",C1653=""),"",ROUND(M1653*L1653*N1653,2))</f>
        <v/>
      </c>
      <c r="H1653" s="396">
        <f>IF(AND(B1653="",C1653=""),"",ROUND(F1653*G1653,2))</f>
        <v/>
      </c>
      <c r="I1653" s="219" t="inlineStr"/>
      <c r="J1653" s="397">
        <f>IF(AND(B1653="",C1653=""),"",ROUND(M1653*N1653,2))</f>
        <v/>
      </c>
      <c r="K1653" s="398">
        <f>IF(AND(B1653="",C1653=""),"",ROUND(J1653*F1653,2))</f>
        <v/>
      </c>
      <c r="L1653" s="200" t="n">
        <v>1</v>
      </c>
      <c r="M1653" s="399" t="n">
        <v>52</v>
      </c>
      <c r="N1653" s="154" t="n">
        <v>1</v>
      </c>
      <c r="O1653" s="155">
        <f>IF(AND(B1653="",C1653=""),"",IF(G1653&gt;=20000,0.05,IF(G1653&gt;=10000,0.1,IF(G1653&gt;=5000,0.2,IF(G1653&gt;=1000,0.3,IF(G1653&gt;=0,0.4,{0}))))))</f>
        <v/>
      </c>
      <c r="P1653" s="400">
        <f>IF(AND(B1653="",C1653=""),"",ROUND(H1653*O1653,2))</f>
        <v/>
      </c>
      <c r="Q1653" s="401" t="inlineStr">
        <is>
          <t>元件</t>
        </is>
      </c>
      <c r="R1653" s="168" t="inlineStr"/>
      <c r="S1653" s="168" t="inlineStr"/>
      <c r="T1653" s="168" t="inlineStr">
        <is>
          <t>0</t>
        </is>
      </c>
      <c r="U1653" s="168" t="inlineStr">
        <is>
          <t>710140200000049</t>
        </is>
      </c>
      <c r="V1653" s="402" t="n"/>
      <c r="W1653" s="402" t="n"/>
      <c r="X1653" s="170" t="inlineStr">
        <is>
          <t>SD→SD-0.66-40II-C 400/5A→SD-0.66-30I 250/5A→SD-0.66-30I 150/5A→SD-0.66-60II-C 750/5A→SD-0.66-60II-C 600/5A→SD-0.66-30I 150/5A→SD-0.66-40II-C 400/5A→SD-0.66-100II-C 1600/5A→SD-0.66-80II-V 1000/5A</t>
        </is>
      </c>
    </row>
    <row r="1654" s="308">
      <c r="A1654" s="64">
        <f>ROW()-ROW(A$1646)</f>
        <v/>
      </c>
      <c r="B1654" s="22" t="inlineStr">
        <is>
          <t>电流互感器</t>
        </is>
      </c>
      <c r="C1654" s="22" t="inlineStr">
        <is>
          <t>SD-0.66-60II-C 600/5A</t>
        </is>
      </c>
      <c r="D1654" s="22" t="inlineStr">
        <is>
          <t>桑迪</t>
        </is>
      </c>
      <c r="E1654" s="23" t="inlineStr">
        <is>
          <t>只</t>
        </is>
      </c>
      <c r="F1654" s="23" t="n">
        <v>3</v>
      </c>
      <c r="G1654" s="349">
        <f>IF(AND(B1654="",C1654=""),"",ROUND(M1654*L1654*N1654,2))</f>
        <v/>
      </c>
      <c r="H1654" s="396">
        <f>IF(AND(B1654="",C1654=""),"",ROUND(F1654*G1654,2))</f>
        <v/>
      </c>
      <c r="I1654" s="219" t="inlineStr"/>
      <c r="J1654" s="397">
        <f>IF(AND(B1654="",C1654=""),"",ROUND(M1654*N1654,2))</f>
        <v/>
      </c>
      <c r="K1654" s="398">
        <f>IF(AND(B1654="",C1654=""),"",ROUND(J1654*F1654,2))</f>
        <v/>
      </c>
      <c r="L1654" s="200" t="n">
        <v>1</v>
      </c>
      <c r="M1654" s="399" t="n">
        <v>63.7</v>
      </c>
      <c r="N1654" s="154" t="n">
        <v>1</v>
      </c>
      <c r="O1654" s="155">
        <f>IF(AND(B1654="",C1654=""),"",IF(G1654&gt;=20000,0.05,IF(G1654&gt;=10000,0.1,IF(G1654&gt;=5000,0.2,IF(G1654&gt;=1000,0.3,IF(G1654&gt;=0,0.4,{0}))))))</f>
        <v/>
      </c>
      <c r="P1654" s="400">
        <f>IF(AND(B1654="",C1654=""),"",ROUND(H1654*O1654,2))</f>
        <v/>
      </c>
      <c r="Q1654" s="401" t="inlineStr">
        <is>
          <t>元件</t>
        </is>
      </c>
      <c r="R1654" s="168" t="inlineStr"/>
      <c r="S1654" s="168" t="inlineStr"/>
      <c r="T1654" s="168" t="inlineStr">
        <is>
          <t>0</t>
        </is>
      </c>
      <c r="U1654" s="168" t="inlineStr"/>
      <c r="V1654" s="402" t="n"/>
      <c r="W1654" s="402" t="n"/>
      <c r="X1654" s="170" t="inlineStr">
        <is>
          <t>SD→SD-0.66-40II-C 400/5A→SD-0.66-30I 250/5A→SD-0.66-30I 150/5A→SD-0.66-60II-C 750/5A→SD-0.66-60II-C 600/5A→SD-0.66-30I 150/5A→SD-0.66-40II-C 400/5A→SD-0.66-100II-C 1600/5A→SD-0.66-80II-V 1000/5A→SD-0.66-40II-C 400/5A</t>
        </is>
      </c>
    </row>
    <row r="1655" s="308">
      <c r="A1655" s="64">
        <f>ROW()-ROW(A$1646)</f>
        <v/>
      </c>
      <c r="B1655" s="112" t="inlineStr">
        <is>
          <t>多功能表</t>
        </is>
      </c>
      <c r="C1655" s="112" t="inlineStr">
        <is>
          <t>PM4101</t>
        </is>
      </c>
      <c r="D1655" s="112" t="inlineStr">
        <is>
          <t>甲供/施耐德电气</t>
        </is>
      </c>
      <c r="E1655" s="114" t="inlineStr">
        <is>
          <t>只</t>
        </is>
      </c>
      <c r="F1655" s="114" t="n">
        <v>8</v>
      </c>
      <c r="G1655" s="396">
        <f>IF(AND(B1655="",C1655=""),"",ROUND(M1655*L1655*N1655,2))</f>
        <v/>
      </c>
      <c r="H1655" s="349">
        <f>IF(AND(B1655="",C1655=""),"",ROUND(F1655*G1655,2))</f>
        <v/>
      </c>
      <c r="I1655" s="45" t="inlineStr"/>
      <c r="J1655" s="397">
        <f>IF(AND(B1655="",C1655=""),"",ROUND(M1655*N1655,2))</f>
        <v/>
      </c>
      <c r="K1655" s="398">
        <f>IF(AND(B1655="",C1655=""),"",ROUND(J1655*F1655,2))</f>
        <v/>
      </c>
      <c r="L1655" s="200" t="n">
        <v>1</v>
      </c>
      <c r="M1655" s="399" t="n">
        <v>1e-07</v>
      </c>
      <c r="N1655" s="154" t="n">
        <v>1</v>
      </c>
      <c r="O1655" s="155">
        <f>IF(AND(B1655="",C1655=""),"",IF(J1655&gt;=20000,0.05,IF(J1655&gt;=10000,0.1,IF(J1655&gt;=5000,0.2,IF(J1655&gt;=1000,0.3,IF(J1655&gt;=0,0.4,{0}))))))</f>
        <v/>
      </c>
      <c r="P1655" s="400">
        <f>IF(AND(B1655="",C1655=""),"",ROUND(H1655*O1655,2))</f>
        <v/>
      </c>
      <c r="Q1655" s="401" t="inlineStr">
        <is>
          <t>元件</t>
        </is>
      </c>
      <c r="R1655" s="168" t="inlineStr"/>
      <c r="S1655" s="168" t="inlineStr"/>
      <c r="T1655" s="168" t="inlineStr">
        <is>
          <t>0</t>
        </is>
      </c>
      <c r="U1655" s="168" t="inlineStr"/>
      <c r="V1655" s="402" t="n"/>
      <c r="W1655" s="402" t="n"/>
      <c r="X1655" s="170" t="inlineStr"/>
    </row>
    <row r="1656" customFormat="1" s="3">
      <c r="A1656" s="64">
        <f>ROW()-ROW(A$1646)</f>
        <v/>
      </c>
      <c r="B1656" s="22" t="inlineStr">
        <is>
          <t>指示灯</t>
        </is>
      </c>
      <c r="C1656" s="22" t="inlineStr">
        <is>
          <t>XB2BVM3LC</t>
        </is>
      </c>
      <c r="D1656" s="22" t="inlineStr">
        <is>
          <t>甲供/施耐德电气</t>
        </is>
      </c>
      <c r="E1656" s="23" t="inlineStr">
        <is>
          <t>只</t>
        </is>
      </c>
      <c r="F1656" s="23" t="n">
        <v>8</v>
      </c>
      <c r="G1656" s="349">
        <f>IF(AND(B1656="",C1656=""),"",ROUND(M1656*L1656*N1656,2))</f>
        <v/>
      </c>
      <c r="H1656" s="353">
        <f>IF(AND(B1656="",C1656=""),"",ROUND(F1656*G1656,2))</f>
        <v/>
      </c>
      <c r="I1656" s="180" t="inlineStr"/>
      <c r="J1656" s="392">
        <f>IF(AND(B1656="",C1656=""),"",ROUND(M1656*N1656,2))</f>
        <v/>
      </c>
      <c r="K1656" s="393">
        <f>IF(AND(B1656="",C1656=""),"",ROUND(J1656*F1656,2))</f>
        <v/>
      </c>
      <c r="L1656" s="141" t="n">
        <v>1</v>
      </c>
      <c r="M1656" s="394" t="n">
        <v>1e-07</v>
      </c>
      <c r="N1656" s="220" t="n">
        <v>1</v>
      </c>
      <c r="O1656" s="221">
        <f>IF(AND(B1656="",C1656=""),"",IF(G1656&gt;=20000,0.05,IF(G1656&gt;=10000,0.1,IF(G1656&gt;=5000,0.2,IF(G1656&gt;=1000,0.3,IF(G1656&gt;=0,0.4,{0}))))))</f>
        <v/>
      </c>
      <c r="P1656" s="419">
        <f>IF(AND(B1656="",C1656=""),"",ROUND(H1656*O1656,2))</f>
        <v/>
      </c>
      <c r="Q1656" s="420" t="inlineStr">
        <is>
          <t>元件</t>
        </is>
      </c>
      <c r="R1656" s="231" t="inlineStr"/>
      <c r="S1656" s="231" t="inlineStr"/>
      <c r="T1656" s="231" t="inlineStr">
        <is>
          <t>0</t>
        </is>
      </c>
      <c r="U1656" s="231" t="inlineStr">
        <is>
          <t>XB2BVM3LC</t>
        </is>
      </c>
      <c r="V1656" s="421" t="n"/>
      <c r="W1656" s="421" t="n"/>
      <c r="X1656" s="166" t="inlineStr">
        <is>
          <t>XA2EVM3LC</t>
        </is>
      </c>
    </row>
    <row r="1657" customFormat="1" s="3">
      <c r="A1657" s="64">
        <f>ROW()-ROW(A$1646)</f>
        <v/>
      </c>
      <c r="B1657" s="22" t="inlineStr">
        <is>
          <t>指示灯</t>
        </is>
      </c>
      <c r="C1657" s="22" t="inlineStr">
        <is>
          <t>XB2BVM4LC</t>
        </is>
      </c>
      <c r="D1657" s="22" t="inlineStr">
        <is>
          <t>甲供/施耐德电气</t>
        </is>
      </c>
      <c r="E1657" s="23" t="inlineStr">
        <is>
          <t>只</t>
        </is>
      </c>
      <c r="F1657" s="23" t="n">
        <v>8</v>
      </c>
      <c r="G1657" s="349">
        <f>IF(AND(B1657="",C1657=""),"",ROUND(M1657*L1657*N1657,2))</f>
        <v/>
      </c>
      <c r="H1657" s="353">
        <f>IF(AND(B1657="",C1657=""),"",ROUND(F1657*G1657,2))</f>
        <v/>
      </c>
      <c r="I1657" s="180" t="inlineStr"/>
      <c r="J1657" s="392">
        <f>IF(AND(B1657="",C1657=""),"",ROUND(M1657*N1657,2))</f>
        <v/>
      </c>
      <c r="K1657" s="393">
        <f>IF(AND(B1657="",C1657=""),"",ROUND(J1657*F1657,2))</f>
        <v/>
      </c>
      <c r="L1657" s="141" t="n">
        <v>1</v>
      </c>
      <c r="M1657" s="394" t="n">
        <v>1e-07</v>
      </c>
      <c r="N1657" s="220" t="n">
        <v>1</v>
      </c>
      <c r="O1657" s="221">
        <f>IF(AND(B1657="",C1657=""),"",IF(G1657&gt;=20000,0.05,IF(G1657&gt;=10000,0.1,IF(G1657&gt;=5000,0.2,IF(G1657&gt;=1000,0.3,IF(G1657&gt;=0,0.4,{0}))))))</f>
        <v/>
      </c>
      <c r="P1657" s="419">
        <f>IF(AND(B1657="",C1657=""),"",ROUND(H1657*O1657,2))</f>
        <v/>
      </c>
      <c r="Q1657" s="420" t="inlineStr">
        <is>
          <t>元件</t>
        </is>
      </c>
      <c r="R1657" s="231" t="inlineStr"/>
      <c r="S1657" s="231" t="inlineStr"/>
      <c r="T1657" s="231" t="inlineStr">
        <is>
          <t>0</t>
        </is>
      </c>
      <c r="U1657" s="231" t="inlineStr">
        <is>
          <t>XB2BVM4LC</t>
        </is>
      </c>
      <c r="V1657" s="421" t="n"/>
      <c r="W1657" s="421" t="n"/>
      <c r="X1657" s="166" t="inlineStr">
        <is>
          <t>XA2EVM4LC</t>
        </is>
      </c>
    </row>
    <row r="1658" s="308">
      <c r="A1658" s="64">
        <f>ROW()-ROW(A$1646)</f>
        <v/>
      </c>
      <c r="B1658" s="112" t="inlineStr">
        <is>
          <t>温湿度控制器</t>
        </is>
      </c>
      <c r="C1658" s="112" t="inlineStr">
        <is>
          <t>ATH48G-11</t>
        </is>
      </c>
      <c r="D1658" s="22" t="inlineStr">
        <is>
          <t>杭州安廷</t>
        </is>
      </c>
      <c r="E1658" s="23" t="inlineStr">
        <is>
          <t>套</t>
        </is>
      </c>
      <c r="F1658" s="23" t="n">
        <v>1</v>
      </c>
      <c r="G1658" s="349">
        <f>IF(AND(B1658="",C1658=""),"",ROUND(M1658*L1658*N1658,2))</f>
        <v/>
      </c>
      <c r="H1658" s="396">
        <f>IF(AND(B1658="",C1658=""),"",ROUND(F1658*G1658,2))</f>
        <v/>
      </c>
      <c r="I1658" s="150" t="inlineStr"/>
      <c r="J1658" s="397">
        <f>IF(AND(B1658="",C1658=""),"",ROUND(M1658*N1658,2))</f>
        <v/>
      </c>
      <c r="K1658" s="398">
        <f>IF(AND(B1658="",C1658=""),"",ROUND(J1658*F1658,2))</f>
        <v/>
      </c>
      <c r="L1658" s="141" t="n">
        <v>1</v>
      </c>
      <c r="M1658" s="399" t="n">
        <v>450</v>
      </c>
      <c r="N1658" s="154" t="n">
        <v>1</v>
      </c>
      <c r="O1658" s="155">
        <f>IF(AND(B1658="",C1658=""),"",IF(G1658&gt;=20000,0.05,IF(G1658&gt;=10000,0.1,IF(G1658&gt;=5000,0.2,IF(G1658&gt;=1000,0.3,IF(G1658&gt;=0,0.4,{0}))))))</f>
        <v/>
      </c>
      <c r="P1658" s="400">
        <f>IF(AND(B1658="",C1658=""),"",ROUND(H1658*O1658,2))</f>
        <v/>
      </c>
      <c r="Q1658" s="401" t="inlineStr">
        <is>
          <t>元件</t>
        </is>
      </c>
      <c r="R1658" s="168" t="inlineStr"/>
      <c r="S1658" s="168" t="inlineStr"/>
      <c r="T1658" s="168" t="inlineStr">
        <is>
          <t>0</t>
        </is>
      </c>
      <c r="U1658" s="168" t="inlineStr"/>
      <c r="V1658" s="402" t="n"/>
      <c r="W1658" s="402" t="n"/>
      <c r="X1658" s="170" t="inlineStr"/>
    </row>
    <row r="1659" s="308">
      <c r="A1659" s="64">
        <f>ROW()-ROW(A$1646)</f>
        <v/>
      </c>
      <c r="B1659" s="22" t="inlineStr">
        <is>
          <t>中间继电器</t>
        </is>
      </c>
      <c r="C1659" s="22" t="inlineStr">
        <is>
          <t>RXM4AB2P7+RXZE2S114M+RXZ400</t>
        </is>
      </c>
      <c r="D1659" s="22" t="inlineStr">
        <is>
          <t>甲供/施耐德电气</t>
        </is>
      </c>
      <c r="E1659" s="23" t="inlineStr">
        <is>
          <t>只</t>
        </is>
      </c>
      <c r="F1659" s="23" t="n">
        <v>16</v>
      </c>
      <c r="G1659" s="349">
        <f>IF(AND(B1659="",C1659=""),"",ROUND(M1659*L1659*N1659,2))</f>
        <v/>
      </c>
      <c r="H1659" s="349">
        <f>IF(AND(B1659="",C1659=""),"",ROUND(F1659*G1659,2))</f>
        <v/>
      </c>
      <c r="I1659" s="45" t="inlineStr"/>
      <c r="J1659" s="397">
        <f>IF(AND(B1659="",C1659=""),"",ROUND(M1659*N1659,2))</f>
        <v/>
      </c>
      <c r="K1659" s="398">
        <f>IF(AND(B1659="",C1659=""),"",ROUND(J1659*F1659,2))</f>
        <v/>
      </c>
      <c r="L1659" s="141" t="n">
        <v>1</v>
      </c>
      <c r="M1659" s="399" t="n">
        <v>1e-07</v>
      </c>
      <c r="N1659" s="154" t="n">
        <v>1</v>
      </c>
      <c r="O1659" s="155">
        <f>IF(AND(B1659="",C1659=""),"",IF(G1659&gt;=20000,0.05,IF(G1659&gt;=10000,0.1,IF(G1659&gt;=5000,0.2,IF(G1659&gt;=1000,0.3,IF(G1659&gt;=0,0.4,{0}))))))</f>
        <v/>
      </c>
      <c r="P1659" s="400">
        <f>IF(AND(B1659="",C1659=""),"",ROUND(H1659*O1659,2))</f>
        <v/>
      </c>
      <c r="Q1659" s="401" t="inlineStr">
        <is>
          <t>元件</t>
        </is>
      </c>
      <c r="R1659" s="168" t="inlineStr"/>
      <c r="S1659" s="168" t="inlineStr"/>
      <c r="T1659" s="168" t="inlineStr">
        <is>
          <t>0</t>
        </is>
      </c>
      <c r="U1659" s="168" t="inlineStr">
        <is>
          <t>RXM4AB2P7+RXZE2S114M+RXZ400</t>
        </is>
      </c>
      <c r="V1659" s="402" t="n"/>
      <c r="W1659" s="402" t="n"/>
      <c r="X1659" s="170" t="inlineStr">
        <is>
          <t>REL-IR-BL/L-230AC/4X21，含底座→RXM4AB2P7+RXZE2S114M+RXZ400→REL-IR-BL/L-230AC/4X21，含底座</t>
        </is>
      </c>
    </row>
    <row r="1660" customFormat="1" s="3">
      <c r="A1660" s="64">
        <f>ROW()-ROW(A$1646)</f>
        <v/>
      </c>
      <c r="B1660" s="22" t="inlineStr">
        <is>
          <t>带熔丝端子</t>
        </is>
      </c>
      <c r="C1660" s="22" t="inlineStr">
        <is>
          <t>UK 5-HESI</t>
        </is>
      </c>
      <c r="D1660" s="22" t="inlineStr">
        <is>
          <t>菲尼克斯</t>
        </is>
      </c>
      <c r="E1660" s="23" t="inlineStr">
        <is>
          <t>只</t>
        </is>
      </c>
      <c r="F1660" s="23" t="n">
        <v>32</v>
      </c>
      <c r="G1660" s="349">
        <f>IF(AND(B1660="",C1660=""),"",ROUND(M1660*L1660*N1660,2))</f>
        <v/>
      </c>
      <c r="H1660" s="349">
        <f>IF(AND(B1660="",C1660=""),"",ROUND(F1660*G1660,2))</f>
        <v/>
      </c>
      <c r="I1660" s="45" t="inlineStr"/>
      <c r="J1660" s="392">
        <f>IF(AND(B1660="",C1660=""),"",ROUND(M1660*N1660,2))</f>
        <v/>
      </c>
      <c r="K1660" s="393">
        <f>IF(AND(B1660="",C1660=""),"",ROUND(J1660*F1660,2))</f>
        <v/>
      </c>
      <c r="L1660" s="141" t="n">
        <v>1</v>
      </c>
      <c r="M1660" s="394" t="n">
        <v>7</v>
      </c>
      <c r="N1660" s="220" t="n">
        <v>1</v>
      </c>
      <c r="O1660" s="221">
        <f>IF(AND(B1660="",C1660=""),"",IF(G1660&gt;=20000,0.05,IF(G1660&gt;=10000,0.1,IF(G1660&gt;=5000,0.2,IF(G1660&gt;=1000,0.3,IF(G1660&gt;=0,0.4,{0}))))))</f>
        <v/>
      </c>
      <c r="P1660" s="419">
        <f>IF(AND(B1660="",C1660=""),"",ROUND(H1660*O1660,2))</f>
        <v/>
      </c>
      <c r="Q1660" s="420" t="inlineStr">
        <is>
          <t>元件</t>
        </is>
      </c>
      <c r="R1660" s="231" t="inlineStr"/>
      <c r="S1660" s="231" t="inlineStr"/>
      <c r="T1660" s="231" t="inlineStr">
        <is>
          <t>0</t>
        </is>
      </c>
      <c r="U1660" s="231" t="inlineStr">
        <is>
          <t>True</t>
        </is>
      </c>
      <c r="V1660" s="421" t="n"/>
      <c r="W1660" s="421" t="n"/>
      <c r="X1660" s="166" t="inlineStr"/>
    </row>
    <row r="1661" s="308">
      <c r="A1661" s="64">
        <f>ROW()-ROW(A$1646)</f>
        <v/>
      </c>
      <c r="B1661" s="22" t="inlineStr">
        <is>
          <t>水平母排</t>
        </is>
      </c>
      <c r="C1661" s="22" t="inlineStr">
        <is>
          <t>TMY 4*(2*100*5)+2*50*5</t>
        </is>
      </c>
      <c r="D1661" s="22" t="inlineStr">
        <is>
          <t>国产优质</t>
        </is>
      </c>
      <c r="E1661" s="23" t="inlineStr">
        <is>
          <t>米</t>
        </is>
      </c>
      <c r="F1661" s="23" t="n">
        <v>0.7</v>
      </c>
      <c r="G1661" s="349">
        <f>IF(AND(B1661="",C1661=""),"",ROUND(M1661*L1661*N1661,2))</f>
        <v/>
      </c>
      <c r="H1661" s="349">
        <f>IF(AND(B1661="",C1661=""),"",ROUND(F1661*G1661,2))</f>
        <v/>
      </c>
      <c r="I1661" s="45" t="inlineStr"/>
      <c r="J1661" s="397">
        <f>IF(AND(B1661="",C1661=""),"",ROUND(M1661*N1661,2))</f>
        <v/>
      </c>
      <c r="K1661" s="398">
        <f>IF(AND(B1661="",C1661=""),"",ROUND(J1661*F1661,2))</f>
        <v/>
      </c>
      <c r="L1661" s="200" t="n">
        <v>1</v>
      </c>
      <c r="M1661" s="399" t="n">
        <v>4329.60525</v>
      </c>
      <c r="N1661" s="154">
        <f>(6317.932*1*1+2684.8*1*1)/9002.732</f>
        <v/>
      </c>
      <c r="O1661" s="155">
        <f>IF(AND(B1661="",C1661=""),"",IF(J1661&gt;=20000,0.05,IF(J1661&gt;=10000,0.1,IF(J1661&gt;=5000,0.2,IF(J1661&gt;=1000,0.3,IF(J1661&gt;=0,0.4,{0}))))))</f>
        <v/>
      </c>
      <c r="P1661" s="400">
        <f>IF(AND(B1661="",C1661=""),"",ROUND(H1661*O1661,2))</f>
        <v/>
      </c>
      <c r="Q1661" s="401" t="inlineStr">
        <is>
          <t>母排</t>
        </is>
      </c>
      <c r="R1661" s="168" t="inlineStr"/>
      <c r="S1661" s="168" t="inlineStr"/>
      <c r="T1661" s="168" t="inlineStr">
        <is>
          <t>0</t>
        </is>
      </c>
      <c r="U1661" s="168" t="inlineStr"/>
      <c r="V1661" s="402" t="n"/>
      <c r="W1661" s="402" t="n"/>
      <c r="X1661" s="170" t="inlineStr"/>
    </row>
    <row r="1662" customFormat="1" s="5">
      <c r="A1662" s="64">
        <f>ROW()-ROW(A$1646)</f>
        <v/>
      </c>
      <c r="B1662" s="22" t="inlineStr">
        <is>
          <t>垂直排</t>
        </is>
      </c>
      <c r="C1662" s="22" t="inlineStr">
        <is>
          <t>TMY 4*3*80*5</t>
        </is>
      </c>
      <c r="D1662" s="22" t="inlineStr">
        <is>
          <t>国产优质</t>
        </is>
      </c>
      <c r="E1662" s="23" t="inlineStr">
        <is>
          <t>米</t>
        </is>
      </c>
      <c r="F1662" s="23" t="n">
        <v>2</v>
      </c>
      <c r="G1662" s="349">
        <f>IF(AND(B1662="",C1662=""),"",ROUND(M1662*L1662*N1662,2))</f>
        <v/>
      </c>
      <c r="H1662" s="349">
        <f>IF(AND(B1662="",C1662=""),"",ROUND(F1662*G1662,2))</f>
        <v/>
      </c>
      <c r="I1662" s="45" t="inlineStr"/>
      <c r="J1662" s="422">
        <f>IF(AND(B1662="",C1662=""),"",ROUND(M1662*N1662,2))</f>
        <v/>
      </c>
      <c r="K1662" s="423">
        <f>IF(AND(B1662="",C1662=""),"",ROUND(J1662*F1662,2))</f>
        <v/>
      </c>
      <c r="L1662" s="225" t="n">
        <v>1</v>
      </c>
      <c r="M1662" s="424" t="n">
        <v>4618.2456</v>
      </c>
      <c r="N1662" s="227" t="n">
        <v>1</v>
      </c>
      <c r="O1662" s="228">
        <f>IF(AND(B1662="",C1662=""),"",IF(G1662&gt;=20000,0.05,IF(G1662&gt;=10000,0.1,IF(G1662&gt;=5000,0.2,IF(G1662&gt;=1000,0.3,IF(G1662&gt;=0,0.4,{0}))))))</f>
        <v/>
      </c>
      <c r="P1662" s="425">
        <f>IF(AND(B1662="",C1662=""),"",ROUND(H1662*O1662,2))</f>
        <v/>
      </c>
      <c r="Q1662" s="426" t="inlineStr">
        <is>
          <t>母排</t>
        </is>
      </c>
      <c r="R1662" s="234" t="inlineStr"/>
      <c r="S1662" s="234" t="inlineStr"/>
      <c r="T1662" s="235" t="inlineStr">
        <is>
          <t>0</t>
        </is>
      </c>
      <c r="U1662" s="235" t="inlineStr"/>
      <c r="V1662" s="427" t="n"/>
      <c r="W1662" s="427" t="n"/>
      <c r="X1662" s="237" t="inlineStr">
        <is>
          <t>TMY 2*30*5→TMY 30*8</t>
        </is>
      </c>
    </row>
    <row r="1663" customFormat="1" s="5">
      <c r="A1663" s="64">
        <f>ROW()-ROW(A$1646)</f>
        <v/>
      </c>
      <c r="B1663" s="22" t="inlineStr">
        <is>
          <t>N排</t>
        </is>
      </c>
      <c r="C1663" s="22" t="inlineStr">
        <is>
          <t>TMY 3*80*5</t>
        </is>
      </c>
      <c r="D1663" s="22" t="inlineStr">
        <is>
          <t>国产优质</t>
        </is>
      </c>
      <c r="E1663" s="23" t="inlineStr">
        <is>
          <t>米</t>
        </is>
      </c>
      <c r="F1663" s="23" t="n">
        <v>1</v>
      </c>
      <c r="G1663" s="349">
        <f>IF(AND(B1663="",C1663=""),"",ROUND(M1663*L1663*N1663,2))</f>
        <v/>
      </c>
      <c r="H1663" s="349">
        <f>IF(AND(B1663="",C1663=""),"",ROUND(F1663*G1663,2))</f>
        <v/>
      </c>
      <c r="I1663" s="45" t="inlineStr"/>
      <c r="J1663" s="422">
        <f>IF(AND(B1663="",C1663=""),"",ROUND(M1663*N1663,2))</f>
        <v/>
      </c>
      <c r="K1663" s="423">
        <f>IF(AND(B1663="",C1663=""),"",ROUND(J1663*F1663,2))</f>
        <v/>
      </c>
      <c r="L1663" s="225" t="n">
        <v>1</v>
      </c>
      <c r="M1663" s="424" t="n">
        <v>1154.5614</v>
      </c>
      <c r="N1663" s="227" t="n">
        <v>1</v>
      </c>
      <c r="O1663" s="228">
        <f>IF(AND(B1663="",C1663=""),"",IF(G1663&gt;=20000,0.05,IF(G1663&gt;=10000,0.1,IF(G1663&gt;=5000,0.2,IF(G1663&gt;=1000,0.3,IF(G1663&gt;=0,0.4,{0}))))))</f>
        <v/>
      </c>
      <c r="P1663" s="425">
        <f>IF(AND(B1663="",C1663=""),"",ROUND(H1663*O1663,2))</f>
        <v/>
      </c>
      <c r="Q1663" s="426" t="inlineStr">
        <is>
          <t>母排</t>
        </is>
      </c>
      <c r="R1663" s="234" t="inlineStr"/>
      <c r="S1663" s="234" t="inlineStr"/>
      <c r="T1663" s="235" t="inlineStr">
        <is>
          <t>0</t>
        </is>
      </c>
      <c r="U1663" s="235" t="inlineStr"/>
      <c r="V1663" s="427" t="n"/>
      <c r="W1663" s="427" t="n"/>
      <c r="X1663" s="237" t="inlineStr">
        <is>
          <t>TMY 2*30*5→TMY 30*8</t>
        </is>
      </c>
    </row>
    <row r="1664" customFormat="1" s="5">
      <c r="A1664" s="64">
        <f>ROW()-ROW(A$1646)</f>
        <v/>
      </c>
      <c r="B1664" s="22" t="inlineStr">
        <is>
          <t>PE排</t>
        </is>
      </c>
      <c r="C1664" s="22" t="inlineStr">
        <is>
          <t>TMY 2*50*5</t>
        </is>
      </c>
      <c r="D1664" s="22" t="inlineStr">
        <is>
          <t>国产优质</t>
        </is>
      </c>
      <c r="E1664" s="23" t="inlineStr">
        <is>
          <t>米</t>
        </is>
      </c>
      <c r="F1664" s="23" t="n">
        <v>2</v>
      </c>
      <c r="G1664" s="349">
        <f>IF(AND(B1664="",C1664=""),"",ROUND(M1664*L1664*N1664,2))</f>
        <v/>
      </c>
      <c r="H1664" s="349">
        <f>IF(AND(B1664="",C1664=""),"",ROUND(F1664*G1664,2))</f>
        <v/>
      </c>
      <c r="I1664" s="45" t="inlineStr"/>
      <c r="J1664" s="422">
        <f>IF(AND(B1664="",C1664=""),"",ROUND(M1664*N1664,2))</f>
        <v/>
      </c>
      <c r="K1664" s="423">
        <f>IF(AND(B1664="",C1664=""),"",ROUND(J1664*F1664,2))</f>
        <v/>
      </c>
      <c r="L1664" s="225" t="n">
        <v>1</v>
      </c>
      <c r="M1664" s="424" t="n">
        <v>481.06725</v>
      </c>
      <c r="N1664" s="227" t="n">
        <v>1</v>
      </c>
      <c r="O1664" s="228">
        <f>IF(AND(B1664="",C1664=""),"",IF(G1664&gt;=20000,0.05,IF(G1664&gt;=10000,0.1,IF(G1664&gt;=5000,0.2,IF(G1664&gt;=1000,0.3,IF(G1664&gt;=0,0.4,{0}))))))</f>
        <v/>
      </c>
      <c r="P1664" s="425">
        <f>IF(AND(B1664="",C1664=""),"",ROUND(H1664*O1664,2))</f>
        <v/>
      </c>
      <c r="Q1664" s="426" t="inlineStr">
        <is>
          <t>母排</t>
        </is>
      </c>
      <c r="R1664" s="234" t="inlineStr"/>
      <c r="S1664" s="234" t="inlineStr"/>
      <c r="T1664" s="235" t="inlineStr">
        <is>
          <t>0</t>
        </is>
      </c>
      <c r="U1664" s="235" t="inlineStr"/>
      <c r="V1664" s="427" t="n"/>
      <c r="W1664" s="427" t="n"/>
      <c r="X1664" s="237" t="inlineStr">
        <is>
          <t>TMY 2*30*5→TMY 30*8</t>
        </is>
      </c>
    </row>
    <row r="1665" customFormat="1" s="5">
      <c r="A1665" s="64">
        <f>ROW()-ROW(A$1646)</f>
        <v/>
      </c>
      <c r="B1665" s="22" t="inlineStr">
        <is>
          <t>400A铜排</t>
        </is>
      </c>
      <c r="C1665" s="22" t="inlineStr">
        <is>
          <t>TMY 30*5</t>
        </is>
      </c>
      <c r="D1665" s="22" t="inlineStr">
        <is>
          <t>国产优质</t>
        </is>
      </c>
      <c r="E1665" s="23" t="inlineStr">
        <is>
          <t>米</t>
        </is>
      </c>
      <c r="F1665" s="23" t="n">
        <v>13.9</v>
      </c>
      <c r="G1665" s="349">
        <f>IF(AND(B1665="",C1665=""),"",ROUND(M1665*L1665*N1665,2))</f>
        <v/>
      </c>
      <c r="H1665" s="349">
        <f>IF(AND(B1665="",C1665=""),"",ROUND(F1665*G1665,2))</f>
        <v/>
      </c>
      <c r="I1665" s="45" t="inlineStr"/>
      <c r="J1665" s="422">
        <f>IF(AND(B1665="",C1665=""),"",ROUND(M1665*N1665,2))</f>
        <v/>
      </c>
      <c r="K1665" s="423">
        <f>IF(AND(B1665="",C1665=""),"",ROUND(J1665*F1665,2))</f>
        <v/>
      </c>
      <c r="L1665" s="225" t="n">
        <v>1</v>
      </c>
      <c r="M1665" s="424" t="n">
        <v>144.320175</v>
      </c>
      <c r="N1665" s="227" t="n">
        <v>1</v>
      </c>
      <c r="O1665" s="228">
        <f>IF(AND(B1665="",C1665=""),"",IF(G1665&gt;=20000,0.05,IF(G1665&gt;=10000,0.1,IF(G1665&gt;=5000,0.2,IF(G1665&gt;=1000,0.3,IF(G1665&gt;=0,0.4,{0}))))))</f>
        <v/>
      </c>
      <c r="P1665" s="425">
        <f>IF(AND(B1665="",C1665=""),"",ROUND(H1665*O1665,2))</f>
        <v/>
      </c>
      <c r="Q1665" s="426" t="inlineStr">
        <is>
          <t>母排</t>
        </is>
      </c>
      <c r="R1665" s="234" t="inlineStr"/>
      <c r="S1665" s="234" t="inlineStr"/>
      <c r="T1665" s="235" t="inlineStr">
        <is>
          <t>0</t>
        </is>
      </c>
      <c r="U1665" s="235" t="inlineStr"/>
      <c r="V1665" s="427" t="n"/>
      <c r="W1665" s="427" t="n"/>
      <c r="X1665" s="237" t="inlineStr">
        <is>
          <t>TMY 2*30*5→TMY 30*8</t>
        </is>
      </c>
    </row>
    <row r="1666" s="308">
      <c r="A1666" s="64">
        <f>ROW()-ROW(A$1646)</f>
        <v/>
      </c>
      <c r="B1666" s="112" t="inlineStr">
        <is>
          <t>辅料</t>
        </is>
      </c>
      <c r="C1666" s="112" t="inlineStr"/>
      <c r="D1666" s="112" t="inlineStr"/>
      <c r="E1666" s="114" t="inlineStr">
        <is>
          <t>套</t>
        </is>
      </c>
      <c r="F1666" s="114" t="n">
        <v>1</v>
      </c>
      <c r="G1666" s="396">
        <f>IF(AND(B1666="",C1666=""),"",ROUND(M1666*L1666*N1666,2))</f>
        <v/>
      </c>
      <c r="H1666" s="396">
        <f>IF(AND(B1666="",C1666=""),"",ROUND(F1666*G1666,2))</f>
        <v/>
      </c>
      <c r="I1666" s="219" t="inlineStr"/>
      <c r="J1666" s="397">
        <f>IF(AND(B1666="",C1666=""),"",ROUND(M1666*N1666,2))</f>
        <v/>
      </c>
      <c r="K1666" s="398">
        <f>IF(AND(B1666="",C1666=""),"",ROUND(J1666*F1666,2))</f>
        <v/>
      </c>
      <c r="L1666" s="200" t="n">
        <v>1</v>
      </c>
      <c r="M1666" s="399" t="n">
        <v>1694.91</v>
      </c>
      <c r="N1666" s="154" t="n">
        <v>1</v>
      </c>
      <c r="O1666" s="155">
        <f>IF(AND(B1666="",C1666=""),"",IF(G1666&gt;=20000,0.05,IF(G1666&gt;=10000,0.1,IF(G1666&gt;=5000,0.2,IF(G1666&gt;=1000,0.3,IF(G1666&gt;=0,0.4,{0}))))))</f>
        <v/>
      </c>
      <c r="P1666" s="400">
        <f>IF(AND(B1666="",C1666=""),"",ROUND(H1666*O1666,2))</f>
        <v/>
      </c>
      <c r="Q1666" s="401" t="inlineStr">
        <is>
          <t>辅料</t>
        </is>
      </c>
      <c r="R1666" s="168" t="inlineStr"/>
      <c r="S1666" s="168" t="inlineStr"/>
      <c r="T1666" s="168" t="inlineStr">
        <is>
          <t>0</t>
        </is>
      </c>
      <c r="U1666" s="168" t="inlineStr"/>
      <c r="V1666" s="402" t="n"/>
      <c r="W1666" s="402" t="n"/>
      <c r="X1666" s="170" t="inlineStr"/>
    </row>
    <row r="1667" s="308">
      <c r="A1667" s="64">
        <f>ROW()-ROW(A$1646)</f>
        <v/>
      </c>
      <c r="B1667" s="112" t="inlineStr">
        <is>
          <t>柜体Blokset</t>
        </is>
      </c>
      <c r="C1667" s="22" t="inlineStr">
        <is>
          <t>600W*1200D*2200H</t>
        </is>
      </c>
      <c r="D1667" s="112" t="inlineStr">
        <is>
          <t>清科</t>
        </is>
      </c>
      <c r="E1667" s="114" t="inlineStr">
        <is>
          <t>台</t>
        </is>
      </c>
      <c r="F1667" s="114" t="n">
        <v>1</v>
      </c>
      <c r="G1667" s="396">
        <f>IF(AND(B1667="",C1667=""),"",ROUND(M1667*L1667*N1667,2))</f>
        <v/>
      </c>
      <c r="H1667" s="396">
        <f>IF(AND(B1667="",C1667=""),"",ROUND(F1667*G1667,2))</f>
        <v/>
      </c>
      <c r="I1667" s="219" t="inlineStr"/>
      <c r="J1667" s="397">
        <f>IF(AND(B1667="",C1667=""),"",ROUND(M1667*N1667,2))</f>
        <v/>
      </c>
      <c r="K1667" s="398">
        <f>IF(AND(B1667="",C1667=""),"",ROUND(J1667*F1667,2))</f>
        <v/>
      </c>
      <c r="L1667" s="200" t="n">
        <v>1</v>
      </c>
      <c r="M1667" s="399" t="n">
        <v>5923</v>
      </c>
      <c r="N1667" s="154" t="n">
        <v>1</v>
      </c>
      <c r="O1667" s="155">
        <f>IF(AND(B1667="",C1667=""),"",IF(G1667&gt;=20000,0.05,IF(G1667&gt;=10000,0.1,IF(G1667&gt;=5000,0.2,IF(G1667&gt;=1000,0.3,IF(G1667&gt;=0,0.4,{0}))))))</f>
        <v/>
      </c>
      <c r="P1667" s="400">
        <f>IF(AND(B1667="",C1667=""),"",ROUND(H1667*O1667,2))</f>
        <v/>
      </c>
      <c r="Q1667" s="401" t="inlineStr">
        <is>
          <t>箱体</t>
        </is>
      </c>
      <c r="R1667" s="168" t="inlineStr"/>
      <c r="S1667" s="168" t="inlineStr"/>
      <c r="T1667" s="168" t="inlineStr">
        <is>
          <t>0</t>
        </is>
      </c>
      <c r="U1667" s="168" t="inlineStr"/>
      <c r="V1667" s="402" t="n"/>
      <c r="W1667" s="402" t="n"/>
      <c r="X1667" s="170" t="inlineStr">
        <is>
          <t>BlokSeT</t>
        </is>
      </c>
    </row>
    <row r="1668" s="308">
      <c r="A1668" s="64">
        <f>ROW()-ROW(A$1646)</f>
        <v/>
      </c>
      <c r="B1668" s="22" t="inlineStr"/>
      <c r="C1668" s="22" t="inlineStr"/>
      <c r="D1668" s="22" t="inlineStr"/>
      <c r="E1668" s="23" t="n"/>
      <c r="F1668" s="23">
        <f>IF(AND(B1668="",C1668=""),"",1)</f>
        <v/>
      </c>
      <c r="G1668" s="349">
        <f>IF(AND(B1668="",C1668=""),"",ROUND(M1668*L1668*N1668,2))</f>
        <v/>
      </c>
      <c r="H1668" s="349">
        <f>IF(AND(B1668="",C1668=""),"",ROUND(F1668*G1668,2))</f>
        <v/>
      </c>
      <c r="I1668" s="45" t="inlineStr"/>
      <c r="J1668" s="397">
        <f>IF(AND(B1668="",C1668=""),"",ROUND(M1668*N1668,2))</f>
        <v/>
      </c>
      <c r="K1668" s="398">
        <f>IF(AND(B1668="",C1668=""),"",ROUND(J1668*F1668,2))</f>
        <v/>
      </c>
      <c r="L1668" s="200">
        <f>IF(AND(B1668="",C1668=""),"",1)</f>
        <v/>
      </c>
      <c r="M1668" s="399" t="n"/>
      <c r="N1668" s="154">
        <f>IF(AND(B1668="",C1668=""),"",1)</f>
        <v/>
      </c>
      <c r="O1668" s="155">
        <f>IF(AND(B1668="",C1668=""),"",IF(J1668&gt;=20000,0.05,IF(J1668&gt;=10000,0.1,IF(J1668&gt;=5000,0.2,IF(J1668&gt;=1000,0.3,IF(J1668&gt;=0,0.4,{0}))))))</f>
        <v/>
      </c>
      <c r="P1668" s="400">
        <f>IF(AND(B1668="",C1668=""),"",ROUND(H1668*O1668,2))</f>
        <v/>
      </c>
      <c r="Q1668" s="401">
        <f>IF(AND(B1668="",C1668=""),"","元件")</f>
        <v/>
      </c>
      <c r="R1668" s="168" t="inlineStr"/>
      <c r="S1668" s="168" t="inlineStr"/>
      <c r="T1668" s="168" t="inlineStr"/>
      <c r="U1668" s="168" t="inlineStr"/>
      <c r="V1668" s="402" t="n"/>
      <c r="W1668" s="402" t="n"/>
      <c r="X1668" s="170" t="inlineStr"/>
    </row>
    <row r="1669" s="308">
      <c r="A1669" s="64">
        <f>ROW()-ROW(A$1646)</f>
        <v/>
      </c>
      <c r="B1669" s="171" t="inlineStr">
        <is>
          <t>小计</t>
        </is>
      </c>
      <c r="C1669" s="172" t="n"/>
      <c r="D1669" s="204" t="n"/>
      <c r="E1669" s="114" t="n"/>
      <c r="F1669" s="114" t="n"/>
      <c r="G1669" s="396" t="n"/>
      <c r="H1669" s="396">
        <f>ROUND(SUM(H1646:INDEX(H:H,ROW()-1)),2)</f>
        <v/>
      </c>
      <c r="I1669" s="45" t="inlineStr"/>
      <c r="J1669" s="397" t="n"/>
      <c r="K1669" s="398">
        <f>ROUND(SUM(K1646:INDEX(K:K,ROW()-1)),2)</f>
        <v/>
      </c>
      <c r="L1669" s="200" t="n"/>
      <c r="M1669" s="399" t="n"/>
      <c r="N1669" s="154" t="n"/>
      <c r="O1669" s="155" t="n"/>
      <c r="P1669" s="400" t="n"/>
      <c r="Q1669" s="401" t="n"/>
      <c r="R1669" s="168" t="inlineStr"/>
      <c r="S1669" s="168" t="inlineStr"/>
      <c r="T1669" s="168" t="inlineStr"/>
      <c r="U1669" s="168" t="inlineStr"/>
      <c r="V1669" s="402">
        <f>ROUND(SUMPRODUCT(F1646:INDEX(F:F,ROW()-1),V1646:INDEX(V:V,ROW()-1)),2)</f>
        <v/>
      </c>
      <c r="W1669" s="402">
        <f>ROUND(SUMPRODUCT(F1646:INDEX(F:F,ROW()-1),W1646:INDEX(W:W,ROW()-1)),2)</f>
        <v/>
      </c>
      <c r="X1669" s="170" t="inlineStr"/>
    </row>
    <row r="1670" s="308">
      <c r="A1670" s="64">
        <f>ROW()-ROW(A$1646)</f>
        <v/>
      </c>
      <c r="B1670" s="171" t="inlineStr">
        <is>
          <t>综合费(人工、管理、税金、利润等)</t>
        </is>
      </c>
      <c r="C1670" s="172" t="n"/>
      <c r="D1670" s="204" t="n"/>
      <c r="E1670" s="114" t="n"/>
      <c r="F1670" s="114" t="n"/>
      <c r="G1670" s="396" t="n"/>
      <c r="H1670" s="396">
        <f>2500</f>
        <v/>
      </c>
      <c r="I1670" s="45" t="inlineStr"/>
      <c r="J1670" s="397" t="n"/>
      <c r="K1670" s="398" t="n"/>
      <c r="L1670" s="200" t="n"/>
      <c r="M1670" s="399" t="n"/>
      <c r="N1670" s="154" t="n"/>
      <c r="O1670" s="155" t="n"/>
      <c r="P1670" s="400" t="n"/>
      <c r="Q1670" s="401" t="inlineStr">
        <is>
          <t>费用</t>
        </is>
      </c>
      <c r="R1670" s="168" t="inlineStr"/>
      <c r="S1670" s="168" t="inlineStr"/>
      <c r="T1670" s="168" t="inlineStr"/>
      <c r="U1670" s="168" t="inlineStr"/>
      <c r="V1670" s="402" t="n"/>
      <c r="W1670" s="402" t="n"/>
      <c r="X1670" s="170" t="inlineStr"/>
    </row>
    <row r="1671" s="308">
      <c r="A1671" s="64">
        <f>ROW()-ROW(A$1646)</f>
        <v/>
      </c>
      <c r="B1671" s="204" t="inlineStr">
        <is>
          <t>单台合计</t>
        </is>
      </c>
      <c r="C1671" s="172" t="n"/>
      <c r="D1671" s="204" t="n"/>
      <c r="E1671" s="114" t="n"/>
      <c r="F1671" s="114" t="n"/>
      <c r="G1671" s="396" t="n"/>
      <c r="H1671" s="396">
        <f>ROUND(SUM(H1669:H1670),2)</f>
        <v/>
      </c>
      <c r="I1671" s="181" t="n"/>
      <c r="J1671" s="397" t="n"/>
      <c r="K1671" s="398">
        <f>ROUND(SUM(K1669:K1670),2)</f>
        <v/>
      </c>
      <c r="L1671" s="209" t="n"/>
      <c r="M1671" s="399" t="n"/>
      <c r="N1671" s="210" t="n"/>
      <c r="O1671" s="211" t="n"/>
      <c r="P1671" s="400" t="n"/>
      <c r="Q1671" s="401" t="n"/>
      <c r="R1671" s="168" t="inlineStr"/>
      <c r="S1671" s="168" t="inlineStr"/>
      <c r="T1671" s="168" t="inlineStr"/>
      <c r="U1671" s="168" t="inlineStr"/>
      <c r="V1671" s="402" t="n"/>
      <c r="W1671" s="402" t="n"/>
      <c r="X1671" s="170" t="inlineStr"/>
    </row>
    <row r="1672" s="308">
      <c r="A1672" s="173" t="inlineStr">
        <is>
          <t>总计</t>
        </is>
      </c>
      <c r="B1672" s="205" t="n"/>
      <c r="C1672" s="175" t="n"/>
      <c r="D1672" s="206" t="n"/>
      <c r="E1672" s="206" t="inlineStr">
        <is>
          <t>台</t>
        </is>
      </c>
      <c r="F1672" s="206" t="n">
        <v>1</v>
      </c>
      <c r="G1672" s="414">
        <f>ROUND(H1671,2)</f>
        <v/>
      </c>
      <c r="H1672" s="414">
        <f>ROUND(F1672*G1672,2)</f>
        <v/>
      </c>
      <c r="I1672" s="185" t="n"/>
      <c r="J1672" s="415" t="n"/>
      <c r="K1672" s="416">
        <f>ROUND(K1671*F1672,2)</f>
        <v/>
      </c>
      <c r="L1672" s="214" t="n"/>
      <c r="M1672" s="417" t="n"/>
      <c r="N1672" s="216" t="n"/>
      <c r="O1672" s="217" t="n"/>
      <c r="P1672" s="418" t="n"/>
      <c r="Q1672" s="401" t="n"/>
      <c r="R1672" s="168" t="inlineStr"/>
      <c r="S1672" s="168" t="inlineStr"/>
      <c r="T1672" s="168" t="inlineStr"/>
      <c r="U1672" s="168" t="inlineStr"/>
      <c r="V1672" s="402" t="n"/>
      <c r="W1672" s="402" t="n"/>
      <c r="X1672" s="170" t="inlineStr"/>
    </row>
    <row r="1673" customFormat="1" s="4">
      <c r="A1673" s="6" t="n"/>
      <c r="B1673" s="195" t="inlineStr"/>
      <c r="C1673" s="195" t="inlineStr"/>
      <c r="D1673" s="195" t="inlineStr"/>
      <c r="Q1673" s="159" t="n"/>
      <c r="R1673" s="159" t="n"/>
      <c r="S1673" s="159" t="n"/>
      <c r="T1673" s="159" t="n"/>
      <c r="U1673" s="159" t="n"/>
      <c r="X1673" s="195" t="inlineStr"/>
    </row>
    <row r="1674" customFormat="1" s="4">
      <c r="A1674" s="6" t="n"/>
      <c r="B1674" s="195" t="inlineStr"/>
      <c r="C1674" s="195" t="inlineStr"/>
      <c r="D1674" s="195" t="inlineStr"/>
      <c r="Q1674" s="159" t="n"/>
      <c r="R1674" s="159" t="n"/>
      <c r="S1674" s="159" t="n"/>
      <c r="T1674" s="159" t="n"/>
      <c r="U1674" s="159" t="n"/>
      <c r="X1674" s="195" t="inlineStr"/>
    </row>
    <row r="1675" s="308">
      <c r="A1675" s="208">
        <f>CONCATENATE("报价人：",项目信息!$B$8)</f>
        <v/>
      </c>
      <c r="B1675" s="208" t="n"/>
      <c r="C1675" s="4" t="n"/>
      <c r="D1675" s="4" t="n"/>
      <c r="E1675" s="4" t="n"/>
      <c r="F1675" s="4" t="n"/>
      <c r="G1675" s="4" t="n"/>
      <c r="H1675" s="178">
        <f>项目信息!$B$9</f>
        <v/>
      </c>
      <c r="Q1675" s="159" t="n"/>
      <c r="R1675" s="159" t="n"/>
      <c r="S1675" s="159" t="n"/>
      <c r="T1675" s="159" t="n"/>
      <c r="U1675" s="159" t="n"/>
      <c r="X1675" s="203" t="inlineStr"/>
    </row>
    <row r="1676" s="308">
      <c r="A1676" s="8">
        <f>T(项目信息!$B$22)</f>
        <v/>
      </c>
      <c r="Q1676" s="159" t="n"/>
      <c r="R1676" s="159" t="n"/>
      <c r="S1676" s="159" t="n"/>
      <c r="T1676" s="159" t="n"/>
      <c r="U1676" s="159" t="n"/>
    </row>
    <row r="1677" s="308">
      <c r="A1677" s="9">
        <f>T(项目信息!$B$23)</f>
        <v/>
      </c>
      <c r="Q1677" s="159" t="n"/>
      <c r="R1677" s="159" t="n"/>
      <c r="S1677" s="159" t="n"/>
      <c r="T1677" s="159" t="n"/>
      <c r="U1677" s="159" t="n"/>
    </row>
    <row r="1678" s="308">
      <c r="A1678" s="97" t="inlineStr">
        <is>
          <t>成套产品报价明细表</t>
        </is>
      </c>
      <c r="B1678" s="378" t="n"/>
      <c r="C1678" s="378" t="n"/>
      <c r="D1678" s="378" t="n"/>
      <c r="E1678" s="378" t="n"/>
      <c r="F1678" s="378" t="n"/>
      <c r="G1678" s="378" t="n"/>
      <c r="H1678" s="378" t="n"/>
      <c r="I1678" s="378" t="n"/>
      <c r="Q1678" s="159" t="n"/>
      <c r="R1678" s="159" t="n"/>
      <c r="S1678" s="159" t="n"/>
      <c r="T1678" s="159" t="n"/>
      <c r="U1678" s="159" t="n"/>
    </row>
    <row r="1679" customFormat="1" s="4">
      <c r="A1679" s="98" t="inlineStr">
        <is>
          <t>柜号:</t>
        </is>
      </c>
      <c r="B1679" s="99" t="inlineStr">
        <is>
          <t>T3-AU11、T4-BU11</t>
        </is>
      </c>
      <c r="C1679" s="100" t="inlineStr">
        <is>
          <t>型号:</t>
        </is>
      </c>
      <c r="D1679" s="99" t="inlineStr">
        <is>
          <t>BlokSeT</t>
        </is>
      </c>
      <c r="E1679" s="379" t="n"/>
      <c r="F1679" s="101" t="inlineStr">
        <is>
          <t>名称:</t>
        </is>
      </c>
      <c r="G1679" s="99" t="inlineStr">
        <is>
          <t>进线柜</t>
        </is>
      </c>
      <c r="H1679" s="379" t="n"/>
      <c r="I1679" s="408" t="inlineStr"/>
      <c r="J1679" s="194" t="inlineStr">
        <is>
          <t>箱柜尺寸:</t>
        </is>
      </c>
      <c r="K1679" s="195" t="inlineStr">
        <is>
          <t>400W*1200D*2200H</t>
        </is>
      </c>
      <c r="L1679" s="194" t="inlineStr">
        <is>
          <t>类别:</t>
        </is>
      </c>
      <c r="M1679" s="195" t="inlineStr">
        <is>
          <t>低压固定柜</t>
        </is>
      </c>
      <c r="N1679" s="409" t="inlineStr"/>
      <c r="Q1679" s="159" t="n"/>
      <c r="R1679" s="159" t="n"/>
      <c r="S1679" s="159" t="n"/>
      <c r="T1679" s="159" t="n"/>
      <c r="U1679" s="159" t="n"/>
    </row>
    <row r="1680" ht="20.1" customHeight="1" s="308">
      <c r="A1680" s="102" t="inlineStr">
        <is>
          <t>序号</t>
        </is>
      </c>
      <c r="B1680" s="103" t="inlineStr">
        <is>
          <t>元件名称</t>
        </is>
      </c>
      <c r="C1680" s="103" t="inlineStr">
        <is>
          <t>型号规格</t>
        </is>
      </c>
      <c r="D1680" s="104" t="inlineStr">
        <is>
          <t>生产厂家</t>
        </is>
      </c>
      <c r="E1680" s="105" t="inlineStr">
        <is>
          <t>单位</t>
        </is>
      </c>
      <c r="F1680" s="105" t="inlineStr">
        <is>
          <t>数量</t>
        </is>
      </c>
      <c r="G1680" s="382" t="inlineStr">
        <is>
          <t>单   价</t>
        </is>
      </c>
      <c r="H1680" s="383" t="inlineStr">
        <is>
          <t>总   价</t>
        </is>
      </c>
      <c r="I1680" s="134" t="inlineStr">
        <is>
          <t>备注</t>
        </is>
      </c>
      <c r="J1680" s="384" t="inlineStr">
        <is>
          <t>成本单价</t>
        </is>
      </c>
      <c r="K1680" s="384" t="inlineStr">
        <is>
          <t>成本总价</t>
        </is>
      </c>
      <c r="L1680" s="136" t="inlineStr">
        <is>
          <t>报出
系数</t>
        </is>
      </c>
      <c r="M1680" s="384" t="inlineStr">
        <is>
          <t>表价</t>
        </is>
      </c>
      <c r="N1680" s="136" t="inlineStr">
        <is>
          <t>折扣
系数</t>
        </is>
      </c>
      <c r="O1680" s="137" t="inlineStr">
        <is>
          <t>取费
系数</t>
        </is>
      </c>
      <c r="P1680" s="384" t="inlineStr">
        <is>
          <t>成套费</t>
        </is>
      </c>
      <c r="Q1680" s="161" t="inlineStr">
        <is>
          <t>类别</t>
        </is>
      </c>
      <c r="R1680" s="161" t="inlineStr">
        <is>
          <t>物料编码</t>
        </is>
      </c>
      <c r="S1680" s="161" t="inlineStr">
        <is>
          <t>产地</t>
        </is>
      </c>
      <c r="T1680" s="161" t="inlineStr">
        <is>
          <t>加工费</t>
        </is>
      </c>
      <c r="U1680" s="161" t="inlineStr">
        <is>
          <t>订货号</t>
        </is>
      </c>
      <c r="V1680" s="161" t="inlineStr">
        <is>
          <t>人工</t>
        </is>
      </c>
      <c r="W1680" s="161" t="inlineStr">
        <is>
          <t>辅料</t>
        </is>
      </c>
      <c r="X1680" s="203" t="inlineStr"/>
    </row>
    <row r="1681" s="308">
      <c r="A1681" s="64">
        <f>ROW()-ROW(A$1680)</f>
        <v/>
      </c>
      <c r="B1681" s="22" t="inlineStr">
        <is>
          <t>框架断路器</t>
        </is>
      </c>
      <c r="C1681" s="22" t="inlineStr">
        <is>
          <t>MT10 N1a SG 3P MIC5.0 E</t>
        </is>
      </c>
      <c r="D1681" s="22" t="inlineStr">
        <is>
          <t>甲供/施耐德电气</t>
        </is>
      </c>
      <c r="E1681" s="23" t="inlineStr">
        <is>
          <t>只</t>
        </is>
      </c>
      <c r="F1681" s="23" t="n">
        <v>2</v>
      </c>
      <c r="G1681" s="349">
        <f>IF(AND(B1681="",C1681=""),"",ROUND(M1681*L1681*N1681,2))</f>
        <v/>
      </c>
      <c r="H1681" s="349">
        <f>IF(AND(B1681="",C1681=""),"",ROUND(F1681*G1681,2))</f>
        <v/>
      </c>
      <c r="I1681" s="45" t="inlineStr"/>
      <c r="J1681" s="397">
        <f>IF(AND(B1681="",C1681=""),"",ROUND(M1681*N1681,2))</f>
        <v/>
      </c>
      <c r="K1681" s="398">
        <f>IF(AND(B1681="",C1681=""),"",ROUND(J1681*F1681,2))</f>
        <v/>
      </c>
      <c r="L1681" s="200" t="n">
        <v>1</v>
      </c>
      <c r="M1681" s="399" t="n">
        <v>1e-07</v>
      </c>
      <c r="N1681" s="154" t="n">
        <v>1</v>
      </c>
      <c r="O1681" s="155">
        <f>IF(AND(B1681="",C1681=""),"",IF(G1681&gt;=20000,0.05,IF(G1681&gt;=10000,0.1,IF(G1681&gt;=5000,0.2,IF(G1681&gt;=1000,0.3,IF(G1681&gt;=0,0.4,{0}))))))</f>
        <v/>
      </c>
      <c r="P1681" s="400">
        <f>IF(AND(B1681="",C1681=""),"",ROUND(H1681*O1681,2))</f>
        <v/>
      </c>
      <c r="Q1681" s="401" t="inlineStr">
        <is>
          <t>元件</t>
        </is>
      </c>
      <c r="R1681" s="168" t="inlineStr"/>
      <c r="S1681" s="168" t="inlineStr"/>
      <c r="T1681" s="168" t="inlineStr">
        <is>
          <t>0</t>
        </is>
      </c>
      <c r="U1681" s="168" t="inlineStr">
        <is>
          <t>C16F32D160</t>
        </is>
      </c>
      <c r="V1681" s="402" t="n"/>
      <c r="W1681" s="402" t="n"/>
      <c r="X1681" s="170" t="inlineStr">
        <is>
          <t>NSX630N Mic2.3 630A 3P3D F→NSX630F MIC2.3 630 3P F→NSX630F MIC 2.3 630 3P F</t>
        </is>
      </c>
    </row>
    <row r="1682" s="308">
      <c r="A1682" s="64">
        <f>ROW()-ROW(A$1680)</f>
        <v/>
      </c>
      <c r="B1682" s="22" t="inlineStr">
        <is>
          <t>电流互感器</t>
        </is>
      </c>
      <c r="C1682" s="22" t="inlineStr">
        <is>
          <t>SD-0.66-80II-V 1000/5A</t>
        </is>
      </c>
      <c r="D1682" s="22" t="inlineStr">
        <is>
          <t>桑迪</t>
        </is>
      </c>
      <c r="E1682" s="23" t="inlineStr">
        <is>
          <t>只</t>
        </is>
      </c>
      <c r="F1682" s="23" t="n">
        <v>6</v>
      </c>
      <c r="G1682" s="349">
        <f>IF(AND(B1682="",C1682=""),"",ROUND(M1682*L1682*N1682,2))</f>
        <v/>
      </c>
      <c r="H1682" s="396">
        <f>IF(AND(B1682="",C1682=""),"",ROUND(F1682*G1682,2))</f>
        <v/>
      </c>
      <c r="I1682" s="219" t="inlineStr"/>
      <c r="J1682" s="397">
        <f>IF(AND(B1682="",C1682=""),"",ROUND(M1682*N1682,2))</f>
        <v/>
      </c>
      <c r="K1682" s="398">
        <f>IF(AND(B1682="",C1682=""),"",ROUND(J1682*F1682,2))</f>
        <v/>
      </c>
      <c r="L1682" s="200" t="n">
        <v>1</v>
      </c>
      <c r="M1682" s="399" t="n">
        <v>91.65000000000001</v>
      </c>
      <c r="N1682" s="154" t="n">
        <v>1</v>
      </c>
      <c r="O1682" s="155">
        <f>IF(AND(B1682="",C1682=""),"",IF(G1682&gt;=20000,0.05,IF(G1682&gt;=10000,0.1,IF(G1682&gt;=5000,0.2,IF(G1682&gt;=1000,0.3,IF(G1682&gt;=0,0.4,{0}))))))</f>
        <v/>
      </c>
      <c r="P1682" s="400">
        <f>IF(AND(B1682="",C1682=""),"",ROUND(H1682*O1682,2))</f>
        <v/>
      </c>
      <c r="Q1682" s="401" t="inlineStr">
        <is>
          <t>元件</t>
        </is>
      </c>
      <c r="R1682" s="168" t="inlineStr"/>
      <c r="S1682" s="168" t="inlineStr"/>
      <c r="T1682" s="168" t="inlineStr">
        <is>
          <t>0</t>
        </is>
      </c>
      <c r="U1682" s="168" t="inlineStr">
        <is>
          <t>710141426552500</t>
        </is>
      </c>
      <c r="V1682" s="402" t="n"/>
      <c r="W1682" s="402" t="n"/>
      <c r="X1682" s="170" t="inlineStr">
        <is>
          <t>SD→SD-0.66-40II-C 400/5A→SD-0.66-30I 250/5A→SD-0.66-30I 150/5A→SD-0.66-60II-C 750/5A→SD-0.66-60II-C 600/5A→SD-0.66-30I 150/5A→SD-0.66-40II-C 400/5A→SD-0.66-100II-C 1600/5A→SD-0.66-80II-V 1000/5A→SD-0.66-80II-V 1250/5A</t>
        </is>
      </c>
    </row>
    <row r="1683" s="308">
      <c r="A1683" s="64">
        <f>ROW()-ROW(A$1680)</f>
        <v/>
      </c>
      <c r="B1683" s="112" t="inlineStr">
        <is>
          <t>多功能表</t>
        </is>
      </c>
      <c r="C1683" s="112" t="inlineStr">
        <is>
          <t>PM4101</t>
        </is>
      </c>
      <c r="D1683" s="112" t="inlineStr">
        <is>
          <t>甲供/施耐德电气</t>
        </is>
      </c>
      <c r="E1683" s="114" t="inlineStr">
        <is>
          <t>只</t>
        </is>
      </c>
      <c r="F1683" s="114" t="n">
        <v>2</v>
      </c>
      <c r="G1683" s="396">
        <f>IF(AND(B1683="",C1683=""),"",ROUND(M1683*L1683*N1683,2))</f>
        <v/>
      </c>
      <c r="H1683" s="349">
        <f>IF(AND(B1683="",C1683=""),"",ROUND(F1683*G1683,2))</f>
        <v/>
      </c>
      <c r="I1683" s="45" t="inlineStr"/>
      <c r="J1683" s="397">
        <f>IF(AND(B1683="",C1683=""),"",ROUND(M1683*N1683,2))</f>
        <v/>
      </c>
      <c r="K1683" s="398">
        <f>IF(AND(B1683="",C1683=""),"",ROUND(J1683*F1683,2))</f>
        <v/>
      </c>
      <c r="L1683" s="200" t="n">
        <v>1</v>
      </c>
      <c r="M1683" s="399" t="n">
        <v>1e-07</v>
      </c>
      <c r="N1683" s="154" t="n">
        <v>1</v>
      </c>
      <c r="O1683" s="155">
        <f>IF(AND(B1683="",C1683=""),"",IF(J1683&gt;=20000,0.05,IF(J1683&gt;=10000,0.1,IF(J1683&gt;=5000,0.2,IF(J1683&gt;=1000,0.3,IF(J1683&gt;=0,0.4,{0}))))))</f>
        <v/>
      </c>
      <c r="P1683" s="400">
        <f>IF(AND(B1683="",C1683=""),"",ROUND(H1683*O1683,2))</f>
        <v/>
      </c>
      <c r="Q1683" s="401" t="inlineStr">
        <is>
          <t>元件</t>
        </is>
      </c>
      <c r="R1683" s="168" t="inlineStr"/>
      <c r="S1683" s="168" t="inlineStr"/>
      <c r="T1683" s="168" t="inlineStr">
        <is>
          <t>0</t>
        </is>
      </c>
      <c r="U1683" s="168" t="inlineStr"/>
      <c r="V1683" s="402" t="n"/>
      <c r="W1683" s="402" t="n"/>
      <c r="X1683" s="170" t="inlineStr"/>
    </row>
    <row r="1684" customFormat="1" s="3">
      <c r="A1684" s="64">
        <f>ROW()-ROW(A$1680)</f>
        <v/>
      </c>
      <c r="B1684" s="22" t="inlineStr">
        <is>
          <t>指示灯</t>
        </is>
      </c>
      <c r="C1684" s="22" t="inlineStr">
        <is>
          <t>XB2BVM3LC</t>
        </is>
      </c>
      <c r="D1684" s="22" t="inlineStr">
        <is>
          <t>甲供/施耐德电气</t>
        </is>
      </c>
      <c r="E1684" s="23" t="inlineStr">
        <is>
          <t>只</t>
        </is>
      </c>
      <c r="F1684" s="23" t="n">
        <v>2</v>
      </c>
      <c r="G1684" s="349">
        <f>IF(AND(B1684="",C1684=""),"",ROUND(M1684*L1684*N1684,2))</f>
        <v/>
      </c>
      <c r="H1684" s="353">
        <f>IF(AND(B1684="",C1684=""),"",ROUND(F1684*G1684,2))</f>
        <v/>
      </c>
      <c r="I1684" s="180" t="inlineStr"/>
      <c r="J1684" s="392">
        <f>IF(AND(B1684="",C1684=""),"",ROUND(M1684*N1684,2))</f>
        <v/>
      </c>
      <c r="K1684" s="393">
        <f>IF(AND(B1684="",C1684=""),"",ROUND(J1684*F1684,2))</f>
        <v/>
      </c>
      <c r="L1684" s="141" t="n">
        <v>1</v>
      </c>
      <c r="M1684" s="394" t="n">
        <v>1e-07</v>
      </c>
      <c r="N1684" s="220" t="n">
        <v>1</v>
      </c>
      <c r="O1684" s="221">
        <f>IF(AND(B1684="",C1684=""),"",IF(G1684&gt;=20000,0.05,IF(G1684&gt;=10000,0.1,IF(G1684&gt;=5000,0.2,IF(G1684&gt;=1000,0.3,IF(G1684&gt;=0,0.4,{0}))))))</f>
        <v/>
      </c>
      <c r="P1684" s="419">
        <f>IF(AND(B1684="",C1684=""),"",ROUND(H1684*O1684,2))</f>
        <v/>
      </c>
      <c r="Q1684" s="420" t="inlineStr">
        <is>
          <t>元件</t>
        </is>
      </c>
      <c r="R1684" s="231" t="inlineStr"/>
      <c r="S1684" s="231" t="inlineStr"/>
      <c r="T1684" s="231" t="inlineStr">
        <is>
          <t>0</t>
        </is>
      </c>
      <c r="U1684" s="231" t="inlineStr">
        <is>
          <t>XB2BVM3LC</t>
        </is>
      </c>
      <c r="V1684" s="421" t="n"/>
      <c r="W1684" s="421" t="n"/>
      <c r="X1684" s="166" t="inlineStr">
        <is>
          <t>XA2EVM3LC</t>
        </is>
      </c>
    </row>
    <row r="1685" customFormat="1" s="3">
      <c r="A1685" s="64">
        <f>ROW()-ROW(A$1680)</f>
        <v/>
      </c>
      <c r="B1685" s="22" t="inlineStr">
        <is>
          <t>指示灯</t>
        </is>
      </c>
      <c r="C1685" s="22" t="inlineStr">
        <is>
          <t>XB2BVM4LC</t>
        </is>
      </c>
      <c r="D1685" s="22" t="inlineStr">
        <is>
          <t>甲供/施耐德电气</t>
        </is>
      </c>
      <c r="E1685" s="23" t="inlineStr">
        <is>
          <t>只</t>
        </is>
      </c>
      <c r="F1685" s="23" t="n">
        <v>2</v>
      </c>
      <c r="G1685" s="349">
        <f>IF(AND(B1685="",C1685=""),"",ROUND(M1685*L1685*N1685,2))</f>
        <v/>
      </c>
      <c r="H1685" s="353">
        <f>IF(AND(B1685="",C1685=""),"",ROUND(F1685*G1685,2))</f>
        <v/>
      </c>
      <c r="I1685" s="180" t="inlineStr"/>
      <c r="J1685" s="392">
        <f>IF(AND(B1685="",C1685=""),"",ROUND(M1685*N1685,2))</f>
        <v/>
      </c>
      <c r="K1685" s="393">
        <f>IF(AND(B1685="",C1685=""),"",ROUND(J1685*F1685,2))</f>
        <v/>
      </c>
      <c r="L1685" s="141" t="n">
        <v>1</v>
      </c>
      <c r="M1685" s="394" t="n">
        <v>1e-07</v>
      </c>
      <c r="N1685" s="220" t="n">
        <v>1</v>
      </c>
      <c r="O1685" s="221">
        <f>IF(AND(B1685="",C1685=""),"",IF(G1685&gt;=20000,0.05,IF(G1685&gt;=10000,0.1,IF(G1685&gt;=5000,0.2,IF(G1685&gt;=1000,0.3,IF(G1685&gt;=0,0.4,{0}))))))</f>
        <v/>
      </c>
      <c r="P1685" s="419">
        <f>IF(AND(B1685="",C1685=""),"",ROUND(H1685*O1685,2))</f>
        <v/>
      </c>
      <c r="Q1685" s="420" t="inlineStr">
        <is>
          <t>元件</t>
        </is>
      </c>
      <c r="R1685" s="231" t="inlineStr"/>
      <c r="S1685" s="231" t="inlineStr"/>
      <c r="T1685" s="231" t="inlineStr">
        <is>
          <t>0</t>
        </is>
      </c>
      <c r="U1685" s="231" t="inlineStr">
        <is>
          <t>XB2BVM4LC</t>
        </is>
      </c>
      <c r="V1685" s="421" t="n"/>
      <c r="W1685" s="421" t="n"/>
      <c r="X1685" s="166" t="inlineStr">
        <is>
          <t>XA2EVM4LC</t>
        </is>
      </c>
    </row>
    <row r="1686" s="308">
      <c r="A1686" s="64">
        <f>ROW()-ROW(A$1680)</f>
        <v/>
      </c>
      <c r="B1686" s="112" t="inlineStr">
        <is>
          <t>指示灯</t>
        </is>
      </c>
      <c r="C1686" s="112" t="inlineStr">
        <is>
          <t>XB2BVM5LC</t>
        </is>
      </c>
      <c r="D1686" s="112" t="inlineStr">
        <is>
          <t>甲供/施耐德电气</t>
        </is>
      </c>
      <c r="E1686" s="114" t="inlineStr">
        <is>
          <t>只</t>
        </is>
      </c>
      <c r="F1686" s="114" t="n">
        <v>2</v>
      </c>
      <c r="G1686" s="396">
        <f>IF(AND(B1686="",C1686=""),"",ROUND(M1686*L1686*N1686,2))</f>
        <v/>
      </c>
      <c r="H1686" s="396">
        <f>IF(AND(B1686="",C1686=""),"",ROUND(F1686*G1686,2))</f>
        <v/>
      </c>
      <c r="I1686" s="150" t="inlineStr"/>
      <c r="J1686" s="397">
        <f>IF(AND(B1686="",C1686=""),"",ROUND(M1686*N1686,2))</f>
        <v/>
      </c>
      <c r="K1686" s="398">
        <f>IF(AND(B1686="",C1686=""),"",ROUND(J1686*F1686,2))</f>
        <v/>
      </c>
      <c r="L1686" s="141" t="n">
        <v>1</v>
      </c>
      <c r="M1686" s="399" t="n">
        <v>1e-07</v>
      </c>
      <c r="N1686" s="154" t="n">
        <v>1</v>
      </c>
      <c r="O1686" s="155">
        <f>IF(AND(B1686="",C1686=""),"",IF(G1686&gt;=20000,0.05,IF(G1686&gt;=10000,0.1,IF(G1686&gt;=5000,0.2,IF(G1686&gt;=1000,0.3,IF(G1686&gt;=0,0.4,{0}))))))</f>
        <v/>
      </c>
      <c r="P1686" s="400">
        <f>IF(AND(B1686="",C1686=""),"",ROUND(H1686*O1686,2))</f>
        <v/>
      </c>
      <c r="Q1686" s="401" t="inlineStr">
        <is>
          <t>元件</t>
        </is>
      </c>
      <c r="R1686" s="168" t="inlineStr"/>
      <c r="S1686" s="168" t="inlineStr"/>
      <c r="T1686" s="168" t="inlineStr">
        <is>
          <t>0</t>
        </is>
      </c>
      <c r="U1686" s="168" t="inlineStr">
        <is>
          <t>XA2EVM5LC</t>
        </is>
      </c>
      <c r="V1686" s="402" t="n"/>
      <c r="W1686" s="402" t="n"/>
      <c r="X1686" s="170" t="inlineStr"/>
    </row>
    <row r="1687" s="308">
      <c r="A1687" s="64">
        <f>ROW()-ROW(A$1680)</f>
        <v/>
      </c>
      <c r="B1687" s="112" t="inlineStr">
        <is>
          <t>按钮</t>
        </is>
      </c>
      <c r="C1687" s="112" t="inlineStr">
        <is>
          <t>XB2BA31C</t>
        </is>
      </c>
      <c r="D1687" s="112" t="inlineStr">
        <is>
          <t>甲供/施耐德电气</t>
        </is>
      </c>
      <c r="E1687" s="114" t="inlineStr">
        <is>
          <t>只</t>
        </is>
      </c>
      <c r="F1687" s="114" t="n">
        <v>2</v>
      </c>
      <c r="G1687" s="396">
        <f>IF(AND(B1687="",C1687=""),"",ROUND(M1687*L1687*N1687,2))</f>
        <v/>
      </c>
      <c r="H1687" s="396">
        <f>IF(AND(B1687="",C1687=""),"",ROUND(F1687*G1687,2))</f>
        <v/>
      </c>
      <c r="I1687" s="150" t="inlineStr"/>
      <c r="J1687" s="397">
        <f>IF(AND(B1687="",C1687=""),"",ROUND(M1687*N1687,2))</f>
        <v/>
      </c>
      <c r="K1687" s="398">
        <f>IF(AND(B1687="",C1687=""),"",ROUND(J1687*F1687,2))</f>
        <v/>
      </c>
      <c r="L1687" s="141" t="n">
        <v>1</v>
      </c>
      <c r="M1687" s="399" t="n">
        <v>1e-07</v>
      </c>
      <c r="N1687" s="154" t="n">
        <v>1</v>
      </c>
      <c r="O1687" s="155">
        <f>IF(AND(B1687="",C1687=""),"",IF(G1687&gt;=20000,0.05,IF(G1687&gt;=10000,0.1,IF(G1687&gt;=5000,0.2,IF(G1687&gt;=1000,0.3,IF(G1687&gt;=0,0.4,{0}))))))</f>
        <v/>
      </c>
      <c r="P1687" s="400">
        <f>IF(AND(B1687="",C1687=""),"",ROUND(H1687*O1687,2))</f>
        <v/>
      </c>
      <c r="Q1687" s="401" t="inlineStr">
        <is>
          <t>元件</t>
        </is>
      </c>
      <c r="R1687" s="168" t="inlineStr"/>
      <c r="S1687" s="168" t="inlineStr"/>
      <c r="T1687" s="168" t="inlineStr">
        <is>
          <t>0</t>
        </is>
      </c>
      <c r="U1687" s="168" t="inlineStr">
        <is>
          <t>XB2BA31C</t>
        </is>
      </c>
      <c r="V1687" s="402" t="n"/>
      <c r="W1687" s="402" t="n"/>
      <c r="X1687" s="170" t="inlineStr">
        <is>
          <t>XA2EA31</t>
        </is>
      </c>
    </row>
    <row r="1688" s="308">
      <c r="A1688" s="64">
        <f>ROW()-ROW(A$1680)</f>
        <v/>
      </c>
      <c r="B1688" s="22" t="inlineStr">
        <is>
          <t>按钮</t>
        </is>
      </c>
      <c r="C1688" s="22" t="inlineStr">
        <is>
          <t>XB2BA42C</t>
        </is>
      </c>
      <c r="D1688" s="22" t="inlineStr">
        <is>
          <t>甲供/施耐德电气</t>
        </is>
      </c>
      <c r="E1688" s="23" t="inlineStr">
        <is>
          <t>只</t>
        </is>
      </c>
      <c r="F1688" s="23" t="n">
        <v>2</v>
      </c>
      <c r="G1688" s="349">
        <f>IF(AND(B1688="",C1688=""),"",ROUND(M1688*L1688*N1688,2))</f>
        <v/>
      </c>
      <c r="H1688" s="396">
        <f>IF(AND(B1688="",C1688=""),"",ROUND(F1688*G1688,2))</f>
        <v/>
      </c>
      <c r="I1688" s="150" t="inlineStr"/>
      <c r="J1688" s="397">
        <f>IF(AND(B1688="",C1688=""),"",ROUND(M1688*N1688,2))</f>
        <v/>
      </c>
      <c r="K1688" s="398">
        <f>IF(AND(B1688="",C1688=""),"",ROUND(J1688*F1688,2))</f>
        <v/>
      </c>
      <c r="L1688" s="141" t="n">
        <v>1</v>
      </c>
      <c r="M1688" s="399" t="n">
        <v>1e-07</v>
      </c>
      <c r="N1688" s="154" t="n">
        <v>1</v>
      </c>
      <c r="O1688" s="155">
        <f>IF(AND(B1688="",C1688=""),"",IF(G1688&gt;=20000,0.05,IF(G1688&gt;=10000,0.1,IF(G1688&gt;=5000,0.2,IF(G1688&gt;=1000,0.3,IF(G1688&gt;=0,0.4,{0}))))))</f>
        <v/>
      </c>
      <c r="P1688" s="400">
        <f>IF(AND(B1688="",C1688=""),"",ROUND(H1688*O1688,2))</f>
        <v/>
      </c>
      <c r="Q1688" s="401" t="inlineStr">
        <is>
          <t>元件</t>
        </is>
      </c>
      <c r="R1688" s="168" t="inlineStr"/>
      <c r="S1688" s="168" t="inlineStr"/>
      <c r="T1688" s="168" t="inlineStr">
        <is>
          <t>0</t>
        </is>
      </c>
      <c r="U1688" s="168" t="inlineStr">
        <is>
          <t>XB2BA42C</t>
        </is>
      </c>
      <c r="V1688" s="402" t="n"/>
      <c r="W1688" s="402" t="n"/>
      <c r="X1688" s="170" t="inlineStr">
        <is>
          <t>XA2EA41</t>
        </is>
      </c>
    </row>
    <row r="1689" s="308">
      <c r="A1689" s="64">
        <f>ROW()-ROW(A$1680)</f>
        <v/>
      </c>
      <c r="B1689" s="112" t="inlineStr">
        <is>
          <t>温湿度控制器</t>
        </is>
      </c>
      <c r="C1689" s="112" t="inlineStr">
        <is>
          <t>ATH48G-11</t>
        </is>
      </c>
      <c r="D1689" s="22" t="inlineStr">
        <is>
          <t>杭州安廷</t>
        </is>
      </c>
      <c r="E1689" s="23" t="inlineStr">
        <is>
          <t>套</t>
        </is>
      </c>
      <c r="F1689" s="23" t="n">
        <v>1</v>
      </c>
      <c r="G1689" s="349">
        <f>IF(AND(B1689="",C1689=""),"",ROUND(M1689*L1689*N1689,2))</f>
        <v/>
      </c>
      <c r="H1689" s="396">
        <f>IF(AND(B1689="",C1689=""),"",ROUND(F1689*G1689,2))</f>
        <v/>
      </c>
      <c r="I1689" s="150" t="inlineStr"/>
      <c r="J1689" s="397">
        <f>IF(AND(B1689="",C1689=""),"",ROUND(M1689*N1689,2))</f>
        <v/>
      </c>
      <c r="K1689" s="398">
        <f>IF(AND(B1689="",C1689=""),"",ROUND(J1689*F1689,2))</f>
        <v/>
      </c>
      <c r="L1689" s="141" t="n">
        <v>1</v>
      </c>
      <c r="M1689" s="399" t="n">
        <v>450</v>
      </c>
      <c r="N1689" s="154" t="n">
        <v>1</v>
      </c>
      <c r="O1689" s="155">
        <f>IF(AND(B1689="",C1689=""),"",IF(G1689&gt;=20000,0.05,IF(G1689&gt;=10000,0.1,IF(G1689&gt;=5000,0.2,IF(G1689&gt;=1000,0.3,IF(G1689&gt;=0,0.4,{0}))))))</f>
        <v/>
      </c>
      <c r="P1689" s="400">
        <f>IF(AND(B1689="",C1689=""),"",ROUND(H1689*O1689,2))</f>
        <v/>
      </c>
      <c r="Q1689" s="401" t="inlineStr">
        <is>
          <t>元件</t>
        </is>
      </c>
      <c r="R1689" s="168" t="inlineStr"/>
      <c r="S1689" s="168" t="inlineStr"/>
      <c r="T1689" s="168" t="inlineStr">
        <is>
          <t>0</t>
        </is>
      </c>
      <c r="U1689" s="168" t="inlineStr"/>
      <c r="V1689" s="402" t="n"/>
      <c r="W1689" s="402" t="n"/>
      <c r="X1689" s="170" t="inlineStr"/>
    </row>
    <row r="1690" s="308">
      <c r="A1690" s="64">
        <f>ROW()-ROW(A$1680)</f>
        <v/>
      </c>
      <c r="B1690" s="22" t="inlineStr">
        <is>
          <t>中间继电器</t>
        </is>
      </c>
      <c r="C1690" s="22" t="inlineStr">
        <is>
          <t>RXM4AB2P7+RXZE2S114M+RXZ400</t>
        </is>
      </c>
      <c r="D1690" s="22" t="inlineStr">
        <is>
          <t>甲供/施耐德电气</t>
        </is>
      </c>
      <c r="E1690" s="23" t="inlineStr">
        <is>
          <t>只</t>
        </is>
      </c>
      <c r="F1690" s="23" t="n">
        <v>4</v>
      </c>
      <c r="G1690" s="349">
        <f>IF(AND(B1690="",C1690=""),"",ROUND(M1690*L1690*N1690,2))</f>
        <v/>
      </c>
      <c r="H1690" s="349">
        <f>IF(AND(B1690="",C1690=""),"",ROUND(F1690*G1690,2))</f>
        <v/>
      </c>
      <c r="I1690" s="45" t="inlineStr"/>
      <c r="J1690" s="397">
        <f>IF(AND(B1690="",C1690=""),"",ROUND(M1690*N1690,2))</f>
        <v/>
      </c>
      <c r="K1690" s="398">
        <f>IF(AND(B1690="",C1690=""),"",ROUND(J1690*F1690,2))</f>
        <v/>
      </c>
      <c r="L1690" s="141" t="n">
        <v>1</v>
      </c>
      <c r="M1690" s="399" t="n">
        <v>1e-07</v>
      </c>
      <c r="N1690" s="154" t="n">
        <v>1</v>
      </c>
      <c r="O1690" s="155">
        <f>IF(AND(B1690="",C1690=""),"",IF(G1690&gt;=20000,0.05,IF(G1690&gt;=10000,0.1,IF(G1690&gt;=5000,0.2,IF(G1690&gt;=1000,0.3,IF(G1690&gt;=0,0.4,{0}))))))</f>
        <v/>
      </c>
      <c r="P1690" s="400">
        <f>IF(AND(B1690="",C1690=""),"",ROUND(H1690*O1690,2))</f>
        <v/>
      </c>
      <c r="Q1690" s="401" t="inlineStr">
        <is>
          <t>元件</t>
        </is>
      </c>
      <c r="R1690" s="168" t="inlineStr"/>
      <c r="S1690" s="168" t="inlineStr"/>
      <c r="T1690" s="168" t="inlineStr">
        <is>
          <t>0</t>
        </is>
      </c>
      <c r="U1690" s="168" t="inlineStr">
        <is>
          <t>RXM4AB2P7+RXZE2S114M+RXZ400</t>
        </is>
      </c>
      <c r="V1690" s="402" t="n"/>
      <c r="W1690" s="402" t="n"/>
      <c r="X1690" s="170" t="inlineStr">
        <is>
          <t>REL-IR-BL/L-230AC/4X21，含底座→RXM4AB2P7+RXZE2S114M+RXZ400→REL-IR-BL/L-230AC/4X21，含底座</t>
        </is>
      </c>
    </row>
    <row r="1691" customFormat="1" s="3">
      <c r="A1691" s="64">
        <f>ROW()-ROW(A$1680)</f>
        <v/>
      </c>
      <c r="B1691" s="22" t="inlineStr">
        <is>
          <t>带熔丝端子</t>
        </is>
      </c>
      <c r="C1691" s="22" t="inlineStr">
        <is>
          <t>UK 5-HESI</t>
        </is>
      </c>
      <c r="D1691" s="22" t="inlineStr">
        <is>
          <t>菲尼克斯</t>
        </is>
      </c>
      <c r="E1691" s="23" t="inlineStr">
        <is>
          <t>只</t>
        </is>
      </c>
      <c r="F1691" s="23" t="n">
        <v>8</v>
      </c>
      <c r="G1691" s="349">
        <f>IF(AND(B1691="",C1691=""),"",ROUND(M1691*L1691*N1691,2))</f>
        <v/>
      </c>
      <c r="H1691" s="349">
        <f>IF(AND(B1691="",C1691=""),"",ROUND(F1691*G1691,2))</f>
        <v/>
      </c>
      <c r="I1691" s="45" t="inlineStr"/>
      <c r="J1691" s="392">
        <f>IF(AND(B1691="",C1691=""),"",ROUND(M1691*N1691,2))</f>
        <v/>
      </c>
      <c r="K1691" s="393">
        <f>IF(AND(B1691="",C1691=""),"",ROUND(J1691*F1691,2))</f>
        <v/>
      </c>
      <c r="L1691" s="141" t="n">
        <v>1</v>
      </c>
      <c r="M1691" s="394" t="n">
        <v>7</v>
      </c>
      <c r="N1691" s="220" t="n">
        <v>1</v>
      </c>
      <c r="O1691" s="221">
        <f>IF(AND(B1691="",C1691=""),"",IF(G1691&gt;=20000,0.05,IF(G1691&gt;=10000,0.1,IF(G1691&gt;=5000,0.2,IF(G1691&gt;=1000,0.3,IF(G1691&gt;=0,0.4,{0}))))))</f>
        <v/>
      </c>
      <c r="P1691" s="419">
        <f>IF(AND(B1691="",C1691=""),"",ROUND(H1691*O1691,2))</f>
        <v/>
      </c>
      <c r="Q1691" s="420" t="inlineStr">
        <is>
          <t>元件</t>
        </is>
      </c>
      <c r="R1691" s="231" t="inlineStr"/>
      <c r="S1691" s="231" t="inlineStr"/>
      <c r="T1691" s="231" t="inlineStr">
        <is>
          <t>0</t>
        </is>
      </c>
      <c r="U1691" s="231" t="inlineStr">
        <is>
          <t>True</t>
        </is>
      </c>
      <c r="V1691" s="421" t="n"/>
      <c r="W1691" s="421" t="n"/>
      <c r="X1691" s="166" t="inlineStr"/>
    </row>
    <row r="1692" s="308">
      <c r="A1692" s="64">
        <f>ROW()-ROW(A$1680)</f>
        <v/>
      </c>
      <c r="B1692" s="22" t="inlineStr">
        <is>
          <t>水平母排</t>
        </is>
      </c>
      <c r="C1692" s="22" t="inlineStr">
        <is>
          <t>TMY 4*(3*125*5)+2*50*5</t>
        </is>
      </c>
      <c r="D1692" s="22" t="inlineStr">
        <is>
          <t>国产优质</t>
        </is>
      </c>
      <c r="E1692" s="23" t="inlineStr">
        <is>
          <t>米</t>
        </is>
      </c>
      <c r="F1692" s="23" t="n">
        <v>0.4</v>
      </c>
      <c r="G1692" s="349">
        <f>IF(AND(B1692="",C1692=""),"",ROUND(M1692*L1692*N1692,2))</f>
        <v/>
      </c>
      <c r="H1692" s="349">
        <f>IF(AND(B1692="",C1692=""),"",ROUND(F1692*G1692,2))</f>
        <v/>
      </c>
      <c r="I1692" s="45" t="inlineStr"/>
      <c r="J1692" s="397">
        <f>IF(AND(B1692="",C1692=""),"",ROUND(M1692*N1692,2))</f>
        <v/>
      </c>
      <c r="K1692" s="398">
        <f>IF(AND(B1692="",C1692=""),"",ROUND(J1692*F1692,2))</f>
        <v/>
      </c>
      <c r="L1692" s="200" t="n">
        <v>1</v>
      </c>
      <c r="M1692" s="399" t="n">
        <v>7697.076</v>
      </c>
      <c r="N1692" s="154">
        <f>(6317.932*1*1+2684.8*1*1)/9002.732</f>
        <v/>
      </c>
      <c r="O1692" s="155">
        <f>IF(AND(B1692="",C1692=""),"",IF(J1692&gt;=20000,0.05,IF(J1692&gt;=10000,0.1,IF(J1692&gt;=5000,0.2,IF(J1692&gt;=1000,0.3,IF(J1692&gt;=0,0.4,{0}))))))</f>
        <v/>
      </c>
      <c r="P1692" s="400">
        <f>IF(AND(B1692="",C1692=""),"",ROUND(H1692*O1692,2))</f>
        <v/>
      </c>
      <c r="Q1692" s="401" t="inlineStr">
        <is>
          <t>母排</t>
        </is>
      </c>
      <c r="R1692" s="168" t="inlineStr"/>
      <c r="S1692" s="168" t="inlineStr"/>
      <c r="T1692" s="168" t="inlineStr">
        <is>
          <t>0</t>
        </is>
      </c>
      <c r="U1692" s="168" t="inlineStr"/>
      <c r="V1692" s="402" t="n"/>
      <c r="W1692" s="402" t="n"/>
      <c r="X1692" s="170" t="inlineStr"/>
    </row>
    <row r="1693" customFormat="1" s="5">
      <c r="A1693" s="64">
        <f>ROW()-ROW(A$1680)</f>
        <v/>
      </c>
      <c r="B1693" s="22" t="inlineStr">
        <is>
          <t>桩头排</t>
        </is>
      </c>
      <c r="C1693" s="22" t="inlineStr">
        <is>
          <t>TMY 3*80*5</t>
        </is>
      </c>
      <c r="D1693" s="22" t="inlineStr">
        <is>
          <t>国产优质</t>
        </is>
      </c>
      <c r="E1693" s="23" t="inlineStr">
        <is>
          <t>米</t>
        </is>
      </c>
      <c r="F1693" s="23" t="n">
        <v>3</v>
      </c>
      <c r="G1693" s="349">
        <f>IF(AND(B1693="",C1693=""),"",ROUND(M1693*L1693*N1693,2))</f>
        <v/>
      </c>
      <c r="H1693" s="349">
        <f>IF(AND(B1693="",C1693=""),"",ROUND(F1693*G1693,2))</f>
        <v/>
      </c>
      <c r="I1693" s="45" t="inlineStr"/>
      <c r="J1693" s="422">
        <f>IF(AND(B1693="",C1693=""),"",ROUND(M1693*N1693,2))</f>
        <v/>
      </c>
      <c r="K1693" s="423">
        <f>IF(AND(B1693="",C1693=""),"",ROUND(J1693*F1693,2))</f>
        <v/>
      </c>
      <c r="L1693" s="225" t="n">
        <v>1</v>
      </c>
      <c r="M1693" s="424" t="n">
        <v>1154.5614</v>
      </c>
      <c r="N1693" s="227" t="n">
        <v>1</v>
      </c>
      <c r="O1693" s="228">
        <f>IF(AND(B1693="",C1693=""),"",IF(G1693&gt;=20000,0.05,IF(G1693&gt;=10000,0.1,IF(G1693&gt;=5000,0.2,IF(G1693&gt;=1000,0.3,IF(G1693&gt;=0,0.4,{0}))))))</f>
        <v/>
      </c>
      <c r="P1693" s="425">
        <f>IF(AND(B1693="",C1693=""),"",ROUND(H1693*O1693,2))</f>
        <v/>
      </c>
      <c r="Q1693" s="426" t="inlineStr">
        <is>
          <t>母排</t>
        </is>
      </c>
      <c r="R1693" s="234" t="inlineStr"/>
      <c r="S1693" s="234" t="inlineStr"/>
      <c r="T1693" s="235" t="inlineStr">
        <is>
          <t>0</t>
        </is>
      </c>
      <c r="U1693" s="235" t="inlineStr"/>
      <c r="V1693" s="427" t="n"/>
      <c r="W1693" s="427" t="n"/>
      <c r="X1693" s="237" t="inlineStr">
        <is>
          <t>TMY 2*30*5→TMY 30*8</t>
        </is>
      </c>
    </row>
    <row r="1694" customFormat="1" s="5">
      <c r="A1694" s="64">
        <f>ROW()-ROW(A$1680)</f>
        <v/>
      </c>
      <c r="B1694" s="22" t="inlineStr">
        <is>
          <t>垂直排</t>
        </is>
      </c>
      <c r="C1694" s="22" t="inlineStr">
        <is>
          <t>TMY 3*80*5</t>
        </is>
      </c>
      <c r="D1694" s="22" t="inlineStr">
        <is>
          <t>国产优质</t>
        </is>
      </c>
      <c r="E1694" s="23" t="inlineStr">
        <is>
          <t>米</t>
        </is>
      </c>
      <c r="F1694" s="23" t="n">
        <v>2</v>
      </c>
      <c r="G1694" s="349">
        <f>IF(AND(B1694="",C1694=""),"",ROUND(M1694*L1694*N1694,2))</f>
        <v/>
      </c>
      <c r="H1694" s="349">
        <f>IF(AND(B1694="",C1694=""),"",ROUND(F1694*G1694,2))</f>
        <v/>
      </c>
      <c r="I1694" s="45" t="inlineStr"/>
      <c r="J1694" s="422">
        <f>IF(AND(B1694="",C1694=""),"",ROUND(M1694*N1694,2))</f>
        <v/>
      </c>
      <c r="K1694" s="423">
        <f>IF(AND(B1694="",C1694=""),"",ROUND(J1694*F1694,2))</f>
        <v/>
      </c>
      <c r="L1694" s="225" t="n">
        <v>1</v>
      </c>
      <c r="M1694" s="424" t="n">
        <v>1154.5614</v>
      </c>
      <c r="N1694" s="227" t="n">
        <v>1</v>
      </c>
      <c r="O1694" s="228">
        <f>IF(AND(B1694="",C1694=""),"",IF(G1694&gt;=20000,0.05,IF(G1694&gt;=10000,0.1,IF(G1694&gt;=5000,0.2,IF(G1694&gt;=1000,0.3,IF(G1694&gt;=0,0.4,{0}))))))</f>
        <v/>
      </c>
      <c r="P1694" s="425">
        <f>IF(AND(B1694="",C1694=""),"",ROUND(H1694*O1694,2))</f>
        <v/>
      </c>
      <c r="Q1694" s="426" t="inlineStr">
        <is>
          <t>母排</t>
        </is>
      </c>
      <c r="R1694" s="234" t="inlineStr"/>
      <c r="S1694" s="234" t="inlineStr"/>
      <c r="T1694" s="235" t="inlineStr">
        <is>
          <t>0</t>
        </is>
      </c>
      <c r="U1694" s="235" t="inlineStr"/>
      <c r="V1694" s="427" t="n"/>
      <c r="W1694" s="427" t="n"/>
      <c r="X1694" s="237" t="inlineStr">
        <is>
          <t>TMY 2*30*5→TMY 30*8</t>
        </is>
      </c>
    </row>
    <row r="1695" customFormat="1" s="5">
      <c r="A1695" s="64">
        <f>ROW()-ROW(A$1680)</f>
        <v/>
      </c>
      <c r="B1695" s="22" t="inlineStr">
        <is>
          <t>N排</t>
        </is>
      </c>
      <c r="C1695" s="22" t="inlineStr">
        <is>
          <t>TMY 80*10</t>
        </is>
      </c>
      <c r="D1695" s="22" t="inlineStr">
        <is>
          <t>国产优质</t>
        </is>
      </c>
      <c r="E1695" s="23" t="inlineStr">
        <is>
          <t>米</t>
        </is>
      </c>
      <c r="F1695" s="23" t="n">
        <v>3</v>
      </c>
      <c r="G1695" s="349">
        <f>IF(AND(B1695="",C1695=""),"",ROUND(M1695*L1695*N1695,2))</f>
        <v/>
      </c>
      <c r="H1695" s="349">
        <f>IF(AND(B1695="",C1695=""),"",ROUND(F1695*G1695,2))</f>
        <v/>
      </c>
      <c r="I1695" s="45" t="inlineStr"/>
      <c r="J1695" s="422">
        <f>IF(AND(B1695="",C1695=""),"",ROUND(M1695*N1695,2))</f>
        <v/>
      </c>
      <c r="K1695" s="423">
        <f>IF(AND(B1695="",C1695=""),"",ROUND(J1695*F1695,2))</f>
        <v/>
      </c>
      <c r="L1695" s="225" t="n">
        <v>1</v>
      </c>
      <c r="M1695" s="424" t="n">
        <v>769.7076</v>
      </c>
      <c r="N1695" s="227" t="n">
        <v>1</v>
      </c>
      <c r="O1695" s="228">
        <f>IF(AND(B1695="",C1695=""),"",IF(G1695&gt;=20000,0.05,IF(G1695&gt;=10000,0.1,IF(G1695&gt;=5000,0.2,IF(G1695&gt;=1000,0.3,IF(G1695&gt;=0,0.4,{0}))))))</f>
        <v/>
      </c>
      <c r="P1695" s="425">
        <f>IF(AND(B1695="",C1695=""),"",ROUND(H1695*O1695,2))</f>
        <v/>
      </c>
      <c r="Q1695" s="426" t="inlineStr">
        <is>
          <t>母排</t>
        </is>
      </c>
      <c r="R1695" s="234" t="inlineStr"/>
      <c r="S1695" s="234" t="inlineStr"/>
      <c r="T1695" s="235" t="inlineStr">
        <is>
          <t>0</t>
        </is>
      </c>
      <c r="U1695" s="235" t="inlineStr"/>
      <c r="V1695" s="427" t="n"/>
      <c r="W1695" s="427" t="n"/>
      <c r="X1695" s="237" t="inlineStr">
        <is>
          <t>TMY 2*30*5→TMY 30*8</t>
        </is>
      </c>
    </row>
    <row r="1696" customFormat="1" s="5">
      <c r="A1696" s="64">
        <f>ROW()-ROW(A$1680)</f>
        <v/>
      </c>
      <c r="B1696" s="22" t="inlineStr">
        <is>
          <t>PE排</t>
        </is>
      </c>
      <c r="C1696" s="22" t="inlineStr">
        <is>
          <t>TMY 2*50*5</t>
        </is>
      </c>
      <c r="D1696" s="22" t="inlineStr">
        <is>
          <t>国产优质</t>
        </is>
      </c>
      <c r="E1696" s="23" t="inlineStr">
        <is>
          <t>米</t>
        </is>
      </c>
      <c r="F1696" s="23" t="n">
        <v>2</v>
      </c>
      <c r="G1696" s="349">
        <f>IF(AND(B1696="",C1696=""),"",ROUND(M1696*L1696*N1696,2))</f>
        <v/>
      </c>
      <c r="H1696" s="349">
        <f>IF(AND(B1696="",C1696=""),"",ROUND(F1696*G1696,2))</f>
        <v/>
      </c>
      <c r="I1696" s="45" t="inlineStr"/>
      <c r="J1696" s="422">
        <f>IF(AND(B1696="",C1696=""),"",ROUND(M1696*N1696,2))</f>
        <v/>
      </c>
      <c r="K1696" s="423">
        <f>IF(AND(B1696="",C1696=""),"",ROUND(J1696*F1696,2))</f>
        <v/>
      </c>
      <c r="L1696" s="225" t="n">
        <v>1</v>
      </c>
      <c r="M1696" s="424" t="n">
        <v>481.06725</v>
      </c>
      <c r="N1696" s="227" t="n">
        <v>1</v>
      </c>
      <c r="O1696" s="228">
        <f>IF(AND(B1696="",C1696=""),"",IF(G1696&gt;=20000,0.05,IF(G1696&gt;=10000,0.1,IF(G1696&gt;=5000,0.2,IF(G1696&gt;=1000,0.3,IF(G1696&gt;=0,0.4,{0}))))))</f>
        <v/>
      </c>
      <c r="P1696" s="425">
        <f>IF(AND(B1696="",C1696=""),"",ROUND(H1696*O1696,2))</f>
        <v/>
      </c>
      <c r="Q1696" s="426" t="inlineStr">
        <is>
          <t>母排</t>
        </is>
      </c>
      <c r="R1696" s="234" t="inlineStr"/>
      <c r="S1696" s="234" t="inlineStr"/>
      <c r="T1696" s="235" t="inlineStr">
        <is>
          <t>0</t>
        </is>
      </c>
      <c r="U1696" s="235" t="inlineStr"/>
      <c r="V1696" s="427" t="n"/>
      <c r="W1696" s="427" t="n"/>
      <c r="X1696" s="237" t="inlineStr">
        <is>
          <t>TMY 2*30*5→TMY 30*8</t>
        </is>
      </c>
    </row>
    <row r="1697" s="308">
      <c r="A1697" s="64">
        <f>ROW()-ROW(A$1680)</f>
        <v/>
      </c>
      <c r="B1697" s="112" t="inlineStr">
        <is>
          <t>辅料</t>
        </is>
      </c>
      <c r="C1697" s="112" t="inlineStr"/>
      <c r="D1697" s="112" t="inlineStr"/>
      <c r="E1697" s="114" t="inlineStr">
        <is>
          <t>套</t>
        </is>
      </c>
      <c r="F1697" s="114" t="n">
        <v>1</v>
      </c>
      <c r="G1697" s="396">
        <f>IF(AND(B1697="",C1697=""),"",ROUND(M1697*L1697*N1697,2))</f>
        <v/>
      </c>
      <c r="H1697" s="396">
        <f>IF(AND(B1697="",C1697=""),"",ROUND(F1697*G1697,2))</f>
        <v/>
      </c>
      <c r="I1697" s="219" t="inlineStr"/>
      <c r="J1697" s="397">
        <f>IF(AND(B1697="",C1697=""),"",ROUND(M1697*N1697,2))</f>
        <v/>
      </c>
      <c r="K1697" s="398">
        <f>IF(AND(B1697="",C1697=""),"",ROUND(J1697*F1697,2))</f>
        <v/>
      </c>
      <c r="L1697" s="200" t="n">
        <v>1</v>
      </c>
      <c r="M1697" s="399" t="n">
        <v>800</v>
      </c>
      <c r="N1697" s="154" t="n">
        <v>1</v>
      </c>
      <c r="O1697" s="155">
        <f>IF(AND(B1697="",C1697=""),"",IF(G1697&gt;=20000,0.05,IF(G1697&gt;=10000,0.1,IF(G1697&gt;=5000,0.2,IF(G1697&gt;=1000,0.3,IF(G1697&gt;=0,0.4,{0}))))))</f>
        <v/>
      </c>
      <c r="P1697" s="400">
        <f>IF(AND(B1697="",C1697=""),"",ROUND(H1697*O1697,2))</f>
        <v/>
      </c>
      <c r="Q1697" s="401" t="inlineStr">
        <is>
          <t>辅料</t>
        </is>
      </c>
      <c r="R1697" s="168" t="inlineStr"/>
      <c r="S1697" s="168" t="inlineStr"/>
      <c r="T1697" s="168" t="inlineStr">
        <is>
          <t>0</t>
        </is>
      </c>
      <c r="U1697" s="168" t="inlineStr"/>
      <c r="V1697" s="402" t="n"/>
      <c r="W1697" s="402" t="n"/>
      <c r="X1697" s="170" t="inlineStr"/>
    </row>
    <row r="1698" s="308">
      <c r="A1698" s="64">
        <f>ROW()-ROW(A$1680)</f>
        <v/>
      </c>
      <c r="B1698" s="112" t="inlineStr">
        <is>
          <t>柜体Blokset</t>
        </is>
      </c>
      <c r="C1698" s="22" t="inlineStr">
        <is>
          <t>400W*1200D*2200H</t>
        </is>
      </c>
      <c r="D1698" s="112" t="inlineStr">
        <is>
          <t>清科</t>
        </is>
      </c>
      <c r="E1698" s="114" t="inlineStr">
        <is>
          <t>台</t>
        </is>
      </c>
      <c r="F1698" s="114" t="n">
        <v>1</v>
      </c>
      <c r="G1698" s="396">
        <f>IF(AND(B1698="",C1698=""),"",ROUND(M1698*L1698*N1698,2))</f>
        <v/>
      </c>
      <c r="H1698" s="396">
        <f>IF(AND(B1698="",C1698=""),"",ROUND(F1698*G1698,2))</f>
        <v/>
      </c>
      <c r="I1698" s="219" t="inlineStr"/>
      <c r="J1698" s="397">
        <f>IF(AND(B1698="",C1698=""),"",ROUND(M1698*N1698,2))</f>
        <v/>
      </c>
      <c r="K1698" s="398">
        <f>IF(AND(B1698="",C1698=""),"",ROUND(J1698*F1698,2))</f>
        <v/>
      </c>
      <c r="L1698" s="200" t="n">
        <v>1</v>
      </c>
      <c r="M1698" s="399" t="n">
        <v>4916</v>
      </c>
      <c r="N1698" s="154" t="n">
        <v>1</v>
      </c>
      <c r="O1698" s="155">
        <f>IF(AND(B1698="",C1698=""),"",IF(G1698&gt;=20000,0.05,IF(G1698&gt;=10000,0.1,IF(G1698&gt;=5000,0.2,IF(G1698&gt;=1000,0.3,IF(G1698&gt;=0,0.4,{0}))))))</f>
        <v/>
      </c>
      <c r="P1698" s="400">
        <f>IF(AND(B1698="",C1698=""),"",ROUND(H1698*O1698,2))</f>
        <v/>
      </c>
      <c r="Q1698" s="401" t="inlineStr">
        <is>
          <t>箱体</t>
        </is>
      </c>
      <c r="R1698" s="168" t="inlineStr"/>
      <c r="S1698" s="168" t="inlineStr"/>
      <c r="T1698" s="168" t="inlineStr">
        <is>
          <t>0</t>
        </is>
      </c>
      <c r="U1698" s="168" t="inlineStr"/>
      <c r="V1698" s="402" t="n"/>
      <c r="W1698" s="402" t="n"/>
      <c r="X1698" s="170" t="inlineStr">
        <is>
          <t>BlokSeT</t>
        </is>
      </c>
    </row>
    <row r="1699" s="308">
      <c r="A1699" s="64">
        <f>ROW()-ROW(A$1680)</f>
        <v/>
      </c>
      <c r="B1699" s="22" t="inlineStr"/>
      <c r="C1699" s="22" t="inlineStr"/>
      <c r="D1699" s="22" t="inlineStr"/>
      <c r="E1699" s="23" t="n"/>
      <c r="F1699" s="23">
        <f>IF(AND(B1699="",C1699=""),"",1)</f>
        <v/>
      </c>
      <c r="G1699" s="349">
        <f>IF(AND(B1699="",C1699=""),"",ROUND(M1699*L1699*N1699,2))</f>
        <v/>
      </c>
      <c r="H1699" s="349">
        <f>IF(AND(B1699="",C1699=""),"",ROUND(F1699*G1699,2))</f>
        <v/>
      </c>
      <c r="I1699" s="45" t="inlineStr"/>
      <c r="J1699" s="397">
        <f>IF(AND(B1699="",C1699=""),"",ROUND(M1699*N1699,2))</f>
        <v/>
      </c>
      <c r="K1699" s="398">
        <f>IF(AND(B1699="",C1699=""),"",ROUND(J1699*F1699,2))</f>
        <v/>
      </c>
      <c r="L1699" s="200">
        <f>IF(AND(B1699="",C1699=""),"",1)</f>
        <v/>
      </c>
      <c r="M1699" s="399" t="n"/>
      <c r="N1699" s="154">
        <f>IF(AND(B1699="",C1699=""),"",1)</f>
        <v/>
      </c>
      <c r="O1699" s="155">
        <f>IF(AND(B1699="",C1699=""),"",IF(J1699&gt;=20000,0.05,IF(J1699&gt;=10000,0.1,IF(J1699&gt;=5000,0.2,IF(J1699&gt;=1000,0.3,IF(J1699&gt;=0,0.4,{0}))))))</f>
        <v/>
      </c>
      <c r="P1699" s="400">
        <f>IF(AND(B1699="",C1699=""),"",ROUND(H1699*O1699,2))</f>
        <v/>
      </c>
      <c r="Q1699" s="401">
        <f>IF(AND(B1699="",C1699=""),"","元件")</f>
        <v/>
      </c>
      <c r="R1699" s="168" t="inlineStr"/>
      <c r="S1699" s="168" t="inlineStr"/>
      <c r="T1699" s="168" t="inlineStr"/>
      <c r="U1699" s="168" t="inlineStr"/>
      <c r="V1699" s="402" t="n"/>
      <c r="W1699" s="402" t="n"/>
      <c r="X1699" s="170" t="inlineStr"/>
    </row>
    <row r="1700" s="308">
      <c r="A1700" s="64">
        <f>ROW()-ROW(A$1680)</f>
        <v/>
      </c>
      <c r="B1700" s="171" t="inlineStr">
        <is>
          <t>小计</t>
        </is>
      </c>
      <c r="C1700" s="172" t="n"/>
      <c r="D1700" s="204" t="n"/>
      <c r="E1700" s="114" t="n"/>
      <c r="F1700" s="114" t="n"/>
      <c r="G1700" s="396" t="n"/>
      <c r="H1700" s="396">
        <f>ROUND(SUM(H1680:INDEX(H:H,ROW()-1)),2)</f>
        <v/>
      </c>
      <c r="I1700" s="45" t="inlineStr"/>
      <c r="J1700" s="397" t="n"/>
      <c r="K1700" s="398">
        <f>ROUND(SUM(K1680:INDEX(K:K,ROW()-1)),2)</f>
        <v/>
      </c>
      <c r="L1700" s="200" t="n"/>
      <c r="M1700" s="399" t="n"/>
      <c r="N1700" s="154" t="n"/>
      <c r="O1700" s="155" t="n"/>
      <c r="P1700" s="400" t="n"/>
      <c r="Q1700" s="401" t="n"/>
      <c r="R1700" s="168" t="inlineStr"/>
      <c r="S1700" s="168" t="inlineStr"/>
      <c r="T1700" s="168" t="inlineStr"/>
      <c r="U1700" s="168" t="inlineStr"/>
      <c r="V1700" s="402">
        <f>ROUND(SUMPRODUCT(F1680:INDEX(F:F,ROW()-1),V1680:INDEX(V:V,ROW()-1)),2)</f>
        <v/>
      </c>
      <c r="W1700" s="402">
        <f>ROUND(SUMPRODUCT(F1680:INDEX(F:F,ROW()-1),W1680:INDEX(W:W,ROW()-1)),2)</f>
        <v/>
      </c>
      <c r="X1700" s="170" t="inlineStr"/>
    </row>
    <row r="1701" s="308">
      <c r="A1701" s="64">
        <f>ROW()-ROW(A$1680)</f>
        <v/>
      </c>
      <c r="B1701" s="171" t="inlineStr">
        <is>
          <t>综合费(人工、管理、税金、利润等)</t>
        </is>
      </c>
      <c r="C1701" s="172" t="n"/>
      <c r="D1701" s="204" t="n"/>
      <c r="E1701" s="114" t="n"/>
      <c r="F1701" s="114" t="n"/>
      <c r="G1701" s="396" t="n"/>
      <c r="H1701" s="396">
        <f>2500</f>
        <v/>
      </c>
      <c r="I1701" s="45" t="inlineStr"/>
      <c r="J1701" s="397" t="n"/>
      <c r="K1701" s="398" t="n"/>
      <c r="L1701" s="200" t="n"/>
      <c r="M1701" s="399" t="n"/>
      <c r="N1701" s="154" t="n"/>
      <c r="O1701" s="155" t="n"/>
      <c r="P1701" s="400" t="n"/>
      <c r="Q1701" s="401" t="inlineStr">
        <is>
          <t>费用</t>
        </is>
      </c>
      <c r="R1701" s="168" t="inlineStr"/>
      <c r="S1701" s="168" t="inlineStr"/>
      <c r="T1701" s="168" t="inlineStr"/>
      <c r="U1701" s="168" t="inlineStr"/>
      <c r="V1701" s="402" t="n"/>
      <c r="W1701" s="402" t="n"/>
      <c r="X1701" s="170" t="inlineStr"/>
    </row>
    <row r="1702" s="308">
      <c r="A1702" s="64">
        <f>ROW()-ROW(A$1680)</f>
        <v/>
      </c>
      <c r="B1702" s="204" t="inlineStr">
        <is>
          <t>单台合计</t>
        </is>
      </c>
      <c r="C1702" s="172" t="n"/>
      <c r="D1702" s="204" t="n"/>
      <c r="E1702" s="114" t="n"/>
      <c r="F1702" s="114" t="n"/>
      <c r="G1702" s="396" t="n"/>
      <c r="H1702" s="396">
        <f>ROUND(SUM(H1700:H1701),2)</f>
        <v/>
      </c>
      <c r="I1702" s="181" t="n"/>
      <c r="J1702" s="397" t="n"/>
      <c r="K1702" s="398">
        <f>ROUND(SUM(K1700:K1701),2)</f>
        <v/>
      </c>
      <c r="L1702" s="209" t="n"/>
      <c r="M1702" s="399" t="n"/>
      <c r="N1702" s="210" t="n"/>
      <c r="O1702" s="211" t="n"/>
      <c r="P1702" s="400" t="n"/>
      <c r="Q1702" s="401" t="n"/>
      <c r="R1702" s="168" t="inlineStr"/>
      <c r="S1702" s="168" t="inlineStr"/>
      <c r="T1702" s="168" t="inlineStr"/>
      <c r="U1702" s="168" t="inlineStr"/>
      <c r="V1702" s="402" t="n"/>
      <c r="W1702" s="402" t="n"/>
      <c r="X1702" s="170" t="inlineStr"/>
    </row>
    <row r="1703" s="308">
      <c r="A1703" s="173" t="inlineStr">
        <is>
          <t>总计</t>
        </is>
      </c>
      <c r="B1703" s="205" t="n"/>
      <c r="C1703" s="175" t="n"/>
      <c r="D1703" s="206" t="n"/>
      <c r="E1703" s="206" t="inlineStr">
        <is>
          <t>台</t>
        </is>
      </c>
      <c r="F1703" s="206" t="n">
        <v>2</v>
      </c>
      <c r="G1703" s="414">
        <f>ROUND(H1702,2)</f>
        <v/>
      </c>
      <c r="H1703" s="414">
        <f>ROUND(F1703*G1703,2)</f>
        <v/>
      </c>
      <c r="I1703" s="185" t="n"/>
      <c r="J1703" s="415" t="n"/>
      <c r="K1703" s="416">
        <f>ROUND(K1702*F1703,2)</f>
        <v/>
      </c>
      <c r="L1703" s="214" t="n"/>
      <c r="M1703" s="417" t="n"/>
      <c r="N1703" s="216" t="n"/>
      <c r="O1703" s="217" t="n"/>
      <c r="P1703" s="418" t="n"/>
      <c r="Q1703" s="401" t="n"/>
      <c r="R1703" s="168" t="inlineStr"/>
      <c r="S1703" s="168" t="inlineStr"/>
      <c r="T1703" s="168" t="inlineStr"/>
      <c r="U1703" s="168" t="inlineStr"/>
      <c r="V1703" s="402" t="n"/>
      <c r="W1703" s="402" t="n"/>
      <c r="X1703" s="170" t="inlineStr"/>
    </row>
    <row r="1704" customFormat="1" s="4">
      <c r="A1704" s="6" t="n"/>
      <c r="B1704" s="195" t="inlineStr"/>
      <c r="C1704" s="195" t="inlineStr"/>
      <c r="D1704" s="195" t="inlineStr"/>
      <c r="Q1704" s="159" t="n"/>
      <c r="R1704" s="159" t="n"/>
      <c r="S1704" s="159" t="n"/>
      <c r="T1704" s="159" t="n"/>
      <c r="U1704" s="159" t="n"/>
      <c r="X1704" s="195" t="inlineStr"/>
    </row>
    <row r="1705" customFormat="1" s="4">
      <c r="A1705" s="6" t="n"/>
      <c r="B1705" s="195" t="inlineStr"/>
      <c r="C1705" s="195" t="inlineStr"/>
      <c r="D1705" s="195" t="inlineStr"/>
      <c r="Q1705" s="159" t="n"/>
      <c r="R1705" s="159" t="n"/>
      <c r="S1705" s="159" t="n"/>
      <c r="T1705" s="159" t="n"/>
      <c r="U1705" s="159" t="n"/>
      <c r="X1705" s="195" t="inlineStr"/>
    </row>
    <row r="1706" s="308">
      <c r="A1706" s="208">
        <f>CONCATENATE("报价人：",项目信息!$B$8)</f>
        <v/>
      </c>
      <c r="B1706" s="208" t="n"/>
      <c r="C1706" s="4" t="n"/>
      <c r="D1706" s="4" t="n"/>
      <c r="E1706" s="4" t="n"/>
      <c r="F1706" s="4" t="n"/>
      <c r="G1706" s="4" t="n"/>
      <c r="H1706" s="178">
        <f>项目信息!$B$9</f>
        <v/>
      </c>
      <c r="Q1706" s="159" t="n"/>
      <c r="R1706" s="159" t="n"/>
      <c r="S1706" s="159" t="n"/>
      <c r="T1706" s="159" t="n"/>
      <c r="U1706" s="159" t="n"/>
      <c r="X1706" s="203" t="inlineStr"/>
    </row>
    <row r="1707" s="308">
      <c r="A1707" s="8">
        <f>T(项目信息!$B$22)</f>
        <v/>
      </c>
      <c r="Q1707" s="159" t="n"/>
      <c r="R1707" s="159" t="n"/>
      <c r="S1707" s="159" t="n"/>
      <c r="T1707" s="159" t="n"/>
      <c r="U1707" s="159" t="n"/>
    </row>
    <row r="1708" s="308">
      <c r="A1708" s="9">
        <f>T(项目信息!$B$23)</f>
        <v/>
      </c>
      <c r="Q1708" s="159" t="n"/>
      <c r="R1708" s="159" t="n"/>
      <c r="S1708" s="159" t="n"/>
      <c r="T1708" s="159" t="n"/>
      <c r="U1708" s="159" t="n"/>
    </row>
    <row r="1709" s="308">
      <c r="A1709" s="97" t="inlineStr">
        <is>
          <t>成套产品报价明细表</t>
        </is>
      </c>
      <c r="B1709" s="378" t="n"/>
      <c r="C1709" s="378" t="n"/>
      <c r="D1709" s="378" t="n"/>
      <c r="E1709" s="378" t="n"/>
      <c r="F1709" s="378" t="n"/>
      <c r="G1709" s="378" t="n"/>
      <c r="H1709" s="378" t="n"/>
      <c r="I1709" s="378" t="n"/>
      <c r="Q1709" s="159" t="n"/>
      <c r="R1709" s="159" t="n"/>
      <c r="S1709" s="159" t="n"/>
      <c r="T1709" s="159" t="n"/>
      <c r="U1709" s="159" t="n"/>
    </row>
    <row r="1710" customFormat="1" s="2">
      <c r="A1710" s="98" t="inlineStr">
        <is>
          <t>柜号:</t>
        </is>
      </c>
      <c r="B1710" s="99" t="inlineStr">
        <is>
          <t>T3-AU12、T4-BU12</t>
        </is>
      </c>
      <c r="C1710" s="100" t="inlineStr">
        <is>
          <t>型号:</t>
        </is>
      </c>
      <c r="D1710" s="99" t="inlineStr">
        <is>
          <t>BlokSeT</t>
        </is>
      </c>
      <c r="E1710" s="379" t="n"/>
      <c r="F1710" s="101" t="inlineStr">
        <is>
          <t>名称:</t>
        </is>
      </c>
      <c r="G1710" s="99" t="inlineStr">
        <is>
          <t>进线柜</t>
        </is>
      </c>
      <c r="H1710" s="379" t="n"/>
      <c r="I1710" s="380" t="inlineStr"/>
      <c r="J1710" s="131" t="inlineStr">
        <is>
          <t>箱柜尺寸:</t>
        </is>
      </c>
      <c r="K1710" s="132" t="inlineStr">
        <is>
          <t>400W*1200D*2200H</t>
        </is>
      </c>
      <c r="L1710" s="131" t="inlineStr">
        <is>
          <t>类别:</t>
        </is>
      </c>
      <c r="M1710" s="132" t="inlineStr">
        <is>
          <t>低压固定柜</t>
        </is>
      </c>
      <c r="N1710" s="381" t="inlineStr"/>
      <c r="Q1710" s="160" t="n"/>
      <c r="R1710" s="160" t="n"/>
      <c r="S1710" s="160" t="n"/>
      <c r="T1710" s="160" t="n"/>
      <c r="U1710" s="160" t="n"/>
    </row>
    <row r="1711" ht="20.1" customFormat="1" customHeight="1" s="3">
      <c r="A1711" s="102" t="inlineStr">
        <is>
          <t>序号</t>
        </is>
      </c>
      <c r="B1711" s="103" t="inlineStr">
        <is>
          <t>元件名称</t>
        </is>
      </c>
      <c r="C1711" s="103" t="inlineStr">
        <is>
          <t>型号规格</t>
        </is>
      </c>
      <c r="D1711" s="104" t="inlineStr">
        <is>
          <t>生产厂家</t>
        </is>
      </c>
      <c r="E1711" s="105" t="inlineStr">
        <is>
          <t>单位</t>
        </is>
      </c>
      <c r="F1711" s="105" t="inlineStr">
        <is>
          <t>数量</t>
        </is>
      </c>
      <c r="G1711" s="382" t="inlineStr">
        <is>
          <t>单   价</t>
        </is>
      </c>
      <c r="H1711" s="383" t="inlineStr">
        <is>
          <t>总   价</t>
        </is>
      </c>
      <c r="I1711" s="134" t="inlineStr">
        <is>
          <t>备注</t>
        </is>
      </c>
      <c r="J1711" s="384" t="inlineStr">
        <is>
          <t>成本单价</t>
        </is>
      </c>
      <c r="K1711" s="384" t="inlineStr">
        <is>
          <t>成本总价</t>
        </is>
      </c>
      <c r="L1711" s="136" t="inlineStr">
        <is>
          <t>报出
系数</t>
        </is>
      </c>
      <c r="M1711" s="384" t="inlineStr">
        <is>
          <t>表价</t>
        </is>
      </c>
      <c r="N1711" s="136" t="inlineStr">
        <is>
          <t>折扣
系数</t>
        </is>
      </c>
      <c r="O1711" s="137" t="inlineStr">
        <is>
          <t>取费
系数</t>
        </is>
      </c>
      <c r="P1711" s="384" t="inlineStr">
        <is>
          <t>成套费</t>
        </is>
      </c>
      <c r="Q1711" s="161" t="inlineStr">
        <is>
          <t>类别</t>
        </is>
      </c>
      <c r="R1711" s="161" t="inlineStr">
        <is>
          <t>物料编码</t>
        </is>
      </c>
      <c r="S1711" s="161" t="inlineStr">
        <is>
          <t>产地</t>
        </is>
      </c>
      <c r="T1711" s="161" t="inlineStr">
        <is>
          <t>加工费</t>
        </is>
      </c>
      <c r="U1711" s="161" t="inlineStr">
        <is>
          <t>订货号</t>
        </is>
      </c>
      <c r="V1711" s="161" t="inlineStr">
        <is>
          <t>人工</t>
        </is>
      </c>
      <c r="W1711" s="161" t="inlineStr">
        <is>
          <t>辅料</t>
        </is>
      </c>
      <c r="X1711" s="162" t="inlineStr"/>
    </row>
    <row r="1712" customFormat="1" s="3">
      <c r="A1712" s="108">
        <f>ROW()-ROW(A$1711)</f>
        <v/>
      </c>
      <c r="B1712" s="109" t="inlineStr">
        <is>
          <t>双电源</t>
        </is>
      </c>
      <c r="C1712" s="22" t="inlineStr">
        <is>
          <t>MT10 N1a SG 3P MIC5.0 E</t>
        </is>
      </c>
      <c r="D1712" s="22" t="inlineStr">
        <is>
          <t>甲供/施耐德电气</t>
        </is>
      </c>
      <c r="E1712" s="110" t="inlineStr">
        <is>
          <t>只</t>
        </is>
      </c>
      <c r="F1712" s="110" t="n">
        <v>1</v>
      </c>
      <c r="G1712" s="385">
        <f>IF(AND(B1712="",C1712=""),"",ROUND(M1712*L1712*N1712,2))</f>
        <v/>
      </c>
      <c r="H1712" s="385">
        <f>IF(AND(B1712="",C1712=""),"",ROUND(F1712*G1712,2))</f>
        <v/>
      </c>
      <c r="I1712" s="138" t="inlineStr"/>
      <c r="J1712" s="386">
        <f>IF(AND(B1712="",C1712=""),"",ROUND(M1712*N1712,2))</f>
        <v/>
      </c>
      <c r="K1712" s="387">
        <f>IF(AND(B1712="",C1712=""),"",ROUND(J1712*F1712,2))</f>
        <v/>
      </c>
      <c r="L1712" s="141" t="n">
        <v>1</v>
      </c>
      <c r="M1712" s="388" t="n">
        <v>1e-07</v>
      </c>
      <c r="N1712" s="143" t="n">
        <v>1</v>
      </c>
      <c r="O1712" s="144">
        <f>IF(AND(B1712="",C1712=""),"",IF(G1712&gt;=20000,0.05,IF(G1712&gt;=10000,0.1,IF(G1712&gt;=5000,0.2,IF(G1712&gt;=1000,0.3,IF(G1712&gt;=0,0.4,{0}))))))</f>
        <v/>
      </c>
      <c r="P1712" s="389">
        <f>IF(AND(B1712="",C1712=""),"",ROUND(H1712*O1712,2))</f>
        <v/>
      </c>
      <c r="Q1712" s="390" t="inlineStr">
        <is>
          <t>元件</t>
        </is>
      </c>
      <c r="R1712" s="164" t="inlineStr"/>
      <c r="S1712" s="164" t="inlineStr"/>
      <c r="T1712" s="164" t="inlineStr">
        <is>
          <t>0</t>
        </is>
      </c>
      <c r="U1712" s="164" t="inlineStr">
        <is>
          <t>48327+48500+33542+48527+48494+48484+48408+48603+48170+48175+48384</t>
        </is>
      </c>
      <c r="V1712" s="391" t="n"/>
      <c r="W1712" s="391" t="n"/>
      <c r="X1712"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1713" customFormat="1" s="3">
      <c r="A1713" s="64">
        <f>ROW()-ROW(A$1711)</f>
        <v/>
      </c>
      <c r="B1713" s="27" t="inlineStr">
        <is>
          <t>多功能表</t>
        </is>
      </c>
      <c r="C1713" s="22" t="inlineStr">
        <is>
          <t>PM4101</t>
        </is>
      </c>
      <c r="D1713" s="22" t="inlineStr">
        <is>
          <t>甲供/施耐德电气</t>
        </is>
      </c>
      <c r="E1713" s="110" t="inlineStr">
        <is>
          <t>只</t>
        </is>
      </c>
      <c r="F1713" s="23" t="n">
        <v>1</v>
      </c>
      <c r="G1713" s="353">
        <f>IF(AND(B1713="",C1713=""),"",ROUND(M1713*L1713*N1713,2))</f>
        <v/>
      </c>
      <c r="H1713" s="349">
        <f>IF(AND(B1713="",C1713=""),"",ROUND(F1713*G1713,2))</f>
        <v/>
      </c>
      <c r="I1713" s="45" t="inlineStr"/>
      <c r="J1713" s="392">
        <f>IF(AND(B1713="",C1713=""),"",ROUND(M1713*N1713,2))</f>
        <v/>
      </c>
      <c r="K1713" s="393">
        <f>IF(AND(B1713="",C1713=""),"",ROUND(J1713*F1713,2))</f>
        <v/>
      </c>
      <c r="L1713" s="141" t="n">
        <v>1</v>
      </c>
      <c r="M1713" s="394" t="n">
        <v>1e-07</v>
      </c>
      <c r="N1713" s="143" t="n">
        <v>1</v>
      </c>
      <c r="O1713" s="144">
        <f>IF(AND(B1713="",C1713=""),"",IF(G1713&gt;=20000,0.05,IF(G1713&gt;=10000,0.1,IF(G1713&gt;=5000,0.2,IF(G1713&gt;=1000,0.3,IF(G1713&gt;=0,0.4,{0}))))))</f>
        <v/>
      </c>
      <c r="P1713" s="395">
        <f>IF(AND(B1713="",C1713=""),"",ROUND(H1713*O1713,2))</f>
        <v/>
      </c>
      <c r="Q1713" s="390" t="inlineStr">
        <is>
          <t>元件</t>
        </is>
      </c>
      <c r="R1713" s="164" t="inlineStr"/>
      <c r="S1713" s="164" t="inlineStr"/>
      <c r="T1713" s="164" t="inlineStr">
        <is>
          <t>0</t>
        </is>
      </c>
      <c r="U1713" s="164" t="inlineStr">
        <is>
          <t>True</t>
        </is>
      </c>
      <c r="V1713" s="391" t="n"/>
      <c r="W1713" s="391" t="n"/>
      <c r="X1713" s="166" t="inlineStr">
        <is>
          <t>PM→PM4633→PM4201</t>
        </is>
      </c>
    </row>
    <row r="1714" customFormat="1" s="3">
      <c r="A1714" s="64">
        <f>ROW()-ROW(A$1711)</f>
        <v/>
      </c>
      <c r="B1714" s="27" t="inlineStr">
        <is>
          <t>电流互感器</t>
        </is>
      </c>
      <c r="C1714" s="22" t="inlineStr">
        <is>
          <t>SD-0.66-80II-V 1000/5A</t>
        </is>
      </c>
      <c r="D1714" s="27" t="inlineStr">
        <is>
          <t>桑迪</t>
        </is>
      </c>
      <c r="E1714" s="110" t="inlineStr">
        <is>
          <t>只</t>
        </is>
      </c>
      <c r="F1714" s="23" t="n">
        <v>3</v>
      </c>
      <c r="G1714" s="349">
        <f>IF(AND(B1714="",C1714=""),"",ROUND(M1714*L1714*N1714,2))</f>
        <v/>
      </c>
      <c r="H1714" s="349">
        <f>IF(AND(B1714="",C1714=""),"",ROUND(F1714*G1714,2))</f>
        <v/>
      </c>
      <c r="I1714" s="45" t="inlineStr"/>
      <c r="J1714" s="392">
        <f>IF(AND(B1714="",C1714=""),"",ROUND(M1714*N1714,2))</f>
        <v/>
      </c>
      <c r="K1714" s="393">
        <f>IF(AND(B1714="",C1714=""),"",ROUND(J1714*F1714,2))</f>
        <v/>
      </c>
      <c r="L1714" s="141" t="n">
        <v>1</v>
      </c>
      <c r="M1714" s="394" t="n">
        <v>91.65000000000001</v>
      </c>
      <c r="N1714" s="143" t="n">
        <v>1</v>
      </c>
      <c r="O1714" s="144">
        <f>IF(AND(B1714="",C1714=""),"",IF(G1714&gt;=20000,0.05,IF(G1714&gt;=10000,0.1,IF(G1714&gt;=5000,0.2,IF(G1714&gt;=1000,0.3,IF(G1714&gt;=0,0.4,{0}))))))</f>
        <v/>
      </c>
      <c r="P1714" s="395">
        <f>IF(AND(B1714="",C1714=""),"",ROUND(H1714*O1714,2))</f>
        <v/>
      </c>
      <c r="Q1714" s="390" t="inlineStr">
        <is>
          <t>元件</t>
        </is>
      </c>
      <c r="R1714" s="164" t="inlineStr"/>
      <c r="S1714" s="164" t="inlineStr"/>
      <c r="T1714" s="164" t="inlineStr">
        <is>
          <t>0</t>
        </is>
      </c>
      <c r="U1714" s="164" t="inlineStr">
        <is>
          <t>710141426552500</t>
        </is>
      </c>
      <c r="V1714" s="391" t="n"/>
      <c r="W1714" s="391" t="n"/>
      <c r="X1714"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1600/5A→SD-0.66-160III-C 5000/5A→SD-0.66-130III-V 3000/5A→SD-0.66-100II-C 2000/5A→SD-0.66-80II-V 800/5A</t>
        </is>
      </c>
    </row>
    <row r="1715" customFormat="1" s="3">
      <c r="A1715" s="64">
        <f>ROW()-ROW(A$1711)</f>
        <v/>
      </c>
      <c r="B1715" s="27" t="inlineStr">
        <is>
          <t>后备保护器</t>
        </is>
      </c>
      <c r="C1715" s="22" t="inlineStr">
        <is>
          <t>iSCB2 40H2 4P</t>
        </is>
      </c>
      <c r="D1715" s="22" t="inlineStr">
        <is>
          <t>甲供/施耐德万高</t>
        </is>
      </c>
      <c r="E1715" s="110" t="inlineStr">
        <is>
          <t>只</t>
        </is>
      </c>
      <c r="F1715" s="23" t="n">
        <v>1</v>
      </c>
      <c r="G1715" s="349">
        <f>IF(AND(B1715="",C1715=""),"",ROUND(M1715*L1715*N1715,2))</f>
        <v/>
      </c>
      <c r="H1715" s="349">
        <f>IF(AND(B1715="",C1715=""),"",ROUND(F1715*G1715,2))</f>
        <v/>
      </c>
      <c r="I1715" s="45" t="inlineStr"/>
      <c r="J1715" s="392">
        <f>IF(AND(B1715="",C1715=""),"",ROUND(M1715*N1715,2))</f>
        <v/>
      </c>
      <c r="K1715" s="393">
        <f>IF(AND(B1715="",C1715=""),"",ROUND(J1715*F1715,2))</f>
        <v/>
      </c>
      <c r="L1715" s="141" t="n">
        <v>1</v>
      </c>
      <c r="M1715" s="394" t="n">
        <v>1e-07</v>
      </c>
      <c r="N1715" s="143" t="n">
        <v>1</v>
      </c>
      <c r="O1715" s="144">
        <f>IF(AND(B1715="",C1715=""),"",IF(G1715&gt;=20000,0.05,IF(G1715&gt;=10000,0.1,IF(G1715&gt;=5000,0.2,IF(G1715&gt;=1000,0.3,IF(G1715&gt;=0,0.4,{0}))))))</f>
        <v/>
      </c>
      <c r="P1715" s="395">
        <f>IF(AND(B1715="",C1715=""),"",ROUND(H1715*O1715,2))</f>
        <v/>
      </c>
      <c r="Q1715" s="390" t="inlineStr">
        <is>
          <t>元件</t>
        </is>
      </c>
      <c r="R1715" s="164" t="inlineStr"/>
      <c r="S1715" s="164" t="inlineStr"/>
      <c r="T1715" s="164" t="inlineStr">
        <is>
          <t>0</t>
        </is>
      </c>
      <c r="U1715" s="164" t="inlineStr">
        <is>
          <t>A9L102554</t>
        </is>
      </c>
      <c r="V1715" s="391" t="n"/>
      <c r="W1715" s="391" t="n"/>
      <c r="X1715" s="166" t="inlineStr">
        <is>
          <t>iSCB1 25L1 4P→iSCB2 40H2 4P</t>
        </is>
      </c>
    </row>
    <row r="1716" customFormat="1" s="3">
      <c r="A1716" s="64">
        <f>ROW()-ROW(A$1711)</f>
        <v/>
      </c>
      <c r="B1716" s="27" t="inlineStr">
        <is>
          <t>电涌保护器</t>
        </is>
      </c>
      <c r="C1716" s="22" t="inlineStr">
        <is>
          <t>iPRU 40r 3P+N</t>
        </is>
      </c>
      <c r="D1716" s="22" t="inlineStr">
        <is>
          <t>甲供/施耐德万高</t>
        </is>
      </c>
      <c r="E1716" s="110" t="inlineStr">
        <is>
          <t>只</t>
        </is>
      </c>
      <c r="F1716" s="23" t="n">
        <v>1</v>
      </c>
      <c r="G1716" s="349">
        <f>IF(AND(B1716="",C1716=""),"",ROUND(M1716*L1716*N1716,2))</f>
        <v/>
      </c>
      <c r="H1716" s="349">
        <f>IF(AND(B1716="",C1716=""),"",ROUND(F1716*G1716,2))</f>
        <v/>
      </c>
      <c r="I1716" s="45" t="inlineStr"/>
      <c r="J1716" s="392">
        <f>IF(AND(B1716="",C1716=""),"",ROUND(M1716*N1716,2))</f>
        <v/>
      </c>
      <c r="K1716" s="393">
        <f>IF(AND(B1716="",C1716=""),"",ROUND(J1716*F1716,2))</f>
        <v/>
      </c>
      <c r="L1716" s="141" t="n">
        <v>1</v>
      </c>
      <c r="M1716" s="394" t="n">
        <v>1e-07</v>
      </c>
      <c r="N1716" s="143" t="n">
        <v>1</v>
      </c>
      <c r="O1716" s="144">
        <f>IF(AND(B1716="",C1716=""),"",IF(G1716&gt;=20000,0.05,IF(G1716&gt;=10000,0.1,IF(G1716&gt;=5000,0.2,IF(G1716&gt;=1000,0.3,IF(G1716&gt;=0,0.4,{0}))))))</f>
        <v/>
      </c>
      <c r="P1716" s="395">
        <f>IF(AND(B1716="",C1716=""),"",ROUND(H1716*O1716,2))</f>
        <v/>
      </c>
      <c r="Q1716" s="390" t="inlineStr">
        <is>
          <t>元件</t>
        </is>
      </c>
      <c r="R1716" s="164" t="inlineStr"/>
      <c r="S1716" s="164" t="inlineStr"/>
      <c r="T1716" s="164" t="inlineStr">
        <is>
          <t>0</t>
        </is>
      </c>
      <c r="U1716" s="164" t="inlineStr">
        <is>
          <t>A9L620601</t>
        </is>
      </c>
      <c r="V1716" s="391" t="n"/>
      <c r="W1716" s="391" t="n"/>
      <c r="X1716" s="166" t="inlineStr">
        <is>
          <t>iPRF1 12.5r 3P+N→iPRU 40r 3P→iPRF1 12.5r 3P+N</t>
        </is>
      </c>
    </row>
    <row r="1717" customFormat="1" s="3">
      <c r="A1717" s="64">
        <f>ROW()-ROW(A$1711)</f>
        <v/>
      </c>
      <c r="B1717" s="27" t="inlineStr">
        <is>
          <t>微型断路器</t>
        </is>
      </c>
      <c r="C1717" s="22" t="inlineStr">
        <is>
          <t>iC65H 2P C16A</t>
        </is>
      </c>
      <c r="D1717" s="22" t="inlineStr">
        <is>
          <t>甲供/施耐德电气</t>
        </is>
      </c>
      <c r="E1717" s="110" t="inlineStr">
        <is>
          <t>只</t>
        </is>
      </c>
      <c r="F1717" s="23" t="n">
        <v>2</v>
      </c>
      <c r="G1717" s="349">
        <f>IF(AND(B1717="",C1717=""),"",ROUND(M1717*L1717*N1717,2))</f>
        <v/>
      </c>
      <c r="H1717" s="349">
        <f>IF(AND(B1717="",C1717=""),"",ROUND(F1717*G1717,2))</f>
        <v/>
      </c>
      <c r="I1717" s="45" t="inlineStr"/>
      <c r="J1717" s="392">
        <f>IF(AND(B1717="",C1717=""),"",ROUND(M1717*N1717,2))</f>
        <v/>
      </c>
      <c r="K1717" s="393">
        <f>IF(AND(B1717="",C1717=""),"",ROUND(J1717*F1717,2))</f>
        <v/>
      </c>
      <c r="L1717" s="141" t="n">
        <v>1</v>
      </c>
      <c r="M1717" s="394" t="n">
        <v>1e-07</v>
      </c>
      <c r="N1717" s="143" t="n">
        <v>1</v>
      </c>
      <c r="O1717" s="144">
        <f>IF(AND(B1717="",C1717=""),"",IF(G1717&gt;=20000,0.05,IF(G1717&gt;=10000,0.1,IF(G1717&gt;=5000,0.2,IF(G1717&gt;=1000,0.3,IF(G1717&gt;=0,0.4,{0}))))))</f>
        <v/>
      </c>
      <c r="P1717" s="395">
        <f>IF(AND(B1717="",C1717=""),"",ROUND(H1717*O1717,2))</f>
        <v/>
      </c>
      <c r="Q1717" s="390" t="inlineStr">
        <is>
          <t>元件</t>
        </is>
      </c>
      <c r="R1717" s="164" t="inlineStr"/>
      <c r="S1717" s="164" t="inlineStr"/>
      <c r="T1717" s="164" t="n">
        <v>0</v>
      </c>
      <c r="U1717" s="164" t="inlineStr"/>
      <c r="V1717" s="391" t="n"/>
      <c r="W1717" s="391" t="n"/>
      <c r="X1717" s="166" t="inlineStr"/>
    </row>
    <row r="1718" s="308">
      <c r="A1718" s="64">
        <f>ROW()-ROW(A$1711)</f>
        <v/>
      </c>
      <c r="B1718" s="112" t="inlineStr">
        <is>
          <t>温湿度控制器</t>
        </is>
      </c>
      <c r="C1718" s="112" t="inlineStr">
        <is>
          <t>ATH48G-11</t>
        </is>
      </c>
      <c r="D1718" s="22" t="inlineStr">
        <is>
          <t>杭州安廷</t>
        </is>
      </c>
      <c r="E1718" s="23" t="inlineStr">
        <is>
          <t>套</t>
        </is>
      </c>
      <c r="F1718" s="23" t="n">
        <v>1</v>
      </c>
      <c r="G1718" s="349">
        <f>IF(AND(B1718="",C1718=""),"",ROUND(M1718*L1718*N1718,2))</f>
        <v/>
      </c>
      <c r="H1718" s="396">
        <f>IF(AND(B1718="",C1718=""),"",ROUND(F1718*G1718,2))</f>
        <v/>
      </c>
      <c r="I1718" s="150" t="inlineStr"/>
      <c r="J1718" s="397">
        <f>IF(AND(B1718="",C1718=""),"",ROUND(M1718*N1718,2))</f>
        <v/>
      </c>
      <c r="K1718" s="398">
        <f>IF(AND(B1718="",C1718=""),"",ROUND(J1718*F1718,2))</f>
        <v/>
      </c>
      <c r="L1718" s="141" t="n">
        <v>1</v>
      </c>
      <c r="M1718" s="399" t="n">
        <v>450</v>
      </c>
      <c r="N1718" s="154" t="n">
        <v>1</v>
      </c>
      <c r="O1718" s="155">
        <f>IF(AND(B1718="",C1718=""),"",IF(G1718&gt;=20000,0.05,IF(G1718&gt;=10000,0.1,IF(G1718&gt;=5000,0.2,IF(G1718&gt;=1000,0.3,IF(G1718&gt;=0,0.4,{0}))))))</f>
        <v/>
      </c>
      <c r="P1718" s="400">
        <f>IF(AND(B1718="",C1718=""),"",ROUND(H1718*O1718,2))</f>
        <v/>
      </c>
      <c r="Q1718" s="401" t="inlineStr">
        <is>
          <t>元件</t>
        </is>
      </c>
      <c r="R1718" s="168" t="inlineStr"/>
      <c r="S1718" s="168" t="inlineStr"/>
      <c r="T1718" s="168" t="inlineStr">
        <is>
          <t>0</t>
        </is>
      </c>
      <c r="U1718" s="168" t="inlineStr"/>
      <c r="V1718" s="402" t="n"/>
      <c r="W1718" s="402" t="n"/>
      <c r="X1718" s="170" t="inlineStr"/>
    </row>
    <row r="1719" s="308">
      <c r="A1719" s="64">
        <f>ROW()-ROW(A$1711)</f>
        <v/>
      </c>
      <c r="B1719" s="112" t="inlineStr">
        <is>
          <t>指示灯</t>
        </is>
      </c>
      <c r="C1719" s="112" t="inlineStr">
        <is>
          <t>XB2BVM3LC</t>
        </is>
      </c>
      <c r="D1719" s="112" t="inlineStr">
        <is>
          <t>甲供/施耐德电气</t>
        </is>
      </c>
      <c r="E1719" s="114" t="inlineStr">
        <is>
          <t>只</t>
        </is>
      </c>
      <c r="F1719" s="114" t="n">
        <v>1</v>
      </c>
      <c r="G1719" s="396">
        <f>IF(AND(B1719="",C1719=""),"",ROUND(M1719*L1719*N1719,2))</f>
        <v/>
      </c>
      <c r="H1719" s="396">
        <f>IF(AND(B1719="",C1719=""),"",ROUND(F1719*G1719,2))</f>
        <v/>
      </c>
      <c r="I1719" s="150" t="inlineStr"/>
      <c r="J1719" s="397">
        <f>IF(AND(B1719="",C1719=""),"",ROUND(M1719*N1719,2))</f>
        <v/>
      </c>
      <c r="K1719" s="398">
        <f>IF(AND(B1719="",C1719=""),"",ROUND(J1719*F1719,2))</f>
        <v/>
      </c>
      <c r="L1719" s="141" t="n">
        <v>1</v>
      </c>
      <c r="M1719" s="399" t="n">
        <v>1e-07</v>
      </c>
      <c r="N1719" s="154" t="n">
        <v>1</v>
      </c>
      <c r="O1719" s="155">
        <f>IF(AND(B1719="",C1719=""),"",IF(G1719&gt;=20000,0.05,IF(G1719&gt;=10000,0.1,IF(G1719&gt;=5000,0.2,IF(G1719&gt;=1000,0.3,IF(G1719&gt;=0,0.4,{0}))))))</f>
        <v/>
      </c>
      <c r="P1719" s="400">
        <f>IF(AND(B1719="",C1719=""),"",ROUND(H1719*O1719,2))</f>
        <v/>
      </c>
      <c r="Q1719" s="401" t="inlineStr">
        <is>
          <t>元件</t>
        </is>
      </c>
      <c r="R1719" s="168" t="inlineStr"/>
      <c r="S1719" s="168" t="inlineStr"/>
      <c r="T1719" s="168" t="inlineStr">
        <is>
          <t>0</t>
        </is>
      </c>
      <c r="U1719" s="168" t="inlineStr">
        <is>
          <t>XA2EVM3LC</t>
        </is>
      </c>
      <c r="V1719" s="402" t="n"/>
      <c r="W1719" s="402" t="n"/>
      <c r="X1719" s="170" t="inlineStr"/>
    </row>
    <row r="1720" s="308">
      <c r="A1720" s="64">
        <f>ROW()-ROW(A$1711)</f>
        <v/>
      </c>
      <c r="B1720" s="112" t="inlineStr">
        <is>
          <t>指示灯</t>
        </is>
      </c>
      <c r="C1720" s="22" t="inlineStr">
        <is>
          <t>XB2BVM4LC</t>
        </is>
      </c>
      <c r="D1720" s="112" t="inlineStr">
        <is>
          <t>甲供/施耐德电气</t>
        </is>
      </c>
      <c r="E1720" s="114" t="inlineStr">
        <is>
          <t>只</t>
        </is>
      </c>
      <c r="F1720" s="114" t="n">
        <v>1</v>
      </c>
      <c r="G1720" s="396">
        <f>IF(AND(B1720="",C1720=""),"",ROUND(M1720*L1720*N1720,2))</f>
        <v/>
      </c>
      <c r="H1720" s="396">
        <f>IF(AND(B1720="",C1720=""),"",ROUND(F1720*G1720,2))</f>
        <v/>
      </c>
      <c r="I1720" s="150" t="inlineStr"/>
      <c r="J1720" s="397">
        <f>IF(AND(B1720="",C1720=""),"",ROUND(M1720*N1720,2))</f>
        <v/>
      </c>
      <c r="K1720" s="398">
        <f>IF(AND(B1720="",C1720=""),"",ROUND(J1720*F1720,2))</f>
        <v/>
      </c>
      <c r="L1720" s="141" t="n">
        <v>1</v>
      </c>
      <c r="M1720" s="399" t="n">
        <v>1e-07</v>
      </c>
      <c r="N1720" s="154" t="n">
        <v>1</v>
      </c>
      <c r="O1720" s="155">
        <f>IF(AND(B1720="",C1720=""),"",IF(G1720&gt;=20000,0.05,IF(G1720&gt;=10000,0.1,IF(G1720&gt;=5000,0.2,IF(G1720&gt;=1000,0.3,IF(G1720&gt;=0,0.4,{0}))))))</f>
        <v/>
      </c>
      <c r="P1720" s="400">
        <f>IF(AND(B1720="",C1720=""),"",ROUND(H1720*O1720,2))</f>
        <v/>
      </c>
      <c r="Q1720" s="401" t="inlineStr">
        <is>
          <t>元件</t>
        </is>
      </c>
      <c r="R1720" s="168" t="inlineStr"/>
      <c r="S1720" s="168" t="inlineStr"/>
      <c r="T1720" s="168" t="inlineStr">
        <is>
          <t>0</t>
        </is>
      </c>
      <c r="U1720" s="168" t="inlineStr">
        <is>
          <t>XA2EVM4LC</t>
        </is>
      </c>
      <c r="V1720" s="402" t="n"/>
      <c r="W1720" s="402" t="n"/>
      <c r="X1720" s="170" t="inlineStr"/>
    </row>
    <row r="1721" s="308">
      <c r="A1721" s="64">
        <f>ROW()-ROW(A$1711)</f>
        <v/>
      </c>
      <c r="B1721" s="112" t="inlineStr">
        <is>
          <t>指示灯</t>
        </is>
      </c>
      <c r="C1721" s="112" t="inlineStr">
        <is>
          <t>XB2BVM5LC</t>
        </is>
      </c>
      <c r="D1721" s="112" t="inlineStr">
        <is>
          <t>甲供/施耐德电气</t>
        </is>
      </c>
      <c r="E1721" s="114" t="inlineStr">
        <is>
          <t>只</t>
        </is>
      </c>
      <c r="F1721" s="114" t="n">
        <v>1</v>
      </c>
      <c r="G1721" s="396">
        <f>IF(AND(B1721="",C1721=""),"",ROUND(M1721*L1721*N1721,2))</f>
        <v/>
      </c>
      <c r="H1721" s="396">
        <f>IF(AND(B1721="",C1721=""),"",ROUND(F1721*G1721,2))</f>
        <v/>
      </c>
      <c r="I1721" s="150" t="inlineStr"/>
      <c r="J1721" s="397">
        <f>IF(AND(B1721="",C1721=""),"",ROUND(M1721*N1721,2))</f>
        <v/>
      </c>
      <c r="K1721" s="398">
        <f>IF(AND(B1721="",C1721=""),"",ROUND(J1721*F1721,2))</f>
        <v/>
      </c>
      <c r="L1721" s="141" t="n">
        <v>1</v>
      </c>
      <c r="M1721" s="399" t="n">
        <v>1e-07</v>
      </c>
      <c r="N1721" s="154" t="n">
        <v>1</v>
      </c>
      <c r="O1721" s="155">
        <f>IF(AND(B1721="",C1721=""),"",IF(G1721&gt;=20000,0.05,IF(G1721&gt;=10000,0.1,IF(G1721&gt;=5000,0.2,IF(G1721&gt;=1000,0.3,IF(G1721&gt;=0,0.4,{0}))))))</f>
        <v/>
      </c>
      <c r="P1721" s="400">
        <f>IF(AND(B1721="",C1721=""),"",ROUND(H1721*O1721,2))</f>
        <v/>
      </c>
      <c r="Q1721" s="401" t="inlineStr">
        <is>
          <t>元件</t>
        </is>
      </c>
      <c r="R1721" s="168" t="inlineStr"/>
      <c r="S1721" s="168" t="inlineStr"/>
      <c r="T1721" s="168" t="inlineStr">
        <is>
          <t>0</t>
        </is>
      </c>
      <c r="U1721" s="168" t="inlineStr">
        <is>
          <t>XA2EVM5LC</t>
        </is>
      </c>
      <c r="V1721" s="402" t="n"/>
      <c r="W1721" s="402" t="n"/>
      <c r="X1721" s="170" t="inlineStr"/>
    </row>
    <row r="1722" s="308">
      <c r="A1722" s="64">
        <f>ROW()-ROW(A$1711)</f>
        <v/>
      </c>
      <c r="B1722" s="112" t="inlineStr">
        <is>
          <t>按钮</t>
        </is>
      </c>
      <c r="C1722" s="112" t="inlineStr">
        <is>
          <t>XB2BA31C</t>
        </is>
      </c>
      <c r="D1722" s="112" t="inlineStr">
        <is>
          <t>甲供/施耐德电气</t>
        </is>
      </c>
      <c r="E1722" s="114" t="inlineStr">
        <is>
          <t>只</t>
        </is>
      </c>
      <c r="F1722" s="114" t="n">
        <v>1</v>
      </c>
      <c r="G1722" s="396">
        <f>IF(AND(B1722="",C1722=""),"",ROUND(M1722*L1722*N1722,2))</f>
        <v/>
      </c>
      <c r="H1722" s="396">
        <f>IF(AND(B1722="",C1722=""),"",ROUND(F1722*G1722,2))</f>
        <v/>
      </c>
      <c r="I1722" s="150" t="inlineStr"/>
      <c r="J1722" s="397">
        <f>IF(AND(B1722="",C1722=""),"",ROUND(M1722*N1722,2))</f>
        <v/>
      </c>
      <c r="K1722" s="398">
        <f>IF(AND(B1722="",C1722=""),"",ROUND(J1722*F1722,2))</f>
        <v/>
      </c>
      <c r="L1722" s="141" t="n">
        <v>1</v>
      </c>
      <c r="M1722" s="399" t="n">
        <v>1e-07</v>
      </c>
      <c r="N1722" s="154" t="n">
        <v>1</v>
      </c>
      <c r="O1722" s="155">
        <f>IF(AND(B1722="",C1722=""),"",IF(G1722&gt;=20000,0.05,IF(G1722&gt;=10000,0.1,IF(G1722&gt;=5000,0.2,IF(G1722&gt;=1000,0.3,IF(G1722&gt;=0,0.4,{0}))))))</f>
        <v/>
      </c>
      <c r="P1722" s="400">
        <f>IF(AND(B1722="",C1722=""),"",ROUND(H1722*O1722,2))</f>
        <v/>
      </c>
      <c r="Q1722" s="401" t="inlineStr">
        <is>
          <t>元件</t>
        </is>
      </c>
      <c r="R1722" s="168" t="inlineStr"/>
      <c r="S1722" s="168" t="inlineStr"/>
      <c r="T1722" s="168" t="inlineStr">
        <is>
          <t>0</t>
        </is>
      </c>
      <c r="U1722" s="168" t="inlineStr">
        <is>
          <t>XB2BA31C</t>
        </is>
      </c>
      <c r="V1722" s="402" t="n"/>
      <c r="W1722" s="402" t="n"/>
      <c r="X1722" s="170" t="inlineStr">
        <is>
          <t>XA2EA31</t>
        </is>
      </c>
    </row>
    <row r="1723" s="308">
      <c r="A1723" s="64">
        <f>ROW()-ROW(A$1711)</f>
        <v/>
      </c>
      <c r="B1723" s="22" t="inlineStr">
        <is>
          <t>按钮</t>
        </is>
      </c>
      <c r="C1723" s="22" t="inlineStr">
        <is>
          <t>XB2BA42C</t>
        </is>
      </c>
      <c r="D1723" s="22" t="inlineStr">
        <is>
          <t>甲供/施耐德电气</t>
        </is>
      </c>
      <c r="E1723" s="23" t="inlineStr">
        <is>
          <t>只</t>
        </is>
      </c>
      <c r="F1723" s="23" t="n">
        <v>1</v>
      </c>
      <c r="G1723" s="349">
        <f>IF(AND(B1723="",C1723=""),"",ROUND(M1723*L1723*N1723,2))</f>
        <v/>
      </c>
      <c r="H1723" s="396">
        <f>IF(AND(B1723="",C1723=""),"",ROUND(F1723*G1723,2))</f>
        <v/>
      </c>
      <c r="I1723" s="150" t="inlineStr"/>
      <c r="J1723" s="397">
        <f>IF(AND(B1723="",C1723=""),"",ROUND(M1723*N1723,2))</f>
        <v/>
      </c>
      <c r="K1723" s="398">
        <f>IF(AND(B1723="",C1723=""),"",ROUND(J1723*F1723,2))</f>
        <v/>
      </c>
      <c r="L1723" s="141" t="n">
        <v>1</v>
      </c>
      <c r="M1723" s="399" t="n">
        <v>1e-07</v>
      </c>
      <c r="N1723" s="154" t="n">
        <v>1</v>
      </c>
      <c r="O1723" s="155">
        <f>IF(AND(B1723="",C1723=""),"",IF(G1723&gt;=20000,0.05,IF(G1723&gt;=10000,0.1,IF(G1723&gt;=5000,0.2,IF(G1723&gt;=1000,0.3,IF(G1723&gt;=0,0.4,{0}))))))</f>
        <v/>
      </c>
      <c r="P1723" s="400">
        <f>IF(AND(B1723="",C1723=""),"",ROUND(H1723*O1723,2))</f>
        <v/>
      </c>
      <c r="Q1723" s="401" t="inlineStr">
        <is>
          <t>元件</t>
        </is>
      </c>
      <c r="R1723" s="168" t="inlineStr"/>
      <c r="S1723" s="168" t="inlineStr"/>
      <c r="T1723" s="168" t="inlineStr">
        <is>
          <t>0</t>
        </is>
      </c>
      <c r="U1723" s="168" t="inlineStr">
        <is>
          <t>XB2BA42C</t>
        </is>
      </c>
      <c r="V1723" s="402" t="n"/>
      <c r="W1723" s="402" t="n"/>
      <c r="X1723" s="170" t="inlineStr">
        <is>
          <t>XA2EA41</t>
        </is>
      </c>
    </row>
    <row r="1724" s="308">
      <c r="A1724" s="64">
        <f>ROW()-ROW(A$1711)</f>
        <v/>
      </c>
      <c r="B1724" s="22" t="inlineStr">
        <is>
          <t>中间继电器</t>
        </is>
      </c>
      <c r="C1724" s="22" t="inlineStr">
        <is>
          <t>RXM4AB2P7+RXZE2S114M+RXZ400</t>
        </is>
      </c>
      <c r="D1724" s="22" t="inlineStr">
        <is>
          <t>甲供/施耐德电气</t>
        </is>
      </c>
      <c r="E1724" s="23" t="inlineStr">
        <is>
          <t>只</t>
        </is>
      </c>
      <c r="F1724" s="23" t="n">
        <v>2</v>
      </c>
      <c r="G1724" s="349">
        <f>IF(AND(B1724="",C1724=""),"",ROUND(M1724*L1724*N1724,2))</f>
        <v/>
      </c>
      <c r="H1724" s="349">
        <f>IF(AND(B1724="",C1724=""),"",ROUND(F1724*G1724,2))</f>
        <v/>
      </c>
      <c r="I1724" s="45" t="inlineStr"/>
      <c r="J1724" s="397">
        <f>IF(AND(B1724="",C1724=""),"",ROUND(M1724*N1724,2))</f>
        <v/>
      </c>
      <c r="K1724" s="398">
        <f>IF(AND(B1724="",C1724=""),"",ROUND(J1724*F1724,2))</f>
        <v/>
      </c>
      <c r="L1724" s="141" t="n">
        <v>1</v>
      </c>
      <c r="M1724" s="399" t="n">
        <v>1e-07</v>
      </c>
      <c r="N1724" s="154" t="n">
        <v>1</v>
      </c>
      <c r="O1724" s="155">
        <f>IF(AND(B1724="",C1724=""),"",IF(G1724&gt;=20000,0.05,IF(G1724&gt;=10000,0.1,IF(G1724&gt;=5000,0.2,IF(G1724&gt;=1000,0.3,IF(G1724&gt;=0,0.4,{0}))))))</f>
        <v/>
      </c>
      <c r="P1724" s="400">
        <f>IF(AND(B1724="",C1724=""),"",ROUND(H1724*O1724,2))</f>
        <v/>
      </c>
      <c r="Q1724" s="401" t="inlineStr">
        <is>
          <t>元件</t>
        </is>
      </c>
      <c r="R1724" s="168" t="inlineStr"/>
      <c r="S1724" s="168" t="inlineStr"/>
      <c r="T1724" s="168" t="inlineStr">
        <is>
          <t>0</t>
        </is>
      </c>
      <c r="U1724" s="168" t="inlineStr">
        <is>
          <t>RXM4AB2P7+RXZE2S114M+RXZ400</t>
        </is>
      </c>
      <c r="V1724" s="402" t="n"/>
      <c r="W1724" s="402" t="n"/>
      <c r="X1724" s="170" t="inlineStr">
        <is>
          <t>REL-IR-BL/L-230AC/4X21，含底座→RXM4AB2P7+RXZE2S114M+RXZ400→REL-IR-BL/L-230AC/4X21，含底座</t>
        </is>
      </c>
    </row>
    <row r="1725" customFormat="1" s="3">
      <c r="A1725" s="64">
        <f>ROW()-ROW(A$1711)</f>
        <v/>
      </c>
      <c r="B1725" s="22" t="inlineStr">
        <is>
          <t>带熔丝端子</t>
        </is>
      </c>
      <c r="C1725" s="22" t="inlineStr">
        <is>
          <t>UK 5-HESI</t>
        </is>
      </c>
      <c r="D1725" s="22" t="inlineStr">
        <is>
          <t>菲尼克斯</t>
        </is>
      </c>
      <c r="E1725" s="23" t="inlineStr">
        <is>
          <t>只</t>
        </is>
      </c>
      <c r="F1725" s="23" t="n">
        <v>4</v>
      </c>
      <c r="G1725" s="349">
        <f>IF(AND(B1725="",C1725=""),"",ROUND(M1725*L1725*N1725,2))</f>
        <v/>
      </c>
      <c r="H1725" s="349">
        <f>IF(AND(B1725="",C1725=""),"",ROUND(F1725*G1725,2))</f>
        <v/>
      </c>
      <c r="I1725" s="45" t="inlineStr"/>
      <c r="J1725" s="392">
        <f>IF(AND(B1725="",C1725=""),"",ROUND(M1725*N1725,2))</f>
        <v/>
      </c>
      <c r="K1725" s="393">
        <f>IF(AND(B1725="",C1725=""),"",ROUND(J1725*F1725,2))</f>
        <v/>
      </c>
      <c r="L1725" s="141" t="n">
        <v>1</v>
      </c>
      <c r="M1725" s="394" t="n">
        <v>7</v>
      </c>
      <c r="N1725" s="220" t="n">
        <v>1</v>
      </c>
      <c r="O1725" s="221">
        <f>IF(AND(B1725="",C1725=""),"",IF(G1725&gt;=20000,0.05,IF(G1725&gt;=10000,0.1,IF(G1725&gt;=5000,0.2,IF(G1725&gt;=1000,0.3,IF(G1725&gt;=0,0.4,{0}))))))</f>
        <v/>
      </c>
      <c r="P1725" s="419">
        <f>IF(AND(B1725="",C1725=""),"",ROUND(H1725*O1725,2))</f>
        <v/>
      </c>
      <c r="Q1725" s="420" t="inlineStr">
        <is>
          <t>元件</t>
        </is>
      </c>
      <c r="R1725" s="231" t="inlineStr"/>
      <c r="S1725" s="231" t="inlineStr"/>
      <c r="T1725" s="231" t="inlineStr">
        <is>
          <t>0</t>
        </is>
      </c>
      <c r="U1725" s="231" t="inlineStr">
        <is>
          <t>True</t>
        </is>
      </c>
      <c r="V1725" s="421" t="n"/>
      <c r="W1725" s="421" t="n"/>
      <c r="X1725" s="166" t="inlineStr"/>
    </row>
    <row r="1726" s="308">
      <c r="A1726" s="64">
        <f>ROW()-ROW(A$1711)</f>
        <v/>
      </c>
      <c r="B1726" s="33" t="inlineStr">
        <is>
          <t>水平母排</t>
        </is>
      </c>
      <c r="C1726" s="22" t="inlineStr">
        <is>
          <t>TMY 4*(3*125*5)+2*50*5</t>
        </is>
      </c>
      <c r="D1726" s="22" t="inlineStr">
        <is>
          <t>国产优质</t>
        </is>
      </c>
      <c r="E1726" s="23" t="inlineStr">
        <is>
          <t>米</t>
        </is>
      </c>
      <c r="F1726" s="23" t="n">
        <v>0.5</v>
      </c>
      <c r="G1726" s="349">
        <f>IF(AND(B1726="",C1726=""),"",ROUND(M1726*L1726*N1726,2))</f>
        <v/>
      </c>
      <c r="H1726" s="349">
        <f>IF(AND(B1726="",C1726=""),"",ROUND(F1726*G1726,2))</f>
        <v/>
      </c>
      <c r="I1726" s="179" t="inlineStr"/>
      <c r="J1726" s="397">
        <f>IF(AND(B1726="",C1726=""),"",ROUND(M1726*N1726,2))</f>
        <v/>
      </c>
      <c r="K1726" s="398">
        <f>IF(AND(B1726="",C1726=""),"",ROUND(J1726*F1726,2))</f>
        <v/>
      </c>
      <c r="L1726" s="141" t="n">
        <v>1</v>
      </c>
      <c r="M1726" s="399" t="n">
        <v>7697.076</v>
      </c>
      <c r="N1726" s="154">
        <f>(6317.932*1*1+2684.8*1*1)/9002.732</f>
        <v/>
      </c>
      <c r="O1726" s="155">
        <f>IF(AND(B1726="",C1726=""),"",IF(G1726&gt;=20000,0.05,IF(G1726&gt;=10000,0.1,IF(G1726&gt;=5000,0.2,IF(G1726&gt;=1000,0.3,IF(G1726&gt;=0,0.4,{0}))))))</f>
        <v/>
      </c>
      <c r="P1726" s="400">
        <f>IF(AND(B1726="",C1726=""),"",ROUND(H1726*O1726,2))</f>
        <v/>
      </c>
      <c r="Q1726" s="401" t="inlineStr">
        <is>
          <t>母排</t>
        </is>
      </c>
      <c r="R1726" s="168" t="inlineStr"/>
      <c r="S1726" s="168" t="inlineStr"/>
      <c r="T1726" s="168" t="inlineStr">
        <is>
          <t>0</t>
        </is>
      </c>
      <c r="U1726" s="168" t="inlineStr"/>
      <c r="V1726" s="402" t="n"/>
      <c r="W1726" s="402" t="n"/>
      <c r="X1726" s="170" t="inlineStr"/>
    </row>
    <row r="1727" customFormat="1" s="5">
      <c r="A1727" s="64">
        <f>ROW()-ROW(A$1711)</f>
        <v/>
      </c>
      <c r="B1727" s="22" t="inlineStr">
        <is>
          <t>桩头排</t>
        </is>
      </c>
      <c r="C1727" s="22" t="inlineStr">
        <is>
          <t>TMY 3*80*5</t>
        </is>
      </c>
      <c r="D1727" s="22" t="inlineStr">
        <is>
          <t>国产优质</t>
        </is>
      </c>
      <c r="E1727" s="23" t="inlineStr">
        <is>
          <t>米</t>
        </is>
      </c>
      <c r="F1727" s="23" t="n">
        <v>1.5</v>
      </c>
      <c r="G1727" s="349">
        <f>IF(AND(B1727="",C1727=""),"",ROUND(M1727*L1727*N1727,2))</f>
        <v/>
      </c>
      <c r="H1727" s="349">
        <f>IF(AND(B1727="",C1727=""),"",ROUND(F1727*G1727,2))</f>
        <v/>
      </c>
      <c r="I1727" s="45" t="inlineStr"/>
      <c r="J1727" s="422">
        <f>IF(AND(B1727="",C1727=""),"",ROUND(M1727*N1727,2))</f>
        <v/>
      </c>
      <c r="K1727" s="423">
        <f>IF(AND(B1727="",C1727=""),"",ROUND(J1727*F1727,2))</f>
        <v/>
      </c>
      <c r="L1727" s="225" t="n">
        <v>1</v>
      </c>
      <c r="M1727" s="424" t="n">
        <v>1154.5614</v>
      </c>
      <c r="N1727" s="227" t="n">
        <v>1</v>
      </c>
      <c r="O1727" s="228">
        <f>IF(AND(B1727="",C1727=""),"",IF(G1727&gt;=20000,0.05,IF(G1727&gt;=10000,0.1,IF(G1727&gt;=5000,0.2,IF(G1727&gt;=1000,0.3,IF(G1727&gt;=0,0.4,{0}))))))</f>
        <v/>
      </c>
      <c r="P1727" s="425">
        <f>IF(AND(B1727="",C1727=""),"",ROUND(H1727*O1727,2))</f>
        <v/>
      </c>
      <c r="Q1727" s="426" t="inlineStr">
        <is>
          <t>母排</t>
        </is>
      </c>
      <c r="R1727" s="234" t="inlineStr"/>
      <c r="S1727" s="234" t="inlineStr"/>
      <c r="T1727" s="235" t="inlineStr">
        <is>
          <t>0</t>
        </is>
      </c>
      <c r="U1727" s="235" t="inlineStr"/>
      <c r="V1727" s="427" t="n"/>
      <c r="W1727" s="427" t="n"/>
      <c r="X1727" s="237" t="inlineStr">
        <is>
          <t>TMY 2*30*5→TMY 30*8</t>
        </is>
      </c>
    </row>
    <row r="1728" customFormat="1" s="5">
      <c r="A1728" s="64">
        <f>ROW()-ROW(A$1711)</f>
        <v/>
      </c>
      <c r="B1728" s="22" t="inlineStr">
        <is>
          <t>N排</t>
        </is>
      </c>
      <c r="C1728" s="22" t="inlineStr">
        <is>
          <t>TMY 80*10</t>
        </is>
      </c>
      <c r="D1728" s="22" t="inlineStr">
        <is>
          <t>国产优质</t>
        </is>
      </c>
      <c r="E1728" s="23" t="inlineStr">
        <is>
          <t>米</t>
        </is>
      </c>
      <c r="F1728" s="23" t="n">
        <v>1.8</v>
      </c>
      <c r="G1728" s="349">
        <f>IF(AND(B1728="",C1728=""),"",ROUND(M1728*L1728*N1728,2))</f>
        <v/>
      </c>
      <c r="H1728" s="349">
        <f>IF(AND(B1728="",C1728=""),"",ROUND(F1728*G1728,2))</f>
        <v/>
      </c>
      <c r="I1728" s="45" t="inlineStr"/>
      <c r="J1728" s="422">
        <f>IF(AND(B1728="",C1728=""),"",ROUND(M1728*N1728,2))</f>
        <v/>
      </c>
      <c r="K1728" s="423">
        <f>IF(AND(B1728="",C1728=""),"",ROUND(J1728*F1728,2))</f>
        <v/>
      </c>
      <c r="L1728" s="225" t="n">
        <v>1</v>
      </c>
      <c r="M1728" s="424" t="n">
        <v>769.7076</v>
      </c>
      <c r="N1728" s="227" t="n">
        <v>1</v>
      </c>
      <c r="O1728" s="228">
        <f>IF(AND(B1728="",C1728=""),"",IF(G1728&gt;=20000,0.05,IF(G1728&gt;=10000,0.1,IF(G1728&gt;=5000,0.2,IF(G1728&gt;=1000,0.3,IF(G1728&gt;=0,0.4,{0}))))))</f>
        <v/>
      </c>
      <c r="P1728" s="425">
        <f>IF(AND(B1728="",C1728=""),"",ROUND(H1728*O1728,2))</f>
        <v/>
      </c>
      <c r="Q1728" s="426" t="inlineStr">
        <is>
          <t>母排</t>
        </is>
      </c>
      <c r="R1728" s="234" t="inlineStr"/>
      <c r="S1728" s="234" t="inlineStr"/>
      <c r="T1728" s="235" t="inlineStr">
        <is>
          <t>0</t>
        </is>
      </c>
      <c r="U1728" s="235" t="inlineStr"/>
      <c r="V1728" s="427" t="n"/>
      <c r="W1728" s="427" t="n"/>
      <c r="X1728" s="237" t="inlineStr">
        <is>
          <t>TMY 2*30*5→TMY 30*8</t>
        </is>
      </c>
    </row>
    <row r="1729" customFormat="1" s="5">
      <c r="A1729" s="64">
        <f>ROW()-ROW(A$1711)</f>
        <v/>
      </c>
      <c r="B1729" s="22" t="inlineStr">
        <is>
          <t>PE排</t>
        </is>
      </c>
      <c r="C1729" s="22" t="inlineStr">
        <is>
          <t>TMY 2*50*5</t>
        </is>
      </c>
      <c r="D1729" s="22" t="inlineStr">
        <is>
          <t>国产优质</t>
        </is>
      </c>
      <c r="E1729" s="23" t="inlineStr">
        <is>
          <t>米</t>
        </is>
      </c>
      <c r="F1729" s="23" t="n">
        <v>2</v>
      </c>
      <c r="G1729" s="349">
        <f>IF(AND(B1729="",C1729=""),"",ROUND(M1729*L1729*N1729,2))</f>
        <v/>
      </c>
      <c r="H1729" s="349">
        <f>IF(AND(B1729="",C1729=""),"",ROUND(F1729*G1729,2))</f>
        <v/>
      </c>
      <c r="I1729" s="45" t="inlineStr"/>
      <c r="J1729" s="422">
        <f>IF(AND(B1729="",C1729=""),"",ROUND(M1729*N1729,2))</f>
        <v/>
      </c>
      <c r="K1729" s="423">
        <f>IF(AND(B1729="",C1729=""),"",ROUND(J1729*F1729,2))</f>
        <v/>
      </c>
      <c r="L1729" s="225" t="n">
        <v>1</v>
      </c>
      <c r="M1729" s="424" t="n">
        <v>481.06725</v>
      </c>
      <c r="N1729" s="227" t="n">
        <v>1</v>
      </c>
      <c r="O1729" s="228">
        <f>IF(AND(B1729="",C1729=""),"",IF(G1729&gt;=20000,0.05,IF(G1729&gt;=10000,0.1,IF(G1729&gt;=5000,0.2,IF(G1729&gt;=1000,0.3,IF(G1729&gt;=0,0.4,{0}))))))</f>
        <v/>
      </c>
      <c r="P1729" s="425">
        <f>IF(AND(B1729="",C1729=""),"",ROUND(H1729*O1729,2))</f>
        <v/>
      </c>
      <c r="Q1729" s="426" t="inlineStr">
        <is>
          <t>母排</t>
        </is>
      </c>
      <c r="R1729" s="234" t="inlineStr"/>
      <c r="S1729" s="234" t="inlineStr"/>
      <c r="T1729" s="235" t="inlineStr">
        <is>
          <t>0</t>
        </is>
      </c>
      <c r="U1729" s="235" t="inlineStr"/>
      <c r="V1729" s="427" t="n"/>
      <c r="W1729" s="427" t="n"/>
      <c r="X1729" s="237" t="inlineStr">
        <is>
          <t>TMY 2*30*5→TMY 30*8</t>
        </is>
      </c>
    </row>
    <row r="1730" s="308">
      <c r="A1730" s="64">
        <f>ROW()-ROW(A$1711)</f>
        <v/>
      </c>
      <c r="B1730" s="22" t="inlineStr">
        <is>
          <t>辅料</t>
        </is>
      </c>
      <c r="C1730" s="22" t="inlineStr"/>
      <c r="D1730" s="22" t="inlineStr"/>
      <c r="E1730" s="23" t="inlineStr">
        <is>
          <t>套</t>
        </is>
      </c>
      <c r="F1730" s="23" t="n">
        <v>1</v>
      </c>
      <c r="G1730" s="349">
        <f>IF(AND(B1730="",C1730=""),"",ROUND(M1730*L1730*N1730,2))</f>
        <v/>
      </c>
      <c r="H1730" s="349">
        <f>IF(AND(B1730="",C1730=""),"",ROUND(F1730*G1730,2))</f>
        <v/>
      </c>
      <c r="I1730" s="179" t="inlineStr"/>
      <c r="J1730" s="397">
        <f>IF(AND(B1730="",C1730=""),"",ROUND(M1730*N1730,2))</f>
        <v/>
      </c>
      <c r="K1730" s="398">
        <f>IF(AND(B1730="",C1730=""),"",ROUND(J1730*F1730,2))</f>
        <v/>
      </c>
      <c r="L1730" s="141" t="n">
        <v>1</v>
      </c>
      <c r="M1730" s="399" t="n">
        <v>550</v>
      </c>
      <c r="N1730" s="154" t="n">
        <v>1</v>
      </c>
      <c r="O1730" s="155">
        <f>IF(AND(B1730="",C1730=""),"",IF(G1730&gt;=20000,0.05,IF(G1730&gt;=10000,0.1,IF(G1730&gt;=5000,0.2,IF(G1730&gt;=1000,0.3,IF(G1730&gt;=0,0.4,{0}))))))</f>
        <v/>
      </c>
      <c r="P1730" s="400">
        <f>IF(AND(B1730="",C1730=""),"",ROUND(H1730*O1730,2))</f>
        <v/>
      </c>
      <c r="Q1730" s="401" t="inlineStr">
        <is>
          <t>辅料</t>
        </is>
      </c>
      <c r="R1730" s="168" t="inlineStr"/>
      <c r="S1730" s="168" t="inlineStr"/>
      <c r="T1730" s="168" t="inlineStr">
        <is>
          <t>0</t>
        </is>
      </c>
      <c r="U1730" s="168" t="inlineStr"/>
      <c r="V1730" s="402" t="n"/>
      <c r="W1730" s="402" t="n"/>
      <c r="X1730" s="170" t="inlineStr"/>
    </row>
    <row r="1731" s="308">
      <c r="A1731" s="64">
        <f>ROW()-ROW(A$1711)</f>
        <v/>
      </c>
      <c r="B1731" s="22" t="inlineStr">
        <is>
          <t>柜体Blokset</t>
        </is>
      </c>
      <c r="C1731" s="33" t="inlineStr">
        <is>
          <t>400W*1200D*2200H</t>
        </is>
      </c>
      <c r="D1731" s="22" t="inlineStr">
        <is>
          <t>清科</t>
        </is>
      </c>
      <c r="E1731" s="23" t="inlineStr">
        <is>
          <t>台</t>
        </is>
      </c>
      <c r="F1731" s="23" t="n">
        <v>1</v>
      </c>
      <c r="G1731" s="349">
        <f>IF(AND(B1731="",C1731=""),"",ROUND(M1731*L1731*N1731,2))</f>
        <v/>
      </c>
      <c r="H1731" s="349">
        <f>IF(AND(B1731="",C1731=""),"",ROUND(F1731*G1731,2))</f>
        <v/>
      </c>
      <c r="I1731" s="179" t="inlineStr"/>
      <c r="J1731" s="397">
        <f>IF(AND(B1731="",C1731=""),"",ROUND(M1731*N1731,2))</f>
        <v/>
      </c>
      <c r="K1731" s="398">
        <f>IF(AND(B1731="",C1731=""),"",ROUND(J1731*F1731,2))</f>
        <v/>
      </c>
      <c r="L1731" s="141" t="n">
        <v>1</v>
      </c>
      <c r="M1731" s="399" t="n">
        <v>4010</v>
      </c>
      <c r="N1731" s="154" t="n">
        <v>1</v>
      </c>
      <c r="O1731" s="155">
        <f>IF(AND(B1731="",C1731=""),"",IF(G1731&gt;=20000,0.05,IF(G1731&gt;=10000,0.1,IF(G1731&gt;=5000,0.2,IF(G1731&gt;=1000,0.3,IF(G1731&gt;=0,0.4,{0}))))))</f>
        <v/>
      </c>
      <c r="P1731" s="400">
        <f>IF(AND(B1731="",C1731=""),"",ROUND(H1731*O1731,2))</f>
        <v/>
      </c>
      <c r="Q1731" s="401" t="inlineStr">
        <is>
          <t>箱体</t>
        </is>
      </c>
      <c r="R1731" s="168" t="inlineStr"/>
      <c r="S1731" s="168" t="inlineStr"/>
      <c r="T1731" s="168" t="inlineStr">
        <is>
          <t>0</t>
        </is>
      </c>
      <c r="U1731" s="168" t="inlineStr"/>
      <c r="V1731" s="402" t="n"/>
      <c r="W1731" s="402" t="n"/>
      <c r="X1731" s="170" t="inlineStr"/>
    </row>
    <row r="1732" customFormat="1" s="3">
      <c r="A1732" s="64">
        <f>ROW()-ROW(A$1711)</f>
        <v/>
      </c>
      <c r="B1732" s="27" t="inlineStr"/>
      <c r="C1732" s="27" t="inlineStr"/>
      <c r="D1732" s="27" t="inlineStr"/>
      <c r="E1732" s="28" t="n"/>
      <c r="F1732" s="28">
        <f>IF(AND(B1732="",C1732=""),"",1)</f>
        <v/>
      </c>
      <c r="G1732" s="353" t="n"/>
      <c r="H1732" s="353">
        <f>IF(AND(B1732="",C1732=""),"",ROUND(F1732*G1732,2))</f>
        <v/>
      </c>
      <c r="I1732" s="180" t="inlineStr"/>
      <c r="J1732" s="392">
        <f>IF(AND(B1732="",C1732=""),"",ROUND(M1732*N1732,2))</f>
        <v/>
      </c>
      <c r="K1732" s="393">
        <f>IF(AND(B1732="",C1732=""),"",ROUND(J1732*F1732,2))</f>
        <v/>
      </c>
      <c r="L1732" s="141">
        <f>IF(AND(B1732="",C1732=""),"",1)</f>
        <v/>
      </c>
      <c r="M1732" s="394" t="n"/>
      <c r="N1732" s="143">
        <f>IF(AND(B1732="",C1732=""),"",1)</f>
        <v/>
      </c>
      <c r="O1732" s="144">
        <f>IF(AND(B1732="",C1732=""),"",IF(J1732&gt;=20000,0.05,IF(J1732&gt;=10000,0.1,IF(J1732&gt;=5000,0.2,IF(J1732&gt;=1000,0.3,IF(J1732&gt;=0,0.4,{0}))))))</f>
        <v/>
      </c>
      <c r="P1732" s="395">
        <f>IF(AND(B1732="",C1732=""),"",ROUND(H1732*O1732,2))</f>
        <v/>
      </c>
      <c r="Q1732" s="390">
        <f>IF(AND(B1732="",C1732=""),"","元件")</f>
        <v/>
      </c>
      <c r="R1732" s="164" t="inlineStr"/>
      <c r="S1732" s="164" t="inlineStr"/>
      <c r="T1732" s="164" t="inlineStr"/>
      <c r="U1732" s="164" t="inlineStr"/>
      <c r="V1732" s="391" t="n"/>
      <c r="W1732" s="391" t="n"/>
      <c r="X1732" s="166" t="inlineStr"/>
    </row>
    <row r="1733" customFormat="1" s="3">
      <c r="A1733" s="64">
        <f>ROW()-ROW(A$1711)</f>
        <v/>
      </c>
      <c r="B1733" s="27" t="inlineStr"/>
      <c r="C1733" s="27" t="inlineStr"/>
      <c r="D1733" s="27" t="inlineStr"/>
      <c r="E1733" s="28" t="n"/>
      <c r="F1733" s="28">
        <f>IF(AND(B1733="",C1733=""),"",1)</f>
        <v/>
      </c>
      <c r="G1733" s="353">
        <f>IF(AND(B1733="",C1733=""),"",ROUND(M1733*L1733*N1733,2))</f>
        <v/>
      </c>
      <c r="H1733" s="353">
        <f>IF(AND(B1733="",C1733=""),"",ROUND(F1733*G1733,2))</f>
        <v/>
      </c>
      <c r="I1733" s="180" t="inlineStr"/>
      <c r="J1733" s="392">
        <f>IF(AND(B1733="",C1733=""),"",ROUND(M1733*N1733,2))</f>
        <v/>
      </c>
      <c r="K1733" s="393">
        <f>IF(AND(B1733="",C1733=""),"",ROUND(J1733*F1733,2))</f>
        <v/>
      </c>
      <c r="L1733" s="141">
        <f>IF(AND(B1733="",C1733=""),"",1)</f>
        <v/>
      </c>
      <c r="M1733" s="394" t="n"/>
      <c r="N1733" s="143">
        <f>IF(AND(B1733="",C1733=""),"",1)</f>
        <v/>
      </c>
      <c r="O1733" s="144">
        <f>IF(AND(B1733="",C1733=""),"",IF(J1733&gt;=20000,0.05,IF(J1733&gt;=10000,0.1,IF(J1733&gt;=5000,0.2,IF(J1733&gt;=1000,0.3,IF(J1733&gt;=0,0.4,{0}))))))</f>
        <v/>
      </c>
      <c r="P1733" s="395">
        <f>IF(AND(B1733="",C1733=""),"",ROUND(H1733*O1733,2))</f>
        <v/>
      </c>
      <c r="Q1733" s="390">
        <f>IF(AND(B1733="",C1733=""),"","元件")</f>
        <v/>
      </c>
      <c r="R1733" s="164" t="inlineStr"/>
      <c r="S1733" s="164" t="inlineStr"/>
      <c r="T1733" s="164" t="inlineStr"/>
      <c r="U1733" s="164" t="inlineStr"/>
      <c r="V1733" s="391" t="n"/>
      <c r="W1733" s="391" t="n"/>
      <c r="X1733" s="166" t="inlineStr"/>
    </row>
    <row r="1734" customFormat="1" s="3">
      <c r="A1734" s="64">
        <f>ROW()-ROW(A$1711)</f>
        <v/>
      </c>
      <c r="B1734" s="171" t="inlineStr">
        <is>
          <t>小计</t>
        </is>
      </c>
      <c r="C1734" s="172" t="n"/>
      <c r="D1734" s="82" t="n"/>
      <c r="E1734" s="28" t="n"/>
      <c r="F1734" s="28" t="n"/>
      <c r="G1734" s="353" t="n"/>
      <c r="H1734" s="353">
        <f>ROUND(SUM(H1711:INDEX(H:H,ROW()-1)),2)</f>
        <v/>
      </c>
      <c r="I1734" s="45" t="inlineStr"/>
      <c r="J1734" s="392" t="n"/>
      <c r="K1734" s="393">
        <f>ROUND(SUM(K1711:INDEX(K:K,ROW()-1)),2)</f>
        <v/>
      </c>
      <c r="L1734" s="141" t="n"/>
      <c r="M1734" s="394" t="n"/>
      <c r="N1734" s="143" t="n"/>
      <c r="O1734" s="144" t="n"/>
      <c r="P1734" s="395" t="n"/>
      <c r="Q1734" s="390" t="n"/>
      <c r="R1734" s="164" t="inlineStr"/>
      <c r="S1734" s="164" t="inlineStr"/>
      <c r="T1734" s="164" t="inlineStr"/>
      <c r="U1734" s="164" t="inlineStr"/>
      <c r="V1734" s="391">
        <f>ROUND(SUMPRODUCT(F1711:INDEX(F:F,ROW()-1),V1711:INDEX(V:V,ROW()-1)),2)</f>
        <v/>
      </c>
      <c r="W1734" s="391">
        <f>ROUND(SUMPRODUCT(F1711:INDEX(F:F,ROW()-1),W1711:INDEX(W:W,ROW()-1)),2)</f>
        <v/>
      </c>
      <c r="X1734" s="166" t="inlineStr"/>
    </row>
    <row r="1735" customFormat="1" s="3">
      <c r="A1735" s="64">
        <f>ROW()-ROW(A$1711)</f>
        <v/>
      </c>
      <c r="B1735" s="171" t="inlineStr">
        <is>
          <t>综合费(人工、管理、税金、利润等)</t>
        </is>
      </c>
      <c r="C1735" s="172" t="n"/>
      <c r="D1735" s="82" t="n"/>
      <c r="E1735" s="28" t="n"/>
      <c r="F1735" s="28" t="n"/>
      <c r="G1735" s="353" t="n"/>
      <c r="H1735" s="353">
        <f>2500</f>
        <v/>
      </c>
      <c r="I1735" s="45" t="inlineStr"/>
      <c r="J1735" s="392" t="n"/>
      <c r="K1735" s="393" t="n"/>
      <c r="L1735" s="141" t="n"/>
      <c r="M1735" s="394" t="n"/>
      <c r="N1735" s="143" t="n"/>
      <c r="O1735" s="144" t="n"/>
      <c r="P1735" s="395" t="n"/>
      <c r="Q1735" s="390" t="inlineStr">
        <is>
          <t>费用</t>
        </is>
      </c>
      <c r="R1735" s="164" t="inlineStr"/>
      <c r="S1735" s="164" t="inlineStr"/>
      <c r="T1735" s="164" t="inlineStr"/>
      <c r="U1735" s="164" t="inlineStr"/>
      <c r="V1735" s="391" t="n"/>
      <c r="W1735" s="391" t="n"/>
      <c r="X1735" s="166" t="inlineStr"/>
    </row>
    <row r="1736" customFormat="1" s="3">
      <c r="A1736" s="64">
        <f>ROW()-ROW(A$1711)</f>
        <v/>
      </c>
      <c r="B1736" s="82" t="inlineStr">
        <is>
          <t>单台合计</t>
        </is>
      </c>
      <c r="C1736" s="172" t="n"/>
      <c r="D1736" s="82" t="n"/>
      <c r="E1736" s="28" t="n"/>
      <c r="F1736" s="28" t="n"/>
      <c r="G1736" s="353" t="n"/>
      <c r="H1736" s="353">
        <f>ROUND(SUM(H1734:H1735),2)</f>
        <v/>
      </c>
      <c r="I1736" s="181" t="n"/>
      <c r="J1736" s="392" t="n"/>
      <c r="K1736" s="393">
        <f>ROUND(SUM(K1734:K1735),2)</f>
        <v/>
      </c>
      <c r="L1736" s="182" t="n"/>
      <c r="M1736" s="394" t="n"/>
      <c r="N1736" s="183" t="n"/>
      <c r="O1736" s="184" t="n"/>
      <c r="P1736" s="395" t="n"/>
      <c r="Q1736" s="390" t="n"/>
      <c r="R1736" s="164" t="inlineStr"/>
      <c r="S1736" s="164" t="inlineStr"/>
      <c r="T1736" s="164" t="inlineStr"/>
      <c r="U1736" s="164" t="inlineStr"/>
      <c r="V1736" s="391" t="n"/>
      <c r="W1736" s="391" t="n"/>
      <c r="X1736" s="166" t="inlineStr"/>
    </row>
    <row r="1737" customFormat="1" s="3">
      <c r="A1737" s="173" t="inlineStr">
        <is>
          <t>总计</t>
        </is>
      </c>
      <c r="B1737" s="174" t="n"/>
      <c r="C1737" s="175" t="n"/>
      <c r="D1737" s="176" t="n"/>
      <c r="E1737" s="176" t="inlineStr">
        <is>
          <t>台</t>
        </is>
      </c>
      <c r="F1737" s="176" t="n">
        <v>2</v>
      </c>
      <c r="G1737" s="403">
        <f>ROUND(H1736,2)</f>
        <v/>
      </c>
      <c r="H1737" s="403">
        <f>ROUND(F1737*G1737,2)</f>
        <v/>
      </c>
      <c r="I1737" s="185" t="n"/>
      <c r="J1737" s="404" t="n"/>
      <c r="K1737" s="405">
        <f>ROUND(K1736*F1737,2)</f>
        <v/>
      </c>
      <c r="L1737" s="188" t="n"/>
      <c r="M1737" s="406" t="n"/>
      <c r="N1737" s="190" t="n"/>
      <c r="O1737" s="191" t="n"/>
      <c r="P1737" s="407" t="n"/>
      <c r="Q1737" s="390" t="n"/>
      <c r="R1737" s="164" t="inlineStr"/>
      <c r="S1737" s="164" t="inlineStr"/>
      <c r="T1737" s="164" t="inlineStr"/>
      <c r="U1737" s="164" t="inlineStr"/>
      <c r="V1737" s="391" t="n"/>
      <c r="W1737" s="391" t="n"/>
      <c r="X1737" s="166" t="inlineStr"/>
    </row>
    <row r="1738" customFormat="1" s="2">
      <c r="A1738" s="89" t="n"/>
      <c r="B1738" s="132" t="inlineStr"/>
      <c r="C1738" s="132" t="inlineStr"/>
      <c r="D1738" s="132" t="inlineStr"/>
      <c r="Q1738" s="160" t="n"/>
      <c r="R1738" s="160" t="n"/>
      <c r="S1738" s="160" t="n"/>
      <c r="T1738" s="160" t="n"/>
      <c r="U1738" s="160" t="n"/>
      <c r="X1738" s="132" t="inlineStr"/>
    </row>
    <row r="1739" customFormat="1" s="2">
      <c r="A1739" s="89" t="n"/>
      <c r="B1739" s="132" t="inlineStr"/>
      <c r="C1739" s="132" t="inlineStr"/>
      <c r="D1739" s="132" t="inlineStr"/>
      <c r="Q1739" s="160" t="n"/>
      <c r="R1739" s="160" t="n"/>
      <c r="S1739" s="160" t="n"/>
      <c r="T1739" s="160" t="n"/>
      <c r="U1739" s="160" t="n"/>
      <c r="X1739" s="132" t="inlineStr"/>
    </row>
    <row r="1740" customFormat="1" s="3">
      <c r="A1740" s="92">
        <f>CONCATENATE("报价人：",项目信息!$B$8)</f>
        <v/>
      </c>
      <c r="B1740" s="92" t="n"/>
      <c r="C1740" s="2" t="n"/>
      <c r="D1740" s="2" t="n"/>
      <c r="E1740" s="2" t="n"/>
      <c r="F1740" s="2" t="n"/>
      <c r="G1740" s="2" t="n"/>
      <c r="H1740" s="178">
        <f>项目信息!$B$9</f>
        <v/>
      </c>
      <c r="Q1740" s="160" t="n"/>
      <c r="R1740" s="160" t="n"/>
      <c r="S1740" s="160" t="n"/>
      <c r="T1740" s="160" t="n"/>
      <c r="U1740" s="160" t="n"/>
      <c r="X1740" s="162" t="inlineStr"/>
    </row>
    <row r="1741" s="308">
      <c r="A1741" s="8">
        <f>T(项目信息!$B$22)</f>
        <v/>
      </c>
      <c r="Q1741" s="159" t="n"/>
      <c r="R1741" s="159" t="n"/>
      <c r="S1741" s="159" t="n"/>
      <c r="T1741" s="159" t="n"/>
      <c r="U1741" s="159" t="n"/>
    </row>
    <row r="1742" s="308">
      <c r="A1742" s="9">
        <f>T(项目信息!$B$23)</f>
        <v/>
      </c>
      <c r="Q1742" s="159" t="n"/>
      <c r="R1742" s="159" t="n"/>
      <c r="S1742" s="159" t="n"/>
      <c r="T1742" s="159" t="n"/>
      <c r="U1742" s="159" t="n"/>
    </row>
    <row r="1743" s="308">
      <c r="A1743" s="97" t="inlineStr">
        <is>
          <t>成套产品报价明细表</t>
        </is>
      </c>
      <c r="B1743" s="378" t="n"/>
      <c r="C1743" s="378" t="n"/>
      <c r="D1743" s="378" t="n"/>
      <c r="E1743" s="378" t="n"/>
      <c r="F1743" s="378" t="n"/>
      <c r="G1743" s="378" t="n"/>
      <c r="H1743" s="378" t="n"/>
      <c r="I1743" s="378" t="n"/>
      <c r="Q1743" s="159" t="n"/>
      <c r="R1743" s="159" t="n"/>
      <c r="S1743" s="159" t="n"/>
      <c r="T1743" s="159" t="n"/>
      <c r="U1743" s="159" t="n"/>
    </row>
    <row r="1744" customFormat="1" s="4">
      <c r="A1744" s="98" t="inlineStr">
        <is>
          <t>柜号:</t>
        </is>
      </c>
      <c r="B1744" s="99" t="inlineStr">
        <is>
          <t>T3-AU13、T4-BU13</t>
        </is>
      </c>
      <c r="C1744" s="100" t="inlineStr">
        <is>
          <t>型号:</t>
        </is>
      </c>
      <c r="D1744" s="99" t="inlineStr">
        <is>
          <t>BlokSeT</t>
        </is>
      </c>
      <c r="E1744" s="379" t="n"/>
      <c r="F1744" s="101" t="inlineStr">
        <is>
          <t>名称:</t>
        </is>
      </c>
      <c r="G1744" s="99" t="inlineStr">
        <is>
          <t>馈线柜</t>
        </is>
      </c>
      <c r="H1744" s="379" t="n"/>
      <c r="I1744" s="408" t="inlineStr"/>
      <c r="J1744" s="194" t="inlineStr">
        <is>
          <t>箱柜尺寸:</t>
        </is>
      </c>
      <c r="K1744" s="195" t="inlineStr">
        <is>
          <t>600W*1200D*2200H</t>
        </is>
      </c>
      <c r="L1744" s="194" t="inlineStr">
        <is>
          <t>类别:</t>
        </is>
      </c>
      <c r="M1744" s="195" t="inlineStr">
        <is>
          <t>低压固定柜</t>
        </is>
      </c>
      <c r="N1744" s="409" t="inlineStr"/>
      <c r="Q1744" s="159" t="n"/>
      <c r="R1744" s="159" t="n"/>
      <c r="S1744" s="159" t="n"/>
      <c r="T1744" s="159" t="n"/>
      <c r="U1744" s="159" t="n"/>
    </row>
    <row r="1745" ht="20.1" customHeight="1" s="308">
      <c r="A1745" s="102" t="inlineStr">
        <is>
          <t>序号</t>
        </is>
      </c>
      <c r="B1745" s="103" t="inlineStr">
        <is>
          <t>元件名称</t>
        </is>
      </c>
      <c r="C1745" s="103" t="inlineStr">
        <is>
          <t>型号规格</t>
        </is>
      </c>
      <c r="D1745" s="104" t="inlineStr">
        <is>
          <t>生产厂家</t>
        </is>
      </c>
      <c r="E1745" s="105" t="inlineStr">
        <is>
          <t>单位</t>
        </is>
      </c>
      <c r="F1745" s="105" t="inlineStr">
        <is>
          <t>数量</t>
        </is>
      </c>
      <c r="G1745" s="382" t="inlineStr">
        <is>
          <t>单   价</t>
        </is>
      </c>
      <c r="H1745" s="383" t="inlineStr">
        <is>
          <t>总   价</t>
        </is>
      </c>
      <c r="I1745" s="134" t="inlineStr">
        <is>
          <t>备注</t>
        </is>
      </c>
      <c r="J1745" s="384" t="inlineStr">
        <is>
          <t>成本单价</t>
        </is>
      </c>
      <c r="K1745" s="384" t="inlineStr">
        <is>
          <t>成本总价</t>
        </is>
      </c>
      <c r="L1745" s="136" t="inlineStr">
        <is>
          <t>报出
系数</t>
        </is>
      </c>
      <c r="M1745" s="384" t="inlineStr">
        <is>
          <t>表价</t>
        </is>
      </c>
      <c r="N1745" s="136" t="inlineStr">
        <is>
          <t>折扣
系数</t>
        </is>
      </c>
      <c r="O1745" s="137" t="inlineStr">
        <is>
          <t>取费
系数</t>
        </is>
      </c>
      <c r="P1745" s="384" t="inlineStr">
        <is>
          <t>成套费</t>
        </is>
      </c>
      <c r="Q1745" s="161" t="inlineStr">
        <is>
          <t>类别</t>
        </is>
      </c>
      <c r="R1745" s="161" t="inlineStr">
        <is>
          <t>物料编码</t>
        </is>
      </c>
      <c r="S1745" s="161" t="inlineStr">
        <is>
          <t>产地</t>
        </is>
      </c>
      <c r="T1745" s="161" t="inlineStr">
        <is>
          <t>加工费</t>
        </is>
      </c>
      <c r="U1745" s="161" t="inlineStr">
        <is>
          <t>订货号</t>
        </is>
      </c>
      <c r="V1745" s="161" t="inlineStr">
        <is>
          <t>人工</t>
        </is>
      </c>
      <c r="W1745" s="161" t="inlineStr">
        <is>
          <t>辅料</t>
        </is>
      </c>
      <c r="X1745" s="203" t="inlineStr"/>
    </row>
    <row r="1746" s="308">
      <c r="A1746" s="64">
        <f>ROW()-ROW(A$1745)</f>
        <v/>
      </c>
      <c r="B1746" s="22" t="inlineStr">
        <is>
          <t>塑壳断路器</t>
        </is>
      </c>
      <c r="C1746" s="22" t="inlineStr">
        <is>
          <t>NSX400H Mic2.3 400A 3P3D P</t>
        </is>
      </c>
      <c r="D1746" s="22" t="inlineStr">
        <is>
          <t>甲供/施耐德电气</t>
        </is>
      </c>
      <c r="E1746" s="23" t="inlineStr">
        <is>
          <t>只</t>
        </is>
      </c>
      <c r="F1746" s="23" t="n">
        <v>7</v>
      </c>
      <c r="G1746" s="349">
        <f>IF(AND(B1746="",C1746=""),"",ROUND(M1746*L1746*N1746,2))</f>
        <v/>
      </c>
      <c r="H1746" s="349">
        <f>IF(AND(B1746="",C1746=""),"",ROUND(F1746*G1746,2))</f>
        <v/>
      </c>
      <c r="I1746" s="45" t="inlineStr"/>
      <c r="J1746" s="397">
        <f>IF(AND(B1746="",C1746=""),"",ROUND(M1746*N1746,2))</f>
        <v/>
      </c>
      <c r="K1746" s="398">
        <f>IF(AND(B1746="",C1746=""),"",ROUND(J1746*F1746,2))</f>
        <v/>
      </c>
      <c r="L1746" s="200" t="n">
        <v>1</v>
      </c>
      <c r="M1746" s="399" t="n">
        <v>1e-07</v>
      </c>
      <c r="N1746" s="154" t="n">
        <v>1</v>
      </c>
      <c r="O1746" s="155">
        <f>IF(AND(B1746="",C1746=""),"",IF(G1746&gt;=20000,0.05,IF(G1746&gt;=10000,0.1,IF(G1746&gt;=5000,0.2,IF(G1746&gt;=1000,0.3,IF(G1746&gt;=0,0.4,{0}))))))</f>
        <v/>
      </c>
      <c r="P1746" s="400">
        <f>IF(AND(B1746="",C1746=""),"",ROUND(H1746*O1746,2))</f>
        <v/>
      </c>
      <c r="Q1746" s="401" t="inlineStr">
        <is>
          <t>元件</t>
        </is>
      </c>
      <c r="R1746" s="168" t="inlineStr"/>
      <c r="S1746" s="168" t="inlineStr"/>
      <c r="T1746" s="168" t="inlineStr">
        <is>
          <t>0</t>
        </is>
      </c>
      <c r="U1746" s="168" t="inlineStr"/>
      <c r="V1746" s="402" t="n"/>
      <c r="W1746" s="402" t="n"/>
      <c r="X1746" s="170" t="inlineStr"/>
    </row>
    <row r="1747" s="308">
      <c r="A1747" s="64">
        <f>ROW()-ROW(A$1745)</f>
        <v/>
      </c>
      <c r="B1747" s="22" t="inlineStr">
        <is>
          <t>电流互感器</t>
        </is>
      </c>
      <c r="C1747" s="22" t="inlineStr">
        <is>
          <t>SD-0.66-40II-C 400/5A</t>
        </is>
      </c>
      <c r="D1747" s="22" t="inlineStr">
        <is>
          <t>桑迪</t>
        </is>
      </c>
      <c r="E1747" s="23" t="inlineStr">
        <is>
          <t>只</t>
        </is>
      </c>
      <c r="F1747" s="23" t="n">
        <v>21</v>
      </c>
      <c r="G1747" s="349">
        <f>IF(AND(B1747="",C1747=""),"",ROUND(M1747*L1747*N1747,2))</f>
        <v/>
      </c>
      <c r="H1747" s="396">
        <f>IF(AND(B1747="",C1747=""),"",ROUND(F1747*G1747,2))</f>
        <v/>
      </c>
      <c r="I1747" s="219" t="inlineStr"/>
      <c r="J1747" s="397">
        <f>IF(AND(B1747="",C1747=""),"",ROUND(M1747*N1747,2))</f>
        <v/>
      </c>
      <c r="K1747" s="398">
        <f>IF(AND(B1747="",C1747=""),"",ROUND(J1747*F1747,2))</f>
        <v/>
      </c>
      <c r="L1747" s="200" t="n">
        <v>1</v>
      </c>
      <c r="M1747" s="399" t="n">
        <v>52</v>
      </c>
      <c r="N1747" s="154" t="n">
        <v>1</v>
      </c>
      <c r="O1747" s="155">
        <f>IF(AND(B1747="",C1747=""),"",IF(G1747&gt;=20000,0.05,IF(G1747&gt;=10000,0.1,IF(G1747&gt;=5000,0.2,IF(G1747&gt;=1000,0.3,IF(G1747&gt;=0,0.4,{0}))))))</f>
        <v/>
      </c>
      <c r="P1747" s="400">
        <f>IF(AND(B1747="",C1747=""),"",ROUND(H1747*O1747,2))</f>
        <v/>
      </c>
      <c r="Q1747" s="401" t="inlineStr">
        <is>
          <t>元件</t>
        </is>
      </c>
      <c r="R1747" s="168" t="inlineStr"/>
      <c r="S1747" s="168" t="inlineStr"/>
      <c r="T1747" s="168" t="inlineStr">
        <is>
          <t>0</t>
        </is>
      </c>
      <c r="U1747" s="168" t="inlineStr">
        <is>
          <t>710140200000049</t>
        </is>
      </c>
      <c r="V1747" s="402" t="n"/>
      <c r="W1747" s="402" t="n"/>
      <c r="X1747" s="170" t="inlineStr">
        <is>
          <t>SD→SD-0.66-40II-C 400/5A→SD-0.66-30I 250/5A→SD-0.66-30I 150/5A→SD-0.66-60II-C 750/5A→SD-0.66-60II-C 600/5A→SD-0.66-30I 150/5A→SD-0.66-40II-C 400/5A→SD-0.66-100II-C 1600/5A→SD-0.66-80II-V 1000/5A</t>
        </is>
      </c>
    </row>
    <row r="1748" s="308">
      <c r="A1748" s="64">
        <f>ROW()-ROW(A$1745)</f>
        <v/>
      </c>
      <c r="B1748" s="112" t="inlineStr">
        <is>
          <t>多功能表</t>
        </is>
      </c>
      <c r="C1748" s="112" t="inlineStr">
        <is>
          <t>PM4101</t>
        </is>
      </c>
      <c r="D1748" s="112" t="inlineStr">
        <is>
          <t>甲供/施耐德电气</t>
        </is>
      </c>
      <c r="E1748" s="114" t="inlineStr">
        <is>
          <t>只</t>
        </is>
      </c>
      <c r="F1748" s="114" t="n">
        <v>7</v>
      </c>
      <c r="G1748" s="396">
        <f>IF(AND(B1748="",C1748=""),"",ROUND(M1748*L1748*N1748,2))</f>
        <v/>
      </c>
      <c r="H1748" s="349">
        <f>IF(AND(B1748="",C1748=""),"",ROUND(F1748*G1748,2))</f>
        <v/>
      </c>
      <c r="I1748" s="45" t="inlineStr"/>
      <c r="J1748" s="397">
        <f>IF(AND(B1748="",C1748=""),"",ROUND(M1748*N1748,2))</f>
        <v/>
      </c>
      <c r="K1748" s="398">
        <f>IF(AND(B1748="",C1748=""),"",ROUND(J1748*F1748,2))</f>
        <v/>
      </c>
      <c r="L1748" s="200" t="n">
        <v>1</v>
      </c>
      <c r="M1748" s="399" t="n">
        <v>1e-07</v>
      </c>
      <c r="N1748" s="154" t="n">
        <v>1</v>
      </c>
      <c r="O1748" s="155">
        <f>IF(AND(B1748="",C1748=""),"",IF(J1748&gt;=20000,0.05,IF(J1748&gt;=10000,0.1,IF(J1748&gt;=5000,0.2,IF(J1748&gt;=1000,0.3,IF(J1748&gt;=0,0.4,{0}))))))</f>
        <v/>
      </c>
      <c r="P1748" s="400">
        <f>IF(AND(B1748="",C1748=""),"",ROUND(H1748*O1748,2))</f>
        <v/>
      </c>
      <c r="Q1748" s="401" t="inlineStr">
        <is>
          <t>元件</t>
        </is>
      </c>
      <c r="R1748" s="168" t="inlineStr"/>
      <c r="S1748" s="168" t="inlineStr"/>
      <c r="T1748" s="168" t="inlineStr">
        <is>
          <t>0</t>
        </is>
      </c>
      <c r="U1748" s="168" t="inlineStr"/>
      <c r="V1748" s="402" t="n"/>
      <c r="W1748" s="402" t="n"/>
      <c r="X1748" s="170" t="inlineStr"/>
    </row>
    <row r="1749" customFormat="1" s="3">
      <c r="A1749" s="64">
        <f>ROW()-ROW(A$1745)</f>
        <v/>
      </c>
      <c r="B1749" s="22" t="inlineStr">
        <is>
          <t>指示灯</t>
        </is>
      </c>
      <c r="C1749" s="22" t="inlineStr">
        <is>
          <t>XB2BVM3LC</t>
        </is>
      </c>
      <c r="D1749" s="22" t="inlineStr">
        <is>
          <t>甲供/施耐德电气</t>
        </is>
      </c>
      <c r="E1749" s="23" t="inlineStr">
        <is>
          <t>只</t>
        </is>
      </c>
      <c r="F1749" s="23" t="n">
        <v>7</v>
      </c>
      <c r="G1749" s="349">
        <f>IF(AND(B1749="",C1749=""),"",ROUND(M1749*L1749*N1749,2))</f>
        <v/>
      </c>
      <c r="H1749" s="353">
        <f>IF(AND(B1749="",C1749=""),"",ROUND(F1749*G1749,2))</f>
        <v/>
      </c>
      <c r="I1749" s="180" t="inlineStr"/>
      <c r="J1749" s="392">
        <f>IF(AND(B1749="",C1749=""),"",ROUND(M1749*N1749,2))</f>
        <v/>
      </c>
      <c r="K1749" s="393">
        <f>IF(AND(B1749="",C1749=""),"",ROUND(J1749*F1749,2))</f>
        <v/>
      </c>
      <c r="L1749" s="141" t="n">
        <v>1</v>
      </c>
      <c r="M1749" s="394" t="n">
        <v>1e-07</v>
      </c>
      <c r="N1749" s="220" t="n">
        <v>1</v>
      </c>
      <c r="O1749" s="221">
        <f>IF(AND(B1749="",C1749=""),"",IF(G1749&gt;=20000,0.05,IF(G1749&gt;=10000,0.1,IF(G1749&gt;=5000,0.2,IF(G1749&gt;=1000,0.3,IF(G1749&gt;=0,0.4,{0}))))))</f>
        <v/>
      </c>
      <c r="P1749" s="419">
        <f>IF(AND(B1749="",C1749=""),"",ROUND(H1749*O1749,2))</f>
        <v/>
      </c>
      <c r="Q1749" s="420" t="inlineStr">
        <is>
          <t>元件</t>
        </is>
      </c>
      <c r="R1749" s="231" t="inlineStr"/>
      <c r="S1749" s="231" t="inlineStr"/>
      <c r="T1749" s="231" t="inlineStr">
        <is>
          <t>0</t>
        </is>
      </c>
      <c r="U1749" s="231" t="inlineStr">
        <is>
          <t>XB2BVM3LC</t>
        </is>
      </c>
      <c r="V1749" s="421" t="n"/>
      <c r="W1749" s="421" t="n"/>
      <c r="X1749" s="166" t="inlineStr">
        <is>
          <t>XA2EVM3LC</t>
        </is>
      </c>
    </row>
    <row r="1750" customFormat="1" s="3">
      <c r="A1750" s="64">
        <f>ROW()-ROW(A$1745)</f>
        <v/>
      </c>
      <c r="B1750" s="22" t="inlineStr">
        <is>
          <t>指示灯</t>
        </is>
      </c>
      <c r="C1750" s="22" t="inlineStr">
        <is>
          <t>XB2BVM4LC</t>
        </is>
      </c>
      <c r="D1750" s="22" t="inlineStr">
        <is>
          <t>甲供/施耐德电气</t>
        </is>
      </c>
      <c r="E1750" s="23" t="inlineStr">
        <is>
          <t>只</t>
        </is>
      </c>
      <c r="F1750" s="23" t="n">
        <v>7</v>
      </c>
      <c r="G1750" s="349">
        <f>IF(AND(B1750="",C1750=""),"",ROUND(M1750*L1750*N1750,2))</f>
        <v/>
      </c>
      <c r="H1750" s="353">
        <f>IF(AND(B1750="",C1750=""),"",ROUND(F1750*G1750,2))</f>
        <v/>
      </c>
      <c r="I1750" s="180" t="inlineStr"/>
      <c r="J1750" s="392">
        <f>IF(AND(B1750="",C1750=""),"",ROUND(M1750*N1750,2))</f>
        <v/>
      </c>
      <c r="K1750" s="393">
        <f>IF(AND(B1750="",C1750=""),"",ROUND(J1750*F1750,2))</f>
        <v/>
      </c>
      <c r="L1750" s="141" t="n">
        <v>1</v>
      </c>
      <c r="M1750" s="394" t="n">
        <v>1e-07</v>
      </c>
      <c r="N1750" s="220" t="n">
        <v>1</v>
      </c>
      <c r="O1750" s="221">
        <f>IF(AND(B1750="",C1750=""),"",IF(G1750&gt;=20000,0.05,IF(G1750&gt;=10000,0.1,IF(G1750&gt;=5000,0.2,IF(G1750&gt;=1000,0.3,IF(G1750&gt;=0,0.4,{0}))))))</f>
        <v/>
      </c>
      <c r="P1750" s="419">
        <f>IF(AND(B1750="",C1750=""),"",ROUND(H1750*O1750,2))</f>
        <v/>
      </c>
      <c r="Q1750" s="420" t="inlineStr">
        <is>
          <t>元件</t>
        </is>
      </c>
      <c r="R1750" s="231" t="inlineStr"/>
      <c r="S1750" s="231" t="inlineStr"/>
      <c r="T1750" s="231" t="inlineStr">
        <is>
          <t>0</t>
        </is>
      </c>
      <c r="U1750" s="231" t="inlineStr">
        <is>
          <t>XB2BVM4LC</t>
        </is>
      </c>
      <c r="V1750" s="421" t="n"/>
      <c r="W1750" s="421" t="n"/>
      <c r="X1750" s="166" t="inlineStr">
        <is>
          <t>XA2EVM4LC</t>
        </is>
      </c>
    </row>
    <row r="1751" s="308">
      <c r="A1751" s="64">
        <f>ROW()-ROW(A$1745)</f>
        <v/>
      </c>
      <c r="B1751" s="112" t="inlineStr">
        <is>
          <t>温湿度控制器</t>
        </is>
      </c>
      <c r="C1751" s="112" t="inlineStr">
        <is>
          <t>ATH48G-11</t>
        </is>
      </c>
      <c r="D1751" s="22" t="inlineStr">
        <is>
          <t>杭州安廷</t>
        </is>
      </c>
      <c r="E1751" s="23" t="inlineStr">
        <is>
          <t>套</t>
        </is>
      </c>
      <c r="F1751" s="23" t="n">
        <v>1</v>
      </c>
      <c r="G1751" s="349">
        <f>IF(AND(B1751="",C1751=""),"",ROUND(M1751*L1751*N1751,2))</f>
        <v/>
      </c>
      <c r="H1751" s="396">
        <f>IF(AND(B1751="",C1751=""),"",ROUND(F1751*G1751,2))</f>
        <v/>
      </c>
      <c r="I1751" s="150" t="inlineStr"/>
      <c r="J1751" s="397">
        <f>IF(AND(B1751="",C1751=""),"",ROUND(M1751*N1751,2))</f>
        <v/>
      </c>
      <c r="K1751" s="398">
        <f>IF(AND(B1751="",C1751=""),"",ROUND(J1751*F1751,2))</f>
        <v/>
      </c>
      <c r="L1751" s="141" t="n">
        <v>1</v>
      </c>
      <c r="M1751" s="399" t="n">
        <v>450</v>
      </c>
      <c r="N1751" s="154" t="n">
        <v>1</v>
      </c>
      <c r="O1751" s="155">
        <f>IF(AND(B1751="",C1751=""),"",IF(G1751&gt;=20000,0.05,IF(G1751&gt;=10000,0.1,IF(G1751&gt;=5000,0.2,IF(G1751&gt;=1000,0.3,IF(G1751&gt;=0,0.4,{0}))))))</f>
        <v/>
      </c>
      <c r="P1751" s="400">
        <f>IF(AND(B1751="",C1751=""),"",ROUND(H1751*O1751,2))</f>
        <v/>
      </c>
      <c r="Q1751" s="401" t="inlineStr">
        <is>
          <t>元件</t>
        </is>
      </c>
      <c r="R1751" s="168" t="inlineStr"/>
      <c r="S1751" s="168" t="inlineStr"/>
      <c r="T1751" s="168" t="inlineStr">
        <is>
          <t>0</t>
        </is>
      </c>
      <c r="U1751" s="168" t="inlineStr"/>
      <c r="V1751" s="402" t="n"/>
      <c r="W1751" s="402" t="n"/>
      <c r="X1751" s="170" t="inlineStr"/>
    </row>
    <row r="1752" s="308">
      <c r="A1752" s="64">
        <f>ROW()-ROW(A$1745)</f>
        <v/>
      </c>
      <c r="B1752" s="22" t="inlineStr">
        <is>
          <t>中间继电器</t>
        </is>
      </c>
      <c r="C1752" s="22" t="inlineStr">
        <is>
          <t>RXM4AB2P7+RXZE2S114M+RXZ400</t>
        </is>
      </c>
      <c r="D1752" s="22" t="inlineStr">
        <is>
          <t>甲供/施耐德电气</t>
        </is>
      </c>
      <c r="E1752" s="23" t="inlineStr">
        <is>
          <t>只</t>
        </is>
      </c>
      <c r="F1752" s="23" t="n">
        <v>14</v>
      </c>
      <c r="G1752" s="349">
        <f>IF(AND(B1752="",C1752=""),"",ROUND(M1752*L1752*N1752,2))</f>
        <v/>
      </c>
      <c r="H1752" s="349">
        <f>IF(AND(B1752="",C1752=""),"",ROUND(F1752*G1752,2))</f>
        <v/>
      </c>
      <c r="I1752" s="45" t="inlineStr"/>
      <c r="J1752" s="397">
        <f>IF(AND(B1752="",C1752=""),"",ROUND(M1752*N1752,2))</f>
        <v/>
      </c>
      <c r="K1752" s="398">
        <f>IF(AND(B1752="",C1752=""),"",ROUND(J1752*F1752,2))</f>
        <v/>
      </c>
      <c r="L1752" s="141" t="n">
        <v>1</v>
      </c>
      <c r="M1752" s="399" t="n">
        <v>1e-07</v>
      </c>
      <c r="N1752" s="154" t="n">
        <v>1</v>
      </c>
      <c r="O1752" s="155">
        <f>IF(AND(B1752="",C1752=""),"",IF(G1752&gt;=20000,0.05,IF(G1752&gt;=10000,0.1,IF(G1752&gt;=5000,0.2,IF(G1752&gt;=1000,0.3,IF(G1752&gt;=0,0.4,{0}))))))</f>
        <v/>
      </c>
      <c r="P1752" s="400">
        <f>IF(AND(B1752="",C1752=""),"",ROUND(H1752*O1752,2))</f>
        <v/>
      </c>
      <c r="Q1752" s="401" t="inlineStr">
        <is>
          <t>元件</t>
        </is>
      </c>
      <c r="R1752" s="168" t="inlineStr"/>
      <c r="S1752" s="168" t="inlineStr"/>
      <c r="T1752" s="168" t="inlineStr">
        <is>
          <t>0</t>
        </is>
      </c>
      <c r="U1752" s="168" t="inlineStr">
        <is>
          <t>RXM4AB2P7+RXZE2S114M+RXZ400</t>
        </is>
      </c>
      <c r="V1752" s="402" t="n"/>
      <c r="W1752" s="402" t="n"/>
      <c r="X1752" s="170" t="inlineStr">
        <is>
          <t>REL-IR-BL/L-230AC/4X21，含底座→RXM4AB2P7+RXZE2S114M+RXZ400→REL-IR-BL/L-230AC/4X21，含底座</t>
        </is>
      </c>
    </row>
    <row r="1753" customFormat="1" s="3">
      <c r="A1753" s="64">
        <f>ROW()-ROW(A$1745)</f>
        <v/>
      </c>
      <c r="B1753" s="22" t="inlineStr">
        <is>
          <t>带熔丝端子</t>
        </is>
      </c>
      <c r="C1753" s="22" t="inlineStr">
        <is>
          <t>UK 5-HESI</t>
        </is>
      </c>
      <c r="D1753" s="22" t="inlineStr">
        <is>
          <t>菲尼克斯</t>
        </is>
      </c>
      <c r="E1753" s="23" t="inlineStr">
        <is>
          <t>只</t>
        </is>
      </c>
      <c r="F1753" s="23" t="n">
        <v>28</v>
      </c>
      <c r="G1753" s="349">
        <f>IF(AND(B1753="",C1753=""),"",ROUND(M1753*L1753*N1753,2))</f>
        <v/>
      </c>
      <c r="H1753" s="349">
        <f>IF(AND(B1753="",C1753=""),"",ROUND(F1753*G1753,2))</f>
        <v/>
      </c>
      <c r="I1753" s="45" t="inlineStr"/>
      <c r="J1753" s="392">
        <f>IF(AND(B1753="",C1753=""),"",ROUND(M1753*N1753,2))</f>
        <v/>
      </c>
      <c r="K1753" s="393">
        <f>IF(AND(B1753="",C1753=""),"",ROUND(J1753*F1753,2))</f>
        <v/>
      </c>
      <c r="L1753" s="141" t="n">
        <v>1</v>
      </c>
      <c r="M1753" s="394" t="n">
        <v>7</v>
      </c>
      <c r="N1753" s="220" t="n">
        <v>1</v>
      </c>
      <c r="O1753" s="221">
        <f>IF(AND(B1753="",C1753=""),"",IF(G1753&gt;=20000,0.05,IF(G1753&gt;=10000,0.1,IF(G1753&gt;=5000,0.2,IF(G1753&gt;=1000,0.3,IF(G1753&gt;=0,0.4,{0}))))))</f>
        <v/>
      </c>
      <c r="P1753" s="419">
        <f>IF(AND(B1753="",C1753=""),"",ROUND(H1753*O1753,2))</f>
        <v/>
      </c>
      <c r="Q1753" s="420" t="inlineStr">
        <is>
          <t>元件</t>
        </is>
      </c>
      <c r="R1753" s="231" t="inlineStr"/>
      <c r="S1753" s="231" t="inlineStr"/>
      <c r="T1753" s="231" t="inlineStr">
        <is>
          <t>0</t>
        </is>
      </c>
      <c r="U1753" s="231" t="inlineStr">
        <is>
          <t>True</t>
        </is>
      </c>
      <c r="V1753" s="421" t="n"/>
      <c r="W1753" s="421" t="n"/>
      <c r="X1753" s="166" t="inlineStr"/>
    </row>
    <row r="1754" s="308">
      <c r="A1754" s="64">
        <f>ROW()-ROW(A$1745)</f>
        <v/>
      </c>
      <c r="B1754" s="22" t="inlineStr">
        <is>
          <t>水平母排</t>
        </is>
      </c>
      <c r="C1754" s="22" t="inlineStr">
        <is>
          <t>TMY 4*(3*125*5)+2*50*5</t>
        </is>
      </c>
      <c r="D1754" s="22" t="inlineStr">
        <is>
          <t>国产优质</t>
        </is>
      </c>
      <c r="E1754" s="23" t="inlineStr">
        <is>
          <t>米</t>
        </is>
      </c>
      <c r="F1754" s="23" t="n">
        <v>0.7</v>
      </c>
      <c r="G1754" s="349">
        <f>IF(AND(B1754="",C1754=""),"",ROUND(M1754*L1754*N1754,2))</f>
        <v/>
      </c>
      <c r="H1754" s="349">
        <f>IF(AND(B1754="",C1754=""),"",ROUND(F1754*G1754,2))</f>
        <v/>
      </c>
      <c r="I1754" s="45" t="inlineStr"/>
      <c r="J1754" s="397">
        <f>IF(AND(B1754="",C1754=""),"",ROUND(M1754*N1754,2))</f>
        <v/>
      </c>
      <c r="K1754" s="398">
        <f>IF(AND(B1754="",C1754=""),"",ROUND(J1754*F1754,2))</f>
        <v/>
      </c>
      <c r="L1754" s="200" t="n">
        <v>1</v>
      </c>
      <c r="M1754" s="399" t="n">
        <v>7697.076</v>
      </c>
      <c r="N1754" s="154">
        <f>(6317.932*1*1+2684.8*1*1)/9002.732</f>
        <v/>
      </c>
      <c r="O1754" s="155">
        <f>IF(AND(B1754="",C1754=""),"",IF(J1754&gt;=20000,0.05,IF(J1754&gt;=10000,0.1,IF(J1754&gt;=5000,0.2,IF(J1754&gt;=1000,0.3,IF(J1754&gt;=0,0.4,{0}))))))</f>
        <v/>
      </c>
      <c r="P1754" s="400">
        <f>IF(AND(B1754="",C1754=""),"",ROUND(H1754*O1754,2))</f>
        <v/>
      </c>
      <c r="Q1754" s="401" t="inlineStr">
        <is>
          <t>母排</t>
        </is>
      </c>
      <c r="R1754" s="168" t="inlineStr"/>
      <c r="S1754" s="168" t="inlineStr"/>
      <c r="T1754" s="168" t="inlineStr">
        <is>
          <t>0</t>
        </is>
      </c>
      <c r="U1754" s="168" t="inlineStr"/>
      <c r="V1754" s="402" t="n"/>
      <c r="W1754" s="402" t="n"/>
      <c r="X1754" s="170" t="inlineStr"/>
    </row>
    <row r="1755" customFormat="1" s="5">
      <c r="A1755" s="64">
        <f>ROW()-ROW(A$1745)</f>
        <v/>
      </c>
      <c r="B1755" s="22" t="inlineStr">
        <is>
          <t>垂直排</t>
        </is>
      </c>
      <c r="C1755" s="22" t="inlineStr">
        <is>
          <t>TMY 3*3*80*5</t>
        </is>
      </c>
      <c r="D1755" s="22" t="inlineStr">
        <is>
          <t>国产优质</t>
        </is>
      </c>
      <c r="E1755" s="23" t="inlineStr">
        <is>
          <t>米</t>
        </is>
      </c>
      <c r="F1755" s="23" t="n">
        <v>2</v>
      </c>
      <c r="G1755" s="349">
        <f>IF(AND(B1755="",C1755=""),"",ROUND(M1755*L1755*N1755,2))</f>
        <v/>
      </c>
      <c r="H1755" s="349">
        <f>IF(AND(B1755="",C1755=""),"",ROUND(F1755*G1755,2))</f>
        <v/>
      </c>
      <c r="I1755" s="45" t="inlineStr"/>
      <c r="J1755" s="422">
        <f>IF(AND(B1755="",C1755=""),"",ROUND(M1755*N1755,2))</f>
        <v/>
      </c>
      <c r="K1755" s="423">
        <f>IF(AND(B1755="",C1755=""),"",ROUND(J1755*F1755,2))</f>
        <v/>
      </c>
      <c r="L1755" s="225" t="n">
        <v>1</v>
      </c>
      <c r="M1755" s="424" t="n">
        <v>3463.6842</v>
      </c>
      <c r="N1755" s="227" t="n">
        <v>1</v>
      </c>
      <c r="O1755" s="228">
        <f>IF(AND(B1755="",C1755=""),"",IF(G1755&gt;=20000,0.05,IF(G1755&gt;=10000,0.1,IF(G1755&gt;=5000,0.2,IF(G1755&gt;=1000,0.3,IF(G1755&gt;=0,0.4,{0}))))))</f>
        <v/>
      </c>
      <c r="P1755" s="425">
        <f>IF(AND(B1755="",C1755=""),"",ROUND(H1755*O1755,2))</f>
        <v/>
      </c>
      <c r="Q1755" s="426" t="inlineStr">
        <is>
          <t>母排</t>
        </is>
      </c>
      <c r="R1755" s="234" t="inlineStr"/>
      <c r="S1755" s="234" t="inlineStr"/>
      <c r="T1755" s="235" t="inlineStr">
        <is>
          <t>0</t>
        </is>
      </c>
      <c r="U1755" s="235" t="inlineStr"/>
      <c r="V1755" s="427" t="n"/>
      <c r="W1755" s="427" t="n"/>
      <c r="X1755" s="237" t="inlineStr">
        <is>
          <t>TMY 2*30*5→TMY 30*8</t>
        </is>
      </c>
    </row>
    <row r="1756" customFormat="1" s="5">
      <c r="A1756" s="64">
        <f>ROW()-ROW(A$1745)</f>
        <v/>
      </c>
      <c r="B1756" s="22" t="inlineStr">
        <is>
          <t>N排</t>
        </is>
      </c>
      <c r="C1756" s="22" t="inlineStr">
        <is>
          <t>TMY 3*80*5</t>
        </is>
      </c>
      <c r="D1756" s="22" t="inlineStr">
        <is>
          <t>国产优质</t>
        </is>
      </c>
      <c r="E1756" s="23" t="inlineStr">
        <is>
          <t>米</t>
        </is>
      </c>
      <c r="F1756" s="23" t="n">
        <v>3</v>
      </c>
      <c r="G1756" s="349">
        <f>IF(AND(B1756="",C1756=""),"",ROUND(M1756*L1756*N1756,2))</f>
        <v/>
      </c>
      <c r="H1756" s="349">
        <f>IF(AND(B1756="",C1756=""),"",ROUND(F1756*G1756,2))</f>
        <v/>
      </c>
      <c r="I1756" s="45" t="inlineStr"/>
      <c r="J1756" s="422">
        <f>IF(AND(B1756="",C1756=""),"",ROUND(M1756*N1756,2))</f>
        <v/>
      </c>
      <c r="K1756" s="423">
        <f>IF(AND(B1756="",C1756=""),"",ROUND(J1756*F1756,2))</f>
        <v/>
      </c>
      <c r="L1756" s="225" t="n">
        <v>1</v>
      </c>
      <c r="M1756" s="424" t="n">
        <v>1154.5614</v>
      </c>
      <c r="N1756" s="227" t="n">
        <v>1</v>
      </c>
      <c r="O1756" s="228">
        <f>IF(AND(B1756="",C1756=""),"",IF(G1756&gt;=20000,0.05,IF(G1756&gt;=10000,0.1,IF(G1756&gt;=5000,0.2,IF(G1756&gt;=1000,0.3,IF(G1756&gt;=0,0.4,{0}))))))</f>
        <v/>
      </c>
      <c r="P1756" s="425">
        <f>IF(AND(B1756="",C1756=""),"",ROUND(H1756*O1756,2))</f>
        <v/>
      </c>
      <c r="Q1756" s="426" t="inlineStr">
        <is>
          <t>母排</t>
        </is>
      </c>
      <c r="R1756" s="234" t="inlineStr"/>
      <c r="S1756" s="234" t="inlineStr"/>
      <c r="T1756" s="235" t="inlineStr">
        <is>
          <t>0</t>
        </is>
      </c>
      <c r="U1756" s="235" t="inlineStr"/>
      <c r="V1756" s="427" t="n"/>
      <c r="W1756" s="427" t="n"/>
      <c r="X1756" s="237" t="inlineStr">
        <is>
          <t>TMY 2*30*5→TMY 30*8</t>
        </is>
      </c>
    </row>
    <row r="1757" customFormat="1" s="5">
      <c r="A1757" s="64">
        <f>ROW()-ROW(A$1745)</f>
        <v/>
      </c>
      <c r="B1757" s="22" t="inlineStr">
        <is>
          <t>PE排</t>
        </is>
      </c>
      <c r="C1757" s="22" t="inlineStr">
        <is>
          <t>TMY 2*50*5</t>
        </is>
      </c>
      <c r="D1757" s="22" t="inlineStr">
        <is>
          <t>国产优质</t>
        </is>
      </c>
      <c r="E1757" s="23" t="inlineStr">
        <is>
          <t>米</t>
        </is>
      </c>
      <c r="F1757" s="23" t="n">
        <v>2</v>
      </c>
      <c r="G1757" s="349">
        <f>IF(AND(B1757="",C1757=""),"",ROUND(M1757*L1757*N1757,2))</f>
        <v/>
      </c>
      <c r="H1757" s="349">
        <f>IF(AND(B1757="",C1757=""),"",ROUND(F1757*G1757,2))</f>
        <v/>
      </c>
      <c r="I1757" s="45" t="inlineStr"/>
      <c r="J1757" s="422">
        <f>IF(AND(B1757="",C1757=""),"",ROUND(M1757*N1757,2))</f>
        <v/>
      </c>
      <c r="K1757" s="423">
        <f>IF(AND(B1757="",C1757=""),"",ROUND(J1757*F1757,2))</f>
        <v/>
      </c>
      <c r="L1757" s="225" t="n">
        <v>1</v>
      </c>
      <c r="M1757" s="424" t="n">
        <v>481.06725</v>
      </c>
      <c r="N1757" s="227" t="n">
        <v>1</v>
      </c>
      <c r="O1757" s="228">
        <f>IF(AND(B1757="",C1757=""),"",IF(G1757&gt;=20000,0.05,IF(G1757&gt;=10000,0.1,IF(G1757&gt;=5000,0.2,IF(G1757&gt;=1000,0.3,IF(G1757&gt;=0,0.4,{0}))))))</f>
        <v/>
      </c>
      <c r="P1757" s="425">
        <f>IF(AND(B1757="",C1757=""),"",ROUND(H1757*O1757,2))</f>
        <v/>
      </c>
      <c r="Q1757" s="426" t="inlineStr">
        <is>
          <t>母排</t>
        </is>
      </c>
      <c r="R1757" s="234" t="inlineStr"/>
      <c r="S1757" s="234" t="inlineStr"/>
      <c r="T1757" s="235" t="inlineStr">
        <is>
          <t>0</t>
        </is>
      </c>
      <c r="U1757" s="235" t="inlineStr"/>
      <c r="V1757" s="427" t="n"/>
      <c r="W1757" s="427" t="n"/>
      <c r="X1757" s="237" t="inlineStr">
        <is>
          <t>TMY 2*30*5→TMY 30*8</t>
        </is>
      </c>
    </row>
    <row r="1758" customFormat="1" s="5">
      <c r="A1758" s="64">
        <f>ROW()-ROW(A$1745)</f>
        <v/>
      </c>
      <c r="B1758" s="22" t="inlineStr">
        <is>
          <t>400A铜排</t>
        </is>
      </c>
      <c r="C1758" s="22" t="inlineStr">
        <is>
          <t>TMY 30*5</t>
        </is>
      </c>
      <c r="D1758" s="22" t="inlineStr">
        <is>
          <t>国产优质</t>
        </is>
      </c>
      <c r="E1758" s="23" t="inlineStr">
        <is>
          <t>米</t>
        </is>
      </c>
      <c r="F1758" s="23" t="n">
        <v>22.4</v>
      </c>
      <c r="G1758" s="349">
        <f>IF(AND(B1758="",C1758=""),"",ROUND(M1758*L1758*N1758,2))</f>
        <v/>
      </c>
      <c r="H1758" s="349">
        <f>IF(AND(B1758="",C1758=""),"",ROUND(F1758*G1758,2))</f>
        <v/>
      </c>
      <c r="I1758" s="45" t="inlineStr"/>
      <c r="J1758" s="422">
        <f>IF(AND(B1758="",C1758=""),"",ROUND(M1758*N1758,2))</f>
        <v/>
      </c>
      <c r="K1758" s="423">
        <f>IF(AND(B1758="",C1758=""),"",ROUND(J1758*F1758,2))</f>
        <v/>
      </c>
      <c r="L1758" s="225" t="n">
        <v>1</v>
      </c>
      <c r="M1758" s="424" t="n">
        <v>144.320175</v>
      </c>
      <c r="N1758" s="227" t="n">
        <v>1</v>
      </c>
      <c r="O1758" s="228">
        <f>IF(AND(B1758="",C1758=""),"",IF(G1758&gt;=20000,0.05,IF(G1758&gt;=10000,0.1,IF(G1758&gt;=5000,0.2,IF(G1758&gt;=1000,0.3,IF(G1758&gt;=0,0.4,{0}))))))</f>
        <v/>
      </c>
      <c r="P1758" s="425">
        <f>IF(AND(B1758="",C1758=""),"",ROUND(H1758*O1758,2))</f>
        <v/>
      </c>
      <c r="Q1758" s="426" t="inlineStr">
        <is>
          <t>母排</t>
        </is>
      </c>
      <c r="R1758" s="234" t="inlineStr"/>
      <c r="S1758" s="234" t="inlineStr"/>
      <c r="T1758" s="235" t="inlineStr">
        <is>
          <t>0</t>
        </is>
      </c>
      <c r="U1758" s="235" t="inlineStr"/>
      <c r="V1758" s="427" t="n"/>
      <c r="W1758" s="427" t="n"/>
      <c r="X1758" s="237" t="inlineStr">
        <is>
          <t>TMY 2*30*5→TMY 30*8</t>
        </is>
      </c>
    </row>
    <row r="1759" s="308">
      <c r="A1759" s="64">
        <f>ROW()-ROW(A$1745)</f>
        <v/>
      </c>
      <c r="B1759" s="112" t="inlineStr">
        <is>
          <t>辅料</t>
        </is>
      </c>
      <c r="C1759" s="112" t="inlineStr"/>
      <c r="D1759" s="112" t="inlineStr"/>
      <c r="E1759" s="114" t="inlineStr">
        <is>
          <t>套</t>
        </is>
      </c>
      <c r="F1759" s="114" t="n">
        <v>1</v>
      </c>
      <c r="G1759" s="396">
        <f>IF(AND(B1759="",C1759=""),"",ROUND(M1759*L1759*N1759,2))</f>
        <v/>
      </c>
      <c r="H1759" s="396">
        <f>IF(AND(B1759="",C1759=""),"",ROUND(F1759*G1759,2))</f>
        <v/>
      </c>
      <c r="I1759" s="219" t="inlineStr"/>
      <c r="J1759" s="397">
        <f>IF(AND(B1759="",C1759=""),"",ROUND(M1759*N1759,2))</f>
        <v/>
      </c>
      <c r="K1759" s="398">
        <f>IF(AND(B1759="",C1759=""),"",ROUND(J1759*F1759,2))</f>
        <v/>
      </c>
      <c r="L1759" s="200" t="n">
        <v>1</v>
      </c>
      <c r="M1759" s="399" t="n">
        <v>778.02</v>
      </c>
      <c r="N1759" s="154" t="n">
        <v>1</v>
      </c>
      <c r="O1759" s="155">
        <f>IF(AND(B1759="",C1759=""),"",IF(G1759&gt;=20000,0.05,IF(G1759&gt;=10000,0.1,IF(G1759&gt;=5000,0.2,IF(G1759&gt;=1000,0.3,IF(G1759&gt;=0,0.4,{0}))))))</f>
        <v/>
      </c>
      <c r="P1759" s="400">
        <f>IF(AND(B1759="",C1759=""),"",ROUND(H1759*O1759,2))</f>
        <v/>
      </c>
      <c r="Q1759" s="401" t="inlineStr">
        <is>
          <t>辅料</t>
        </is>
      </c>
      <c r="R1759" s="168" t="inlineStr"/>
      <c r="S1759" s="168" t="inlineStr"/>
      <c r="T1759" s="168" t="inlineStr">
        <is>
          <t>0</t>
        </is>
      </c>
      <c r="U1759" s="168" t="inlineStr"/>
      <c r="V1759" s="402" t="n"/>
      <c r="W1759" s="402" t="n"/>
      <c r="X1759" s="170" t="inlineStr"/>
    </row>
    <row r="1760" s="308">
      <c r="A1760" s="64">
        <f>ROW()-ROW(A$1745)</f>
        <v/>
      </c>
      <c r="B1760" s="112" t="inlineStr">
        <is>
          <t>柜体Blokset</t>
        </is>
      </c>
      <c r="C1760" s="22" t="inlineStr">
        <is>
          <t>600W*1200D*2200H</t>
        </is>
      </c>
      <c r="D1760" s="112" t="inlineStr">
        <is>
          <t>清科</t>
        </is>
      </c>
      <c r="E1760" s="114" t="inlineStr">
        <is>
          <t>台</t>
        </is>
      </c>
      <c r="F1760" s="114" t="n">
        <v>1</v>
      </c>
      <c r="G1760" s="396">
        <f>IF(AND(B1760="",C1760=""),"",ROUND(M1760*L1760*N1760,2))</f>
        <v/>
      </c>
      <c r="H1760" s="396">
        <f>IF(AND(B1760="",C1760=""),"",ROUND(F1760*G1760,2))</f>
        <v/>
      </c>
      <c r="I1760" s="219" t="inlineStr"/>
      <c r="J1760" s="397">
        <f>IF(AND(B1760="",C1760=""),"",ROUND(M1760*N1760,2))</f>
        <v/>
      </c>
      <c r="K1760" s="398">
        <f>IF(AND(B1760="",C1760=""),"",ROUND(J1760*F1760,2))</f>
        <v/>
      </c>
      <c r="L1760" s="200" t="n">
        <v>1</v>
      </c>
      <c r="M1760" s="399" t="n">
        <v>5770</v>
      </c>
      <c r="N1760" s="154" t="n">
        <v>1</v>
      </c>
      <c r="O1760" s="155">
        <f>IF(AND(B1760="",C1760=""),"",IF(G1760&gt;=20000,0.05,IF(G1760&gt;=10000,0.1,IF(G1760&gt;=5000,0.2,IF(G1760&gt;=1000,0.3,IF(G1760&gt;=0,0.4,{0}))))))</f>
        <v/>
      </c>
      <c r="P1760" s="400">
        <f>IF(AND(B1760="",C1760=""),"",ROUND(H1760*O1760,2))</f>
        <v/>
      </c>
      <c r="Q1760" s="401" t="inlineStr">
        <is>
          <t>箱体</t>
        </is>
      </c>
      <c r="R1760" s="168" t="inlineStr"/>
      <c r="S1760" s="168" t="inlineStr"/>
      <c r="T1760" s="168" t="inlineStr">
        <is>
          <t>0</t>
        </is>
      </c>
      <c r="U1760" s="168" t="inlineStr"/>
      <c r="V1760" s="402" t="n"/>
      <c r="W1760" s="402" t="n"/>
      <c r="X1760" s="170" t="inlineStr">
        <is>
          <t>BlokSeT</t>
        </is>
      </c>
    </row>
    <row r="1761" s="308">
      <c r="A1761" s="64">
        <f>ROW()-ROW(A$1745)</f>
        <v/>
      </c>
      <c r="B1761" s="22" t="inlineStr"/>
      <c r="C1761" s="22" t="inlineStr"/>
      <c r="D1761" s="22" t="inlineStr"/>
      <c r="E1761" s="23" t="n"/>
      <c r="F1761" s="23">
        <f>IF(AND(B1761="",C1761=""),"",1)</f>
        <v/>
      </c>
      <c r="G1761" s="349">
        <f>IF(AND(B1761="",C1761=""),"",ROUND(M1761*L1761*N1761,2))</f>
        <v/>
      </c>
      <c r="H1761" s="349">
        <f>IF(AND(B1761="",C1761=""),"",ROUND(F1761*G1761,2))</f>
        <v/>
      </c>
      <c r="I1761" s="45" t="inlineStr"/>
      <c r="J1761" s="397">
        <f>IF(AND(B1761="",C1761=""),"",ROUND(M1761*N1761,2))</f>
        <v/>
      </c>
      <c r="K1761" s="398">
        <f>IF(AND(B1761="",C1761=""),"",ROUND(J1761*F1761,2))</f>
        <v/>
      </c>
      <c r="L1761" s="200">
        <f>IF(AND(B1761="",C1761=""),"",1)</f>
        <v/>
      </c>
      <c r="M1761" s="399" t="n"/>
      <c r="N1761" s="154">
        <f>IF(AND(B1761="",C1761=""),"",1)</f>
        <v/>
      </c>
      <c r="O1761" s="155">
        <f>IF(AND(B1761="",C1761=""),"",IF(J1761&gt;=20000,0.05,IF(J1761&gt;=10000,0.1,IF(J1761&gt;=5000,0.2,IF(J1761&gt;=1000,0.3,IF(J1761&gt;=0,0.4,{0}))))))</f>
        <v/>
      </c>
      <c r="P1761" s="400">
        <f>IF(AND(B1761="",C1761=""),"",ROUND(H1761*O1761,2))</f>
        <v/>
      </c>
      <c r="Q1761" s="401">
        <f>IF(AND(B1761="",C1761=""),"","元件")</f>
        <v/>
      </c>
      <c r="R1761" s="168" t="inlineStr"/>
      <c r="S1761" s="168" t="inlineStr"/>
      <c r="T1761" s="168" t="inlineStr"/>
      <c r="U1761" s="168" t="inlineStr"/>
      <c r="V1761" s="402" t="n"/>
      <c r="W1761" s="402" t="n"/>
      <c r="X1761" s="170" t="inlineStr"/>
    </row>
    <row r="1762" s="308">
      <c r="A1762" s="64">
        <f>ROW()-ROW(A$1745)</f>
        <v/>
      </c>
      <c r="B1762" s="171" t="inlineStr">
        <is>
          <t>小计</t>
        </is>
      </c>
      <c r="C1762" s="172" t="n"/>
      <c r="D1762" s="204" t="n"/>
      <c r="E1762" s="114" t="n"/>
      <c r="F1762" s="114" t="n"/>
      <c r="G1762" s="396" t="n"/>
      <c r="H1762" s="396">
        <f>ROUND(SUM(H1745:INDEX(H:H,ROW()-1)),2)</f>
        <v/>
      </c>
      <c r="I1762" s="45" t="inlineStr"/>
      <c r="J1762" s="397" t="n"/>
      <c r="K1762" s="398">
        <f>ROUND(SUM(K1745:INDEX(K:K,ROW()-1)),2)</f>
        <v/>
      </c>
      <c r="L1762" s="200" t="n"/>
      <c r="M1762" s="399" t="n"/>
      <c r="N1762" s="154" t="n"/>
      <c r="O1762" s="155" t="n"/>
      <c r="P1762" s="400" t="n"/>
      <c r="Q1762" s="401" t="n"/>
      <c r="R1762" s="168" t="inlineStr"/>
      <c r="S1762" s="168" t="inlineStr"/>
      <c r="T1762" s="168" t="inlineStr"/>
      <c r="U1762" s="168" t="inlineStr"/>
      <c r="V1762" s="402">
        <f>ROUND(SUMPRODUCT(F1745:INDEX(F:F,ROW()-1),V1745:INDEX(V:V,ROW()-1)),2)</f>
        <v/>
      </c>
      <c r="W1762" s="402">
        <f>ROUND(SUMPRODUCT(F1745:INDEX(F:F,ROW()-1),W1745:INDEX(W:W,ROW()-1)),2)</f>
        <v/>
      </c>
      <c r="X1762" s="170" t="inlineStr"/>
    </row>
    <row r="1763" s="308">
      <c r="A1763" s="64">
        <f>ROW()-ROW(A$1745)</f>
        <v/>
      </c>
      <c r="B1763" s="171" t="inlineStr">
        <is>
          <t>综合费(人工、管理、税金、利润等)</t>
        </is>
      </c>
      <c r="C1763" s="172" t="n"/>
      <c r="D1763" s="204" t="n"/>
      <c r="E1763" s="114" t="n"/>
      <c r="F1763" s="114" t="n"/>
      <c r="G1763" s="396" t="n"/>
      <c r="H1763" s="396">
        <f>2500</f>
        <v/>
      </c>
      <c r="I1763" s="45" t="inlineStr"/>
      <c r="J1763" s="397" t="n"/>
      <c r="K1763" s="398" t="n"/>
      <c r="L1763" s="200" t="n"/>
      <c r="M1763" s="399" t="n"/>
      <c r="N1763" s="154" t="n"/>
      <c r="O1763" s="155" t="n"/>
      <c r="P1763" s="400" t="n"/>
      <c r="Q1763" s="401" t="inlineStr">
        <is>
          <t>费用</t>
        </is>
      </c>
      <c r="R1763" s="168" t="inlineStr"/>
      <c r="S1763" s="168" t="inlineStr"/>
      <c r="T1763" s="168" t="inlineStr"/>
      <c r="U1763" s="168" t="inlineStr"/>
      <c r="V1763" s="402" t="n"/>
      <c r="W1763" s="402" t="n"/>
      <c r="X1763" s="170" t="inlineStr"/>
    </row>
    <row r="1764" s="308">
      <c r="A1764" s="64">
        <f>ROW()-ROW(A$1745)</f>
        <v/>
      </c>
      <c r="B1764" s="204" t="inlineStr">
        <is>
          <t>单台合计</t>
        </is>
      </c>
      <c r="C1764" s="172" t="n"/>
      <c r="D1764" s="204" t="n"/>
      <c r="E1764" s="114" t="n"/>
      <c r="F1764" s="114" t="n"/>
      <c r="G1764" s="396" t="n"/>
      <c r="H1764" s="396">
        <f>ROUND(SUM(H1762:H1763),2)</f>
        <v/>
      </c>
      <c r="I1764" s="181" t="n"/>
      <c r="J1764" s="397" t="n"/>
      <c r="K1764" s="398">
        <f>ROUND(SUM(K1762:K1763),2)</f>
        <v/>
      </c>
      <c r="L1764" s="209" t="n"/>
      <c r="M1764" s="399" t="n"/>
      <c r="N1764" s="210" t="n"/>
      <c r="O1764" s="211" t="n"/>
      <c r="P1764" s="400" t="n"/>
      <c r="Q1764" s="401" t="n"/>
      <c r="R1764" s="168" t="inlineStr"/>
      <c r="S1764" s="168" t="inlineStr"/>
      <c r="T1764" s="168" t="inlineStr"/>
      <c r="U1764" s="168" t="inlineStr"/>
      <c r="V1764" s="402" t="n"/>
      <c r="W1764" s="402" t="n"/>
      <c r="X1764" s="170" t="inlineStr"/>
    </row>
    <row r="1765" s="308">
      <c r="A1765" s="173" t="inlineStr">
        <is>
          <t>总计</t>
        </is>
      </c>
      <c r="B1765" s="205" t="n"/>
      <c r="C1765" s="175" t="n"/>
      <c r="D1765" s="206" t="n"/>
      <c r="E1765" s="206" t="inlineStr">
        <is>
          <t>台</t>
        </is>
      </c>
      <c r="F1765" s="206" t="n">
        <v>2</v>
      </c>
      <c r="G1765" s="414">
        <f>ROUND(H1764,2)</f>
        <v/>
      </c>
      <c r="H1765" s="414">
        <f>ROUND(F1765*G1765,2)</f>
        <v/>
      </c>
      <c r="I1765" s="185" t="n"/>
      <c r="J1765" s="415" t="n"/>
      <c r="K1765" s="416">
        <f>ROUND(K1764*F1765,2)</f>
        <v/>
      </c>
      <c r="L1765" s="214" t="n"/>
      <c r="M1765" s="417" t="n"/>
      <c r="N1765" s="216" t="n"/>
      <c r="O1765" s="217" t="n"/>
      <c r="P1765" s="418" t="n"/>
      <c r="Q1765" s="401" t="n"/>
      <c r="R1765" s="168" t="inlineStr"/>
      <c r="S1765" s="168" t="inlineStr"/>
      <c r="T1765" s="168" t="inlineStr"/>
      <c r="U1765" s="168" t="inlineStr"/>
      <c r="V1765" s="402" t="n"/>
      <c r="W1765" s="402" t="n"/>
      <c r="X1765" s="170" t="inlineStr"/>
    </row>
    <row r="1766" customFormat="1" s="4">
      <c r="A1766" s="6" t="n"/>
      <c r="B1766" s="195" t="inlineStr"/>
      <c r="C1766" s="195" t="inlineStr"/>
      <c r="D1766" s="195" t="inlineStr"/>
      <c r="Q1766" s="159" t="n"/>
      <c r="R1766" s="159" t="n"/>
      <c r="S1766" s="159" t="n"/>
      <c r="T1766" s="159" t="n"/>
      <c r="U1766" s="159" t="n"/>
      <c r="X1766" s="195" t="inlineStr"/>
    </row>
    <row r="1767" customFormat="1" s="4">
      <c r="A1767" s="6" t="n"/>
      <c r="B1767" s="195" t="inlineStr"/>
      <c r="C1767" s="195" t="inlineStr"/>
      <c r="D1767" s="195" t="inlineStr"/>
      <c r="Q1767" s="159" t="n"/>
      <c r="R1767" s="159" t="n"/>
      <c r="S1767" s="159" t="n"/>
      <c r="T1767" s="159" t="n"/>
      <c r="U1767" s="159" t="n"/>
      <c r="X1767" s="195" t="inlineStr"/>
    </row>
    <row r="1768" s="308">
      <c r="A1768" s="208">
        <f>CONCATENATE("报价人：",项目信息!$B$8)</f>
        <v/>
      </c>
      <c r="B1768" s="208" t="n"/>
      <c r="C1768" s="4" t="n"/>
      <c r="D1768" s="4" t="n"/>
      <c r="E1768" s="4" t="n"/>
      <c r="F1768" s="4" t="n"/>
      <c r="G1768" s="4" t="n"/>
      <c r="H1768" s="178">
        <f>项目信息!$B$9</f>
        <v/>
      </c>
      <c r="Q1768" s="159" t="n"/>
      <c r="R1768" s="159" t="n"/>
      <c r="S1768" s="159" t="n"/>
      <c r="T1768" s="159" t="n"/>
      <c r="U1768" s="159" t="n"/>
      <c r="X1768" s="203" t="inlineStr"/>
    </row>
    <row r="1769" s="308">
      <c r="A1769" s="8">
        <f>T(项目信息!$B$22)</f>
        <v/>
      </c>
      <c r="Q1769" s="159" t="n"/>
      <c r="R1769" s="159" t="n"/>
      <c r="S1769" s="159" t="n"/>
      <c r="T1769" s="159" t="n"/>
      <c r="U1769" s="159" t="n"/>
    </row>
    <row r="1770" s="308">
      <c r="A1770" s="9">
        <f>T(项目信息!$B$23)</f>
        <v/>
      </c>
      <c r="Q1770" s="159" t="n"/>
      <c r="R1770" s="159" t="n"/>
      <c r="S1770" s="159" t="n"/>
      <c r="T1770" s="159" t="n"/>
      <c r="U1770" s="159" t="n"/>
    </row>
    <row r="1771" s="308">
      <c r="A1771" s="97" t="inlineStr">
        <is>
          <t>成套产品报价明细表</t>
        </is>
      </c>
      <c r="B1771" s="378" t="n"/>
      <c r="C1771" s="378" t="n"/>
      <c r="D1771" s="378" t="n"/>
      <c r="E1771" s="378" t="n"/>
      <c r="F1771" s="378" t="n"/>
      <c r="G1771" s="378" t="n"/>
      <c r="H1771" s="378" t="n"/>
      <c r="I1771" s="378" t="n"/>
      <c r="Q1771" s="159" t="n"/>
      <c r="R1771" s="159" t="n"/>
      <c r="S1771" s="159" t="n"/>
      <c r="T1771" s="159" t="n"/>
      <c r="U1771" s="159" t="n"/>
    </row>
    <row r="1772" customFormat="1" s="4">
      <c r="A1772" s="98" t="inlineStr">
        <is>
          <t>柜号:</t>
        </is>
      </c>
      <c r="B1772" s="99" t="inlineStr">
        <is>
          <t>T3-AU14、T4-BU14</t>
        </is>
      </c>
      <c r="C1772" s="100" t="inlineStr">
        <is>
          <t>型号:</t>
        </is>
      </c>
      <c r="D1772" s="99" t="inlineStr">
        <is>
          <t>BlokSeT</t>
        </is>
      </c>
      <c r="E1772" s="379" t="n"/>
      <c r="F1772" s="101" t="inlineStr">
        <is>
          <t>名称:</t>
        </is>
      </c>
      <c r="G1772" s="99" t="inlineStr">
        <is>
          <t>馈线柜</t>
        </is>
      </c>
      <c r="H1772" s="379" t="n"/>
      <c r="I1772" s="408" t="inlineStr"/>
      <c r="J1772" s="194" t="inlineStr">
        <is>
          <t>箱柜尺寸:</t>
        </is>
      </c>
      <c r="K1772" s="195" t="inlineStr">
        <is>
          <t>600W*1200D*2200H</t>
        </is>
      </c>
      <c r="L1772" s="194" t="inlineStr">
        <is>
          <t>类别:</t>
        </is>
      </c>
      <c r="M1772" s="195" t="inlineStr">
        <is>
          <t>低压固定柜</t>
        </is>
      </c>
      <c r="N1772" s="409" t="inlineStr"/>
      <c r="Q1772" s="159" t="n"/>
      <c r="R1772" s="159" t="n"/>
      <c r="S1772" s="159" t="n"/>
      <c r="T1772" s="159" t="n"/>
      <c r="U1772" s="159" t="n"/>
    </row>
    <row r="1773" ht="20.1" customHeight="1" s="308">
      <c r="A1773" s="102" t="inlineStr">
        <is>
          <t>序号</t>
        </is>
      </c>
      <c r="B1773" s="103" t="inlineStr">
        <is>
          <t>元件名称</t>
        </is>
      </c>
      <c r="C1773" s="103" t="inlineStr">
        <is>
          <t>型号规格</t>
        </is>
      </c>
      <c r="D1773" s="104" t="inlineStr">
        <is>
          <t>生产厂家</t>
        </is>
      </c>
      <c r="E1773" s="105" t="inlineStr">
        <is>
          <t>单位</t>
        </is>
      </c>
      <c r="F1773" s="105" t="inlineStr">
        <is>
          <t>数量</t>
        </is>
      </c>
      <c r="G1773" s="382" t="inlineStr">
        <is>
          <t>单   价</t>
        </is>
      </c>
      <c r="H1773" s="383" t="inlineStr">
        <is>
          <t>总   价</t>
        </is>
      </c>
      <c r="I1773" s="134" t="inlineStr">
        <is>
          <t>备注</t>
        </is>
      </c>
      <c r="J1773" s="384" t="inlineStr">
        <is>
          <t>成本单价</t>
        </is>
      </c>
      <c r="K1773" s="384" t="inlineStr">
        <is>
          <t>成本总价</t>
        </is>
      </c>
      <c r="L1773" s="136" t="inlineStr">
        <is>
          <t>报出
系数</t>
        </is>
      </c>
      <c r="M1773" s="384" t="inlineStr">
        <is>
          <t>表价</t>
        </is>
      </c>
      <c r="N1773" s="136" t="inlineStr">
        <is>
          <t>折扣
系数</t>
        </is>
      </c>
      <c r="O1773" s="137" t="inlineStr">
        <is>
          <t>取费
系数</t>
        </is>
      </c>
      <c r="P1773" s="384" t="inlineStr">
        <is>
          <t>成套费</t>
        </is>
      </c>
      <c r="Q1773" s="161" t="inlineStr">
        <is>
          <t>类别</t>
        </is>
      </c>
      <c r="R1773" s="161" t="inlineStr">
        <is>
          <t>物料编码</t>
        </is>
      </c>
      <c r="S1773" s="161" t="inlineStr">
        <is>
          <t>产地</t>
        </is>
      </c>
      <c r="T1773" s="161" t="inlineStr">
        <is>
          <t>加工费</t>
        </is>
      </c>
      <c r="U1773" s="161" t="inlineStr">
        <is>
          <t>订货号</t>
        </is>
      </c>
      <c r="V1773" s="161" t="inlineStr">
        <is>
          <t>人工</t>
        </is>
      </c>
      <c r="W1773" s="161" t="inlineStr">
        <is>
          <t>辅料</t>
        </is>
      </c>
      <c r="X1773" s="203" t="inlineStr"/>
    </row>
    <row r="1774" s="308">
      <c r="A1774" s="64">
        <f>ROW()-ROW(A$1773)</f>
        <v/>
      </c>
      <c r="B1774" s="22" t="inlineStr">
        <is>
          <t>塑壳断路器</t>
        </is>
      </c>
      <c r="C1774" s="22" t="inlineStr">
        <is>
          <t>NSX400H Mic2.3 400A 3P3D P</t>
        </is>
      </c>
      <c r="D1774" s="22" t="inlineStr">
        <is>
          <t>甲供/施耐德电气</t>
        </is>
      </c>
      <c r="E1774" s="23" t="inlineStr">
        <is>
          <t>只</t>
        </is>
      </c>
      <c r="F1774" s="23" t="n">
        <v>6</v>
      </c>
      <c r="G1774" s="349">
        <f>IF(AND(B1774="",C1774=""),"",ROUND(M1774*L1774*N1774,2))</f>
        <v/>
      </c>
      <c r="H1774" s="349">
        <f>IF(AND(B1774="",C1774=""),"",ROUND(F1774*G1774,2))</f>
        <v/>
      </c>
      <c r="I1774" s="45" t="inlineStr"/>
      <c r="J1774" s="397">
        <f>IF(AND(B1774="",C1774=""),"",ROUND(M1774*N1774,2))</f>
        <v/>
      </c>
      <c r="K1774" s="398">
        <f>IF(AND(B1774="",C1774=""),"",ROUND(J1774*F1774,2))</f>
        <v/>
      </c>
      <c r="L1774" s="200" t="n">
        <v>1</v>
      </c>
      <c r="M1774" s="399" t="n">
        <v>1e-07</v>
      </c>
      <c r="N1774" s="154" t="n">
        <v>1</v>
      </c>
      <c r="O1774" s="155">
        <f>IF(AND(B1774="",C1774=""),"",IF(G1774&gt;=20000,0.05,IF(G1774&gt;=10000,0.1,IF(G1774&gt;=5000,0.2,IF(G1774&gt;=1000,0.3,IF(G1774&gt;=0,0.4,{0}))))))</f>
        <v/>
      </c>
      <c r="P1774" s="400">
        <f>IF(AND(B1774="",C1774=""),"",ROUND(H1774*O1774,2))</f>
        <v/>
      </c>
      <c r="Q1774" s="401" t="inlineStr">
        <is>
          <t>元件</t>
        </is>
      </c>
      <c r="R1774" s="168" t="inlineStr"/>
      <c r="S1774" s="168" t="inlineStr"/>
      <c r="T1774" s="168" t="inlineStr">
        <is>
          <t>0</t>
        </is>
      </c>
      <c r="U1774" s="168" t="inlineStr"/>
      <c r="V1774" s="402" t="n"/>
      <c r="W1774" s="402" t="n"/>
      <c r="X1774" s="170" t="inlineStr"/>
    </row>
    <row r="1775" s="308">
      <c r="A1775" s="64">
        <f>ROW()-ROW(A$1773)</f>
        <v/>
      </c>
      <c r="B1775" s="22" t="inlineStr">
        <is>
          <t>电流互感器</t>
        </is>
      </c>
      <c r="C1775" s="22" t="inlineStr">
        <is>
          <t>SD-0.66-40II-C 400/5A</t>
        </is>
      </c>
      <c r="D1775" s="22" t="inlineStr">
        <is>
          <t>桑迪</t>
        </is>
      </c>
      <c r="E1775" s="23" t="inlineStr">
        <is>
          <t>只</t>
        </is>
      </c>
      <c r="F1775" s="23" t="n">
        <v>18</v>
      </c>
      <c r="G1775" s="349">
        <f>IF(AND(B1775="",C1775=""),"",ROUND(M1775*L1775*N1775,2))</f>
        <v/>
      </c>
      <c r="H1775" s="396">
        <f>IF(AND(B1775="",C1775=""),"",ROUND(F1775*G1775,2))</f>
        <v/>
      </c>
      <c r="I1775" s="219" t="inlineStr"/>
      <c r="J1775" s="397">
        <f>IF(AND(B1775="",C1775=""),"",ROUND(M1775*N1775,2))</f>
        <v/>
      </c>
      <c r="K1775" s="398">
        <f>IF(AND(B1775="",C1775=""),"",ROUND(J1775*F1775,2))</f>
        <v/>
      </c>
      <c r="L1775" s="200" t="n">
        <v>1</v>
      </c>
      <c r="M1775" s="399" t="n">
        <v>52</v>
      </c>
      <c r="N1775" s="154" t="n">
        <v>1</v>
      </c>
      <c r="O1775" s="155">
        <f>IF(AND(B1775="",C1775=""),"",IF(G1775&gt;=20000,0.05,IF(G1775&gt;=10000,0.1,IF(G1775&gt;=5000,0.2,IF(G1775&gt;=1000,0.3,IF(G1775&gt;=0,0.4,{0}))))))</f>
        <v/>
      </c>
      <c r="P1775" s="400">
        <f>IF(AND(B1775="",C1775=""),"",ROUND(H1775*O1775,2))</f>
        <v/>
      </c>
      <c r="Q1775" s="401" t="inlineStr">
        <is>
          <t>元件</t>
        </is>
      </c>
      <c r="R1775" s="168" t="inlineStr"/>
      <c r="S1775" s="168" t="inlineStr"/>
      <c r="T1775" s="168" t="inlineStr">
        <is>
          <t>0</t>
        </is>
      </c>
      <c r="U1775" s="168" t="inlineStr">
        <is>
          <t>710140200000049</t>
        </is>
      </c>
      <c r="V1775" s="402" t="n"/>
      <c r="W1775" s="402" t="n"/>
      <c r="X1775" s="170" t="inlineStr">
        <is>
          <t>SD→SD-0.66-40II-C 400/5A→SD-0.66-30I 250/5A→SD-0.66-30I 150/5A→SD-0.66-60II-C 750/5A→SD-0.66-60II-C 600/5A→SD-0.66-30I 150/5A→SD-0.66-40II-C 400/5A→SD-0.66-100II-C 1600/5A→SD-0.66-80II-V 1000/5A</t>
        </is>
      </c>
    </row>
    <row r="1776" s="308">
      <c r="A1776" s="64">
        <f>ROW()-ROW(A$1773)</f>
        <v/>
      </c>
      <c r="B1776" s="112" t="inlineStr">
        <is>
          <t>多功能表</t>
        </is>
      </c>
      <c r="C1776" s="112" t="inlineStr">
        <is>
          <t>PM4101</t>
        </is>
      </c>
      <c r="D1776" s="112" t="inlineStr">
        <is>
          <t>甲供/施耐德电气</t>
        </is>
      </c>
      <c r="E1776" s="114" t="inlineStr">
        <is>
          <t>只</t>
        </is>
      </c>
      <c r="F1776" s="114" t="n">
        <v>6</v>
      </c>
      <c r="G1776" s="396">
        <f>IF(AND(B1776="",C1776=""),"",ROUND(M1776*L1776*N1776,2))</f>
        <v/>
      </c>
      <c r="H1776" s="349">
        <f>IF(AND(B1776="",C1776=""),"",ROUND(F1776*G1776,2))</f>
        <v/>
      </c>
      <c r="I1776" s="45" t="inlineStr"/>
      <c r="J1776" s="397">
        <f>IF(AND(B1776="",C1776=""),"",ROUND(M1776*N1776,2))</f>
        <v/>
      </c>
      <c r="K1776" s="398">
        <f>IF(AND(B1776="",C1776=""),"",ROUND(J1776*F1776,2))</f>
        <v/>
      </c>
      <c r="L1776" s="200" t="n">
        <v>1</v>
      </c>
      <c r="M1776" s="399" t="n">
        <v>1e-07</v>
      </c>
      <c r="N1776" s="154" t="n">
        <v>1</v>
      </c>
      <c r="O1776" s="155">
        <f>IF(AND(B1776="",C1776=""),"",IF(J1776&gt;=20000,0.05,IF(J1776&gt;=10000,0.1,IF(J1776&gt;=5000,0.2,IF(J1776&gt;=1000,0.3,IF(J1776&gt;=0,0.4,{0}))))))</f>
        <v/>
      </c>
      <c r="P1776" s="400">
        <f>IF(AND(B1776="",C1776=""),"",ROUND(H1776*O1776,2))</f>
        <v/>
      </c>
      <c r="Q1776" s="401" t="inlineStr">
        <is>
          <t>元件</t>
        </is>
      </c>
      <c r="R1776" s="168" t="inlineStr"/>
      <c r="S1776" s="168" t="inlineStr"/>
      <c r="T1776" s="168" t="inlineStr">
        <is>
          <t>0</t>
        </is>
      </c>
      <c r="U1776" s="168" t="inlineStr"/>
      <c r="V1776" s="402" t="n"/>
      <c r="W1776" s="402" t="n"/>
      <c r="X1776" s="170" t="inlineStr"/>
    </row>
    <row r="1777" customFormat="1" s="3">
      <c r="A1777" s="64">
        <f>ROW()-ROW(A$1773)</f>
        <v/>
      </c>
      <c r="B1777" s="22" t="inlineStr">
        <is>
          <t>指示灯</t>
        </is>
      </c>
      <c r="C1777" s="22" t="inlineStr">
        <is>
          <t>XB2BVM3LC</t>
        </is>
      </c>
      <c r="D1777" s="22" t="inlineStr">
        <is>
          <t>甲供/施耐德电气</t>
        </is>
      </c>
      <c r="E1777" s="23" t="inlineStr">
        <is>
          <t>只</t>
        </is>
      </c>
      <c r="F1777" s="23" t="n">
        <v>6</v>
      </c>
      <c r="G1777" s="349">
        <f>IF(AND(B1777="",C1777=""),"",ROUND(M1777*L1777*N1777,2))</f>
        <v/>
      </c>
      <c r="H1777" s="353">
        <f>IF(AND(B1777="",C1777=""),"",ROUND(F1777*G1777,2))</f>
        <v/>
      </c>
      <c r="I1777" s="180" t="inlineStr"/>
      <c r="J1777" s="392">
        <f>IF(AND(B1777="",C1777=""),"",ROUND(M1777*N1777,2))</f>
        <v/>
      </c>
      <c r="K1777" s="393">
        <f>IF(AND(B1777="",C1777=""),"",ROUND(J1777*F1777,2))</f>
        <v/>
      </c>
      <c r="L1777" s="141" t="n">
        <v>1</v>
      </c>
      <c r="M1777" s="394" t="n">
        <v>1e-07</v>
      </c>
      <c r="N1777" s="220" t="n">
        <v>1</v>
      </c>
      <c r="O1777" s="221">
        <f>IF(AND(B1777="",C1777=""),"",IF(G1777&gt;=20000,0.05,IF(G1777&gt;=10000,0.1,IF(G1777&gt;=5000,0.2,IF(G1777&gt;=1000,0.3,IF(G1777&gt;=0,0.4,{0}))))))</f>
        <v/>
      </c>
      <c r="P1777" s="419">
        <f>IF(AND(B1777="",C1777=""),"",ROUND(H1777*O1777,2))</f>
        <v/>
      </c>
      <c r="Q1777" s="420" t="inlineStr">
        <is>
          <t>元件</t>
        </is>
      </c>
      <c r="R1777" s="231" t="inlineStr"/>
      <c r="S1777" s="231" t="inlineStr"/>
      <c r="T1777" s="231" t="inlineStr">
        <is>
          <t>0</t>
        </is>
      </c>
      <c r="U1777" s="231" t="inlineStr">
        <is>
          <t>XB2BVM3LC</t>
        </is>
      </c>
      <c r="V1777" s="421" t="n"/>
      <c r="W1777" s="421" t="n"/>
      <c r="X1777" s="166" t="inlineStr">
        <is>
          <t>XA2EVM3LC</t>
        </is>
      </c>
    </row>
    <row r="1778" customFormat="1" s="3">
      <c r="A1778" s="64">
        <f>ROW()-ROW(A$1773)</f>
        <v/>
      </c>
      <c r="B1778" s="22" t="inlineStr">
        <is>
          <t>指示灯</t>
        </is>
      </c>
      <c r="C1778" s="22" t="inlineStr">
        <is>
          <t>XB2BVM4LC</t>
        </is>
      </c>
      <c r="D1778" s="22" t="inlineStr">
        <is>
          <t>甲供/施耐德电气</t>
        </is>
      </c>
      <c r="E1778" s="23" t="inlineStr">
        <is>
          <t>只</t>
        </is>
      </c>
      <c r="F1778" s="23" t="n">
        <v>6</v>
      </c>
      <c r="G1778" s="349">
        <f>IF(AND(B1778="",C1778=""),"",ROUND(M1778*L1778*N1778,2))</f>
        <v/>
      </c>
      <c r="H1778" s="353">
        <f>IF(AND(B1778="",C1778=""),"",ROUND(F1778*G1778,2))</f>
        <v/>
      </c>
      <c r="I1778" s="180" t="inlineStr"/>
      <c r="J1778" s="392">
        <f>IF(AND(B1778="",C1778=""),"",ROUND(M1778*N1778,2))</f>
        <v/>
      </c>
      <c r="K1778" s="393">
        <f>IF(AND(B1778="",C1778=""),"",ROUND(J1778*F1778,2))</f>
        <v/>
      </c>
      <c r="L1778" s="141" t="n">
        <v>1</v>
      </c>
      <c r="M1778" s="394" t="n">
        <v>1e-07</v>
      </c>
      <c r="N1778" s="220" t="n">
        <v>1</v>
      </c>
      <c r="O1778" s="221">
        <f>IF(AND(B1778="",C1778=""),"",IF(G1778&gt;=20000,0.05,IF(G1778&gt;=10000,0.1,IF(G1778&gt;=5000,0.2,IF(G1778&gt;=1000,0.3,IF(G1778&gt;=0,0.4,{0}))))))</f>
        <v/>
      </c>
      <c r="P1778" s="419">
        <f>IF(AND(B1778="",C1778=""),"",ROUND(H1778*O1778,2))</f>
        <v/>
      </c>
      <c r="Q1778" s="420" t="inlineStr">
        <is>
          <t>元件</t>
        </is>
      </c>
      <c r="R1778" s="231" t="inlineStr"/>
      <c r="S1778" s="231" t="inlineStr"/>
      <c r="T1778" s="231" t="inlineStr">
        <is>
          <t>0</t>
        </is>
      </c>
      <c r="U1778" s="231" t="inlineStr">
        <is>
          <t>XB2BVM4LC</t>
        </is>
      </c>
      <c r="V1778" s="421" t="n"/>
      <c r="W1778" s="421" t="n"/>
      <c r="X1778" s="166" t="inlineStr">
        <is>
          <t>XA2EVM4LC</t>
        </is>
      </c>
    </row>
    <row r="1779" s="308">
      <c r="A1779" s="64">
        <f>ROW()-ROW(A$1773)</f>
        <v/>
      </c>
      <c r="B1779" s="112" t="inlineStr">
        <is>
          <t>温湿度控制器</t>
        </is>
      </c>
      <c r="C1779" s="112" t="inlineStr">
        <is>
          <t>ATH48G-11</t>
        </is>
      </c>
      <c r="D1779" s="22" t="inlineStr">
        <is>
          <t>杭州安廷</t>
        </is>
      </c>
      <c r="E1779" s="23" t="inlineStr">
        <is>
          <t>套</t>
        </is>
      </c>
      <c r="F1779" s="23" t="n">
        <v>1</v>
      </c>
      <c r="G1779" s="349">
        <f>IF(AND(B1779="",C1779=""),"",ROUND(M1779*L1779*N1779,2))</f>
        <v/>
      </c>
      <c r="H1779" s="396">
        <f>IF(AND(B1779="",C1779=""),"",ROUND(F1779*G1779,2))</f>
        <v/>
      </c>
      <c r="I1779" s="150" t="inlineStr"/>
      <c r="J1779" s="397">
        <f>IF(AND(B1779="",C1779=""),"",ROUND(M1779*N1779,2))</f>
        <v/>
      </c>
      <c r="K1779" s="398">
        <f>IF(AND(B1779="",C1779=""),"",ROUND(J1779*F1779,2))</f>
        <v/>
      </c>
      <c r="L1779" s="141" t="n">
        <v>1</v>
      </c>
      <c r="M1779" s="399" t="n">
        <v>450</v>
      </c>
      <c r="N1779" s="154" t="n">
        <v>1</v>
      </c>
      <c r="O1779" s="155">
        <f>IF(AND(B1779="",C1779=""),"",IF(G1779&gt;=20000,0.05,IF(G1779&gt;=10000,0.1,IF(G1779&gt;=5000,0.2,IF(G1779&gt;=1000,0.3,IF(G1779&gt;=0,0.4,{0}))))))</f>
        <v/>
      </c>
      <c r="P1779" s="400">
        <f>IF(AND(B1779="",C1779=""),"",ROUND(H1779*O1779,2))</f>
        <v/>
      </c>
      <c r="Q1779" s="401" t="inlineStr">
        <is>
          <t>元件</t>
        </is>
      </c>
      <c r="R1779" s="168" t="inlineStr"/>
      <c r="S1779" s="168" t="inlineStr"/>
      <c r="T1779" s="168" t="inlineStr">
        <is>
          <t>0</t>
        </is>
      </c>
      <c r="U1779" s="168" t="inlineStr"/>
      <c r="V1779" s="402" t="n"/>
      <c r="W1779" s="402" t="n"/>
      <c r="X1779" s="170" t="inlineStr"/>
    </row>
    <row r="1780" s="308">
      <c r="A1780" s="64">
        <f>ROW()-ROW(A$1773)</f>
        <v/>
      </c>
      <c r="B1780" s="22" t="inlineStr">
        <is>
          <t>中间继电器</t>
        </is>
      </c>
      <c r="C1780" s="22" t="inlineStr">
        <is>
          <t>RXM4AB2P7+RXZE2S114M+RXZ400</t>
        </is>
      </c>
      <c r="D1780" s="22" t="inlineStr">
        <is>
          <t>甲供/施耐德电气</t>
        </is>
      </c>
      <c r="E1780" s="23" t="inlineStr">
        <is>
          <t>只</t>
        </is>
      </c>
      <c r="F1780" s="23" t="n">
        <v>12</v>
      </c>
      <c r="G1780" s="349">
        <f>IF(AND(B1780="",C1780=""),"",ROUND(M1780*L1780*N1780,2))</f>
        <v/>
      </c>
      <c r="H1780" s="349">
        <f>IF(AND(B1780="",C1780=""),"",ROUND(F1780*G1780,2))</f>
        <v/>
      </c>
      <c r="I1780" s="45" t="inlineStr"/>
      <c r="J1780" s="397">
        <f>IF(AND(B1780="",C1780=""),"",ROUND(M1780*N1780,2))</f>
        <v/>
      </c>
      <c r="K1780" s="398">
        <f>IF(AND(B1780="",C1780=""),"",ROUND(J1780*F1780,2))</f>
        <v/>
      </c>
      <c r="L1780" s="141" t="n">
        <v>1</v>
      </c>
      <c r="M1780" s="399" t="n">
        <v>1e-07</v>
      </c>
      <c r="N1780" s="154" t="n">
        <v>1</v>
      </c>
      <c r="O1780" s="155">
        <f>IF(AND(B1780="",C1780=""),"",IF(G1780&gt;=20000,0.05,IF(G1780&gt;=10000,0.1,IF(G1780&gt;=5000,0.2,IF(G1780&gt;=1000,0.3,IF(G1780&gt;=0,0.4,{0}))))))</f>
        <v/>
      </c>
      <c r="P1780" s="400">
        <f>IF(AND(B1780="",C1780=""),"",ROUND(H1780*O1780,2))</f>
        <v/>
      </c>
      <c r="Q1780" s="401" t="inlineStr">
        <is>
          <t>元件</t>
        </is>
      </c>
      <c r="R1780" s="168" t="inlineStr"/>
      <c r="S1780" s="168" t="inlineStr"/>
      <c r="T1780" s="168" t="inlineStr">
        <is>
          <t>0</t>
        </is>
      </c>
      <c r="U1780" s="168" t="inlineStr">
        <is>
          <t>RXM4AB2P7+RXZE2S114M+RXZ400</t>
        </is>
      </c>
      <c r="V1780" s="402" t="n"/>
      <c r="W1780" s="402" t="n"/>
      <c r="X1780" s="170" t="inlineStr">
        <is>
          <t>REL-IR-BL/L-230AC/4X21，含底座→RXM4AB2P7+RXZE2S114M+RXZ400→REL-IR-BL/L-230AC/4X21，含底座</t>
        </is>
      </c>
    </row>
    <row r="1781" customFormat="1" s="3">
      <c r="A1781" s="64">
        <f>ROW()-ROW(A$1773)</f>
        <v/>
      </c>
      <c r="B1781" s="22" t="inlineStr">
        <is>
          <t>带熔丝端子</t>
        </is>
      </c>
      <c r="C1781" s="22" t="inlineStr">
        <is>
          <t>UK 5-HESI</t>
        </is>
      </c>
      <c r="D1781" s="22" t="inlineStr">
        <is>
          <t>菲尼克斯</t>
        </is>
      </c>
      <c r="E1781" s="23" t="inlineStr">
        <is>
          <t>只</t>
        </is>
      </c>
      <c r="F1781" s="23" t="n">
        <v>24</v>
      </c>
      <c r="G1781" s="349">
        <f>IF(AND(B1781="",C1781=""),"",ROUND(M1781*L1781*N1781,2))</f>
        <v/>
      </c>
      <c r="H1781" s="349">
        <f>IF(AND(B1781="",C1781=""),"",ROUND(F1781*G1781,2))</f>
        <v/>
      </c>
      <c r="I1781" s="45" t="inlineStr"/>
      <c r="J1781" s="392">
        <f>IF(AND(B1781="",C1781=""),"",ROUND(M1781*N1781,2))</f>
        <v/>
      </c>
      <c r="K1781" s="393">
        <f>IF(AND(B1781="",C1781=""),"",ROUND(J1781*F1781,2))</f>
        <v/>
      </c>
      <c r="L1781" s="141" t="n">
        <v>1</v>
      </c>
      <c r="M1781" s="394" t="n">
        <v>7</v>
      </c>
      <c r="N1781" s="220" t="n">
        <v>1</v>
      </c>
      <c r="O1781" s="221">
        <f>IF(AND(B1781="",C1781=""),"",IF(G1781&gt;=20000,0.05,IF(G1781&gt;=10000,0.1,IF(G1781&gt;=5000,0.2,IF(G1781&gt;=1000,0.3,IF(G1781&gt;=0,0.4,{0}))))))</f>
        <v/>
      </c>
      <c r="P1781" s="419">
        <f>IF(AND(B1781="",C1781=""),"",ROUND(H1781*O1781,2))</f>
        <v/>
      </c>
      <c r="Q1781" s="420" t="inlineStr">
        <is>
          <t>元件</t>
        </is>
      </c>
      <c r="R1781" s="231" t="inlineStr"/>
      <c r="S1781" s="231" t="inlineStr"/>
      <c r="T1781" s="231" t="inlineStr">
        <is>
          <t>0</t>
        </is>
      </c>
      <c r="U1781" s="231" t="inlineStr">
        <is>
          <t>True</t>
        </is>
      </c>
      <c r="V1781" s="421" t="n"/>
      <c r="W1781" s="421" t="n"/>
      <c r="X1781" s="166" t="inlineStr"/>
    </row>
    <row r="1782" s="308">
      <c r="A1782" s="64">
        <f>ROW()-ROW(A$1773)</f>
        <v/>
      </c>
      <c r="B1782" s="22" t="inlineStr">
        <is>
          <t>水平母排</t>
        </is>
      </c>
      <c r="C1782" s="22" t="inlineStr">
        <is>
          <t>TMY 4*(3*125*5)+2*50*5</t>
        </is>
      </c>
      <c r="D1782" s="22" t="inlineStr">
        <is>
          <t>国产优质</t>
        </is>
      </c>
      <c r="E1782" s="23" t="inlineStr">
        <is>
          <t>米</t>
        </is>
      </c>
      <c r="F1782" s="23" t="n">
        <v>0.7</v>
      </c>
      <c r="G1782" s="349">
        <f>IF(AND(B1782="",C1782=""),"",ROUND(M1782*L1782*N1782,2))</f>
        <v/>
      </c>
      <c r="H1782" s="349">
        <f>IF(AND(B1782="",C1782=""),"",ROUND(F1782*G1782,2))</f>
        <v/>
      </c>
      <c r="I1782" s="45" t="inlineStr"/>
      <c r="J1782" s="397">
        <f>IF(AND(B1782="",C1782=""),"",ROUND(M1782*N1782,2))</f>
        <v/>
      </c>
      <c r="K1782" s="398">
        <f>IF(AND(B1782="",C1782=""),"",ROUND(J1782*F1782,2))</f>
        <v/>
      </c>
      <c r="L1782" s="200" t="n">
        <v>1</v>
      </c>
      <c r="M1782" s="399" t="n">
        <v>7697.076</v>
      </c>
      <c r="N1782" s="154">
        <f>(6317.932*1*1+2684.8*1*1)/9002.732</f>
        <v/>
      </c>
      <c r="O1782" s="155">
        <f>IF(AND(B1782="",C1782=""),"",IF(J1782&gt;=20000,0.05,IF(J1782&gt;=10000,0.1,IF(J1782&gt;=5000,0.2,IF(J1782&gt;=1000,0.3,IF(J1782&gt;=0,0.4,{0}))))))</f>
        <v/>
      </c>
      <c r="P1782" s="400">
        <f>IF(AND(B1782="",C1782=""),"",ROUND(H1782*O1782,2))</f>
        <v/>
      </c>
      <c r="Q1782" s="401" t="inlineStr">
        <is>
          <t>母排</t>
        </is>
      </c>
      <c r="R1782" s="168" t="inlineStr"/>
      <c r="S1782" s="168" t="inlineStr"/>
      <c r="T1782" s="168" t="inlineStr">
        <is>
          <t>0</t>
        </is>
      </c>
      <c r="U1782" s="168" t="inlineStr"/>
      <c r="V1782" s="402" t="n"/>
      <c r="W1782" s="402" t="n"/>
      <c r="X1782" s="170" t="inlineStr"/>
    </row>
    <row r="1783" customFormat="1" s="5">
      <c r="A1783" s="64">
        <f>ROW()-ROW(A$1773)</f>
        <v/>
      </c>
      <c r="B1783" s="22" t="inlineStr">
        <is>
          <t>垂直排</t>
        </is>
      </c>
      <c r="C1783" s="22" t="inlineStr">
        <is>
          <t>TMY 3*2*80*5</t>
        </is>
      </c>
      <c r="D1783" s="22" t="inlineStr">
        <is>
          <t>国产优质</t>
        </is>
      </c>
      <c r="E1783" s="23" t="inlineStr">
        <is>
          <t>米</t>
        </is>
      </c>
      <c r="F1783" s="23" t="n">
        <v>2</v>
      </c>
      <c r="G1783" s="349">
        <f>IF(AND(B1783="",C1783=""),"",ROUND(M1783*L1783*N1783,2))</f>
        <v/>
      </c>
      <c r="H1783" s="349">
        <f>IF(AND(B1783="",C1783=""),"",ROUND(F1783*G1783,2))</f>
        <v/>
      </c>
      <c r="I1783" s="45" t="inlineStr"/>
      <c r="J1783" s="422">
        <f>IF(AND(B1783="",C1783=""),"",ROUND(M1783*N1783,2))</f>
        <v/>
      </c>
      <c r="K1783" s="423">
        <f>IF(AND(B1783="",C1783=""),"",ROUND(J1783*F1783,2))</f>
        <v/>
      </c>
      <c r="L1783" s="225" t="n">
        <v>1</v>
      </c>
      <c r="M1783" s="424" t="n">
        <v>2309.1228</v>
      </c>
      <c r="N1783" s="227" t="n">
        <v>1</v>
      </c>
      <c r="O1783" s="228">
        <f>IF(AND(B1783="",C1783=""),"",IF(G1783&gt;=20000,0.05,IF(G1783&gt;=10000,0.1,IF(G1783&gt;=5000,0.2,IF(G1783&gt;=1000,0.3,IF(G1783&gt;=0,0.4,{0}))))))</f>
        <v/>
      </c>
      <c r="P1783" s="425">
        <f>IF(AND(B1783="",C1783=""),"",ROUND(H1783*O1783,2))</f>
        <v/>
      </c>
      <c r="Q1783" s="426" t="inlineStr">
        <is>
          <t>母排</t>
        </is>
      </c>
      <c r="R1783" s="234" t="inlineStr"/>
      <c r="S1783" s="234" t="inlineStr"/>
      <c r="T1783" s="235" t="inlineStr">
        <is>
          <t>0</t>
        </is>
      </c>
      <c r="U1783" s="235" t="inlineStr"/>
      <c r="V1783" s="427" t="n"/>
      <c r="W1783" s="427" t="n"/>
      <c r="X1783" s="237" t="inlineStr">
        <is>
          <t>TMY 2*30*5→TMY 30*8</t>
        </is>
      </c>
    </row>
    <row r="1784" customFormat="1" s="5">
      <c r="A1784" s="64">
        <f>ROW()-ROW(A$1773)</f>
        <v/>
      </c>
      <c r="B1784" s="22" t="inlineStr">
        <is>
          <t>N排</t>
        </is>
      </c>
      <c r="C1784" s="22" t="inlineStr">
        <is>
          <t>TMY 80*10</t>
        </is>
      </c>
      <c r="D1784" s="22" t="inlineStr">
        <is>
          <t>国产优质</t>
        </is>
      </c>
      <c r="E1784" s="23" t="inlineStr">
        <is>
          <t>米</t>
        </is>
      </c>
      <c r="F1784" s="23" t="n">
        <v>3</v>
      </c>
      <c r="G1784" s="349">
        <f>IF(AND(B1784="",C1784=""),"",ROUND(M1784*L1784*N1784,2))</f>
        <v/>
      </c>
      <c r="H1784" s="349">
        <f>IF(AND(B1784="",C1784=""),"",ROUND(F1784*G1784,2))</f>
        <v/>
      </c>
      <c r="I1784" s="45" t="inlineStr"/>
      <c r="J1784" s="422">
        <f>IF(AND(B1784="",C1784=""),"",ROUND(M1784*N1784,2))</f>
        <v/>
      </c>
      <c r="K1784" s="423">
        <f>IF(AND(B1784="",C1784=""),"",ROUND(J1784*F1784,2))</f>
        <v/>
      </c>
      <c r="L1784" s="225" t="n">
        <v>1</v>
      </c>
      <c r="M1784" s="424" t="n">
        <v>769.7076</v>
      </c>
      <c r="N1784" s="227" t="n">
        <v>1</v>
      </c>
      <c r="O1784" s="228">
        <f>IF(AND(B1784="",C1784=""),"",IF(G1784&gt;=20000,0.05,IF(G1784&gt;=10000,0.1,IF(G1784&gt;=5000,0.2,IF(G1784&gt;=1000,0.3,IF(G1784&gt;=0,0.4,{0}))))))</f>
        <v/>
      </c>
      <c r="P1784" s="425">
        <f>IF(AND(B1784="",C1784=""),"",ROUND(H1784*O1784,2))</f>
        <v/>
      </c>
      <c r="Q1784" s="426" t="inlineStr">
        <is>
          <t>母排</t>
        </is>
      </c>
      <c r="R1784" s="234" t="inlineStr"/>
      <c r="S1784" s="234" t="inlineStr"/>
      <c r="T1784" s="235" t="inlineStr">
        <is>
          <t>0</t>
        </is>
      </c>
      <c r="U1784" s="235" t="inlineStr"/>
      <c r="V1784" s="427" t="n"/>
      <c r="W1784" s="427" t="n"/>
      <c r="X1784" s="237" t="inlineStr">
        <is>
          <t>TMY 2*30*5→TMY 30*8</t>
        </is>
      </c>
    </row>
    <row r="1785" customFormat="1" s="5">
      <c r="A1785" s="64">
        <f>ROW()-ROW(A$1773)</f>
        <v/>
      </c>
      <c r="B1785" s="22" t="inlineStr">
        <is>
          <t>PE排</t>
        </is>
      </c>
      <c r="C1785" s="22" t="inlineStr">
        <is>
          <t>TMY 2*50*5</t>
        </is>
      </c>
      <c r="D1785" s="22" t="inlineStr">
        <is>
          <t>国产优质</t>
        </is>
      </c>
      <c r="E1785" s="23" t="inlineStr">
        <is>
          <t>米</t>
        </is>
      </c>
      <c r="F1785" s="23" t="n">
        <v>2</v>
      </c>
      <c r="G1785" s="349">
        <f>IF(AND(B1785="",C1785=""),"",ROUND(M1785*L1785*N1785,2))</f>
        <v/>
      </c>
      <c r="H1785" s="349">
        <f>IF(AND(B1785="",C1785=""),"",ROUND(F1785*G1785,2))</f>
        <v/>
      </c>
      <c r="I1785" s="45" t="inlineStr"/>
      <c r="J1785" s="422">
        <f>IF(AND(B1785="",C1785=""),"",ROUND(M1785*N1785,2))</f>
        <v/>
      </c>
      <c r="K1785" s="423">
        <f>IF(AND(B1785="",C1785=""),"",ROUND(J1785*F1785,2))</f>
        <v/>
      </c>
      <c r="L1785" s="225" t="n">
        <v>1</v>
      </c>
      <c r="M1785" s="424" t="n">
        <v>481.06725</v>
      </c>
      <c r="N1785" s="227" t="n">
        <v>1</v>
      </c>
      <c r="O1785" s="228">
        <f>IF(AND(B1785="",C1785=""),"",IF(G1785&gt;=20000,0.05,IF(G1785&gt;=10000,0.1,IF(G1785&gt;=5000,0.2,IF(G1785&gt;=1000,0.3,IF(G1785&gt;=0,0.4,{0}))))))</f>
        <v/>
      </c>
      <c r="P1785" s="425">
        <f>IF(AND(B1785="",C1785=""),"",ROUND(H1785*O1785,2))</f>
        <v/>
      </c>
      <c r="Q1785" s="426" t="inlineStr">
        <is>
          <t>母排</t>
        </is>
      </c>
      <c r="R1785" s="234" t="inlineStr"/>
      <c r="S1785" s="234" t="inlineStr"/>
      <c r="T1785" s="235" t="inlineStr">
        <is>
          <t>0</t>
        </is>
      </c>
      <c r="U1785" s="235" t="inlineStr"/>
      <c r="V1785" s="427" t="n"/>
      <c r="W1785" s="427" t="n"/>
      <c r="X1785" s="237" t="inlineStr">
        <is>
          <t>TMY 2*30*5→TMY 30*8</t>
        </is>
      </c>
    </row>
    <row r="1786" customFormat="1" s="5">
      <c r="A1786" s="64">
        <f>ROW()-ROW(A$1773)</f>
        <v/>
      </c>
      <c r="B1786" s="22" t="inlineStr">
        <is>
          <t>400A铜排</t>
        </is>
      </c>
      <c r="C1786" s="22" t="inlineStr">
        <is>
          <t>TMY 30*5</t>
        </is>
      </c>
      <c r="D1786" s="22" t="inlineStr">
        <is>
          <t>国产优质</t>
        </is>
      </c>
      <c r="E1786" s="23" t="inlineStr">
        <is>
          <t>米</t>
        </is>
      </c>
      <c r="F1786" s="23" t="n">
        <v>19.2</v>
      </c>
      <c r="G1786" s="349">
        <f>IF(AND(B1786="",C1786=""),"",ROUND(M1786*L1786*N1786,2))</f>
        <v/>
      </c>
      <c r="H1786" s="349">
        <f>IF(AND(B1786="",C1786=""),"",ROUND(F1786*G1786,2))</f>
        <v/>
      </c>
      <c r="I1786" s="45" t="inlineStr"/>
      <c r="J1786" s="422">
        <f>IF(AND(B1786="",C1786=""),"",ROUND(M1786*N1786,2))</f>
        <v/>
      </c>
      <c r="K1786" s="423">
        <f>IF(AND(B1786="",C1786=""),"",ROUND(J1786*F1786,2))</f>
        <v/>
      </c>
      <c r="L1786" s="225" t="n">
        <v>1</v>
      </c>
      <c r="M1786" s="424" t="n">
        <v>144.320175</v>
      </c>
      <c r="N1786" s="227" t="n">
        <v>1</v>
      </c>
      <c r="O1786" s="228">
        <f>IF(AND(B1786="",C1786=""),"",IF(G1786&gt;=20000,0.05,IF(G1786&gt;=10000,0.1,IF(G1786&gt;=5000,0.2,IF(G1786&gt;=1000,0.3,IF(G1786&gt;=0,0.4,{0}))))))</f>
        <v/>
      </c>
      <c r="P1786" s="425">
        <f>IF(AND(B1786="",C1786=""),"",ROUND(H1786*O1786,2))</f>
        <v/>
      </c>
      <c r="Q1786" s="426" t="inlineStr">
        <is>
          <t>母排</t>
        </is>
      </c>
      <c r="R1786" s="234" t="inlineStr"/>
      <c r="S1786" s="234" t="inlineStr"/>
      <c r="T1786" s="235" t="inlineStr">
        <is>
          <t>0</t>
        </is>
      </c>
      <c r="U1786" s="235" t="inlineStr"/>
      <c r="V1786" s="427" t="n"/>
      <c r="W1786" s="427" t="n"/>
      <c r="X1786" s="237" t="inlineStr">
        <is>
          <t>TMY 2*30*5→TMY 30*8</t>
        </is>
      </c>
    </row>
    <row r="1787" s="308">
      <c r="A1787" s="64">
        <f>ROW()-ROW(A$1773)</f>
        <v/>
      </c>
      <c r="B1787" s="112" t="inlineStr">
        <is>
          <t>辅料</t>
        </is>
      </c>
      <c r="C1787" s="112" t="inlineStr"/>
      <c r="D1787" s="112" t="inlineStr"/>
      <c r="E1787" s="114" t="inlineStr">
        <is>
          <t>套</t>
        </is>
      </c>
      <c r="F1787" s="114" t="n">
        <v>1</v>
      </c>
      <c r="G1787" s="396">
        <f>IF(AND(B1787="",C1787=""),"",ROUND(M1787*L1787*N1787,2))</f>
        <v/>
      </c>
      <c r="H1787" s="396">
        <f>IF(AND(B1787="",C1787=""),"",ROUND(F1787*G1787,2))</f>
        <v/>
      </c>
      <c r="I1787" s="219" t="inlineStr"/>
      <c r="J1787" s="397">
        <f>IF(AND(B1787="",C1787=""),"",ROUND(M1787*N1787,2))</f>
        <v/>
      </c>
      <c r="K1787" s="398">
        <f>IF(AND(B1787="",C1787=""),"",ROUND(J1787*F1787,2))</f>
        <v/>
      </c>
      <c r="L1787" s="200" t="n">
        <v>1</v>
      </c>
      <c r="M1787" s="399" t="n">
        <v>681.16</v>
      </c>
      <c r="N1787" s="154" t="n">
        <v>1</v>
      </c>
      <c r="O1787" s="155">
        <f>IF(AND(B1787="",C1787=""),"",IF(G1787&gt;=20000,0.05,IF(G1787&gt;=10000,0.1,IF(G1787&gt;=5000,0.2,IF(G1787&gt;=1000,0.3,IF(G1787&gt;=0,0.4,{0}))))))</f>
        <v/>
      </c>
      <c r="P1787" s="400">
        <f>IF(AND(B1787="",C1787=""),"",ROUND(H1787*O1787,2))</f>
        <v/>
      </c>
      <c r="Q1787" s="401" t="inlineStr">
        <is>
          <t>辅料</t>
        </is>
      </c>
      <c r="R1787" s="168" t="inlineStr"/>
      <c r="S1787" s="168" t="inlineStr"/>
      <c r="T1787" s="168" t="inlineStr">
        <is>
          <t>0</t>
        </is>
      </c>
      <c r="U1787" s="168" t="inlineStr"/>
      <c r="V1787" s="402" t="n"/>
      <c r="W1787" s="402" t="n"/>
      <c r="X1787" s="170" t="inlineStr"/>
    </row>
    <row r="1788" s="308">
      <c r="A1788" s="64">
        <f>ROW()-ROW(A$1773)</f>
        <v/>
      </c>
      <c r="B1788" s="112" t="inlineStr">
        <is>
          <t>柜体Blokset</t>
        </is>
      </c>
      <c r="C1788" s="22" t="inlineStr">
        <is>
          <t>600W*1200D*2200H</t>
        </is>
      </c>
      <c r="D1788" s="112" t="inlineStr">
        <is>
          <t>清科</t>
        </is>
      </c>
      <c r="E1788" s="114" t="inlineStr">
        <is>
          <t>台</t>
        </is>
      </c>
      <c r="F1788" s="114" t="n">
        <v>1</v>
      </c>
      <c r="G1788" s="396">
        <f>IF(AND(B1788="",C1788=""),"",ROUND(M1788*L1788*N1788,2))</f>
        <v/>
      </c>
      <c r="H1788" s="396">
        <f>IF(AND(B1788="",C1788=""),"",ROUND(F1788*G1788,2))</f>
        <v/>
      </c>
      <c r="I1788" s="219" t="inlineStr"/>
      <c r="J1788" s="397">
        <f>IF(AND(B1788="",C1788=""),"",ROUND(M1788*N1788,2))</f>
        <v/>
      </c>
      <c r="K1788" s="398">
        <f>IF(AND(B1788="",C1788=""),"",ROUND(J1788*F1788,2))</f>
        <v/>
      </c>
      <c r="L1788" s="200" t="n">
        <v>1</v>
      </c>
      <c r="M1788" s="399" t="n">
        <v>5521</v>
      </c>
      <c r="N1788" s="154" t="n">
        <v>1</v>
      </c>
      <c r="O1788" s="155">
        <f>IF(AND(B1788="",C1788=""),"",IF(G1788&gt;=20000,0.05,IF(G1788&gt;=10000,0.1,IF(G1788&gt;=5000,0.2,IF(G1788&gt;=1000,0.3,IF(G1788&gt;=0,0.4,{0}))))))</f>
        <v/>
      </c>
      <c r="P1788" s="400">
        <f>IF(AND(B1788="",C1788=""),"",ROUND(H1788*O1788,2))</f>
        <v/>
      </c>
      <c r="Q1788" s="401" t="inlineStr">
        <is>
          <t>箱体</t>
        </is>
      </c>
      <c r="R1788" s="168" t="inlineStr"/>
      <c r="S1788" s="168" t="inlineStr"/>
      <c r="T1788" s="168" t="inlineStr">
        <is>
          <t>0</t>
        </is>
      </c>
      <c r="U1788" s="168" t="inlineStr"/>
      <c r="V1788" s="402" t="n"/>
      <c r="W1788" s="402" t="n"/>
      <c r="X1788" s="170" t="inlineStr">
        <is>
          <t>BlokSeT</t>
        </is>
      </c>
    </row>
    <row r="1789" s="308">
      <c r="A1789" s="64">
        <f>ROW()-ROW(A$1773)</f>
        <v/>
      </c>
      <c r="B1789" s="22" t="inlineStr"/>
      <c r="C1789" s="22" t="inlineStr"/>
      <c r="D1789" s="22" t="inlineStr"/>
      <c r="E1789" s="23" t="n"/>
      <c r="F1789" s="23">
        <f>IF(AND(B1789="",C1789=""),"",1)</f>
        <v/>
      </c>
      <c r="G1789" s="349">
        <f>IF(AND(B1789="",C1789=""),"",ROUND(M1789*L1789*N1789,2))</f>
        <v/>
      </c>
      <c r="H1789" s="349">
        <f>IF(AND(B1789="",C1789=""),"",ROUND(F1789*G1789,2))</f>
        <v/>
      </c>
      <c r="I1789" s="45" t="inlineStr"/>
      <c r="J1789" s="397">
        <f>IF(AND(B1789="",C1789=""),"",ROUND(M1789*N1789,2))</f>
        <v/>
      </c>
      <c r="K1789" s="398">
        <f>IF(AND(B1789="",C1789=""),"",ROUND(J1789*F1789,2))</f>
        <v/>
      </c>
      <c r="L1789" s="200">
        <f>IF(AND(B1789="",C1789=""),"",1)</f>
        <v/>
      </c>
      <c r="M1789" s="399" t="n"/>
      <c r="N1789" s="154">
        <f>IF(AND(B1789="",C1789=""),"",1)</f>
        <v/>
      </c>
      <c r="O1789" s="155">
        <f>IF(AND(B1789="",C1789=""),"",IF(J1789&gt;=20000,0.05,IF(J1789&gt;=10000,0.1,IF(J1789&gt;=5000,0.2,IF(J1789&gt;=1000,0.3,IF(J1789&gt;=0,0.4,{0}))))))</f>
        <v/>
      </c>
      <c r="P1789" s="400">
        <f>IF(AND(B1789="",C1789=""),"",ROUND(H1789*O1789,2))</f>
        <v/>
      </c>
      <c r="Q1789" s="401">
        <f>IF(AND(B1789="",C1789=""),"","元件")</f>
        <v/>
      </c>
      <c r="R1789" s="168" t="inlineStr"/>
      <c r="S1789" s="168" t="inlineStr"/>
      <c r="T1789" s="168" t="inlineStr"/>
      <c r="U1789" s="168" t="inlineStr"/>
      <c r="V1789" s="402" t="n"/>
      <c r="W1789" s="402" t="n"/>
      <c r="X1789" s="170" t="inlineStr"/>
    </row>
    <row r="1790" s="308">
      <c r="A1790" s="64">
        <f>ROW()-ROW(A$1773)</f>
        <v/>
      </c>
      <c r="B1790" s="171" t="inlineStr">
        <is>
          <t>小计</t>
        </is>
      </c>
      <c r="C1790" s="172" t="n"/>
      <c r="D1790" s="204" t="n"/>
      <c r="E1790" s="114" t="n"/>
      <c r="F1790" s="114" t="n"/>
      <c r="G1790" s="396" t="n"/>
      <c r="H1790" s="396">
        <f>ROUND(SUM(H1773:INDEX(H:H,ROW()-1)),2)</f>
        <v/>
      </c>
      <c r="I1790" s="45" t="inlineStr"/>
      <c r="J1790" s="397" t="n"/>
      <c r="K1790" s="398">
        <f>ROUND(SUM(K1773:INDEX(K:K,ROW()-1)),2)</f>
        <v/>
      </c>
      <c r="L1790" s="200" t="n"/>
      <c r="M1790" s="399" t="n"/>
      <c r="N1790" s="154" t="n"/>
      <c r="O1790" s="155" t="n"/>
      <c r="P1790" s="400" t="n"/>
      <c r="Q1790" s="401" t="n"/>
      <c r="R1790" s="168" t="inlineStr"/>
      <c r="S1790" s="168" t="inlineStr"/>
      <c r="T1790" s="168" t="inlineStr"/>
      <c r="U1790" s="168" t="inlineStr"/>
      <c r="V1790" s="402">
        <f>ROUND(SUMPRODUCT(F1773:INDEX(F:F,ROW()-1),V1773:INDEX(V:V,ROW()-1)),2)</f>
        <v/>
      </c>
      <c r="W1790" s="402">
        <f>ROUND(SUMPRODUCT(F1773:INDEX(F:F,ROW()-1),W1773:INDEX(W:W,ROW()-1)),2)</f>
        <v/>
      </c>
      <c r="X1790" s="170" t="inlineStr"/>
    </row>
    <row r="1791" s="308">
      <c r="A1791" s="64">
        <f>ROW()-ROW(A$1773)</f>
        <v/>
      </c>
      <c r="B1791" s="171" t="inlineStr">
        <is>
          <t>综合费(人工、管理、税金、利润等)</t>
        </is>
      </c>
      <c r="C1791" s="172" t="n"/>
      <c r="D1791" s="204" t="n"/>
      <c r="E1791" s="114" t="n"/>
      <c r="F1791" s="114" t="n"/>
      <c r="G1791" s="396" t="n"/>
      <c r="H1791" s="396">
        <f>2500</f>
        <v/>
      </c>
      <c r="I1791" s="45" t="inlineStr"/>
      <c r="J1791" s="397" t="n"/>
      <c r="K1791" s="398" t="n"/>
      <c r="L1791" s="200" t="n"/>
      <c r="M1791" s="399" t="n"/>
      <c r="N1791" s="154" t="n"/>
      <c r="O1791" s="155" t="n"/>
      <c r="P1791" s="400" t="n"/>
      <c r="Q1791" s="401" t="inlineStr">
        <is>
          <t>费用</t>
        </is>
      </c>
      <c r="R1791" s="168" t="inlineStr"/>
      <c r="S1791" s="168" t="inlineStr"/>
      <c r="T1791" s="168" t="inlineStr"/>
      <c r="U1791" s="168" t="inlineStr"/>
      <c r="V1791" s="402" t="n"/>
      <c r="W1791" s="402" t="n"/>
      <c r="X1791" s="170" t="inlineStr"/>
    </row>
    <row r="1792" s="308">
      <c r="A1792" s="64">
        <f>ROW()-ROW(A$1773)</f>
        <v/>
      </c>
      <c r="B1792" s="204" t="inlineStr">
        <is>
          <t>单台合计</t>
        </is>
      </c>
      <c r="C1792" s="172" t="n"/>
      <c r="D1792" s="204" t="n"/>
      <c r="E1792" s="114" t="n"/>
      <c r="F1792" s="114" t="n"/>
      <c r="G1792" s="396" t="n"/>
      <c r="H1792" s="396">
        <f>ROUND(SUM(H1790:H1791),2)</f>
        <v/>
      </c>
      <c r="I1792" s="181" t="n"/>
      <c r="J1792" s="397" t="n"/>
      <c r="K1792" s="398">
        <f>ROUND(SUM(K1790:K1791),2)</f>
        <v/>
      </c>
      <c r="L1792" s="209" t="n"/>
      <c r="M1792" s="399" t="n"/>
      <c r="N1792" s="210" t="n"/>
      <c r="O1792" s="211" t="n"/>
      <c r="P1792" s="400" t="n"/>
      <c r="Q1792" s="401" t="n"/>
      <c r="R1792" s="168" t="inlineStr"/>
      <c r="S1792" s="168" t="inlineStr"/>
      <c r="T1792" s="168" t="inlineStr"/>
      <c r="U1792" s="168" t="inlineStr"/>
      <c r="V1792" s="402" t="n"/>
      <c r="W1792" s="402" t="n"/>
      <c r="X1792" s="170" t="inlineStr"/>
    </row>
    <row r="1793" s="308">
      <c r="A1793" s="173" t="inlineStr">
        <is>
          <t>总计</t>
        </is>
      </c>
      <c r="B1793" s="205" t="n"/>
      <c r="C1793" s="175" t="n"/>
      <c r="D1793" s="206" t="n"/>
      <c r="E1793" s="206" t="inlineStr">
        <is>
          <t>台</t>
        </is>
      </c>
      <c r="F1793" s="206" t="n">
        <v>2</v>
      </c>
      <c r="G1793" s="414">
        <f>ROUND(H1792,2)</f>
        <v/>
      </c>
      <c r="H1793" s="414">
        <f>ROUND(F1793*G1793,2)</f>
        <v/>
      </c>
      <c r="I1793" s="185" t="n"/>
      <c r="J1793" s="415" t="n"/>
      <c r="K1793" s="416">
        <f>ROUND(K1792*F1793,2)</f>
        <v/>
      </c>
      <c r="L1793" s="214" t="n"/>
      <c r="M1793" s="417" t="n"/>
      <c r="N1793" s="216" t="n"/>
      <c r="O1793" s="217" t="n"/>
      <c r="P1793" s="418" t="n"/>
      <c r="Q1793" s="401" t="n"/>
      <c r="R1793" s="168" t="inlineStr"/>
      <c r="S1793" s="168" t="inlineStr"/>
      <c r="T1793" s="168" t="inlineStr"/>
      <c r="U1793" s="168" t="inlineStr"/>
      <c r="V1793" s="402" t="n"/>
      <c r="W1793" s="402" t="n"/>
      <c r="X1793" s="170" t="inlineStr"/>
    </row>
    <row r="1794" customFormat="1" s="4">
      <c r="A1794" s="6" t="n"/>
      <c r="B1794" s="195" t="inlineStr"/>
      <c r="C1794" s="195" t="inlineStr"/>
      <c r="D1794" s="195" t="inlineStr"/>
      <c r="Q1794" s="159" t="n"/>
      <c r="R1794" s="159" t="n"/>
      <c r="S1794" s="159" t="n"/>
      <c r="T1794" s="159" t="n"/>
      <c r="U1794" s="159" t="n"/>
      <c r="X1794" s="195" t="inlineStr"/>
    </row>
    <row r="1795" customFormat="1" s="4">
      <c r="A1795" s="6" t="n"/>
      <c r="B1795" s="195" t="inlineStr"/>
      <c r="C1795" s="195" t="inlineStr"/>
      <c r="D1795" s="195" t="inlineStr"/>
      <c r="Q1795" s="159" t="n"/>
      <c r="R1795" s="159" t="n"/>
      <c r="S1795" s="159" t="n"/>
      <c r="T1795" s="159" t="n"/>
      <c r="U1795" s="159" t="n"/>
      <c r="X1795" s="195" t="inlineStr"/>
    </row>
    <row r="1796" s="308">
      <c r="A1796" s="208">
        <f>CONCATENATE("报价人：",项目信息!$B$8)</f>
        <v/>
      </c>
      <c r="B1796" s="208" t="n"/>
      <c r="C1796" s="4" t="n"/>
      <c r="D1796" s="4" t="n"/>
      <c r="E1796" s="4" t="n"/>
      <c r="F1796" s="4" t="n"/>
      <c r="G1796" s="4" t="n"/>
      <c r="H1796" s="178">
        <f>项目信息!$B$9</f>
        <v/>
      </c>
      <c r="Q1796" s="159" t="n"/>
      <c r="R1796" s="159" t="n"/>
      <c r="S1796" s="159" t="n"/>
      <c r="T1796" s="159" t="n"/>
      <c r="U1796" s="159" t="n"/>
      <c r="X1796" s="203" t="inlineStr"/>
    </row>
    <row r="1797" s="308">
      <c r="A1797" s="8">
        <f>T(项目信息!$B$22)</f>
        <v/>
      </c>
      <c r="Q1797" s="159" t="n"/>
      <c r="R1797" s="159" t="n"/>
      <c r="S1797" s="159" t="n"/>
      <c r="T1797" s="159" t="n"/>
      <c r="U1797" s="159" t="n"/>
    </row>
    <row r="1798" s="308">
      <c r="A1798" s="9">
        <f>T(项目信息!$B$23)</f>
        <v/>
      </c>
      <c r="Q1798" s="159" t="n"/>
      <c r="R1798" s="159" t="n"/>
      <c r="S1798" s="159" t="n"/>
      <c r="T1798" s="159" t="n"/>
      <c r="U1798" s="159" t="n"/>
    </row>
    <row r="1799" s="308">
      <c r="A1799" s="97" t="inlineStr">
        <is>
          <t>成套产品报价明细表</t>
        </is>
      </c>
      <c r="B1799" s="378" t="n"/>
      <c r="C1799" s="378" t="n"/>
      <c r="D1799" s="378" t="n"/>
      <c r="E1799" s="378" t="n"/>
      <c r="F1799" s="378" t="n"/>
      <c r="G1799" s="378" t="n"/>
      <c r="H1799" s="378" t="n"/>
      <c r="I1799" s="378" t="n"/>
      <c r="Q1799" s="159" t="n"/>
      <c r="R1799" s="159" t="n"/>
      <c r="S1799" s="159" t="n"/>
      <c r="T1799" s="159" t="n"/>
      <c r="U1799" s="159" t="n"/>
    </row>
    <row r="1800" customFormat="1" s="4">
      <c r="A1800" s="98" t="inlineStr">
        <is>
          <t>柜号:</t>
        </is>
      </c>
      <c r="B1800" s="99" t="inlineStr">
        <is>
          <t>T5-AU11、T6-BU11</t>
        </is>
      </c>
      <c r="C1800" s="100" t="inlineStr">
        <is>
          <t>型号:</t>
        </is>
      </c>
      <c r="D1800" s="99" t="inlineStr">
        <is>
          <t>BlokSeT</t>
        </is>
      </c>
      <c r="E1800" s="379" t="n"/>
      <c r="F1800" s="101" t="inlineStr">
        <is>
          <t>名称:</t>
        </is>
      </c>
      <c r="G1800" s="99" t="inlineStr">
        <is>
          <t>进线柜</t>
        </is>
      </c>
      <c r="H1800" s="379" t="n"/>
      <c r="I1800" s="408" t="inlineStr"/>
      <c r="J1800" s="194" t="inlineStr">
        <is>
          <t>箱柜尺寸:</t>
        </is>
      </c>
      <c r="K1800" s="195" t="inlineStr">
        <is>
          <t>400W*1200D*2200H</t>
        </is>
      </c>
      <c r="L1800" s="194" t="inlineStr">
        <is>
          <t>类别:</t>
        </is>
      </c>
      <c r="M1800" s="195" t="inlineStr">
        <is>
          <t>低压固定柜</t>
        </is>
      </c>
      <c r="N1800" s="409" t="inlineStr"/>
      <c r="Q1800" s="159" t="n"/>
      <c r="R1800" s="159" t="n"/>
      <c r="S1800" s="159" t="n"/>
      <c r="T1800" s="159" t="n"/>
      <c r="U1800" s="159" t="n"/>
    </row>
    <row r="1801" ht="20.1" customHeight="1" s="308">
      <c r="A1801" s="102" t="inlineStr">
        <is>
          <t>序号</t>
        </is>
      </c>
      <c r="B1801" s="103" t="inlineStr">
        <is>
          <t>元件名称</t>
        </is>
      </c>
      <c r="C1801" s="103" t="inlineStr">
        <is>
          <t>型号规格</t>
        </is>
      </c>
      <c r="D1801" s="104" t="inlineStr">
        <is>
          <t>生产厂家</t>
        </is>
      </c>
      <c r="E1801" s="105" t="inlineStr">
        <is>
          <t>单位</t>
        </is>
      </c>
      <c r="F1801" s="105" t="inlineStr">
        <is>
          <t>数量</t>
        </is>
      </c>
      <c r="G1801" s="382" t="inlineStr">
        <is>
          <t>单   价</t>
        </is>
      </c>
      <c r="H1801" s="383" t="inlineStr">
        <is>
          <t>总   价</t>
        </is>
      </c>
      <c r="I1801" s="134" t="inlineStr">
        <is>
          <t>备注</t>
        </is>
      </c>
      <c r="J1801" s="384" t="inlineStr">
        <is>
          <t>成本单价</t>
        </is>
      </c>
      <c r="K1801" s="384" t="inlineStr">
        <is>
          <t>成本总价</t>
        </is>
      </c>
      <c r="L1801" s="136" t="inlineStr">
        <is>
          <t>报出
系数</t>
        </is>
      </c>
      <c r="M1801" s="384" t="inlineStr">
        <is>
          <t>表价</t>
        </is>
      </c>
      <c r="N1801" s="136" t="inlineStr">
        <is>
          <t>折扣
系数</t>
        </is>
      </c>
      <c r="O1801" s="137" t="inlineStr">
        <is>
          <t>取费
系数</t>
        </is>
      </c>
      <c r="P1801" s="384" t="inlineStr">
        <is>
          <t>成套费</t>
        </is>
      </c>
      <c r="Q1801" s="161" t="inlineStr">
        <is>
          <t>类别</t>
        </is>
      </c>
      <c r="R1801" s="161" t="inlineStr">
        <is>
          <t>物料编码</t>
        </is>
      </c>
      <c r="S1801" s="161" t="inlineStr">
        <is>
          <t>产地</t>
        </is>
      </c>
      <c r="T1801" s="161" t="inlineStr">
        <is>
          <t>加工费</t>
        </is>
      </c>
      <c r="U1801" s="161" t="inlineStr">
        <is>
          <t>订货号</t>
        </is>
      </c>
      <c r="V1801" s="161" t="inlineStr">
        <is>
          <t>人工</t>
        </is>
      </c>
      <c r="W1801" s="161" t="inlineStr">
        <is>
          <t>辅料</t>
        </is>
      </c>
      <c r="X1801" s="203" t="inlineStr"/>
    </row>
    <row r="1802" s="308">
      <c r="A1802" s="64">
        <f>ROW()-ROW(A$1801)</f>
        <v/>
      </c>
      <c r="B1802" s="22" t="inlineStr">
        <is>
          <t>框架断路器</t>
        </is>
      </c>
      <c r="C1802" s="22" t="inlineStr">
        <is>
          <t>MT12 N1a SG 3P MIC5.0 E</t>
        </is>
      </c>
      <c r="D1802" s="22" t="inlineStr">
        <is>
          <t>甲供/施耐德电气</t>
        </is>
      </c>
      <c r="E1802" s="23" t="inlineStr">
        <is>
          <t>只</t>
        </is>
      </c>
      <c r="F1802" s="23" t="n">
        <v>2</v>
      </c>
      <c r="G1802" s="349">
        <f>IF(AND(B1802="",C1802=""),"",ROUND(M1802*L1802*N1802,2))</f>
        <v/>
      </c>
      <c r="H1802" s="349">
        <f>IF(AND(B1802="",C1802=""),"",ROUND(F1802*G1802,2))</f>
        <v/>
      </c>
      <c r="I1802" s="45" t="inlineStr"/>
      <c r="J1802" s="397">
        <f>IF(AND(B1802="",C1802=""),"",ROUND(M1802*N1802,2))</f>
        <v/>
      </c>
      <c r="K1802" s="398">
        <f>IF(AND(B1802="",C1802=""),"",ROUND(J1802*F1802,2))</f>
        <v/>
      </c>
      <c r="L1802" s="200" t="n">
        <v>1</v>
      </c>
      <c r="M1802" s="399" t="n">
        <v>1e-07</v>
      </c>
      <c r="N1802" s="154" t="n">
        <v>1</v>
      </c>
      <c r="O1802" s="155">
        <f>IF(AND(B1802="",C1802=""),"",IF(G1802&gt;=20000,0.05,IF(G1802&gt;=10000,0.1,IF(G1802&gt;=5000,0.2,IF(G1802&gt;=1000,0.3,IF(G1802&gt;=0,0.4,{0}))))))</f>
        <v/>
      </c>
      <c r="P1802" s="400">
        <f>IF(AND(B1802="",C1802=""),"",ROUND(H1802*O1802,2))</f>
        <v/>
      </c>
      <c r="Q1802" s="401" t="inlineStr">
        <is>
          <t>元件</t>
        </is>
      </c>
      <c r="R1802" s="168" t="inlineStr"/>
      <c r="S1802" s="168" t="inlineStr"/>
      <c r="T1802" s="168" t="inlineStr">
        <is>
          <t>0</t>
        </is>
      </c>
      <c r="U1802" s="168" t="inlineStr">
        <is>
          <t>C16F32D160</t>
        </is>
      </c>
      <c r="V1802" s="402" t="n"/>
      <c r="W1802" s="402" t="n"/>
      <c r="X1802" s="170" t="inlineStr">
        <is>
          <t>NSX630N Mic2.3 630A 3P3D F→NSX630F MIC2.3 630 3P F→NSX630F MIC 2.3 630 3P F</t>
        </is>
      </c>
    </row>
    <row r="1803" s="308">
      <c r="A1803" s="64">
        <f>ROW()-ROW(A$1801)</f>
        <v/>
      </c>
      <c r="B1803" s="22" t="inlineStr">
        <is>
          <t>电流互感器</t>
        </is>
      </c>
      <c r="C1803" s="22" t="inlineStr">
        <is>
          <t>SD-0.66-80II-V 1250/5A</t>
        </is>
      </c>
      <c r="D1803" s="22" t="inlineStr">
        <is>
          <t>桑迪</t>
        </is>
      </c>
      <c r="E1803" s="23" t="inlineStr">
        <is>
          <t>只</t>
        </is>
      </c>
      <c r="F1803" s="23" t="n">
        <v>6</v>
      </c>
      <c r="G1803" s="349">
        <f>IF(AND(B1803="",C1803=""),"",ROUND(M1803*L1803*N1803,2))</f>
        <v/>
      </c>
      <c r="H1803" s="396">
        <f>IF(AND(B1803="",C1803=""),"",ROUND(F1803*G1803,2))</f>
        <v/>
      </c>
      <c r="I1803" s="219" t="inlineStr"/>
      <c r="J1803" s="397">
        <f>IF(AND(B1803="",C1803=""),"",ROUND(M1803*N1803,2))</f>
        <v/>
      </c>
      <c r="K1803" s="398">
        <f>IF(AND(B1803="",C1803=""),"",ROUND(J1803*F1803,2))</f>
        <v/>
      </c>
      <c r="L1803" s="200" t="n">
        <v>1</v>
      </c>
      <c r="M1803" s="399" t="n">
        <v>115.7</v>
      </c>
      <c r="N1803" s="154" t="n">
        <v>1</v>
      </c>
      <c r="O1803" s="155">
        <f>IF(AND(B1803="",C1803=""),"",IF(G1803&gt;=20000,0.05,IF(G1803&gt;=10000,0.1,IF(G1803&gt;=5000,0.2,IF(G1803&gt;=1000,0.3,IF(G1803&gt;=0,0.4,{0}))))))</f>
        <v/>
      </c>
      <c r="P1803" s="400">
        <f>IF(AND(B1803="",C1803=""),"",ROUND(H1803*O1803,2))</f>
        <v/>
      </c>
      <c r="Q1803" s="401" t="inlineStr">
        <is>
          <t>元件</t>
        </is>
      </c>
      <c r="R1803" s="168" t="inlineStr"/>
      <c r="S1803" s="168" t="inlineStr"/>
      <c r="T1803" s="168" t="inlineStr">
        <is>
          <t>0</t>
        </is>
      </c>
      <c r="U1803" s="168" t="inlineStr">
        <is>
          <t>710141426552500</t>
        </is>
      </c>
      <c r="V1803" s="402" t="n"/>
      <c r="W1803" s="402" t="n"/>
      <c r="X1803" s="170" t="inlineStr">
        <is>
          <t>SD→SD-0.66-40II-C 400/5A→SD-0.66-30I 250/5A→SD-0.66-30I 150/5A→SD-0.66-60II-C 750/5A→SD-0.66-60II-C 600/5A→SD-0.66-30I 150/5A→SD-0.66-40II-C 400/5A→SD-0.66-100II-C 1600/5A→SD-0.66-80II-V 1000/5A→SD-0.66-80II-V 1250/5A→SD-0.66-80II-V 1000/5A</t>
        </is>
      </c>
    </row>
    <row r="1804" s="308">
      <c r="A1804" s="64">
        <f>ROW()-ROW(A$1801)</f>
        <v/>
      </c>
      <c r="B1804" s="112" t="inlineStr">
        <is>
          <t>多功能表</t>
        </is>
      </c>
      <c r="C1804" s="112" t="inlineStr">
        <is>
          <t>PM4101</t>
        </is>
      </c>
      <c r="D1804" s="112" t="inlineStr">
        <is>
          <t>甲供/施耐德电气</t>
        </is>
      </c>
      <c r="E1804" s="114" t="inlineStr">
        <is>
          <t>只</t>
        </is>
      </c>
      <c r="F1804" s="114" t="n">
        <v>2</v>
      </c>
      <c r="G1804" s="396">
        <f>IF(AND(B1804="",C1804=""),"",ROUND(M1804*L1804*N1804,2))</f>
        <v/>
      </c>
      <c r="H1804" s="349">
        <f>IF(AND(B1804="",C1804=""),"",ROUND(F1804*G1804,2))</f>
        <v/>
      </c>
      <c r="I1804" s="45" t="inlineStr"/>
      <c r="J1804" s="397">
        <f>IF(AND(B1804="",C1804=""),"",ROUND(M1804*N1804,2))</f>
        <v/>
      </c>
      <c r="K1804" s="398">
        <f>IF(AND(B1804="",C1804=""),"",ROUND(J1804*F1804,2))</f>
        <v/>
      </c>
      <c r="L1804" s="200" t="n">
        <v>1</v>
      </c>
      <c r="M1804" s="399" t="n">
        <v>1e-07</v>
      </c>
      <c r="N1804" s="154" t="n">
        <v>1</v>
      </c>
      <c r="O1804" s="155">
        <f>IF(AND(B1804="",C1804=""),"",IF(J1804&gt;=20000,0.05,IF(J1804&gt;=10000,0.1,IF(J1804&gt;=5000,0.2,IF(J1804&gt;=1000,0.3,IF(J1804&gt;=0,0.4,{0}))))))</f>
        <v/>
      </c>
      <c r="P1804" s="400">
        <f>IF(AND(B1804="",C1804=""),"",ROUND(H1804*O1804,2))</f>
        <v/>
      </c>
      <c r="Q1804" s="401" t="inlineStr">
        <is>
          <t>元件</t>
        </is>
      </c>
      <c r="R1804" s="168" t="inlineStr"/>
      <c r="S1804" s="168" t="inlineStr"/>
      <c r="T1804" s="168" t="inlineStr">
        <is>
          <t>0</t>
        </is>
      </c>
      <c r="U1804" s="168" t="inlineStr"/>
      <c r="V1804" s="402" t="n"/>
      <c r="W1804" s="402" t="n"/>
      <c r="X1804" s="170" t="inlineStr"/>
    </row>
    <row r="1805" customFormat="1" s="3">
      <c r="A1805" s="64">
        <f>ROW()-ROW(A$1801)</f>
        <v/>
      </c>
      <c r="B1805" s="22" t="inlineStr">
        <is>
          <t>指示灯</t>
        </is>
      </c>
      <c r="C1805" s="22" t="inlineStr">
        <is>
          <t>XB2BVM3LC</t>
        </is>
      </c>
      <c r="D1805" s="22" t="inlineStr">
        <is>
          <t>甲供/施耐德电气</t>
        </is>
      </c>
      <c r="E1805" s="23" t="inlineStr">
        <is>
          <t>只</t>
        </is>
      </c>
      <c r="F1805" s="23" t="n">
        <v>2</v>
      </c>
      <c r="G1805" s="349">
        <f>IF(AND(B1805="",C1805=""),"",ROUND(M1805*L1805*N1805,2))</f>
        <v/>
      </c>
      <c r="H1805" s="353">
        <f>IF(AND(B1805="",C1805=""),"",ROUND(F1805*G1805,2))</f>
        <v/>
      </c>
      <c r="I1805" s="180" t="inlineStr"/>
      <c r="J1805" s="392">
        <f>IF(AND(B1805="",C1805=""),"",ROUND(M1805*N1805,2))</f>
        <v/>
      </c>
      <c r="K1805" s="393">
        <f>IF(AND(B1805="",C1805=""),"",ROUND(J1805*F1805,2))</f>
        <v/>
      </c>
      <c r="L1805" s="141" t="n">
        <v>1</v>
      </c>
      <c r="M1805" s="394" t="n">
        <v>1e-07</v>
      </c>
      <c r="N1805" s="220" t="n">
        <v>1</v>
      </c>
      <c r="O1805" s="221">
        <f>IF(AND(B1805="",C1805=""),"",IF(G1805&gt;=20000,0.05,IF(G1805&gt;=10000,0.1,IF(G1805&gt;=5000,0.2,IF(G1805&gt;=1000,0.3,IF(G1805&gt;=0,0.4,{0}))))))</f>
        <v/>
      </c>
      <c r="P1805" s="419">
        <f>IF(AND(B1805="",C1805=""),"",ROUND(H1805*O1805,2))</f>
        <v/>
      </c>
      <c r="Q1805" s="420" t="inlineStr">
        <is>
          <t>元件</t>
        </is>
      </c>
      <c r="R1805" s="231" t="inlineStr"/>
      <c r="S1805" s="231" t="inlineStr"/>
      <c r="T1805" s="231" t="inlineStr">
        <is>
          <t>0</t>
        </is>
      </c>
      <c r="U1805" s="231" t="inlineStr">
        <is>
          <t>XB2BVM3LC</t>
        </is>
      </c>
      <c r="V1805" s="421" t="n"/>
      <c r="W1805" s="421" t="n"/>
      <c r="X1805" s="166" t="inlineStr">
        <is>
          <t>XA2EVM3LC</t>
        </is>
      </c>
    </row>
    <row r="1806" customFormat="1" s="3">
      <c r="A1806" s="64">
        <f>ROW()-ROW(A$1801)</f>
        <v/>
      </c>
      <c r="B1806" s="22" t="inlineStr">
        <is>
          <t>指示灯</t>
        </is>
      </c>
      <c r="C1806" s="22" t="inlineStr">
        <is>
          <t>XB2BVM4LC</t>
        </is>
      </c>
      <c r="D1806" s="22" t="inlineStr">
        <is>
          <t>甲供/施耐德电气</t>
        </is>
      </c>
      <c r="E1806" s="23" t="inlineStr">
        <is>
          <t>只</t>
        </is>
      </c>
      <c r="F1806" s="23" t="n">
        <v>2</v>
      </c>
      <c r="G1806" s="349">
        <f>IF(AND(B1806="",C1806=""),"",ROUND(M1806*L1806*N1806,2))</f>
        <v/>
      </c>
      <c r="H1806" s="353">
        <f>IF(AND(B1806="",C1806=""),"",ROUND(F1806*G1806,2))</f>
        <v/>
      </c>
      <c r="I1806" s="180" t="inlineStr"/>
      <c r="J1806" s="392">
        <f>IF(AND(B1806="",C1806=""),"",ROUND(M1806*N1806,2))</f>
        <v/>
      </c>
      <c r="K1806" s="393">
        <f>IF(AND(B1806="",C1806=""),"",ROUND(J1806*F1806,2))</f>
        <v/>
      </c>
      <c r="L1806" s="141" t="n">
        <v>1</v>
      </c>
      <c r="M1806" s="394" t="n">
        <v>1e-07</v>
      </c>
      <c r="N1806" s="220" t="n">
        <v>1</v>
      </c>
      <c r="O1806" s="221">
        <f>IF(AND(B1806="",C1806=""),"",IF(G1806&gt;=20000,0.05,IF(G1806&gt;=10000,0.1,IF(G1806&gt;=5000,0.2,IF(G1806&gt;=1000,0.3,IF(G1806&gt;=0,0.4,{0}))))))</f>
        <v/>
      </c>
      <c r="P1806" s="419">
        <f>IF(AND(B1806="",C1806=""),"",ROUND(H1806*O1806,2))</f>
        <v/>
      </c>
      <c r="Q1806" s="420" t="inlineStr">
        <is>
          <t>元件</t>
        </is>
      </c>
      <c r="R1806" s="231" t="inlineStr"/>
      <c r="S1806" s="231" t="inlineStr"/>
      <c r="T1806" s="231" t="inlineStr">
        <is>
          <t>0</t>
        </is>
      </c>
      <c r="U1806" s="231" t="inlineStr">
        <is>
          <t>XB2BVM4LC</t>
        </is>
      </c>
      <c r="V1806" s="421" t="n"/>
      <c r="W1806" s="421" t="n"/>
      <c r="X1806" s="166" t="inlineStr">
        <is>
          <t>XA2EVM4LC</t>
        </is>
      </c>
    </row>
    <row r="1807" s="308">
      <c r="A1807" s="64">
        <f>ROW()-ROW(A$1801)</f>
        <v/>
      </c>
      <c r="B1807" s="112" t="inlineStr">
        <is>
          <t>指示灯</t>
        </is>
      </c>
      <c r="C1807" s="112" t="inlineStr">
        <is>
          <t>XB2BVM5LC</t>
        </is>
      </c>
      <c r="D1807" s="112" t="inlineStr">
        <is>
          <t>甲供/施耐德电气</t>
        </is>
      </c>
      <c r="E1807" s="114" t="inlineStr">
        <is>
          <t>只</t>
        </is>
      </c>
      <c r="F1807" s="114" t="n">
        <v>2</v>
      </c>
      <c r="G1807" s="396">
        <f>IF(AND(B1807="",C1807=""),"",ROUND(M1807*L1807*N1807,2))</f>
        <v/>
      </c>
      <c r="H1807" s="396">
        <f>IF(AND(B1807="",C1807=""),"",ROUND(F1807*G1807,2))</f>
        <v/>
      </c>
      <c r="I1807" s="150" t="inlineStr"/>
      <c r="J1807" s="397">
        <f>IF(AND(B1807="",C1807=""),"",ROUND(M1807*N1807,2))</f>
        <v/>
      </c>
      <c r="K1807" s="398">
        <f>IF(AND(B1807="",C1807=""),"",ROUND(J1807*F1807,2))</f>
        <v/>
      </c>
      <c r="L1807" s="141" t="n">
        <v>1</v>
      </c>
      <c r="M1807" s="399" t="n">
        <v>1e-07</v>
      </c>
      <c r="N1807" s="154" t="n">
        <v>1</v>
      </c>
      <c r="O1807" s="155">
        <f>IF(AND(B1807="",C1807=""),"",IF(G1807&gt;=20000,0.05,IF(G1807&gt;=10000,0.1,IF(G1807&gt;=5000,0.2,IF(G1807&gt;=1000,0.3,IF(G1807&gt;=0,0.4,{0}))))))</f>
        <v/>
      </c>
      <c r="P1807" s="400">
        <f>IF(AND(B1807="",C1807=""),"",ROUND(H1807*O1807,2))</f>
        <v/>
      </c>
      <c r="Q1807" s="401" t="inlineStr">
        <is>
          <t>元件</t>
        </is>
      </c>
      <c r="R1807" s="168" t="inlineStr"/>
      <c r="S1807" s="168" t="inlineStr"/>
      <c r="T1807" s="168" t="inlineStr">
        <is>
          <t>0</t>
        </is>
      </c>
      <c r="U1807" s="168" t="inlineStr">
        <is>
          <t>XA2EVM5LC</t>
        </is>
      </c>
      <c r="V1807" s="402" t="n"/>
      <c r="W1807" s="402" t="n"/>
      <c r="X1807" s="170" t="inlineStr"/>
    </row>
    <row r="1808" s="308">
      <c r="A1808" s="64">
        <f>ROW()-ROW(A$1801)</f>
        <v/>
      </c>
      <c r="B1808" s="112" t="inlineStr">
        <is>
          <t>按钮</t>
        </is>
      </c>
      <c r="C1808" s="112" t="inlineStr">
        <is>
          <t>XB2BA31C</t>
        </is>
      </c>
      <c r="D1808" s="112" t="inlineStr">
        <is>
          <t>甲供/施耐德电气</t>
        </is>
      </c>
      <c r="E1808" s="114" t="inlineStr">
        <is>
          <t>只</t>
        </is>
      </c>
      <c r="F1808" s="114" t="n">
        <v>2</v>
      </c>
      <c r="G1808" s="396">
        <f>IF(AND(B1808="",C1808=""),"",ROUND(M1808*L1808*N1808,2))</f>
        <v/>
      </c>
      <c r="H1808" s="396">
        <f>IF(AND(B1808="",C1808=""),"",ROUND(F1808*G1808,2))</f>
        <v/>
      </c>
      <c r="I1808" s="150" t="inlineStr"/>
      <c r="J1808" s="397">
        <f>IF(AND(B1808="",C1808=""),"",ROUND(M1808*N1808,2))</f>
        <v/>
      </c>
      <c r="K1808" s="398">
        <f>IF(AND(B1808="",C1808=""),"",ROUND(J1808*F1808,2))</f>
        <v/>
      </c>
      <c r="L1808" s="141" t="n">
        <v>1</v>
      </c>
      <c r="M1808" s="399" t="n">
        <v>1e-07</v>
      </c>
      <c r="N1808" s="154" t="n">
        <v>1</v>
      </c>
      <c r="O1808" s="155">
        <f>IF(AND(B1808="",C1808=""),"",IF(G1808&gt;=20000,0.05,IF(G1808&gt;=10000,0.1,IF(G1808&gt;=5000,0.2,IF(G1808&gt;=1000,0.3,IF(G1808&gt;=0,0.4,{0}))))))</f>
        <v/>
      </c>
      <c r="P1808" s="400">
        <f>IF(AND(B1808="",C1808=""),"",ROUND(H1808*O1808,2))</f>
        <v/>
      </c>
      <c r="Q1808" s="401" t="inlineStr">
        <is>
          <t>元件</t>
        </is>
      </c>
      <c r="R1808" s="168" t="inlineStr"/>
      <c r="S1808" s="168" t="inlineStr"/>
      <c r="T1808" s="168" t="inlineStr">
        <is>
          <t>0</t>
        </is>
      </c>
      <c r="U1808" s="168" t="inlineStr">
        <is>
          <t>XB2BA31C</t>
        </is>
      </c>
      <c r="V1808" s="402" t="n"/>
      <c r="W1808" s="402" t="n"/>
      <c r="X1808" s="170" t="inlineStr">
        <is>
          <t>XA2EA31</t>
        </is>
      </c>
    </row>
    <row r="1809" s="308">
      <c r="A1809" s="64">
        <f>ROW()-ROW(A$1801)</f>
        <v/>
      </c>
      <c r="B1809" s="22" t="inlineStr">
        <is>
          <t>按钮</t>
        </is>
      </c>
      <c r="C1809" s="22" t="inlineStr">
        <is>
          <t>XB2BA42C</t>
        </is>
      </c>
      <c r="D1809" s="22" t="inlineStr">
        <is>
          <t>甲供/施耐德电气</t>
        </is>
      </c>
      <c r="E1809" s="23" t="inlineStr">
        <is>
          <t>只</t>
        </is>
      </c>
      <c r="F1809" s="23" t="n">
        <v>2</v>
      </c>
      <c r="G1809" s="349">
        <f>IF(AND(B1809="",C1809=""),"",ROUND(M1809*L1809*N1809,2))</f>
        <v/>
      </c>
      <c r="H1809" s="396">
        <f>IF(AND(B1809="",C1809=""),"",ROUND(F1809*G1809,2))</f>
        <v/>
      </c>
      <c r="I1809" s="150" t="inlineStr"/>
      <c r="J1809" s="397">
        <f>IF(AND(B1809="",C1809=""),"",ROUND(M1809*N1809,2))</f>
        <v/>
      </c>
      <c r="K1809" s="398">
        <f>IF(AND(B1809="",C1809=""),"",ROUND(J1809*F1809,2))</f>
        <v/>
      </c>
      <c r="L1809" s="141" t="n">
        <v>1</v>
      </c>
      <c r="M1809" s="399" t="n">
        <v>1e-07</v>
      </c>
      <c r="N1809" s="154" t="n">
        <v>1</v>
      </c>
      <c r="O1809" s="155">
        <f>IF(AND(B1809="",C1809=""),"",IF(G1809&gt;=20000,0.05,IF(G1809&gt;=10000,0.1,IF(G1809&gt;=5000,0.2,IF(G1809&gt;=1000,0.3,IF(G1809&gt;=0,0.4,{0}))))))</f>
        <v/>
      </c>
      <c r="P1809" s="400">
        <f>IF(AND(B1809="",C1809=""),"",ROUND(H1809*O1809,2))</f>
        <v/>
      </c>
      <c r="Q1809" s="401" t="inlineStr">
        <is>
          <t>元件</t>
        </is>
      </c>
      <c r="R1809" s="168" t="inlineStr"/>
      <c r="S1809" s="168" t="inlineStr"/>
      <c r="T1809" s="168" t="inlineStr">
        <is>
          <t>0</t>
        </is>
      </c>
      <c r="U1809" s="168" t="inlineStr">
        <is>
          <t>XB2BA42C</t>
        </is>
      </c>
      <c r="V1809" s="402" t="n"/>
      <c r="W1809" s="402" t="n"/>
      <c r="X1809" s="170" t="inlineStr">
        <is>
          <t>XA2EA41</t>
        </is>
      </c>
    </row>
    <row r="1810" s="308">
      <c r="A1810" s="64">
        <f>ROW()-ROW(A$1801)</f>
        <v/>
      </c>
      <c r="B1810" s="112" t="inlineStr">
        <is>
          <t>温湿度控制器</t>
        </is>
      </c>
      <c r="C1810" s="112" t="inlineStr">
        <is>
          <t>ATH48G-11</t>
        </is>
      </c>
      <c r="D1810" s="22" t="inlineStr">
        <is>
          <t>杭州安廷</t>
        </is>
      </c>
      <c r="E1810" s="23" t="inlineStr">
        <is>
          <t>套</t>
        </is>
      </c>
      <c r="F1810" s="23" t="n">
        <v>1</v>
      </c>
      <c r="G1810" s="349">
        <f>IF(AND(B1810="",C1810=""),"",ROUND(M1810*L1810*N1810,2))</f>
        <v/>
      </c>
      <c r="H1810" s="396">
        <f>IF(AND(B1810="",C1810=""),"",ROUND(F1810*G1810,2))</f>
        <v/>
      </c>
      <c r="I1810" s="150" t="inlineStr"/>
      <c r="J1810" s="397">
        <f>IF(AND(B1810="",C1810=""),"",ROUND(M1810*N1810,2))</f>
        <v/>
      </c>
      <c r="K1810" s="398">
        <f>IF(AND(B1810="",C1810=""),"",ROUND(J1810*F1810,2))</f>
        <v/>
      </c>
      <c r="L1810" s="141" t="n">
        <v>1</v>
      </c>
      <c r="M1810" s="399" t="n">
        <v>450</v>
      </c>
      <c r="N1810" s="154" t="n">
        <v>1</v>
      </c>
      <c r="O1810" s="155">
        <f>IF(AND(B1810="",C1810=""),"",IF(G1810&gt;=20000,0.05,IF(G1810&gt;=10000,0.1,IF(G1810&gt;=5000,0.2,IF(G1810&gt;=1000,0.3,IF(G1810&gt;=0,0.4,{0}))))))</f>
        <v/>
      </c>
      <c r="P1810" s="400">
        <f>IF(AND(B1810="",C1810=""),"",ROUND(H1810*O1810,2))</f>
        <v/>
      </c>
      <c r="Q1810" s="401" t="inlineStr">
        <is>
          <t>元件</t>
        </is>
      </c>
      <c r="R1810" s="168" t="inlineStr"/>
      <c r="S1810" s="168" t="inlineStr"/>
      <c r="T1810" s="168" t="inlineStr">
        <is>
          <t>0</t>
        </is>
      </c>
      <c r="U1810" s="168" t="inlineStr"/>
      <c r="V1810" s="402" t="n"/>
      <c r="W1810" s="402" t="n"/>
      <c r="X1810" s="170" t="inlineStr"/>
    </row>
    <row r="1811" s="308">
      <c r="A1811" s="64">
        <f>ROW()-ROW(A$1801)</f>
        <v/>
      </c>
      <c r="B1811" s="22" t="inlineStr">
        <is>
          <t>中间继电器</t>
        </is>
      </c>
      <c r="C1811" s="22" t="inlineStr">
        <is>
          <t>RXM4AB2P7+RXZE2S114M+RXZ400</t>
        </is>
      </c>
      <c r="D1811" s="22" t="inlineStr">
        <is>
          <t>甲供/施耐德电气</t>
        </is>
      </c>
      <c r="E1811" s="23" t="inlineStr">
        <is>
          <t>只</t>
        </is>
      </c>
      <c r="F1811" s="23" t="n">
        <v>4</v>
      </c>
      <c r="G1811" s="349">
        <f>IF(AND(B1811="",C1811=""),"",ROUND(M1811*L1811*N1811,2))</f>
        <v/>
      </c>
      <c r="H1811" s="349">
        <f>IF(AND(B1811="",C1811=""),"",ROUND(F1811*G1811,2))</f>
        <v/>
      </c>
      <c r="I1811" s="45" t="inlineStr"/>
      <c r="J1811" s="397">
        <f>IF(AND(B1811="",C1811=""),"",ROUND(M1811*N1811,2))</f>
        <v/>
      </c>
      <c r="K1811" s="398">
        <f>IF(AND(B1811="",C1811=""),"",ROUND(J1811*F1811,2))</f>
        <v/>
      </c>
      <c r="L1811" s="141" t="n">
        <v>1</v>
      </c>
      <c r="M1811" s="399" t="n">
        <v>1e-07</v>
      </c>
      <c r="N1811" s="154" t="n">
        <v>1</v>
      </c>
      <c r="O1811" s="155">
        <f>IF(AND(B1811="",C1811=""),"",IF(G1811&gt;=20000,0.05,IF(G1811&gt;=10000,0.1,IF(G1811&gt;=5000,0.2,IF(G1811&gt;=1000,0.3,IF(G1811&gt;=0,0.4,{0}))))))</f>
        <v/>
      </c>
      <c r="P1811" s="400">
        <f>IF(AND(B1811="",C1811=""),"",ROUND(H1811*O1811,2))</f>
        <v/>
      </c>
      <c r="Q1811" s="401" t="inlineStr">
        <is>
          <t>元件</t>
        </is>
      </c>
      <c r="R1811" s="168" t="inlineStr"/>
      <c r="S1811" s="168" t="inlineStr"/>
      <c r="T1811" s="168" t="inlineStr">
        <is>
          <t>0</t>
        </is>
      </c>
      <c r="U1811" s="168" t="inlineStr">
        <is>
          <t>RXM4AB2P7+RXZE2S114M+RXZ400</t>
        </is>
      </c>
      <c r="V1811" s="402" t="n"/>
      <c r="W1811" s="402" t="n"/>
      <c r="X1811" s="170" t="inlineStr">
        <is>
          <t>REL-IR-BL/L-230AC/4X21，含底座→RXM4AB2P7+RXZE2S114M+RXZ400→REL-IR-BL/L-230AC/4X21，含底座</t>
        </is>
      </c>
    </row>
    <row r="1812" customFormat="1" s="3">
      <c r="A1812" s="64">
        <f>ROW()-ROW(A$1801)</f>
        <v/>
      </c>
      <c r="B1812" s="22" t="inlineStr">
        <is>
          <t>带熔丝端子</t>
        </is>
      </c>
      <c r="C1812" s="22" t="inlineStr">
        <is>
          <t>UK 5-HESI</t>
        </is>
      </c>
      <c r="D1812" s="22" t="inlineStr">
        <is>
          <t>菲尼克斯</t>
        </is>
      </c>
      <c r="E1812" s="23" t="inlineStr">
        <is>
          <t>只</t>
        </is>
      </c>
      <c r="F1812" s="23" t="n">
        <v>8</v>
      </c>
      <c r="G1812" s="349">
        <f>IF(AND(B1812="",C1812=""),"",ROUND(M1812*L1812*N1812,2))</f>
        <v/>
      </c>
      <c r="H1812" s="349">
        <f>IF(AND(B1812="",C1812=""),"",ROUND(F1812*G1812,2))</f>
        <v/>
      </c>
      <c r="I1812" s="45" t="inlineStr"/>
      <c r="J1812" s="392">
        <f>IF(AND(B1812="",C1812=""),"",ROUND(M1812*N1812,2))</f>
        <v/>
      </c>
      <c r="K1812" s="393">
        <f>IF(AND(B1812="",C1812=""),"",ROUND(J1812*F1812,2))</f>
        <v/>
      </c>
      <c r="L1812" s="141" t="n">
        <v>1</v>
      </c>
      <c r="M1812" s="394" t="n">
        <v>7</v>
      </c>
      <c r="N1812" s="220" t="n">
        <v>1</v>
      </c>
      <c r="O1812" s="221">
        <f>IF(AND(B1812="",C1812=""),"",IF(G1812&gt;=20000,0.05,IF(G1812&gt;=10000,0.1,IF(G1812&gt;=5000,0.2,IF(G1812&gt;=1000,0.3,IF(G1812&gt;=0,0.4,{0}))))))</f>
        <v/>
      </c>
      <c r="P1812" s="419">
        <f>IF(AND(B1812="",C1812=""),"",ROUND(H1812*O1812,2))</f>
        <v/>
      </c>
      <c r="Q1812" s="420" t="inlineStr">
        <is>
          <t>元件</t>
        </is>
      </c>
      <c r="R1812" s="231" t="inlineStr"/>
      <c r="S1812" s="231" t="inlineStr"/>
      <c r="T1812" s="231" t="inlineStr">
        <is>
          <t>0</t>
        </is>
      </c>
      <c r="U1812" s="231" t="inlineStr">
        <is>
          <t>True</t>
        </is>
      </c>
      <c r="V1812" s="421" t="n"/>
      <c r="W1812" s="421" t="n"/>
      <c r="X1812" s="166" t="inlineStr"/>
    </row>
    <row r="1813" s="308">
      <c r="A1813" s="64">
        <f>ROW()-ROW(A$1801)</f>
        <v/>
      </c>
      <c r="B1813" s="22" t="inlineStr">
        <is>
          <t>水平母排</t>
        </is>
      </c>
      <c r="C1813" s="22" t="inlineStr">
        <is>
          <t>TMY 4*(3*125*5)+2*50*5</t>
        </is>
      </c>
      <c r="D1813" s="22" t="inlineStr">
        <is>
          <t>国产优质</t>
        </is>
      </c>
      <c r="E1813" s="23" t="inlineStr">
        <is>
          <t>米</t>
        </is>
      </c>
      <c r="F1813" s="23" t="n">
        <v>0.4</v>
      </c>
      <c r="G1813" s="349">
        <f>IF(AND(B1813="",C1813=""),"",ROUND(M1813*L1813*N1813,2))</f>
        <v/>
      </c>
      <c r="H1813" s="349">
        <f>IF(AND(B1813="",C1813=""),"",ROUND(F1813*G1813,2))</f>
        <v/>
      </c>
      <c r="I1813" s="45" t="inlineStr"/>
      <c r="J1813" s="397">
        <f>IF(AND(B1813="",C1813=""),"",ROUND(M1813*N1813,2))</f>
        <v/>
      </c>
      <c r="K1813" s="398">
        <f>IF(AND(B1813="",C1813=""),"",ROUND(J1813*F1813,2))</f>
        <v/>
      </c>
      <c r="L1813" s="200" t="n">
        <v>1</v>
      </c>
      <c r="M1813" s="399" t="n">
        <v>7697.076</v>
      </c>
      <c r="N1813" s="154">
        <f>(6317.932*1*1+2684.8*1*1)/9002.732</f>
        <v/>
      </c>
      <c r="O1813" s="155">
        <f>IF(AND(B1813="",C1813=""),"",IF(J1813&gt;=20000,0.05,IF(J1813&gt;=10000,0.1,IF(J1813&gt;=5000,0.2,IF(J1813&gt;=1000,0.3,IF(J1813&gt;=0,0.4,{0}))))))</f>
        <v/>
      </c>
      <c r="P1813" s="400">
        <f>IF(AND(B1813="",C1813=""),"",ROUND(H1813*O1813,2))</f>
        <v/>
      </c>
      <c r="Q1813" s="401" t="inlineStr">
        <is>
          <t>母排</t>
        </is>
      </c>
      <c r="R1813" s="168" t="inlineStr"/>
      <c r="S1813" s="168" t="inlineStr"/>
      <c r="T1813" s="168" t="inlineStr">
        <is>
          <t>0</t>
        </is>
      </c>
      <c r="U1813" s="168" t="inlineStr"/>
      <c r="V1813" s="402" t="n"/>
      <c r="W1813" s="402" t="n"/>
      <c r="X1813" s="170" t="inlineStr"/>
    </row>
    <row r="1814" customFormat="1" s="5">
      <c r="A1814" s="64">
        <f>ROW()-ROW(A$1801)</f>
        <v/>
      </c>
      <c r="B1814" s="22" t="inlineStr">
        <is>
          <t>桩头排</t>
        </is>
      </c>
      <c r="C1814" s="22" t="inlineStr">
        <is>
          <t>TMY 3*2*60*5</t>
        </is>
      </c>
      <c r="D1814" s="22" t="inlineStr">
        <is>
          <t>国产优质</t>
        </is>
      </c>
      <c r="E1814" s="23" t="inlineStr">
        <is>
          <t>米</t>
        </is>
      </c>
      <c r="F1814" s="23" t="n">
        <v>3</v>
      </c>
      <c r="G1814" s="349">
        <f>IF(AND(B1814="",C1814=""),"",ROUND(M1814*L1814*N1814,2))</f>
        <v/>
      </c>
      <c r="H1814" s="349">
        <f>IF(AND(B1814="",C1814=""),"",ROUND(F1814*G1814,2))</f>
        <v/>
      </c>
      <c r="I1814" s="45" t="inlineStr"/>
      <c r="J1814" s="422">
        <f>IF(AND(B1814="",C1814=""),"",ROUND(M1814*N1814,2))</f>
        <v/>
      </c>
      <c r="K1814" s="423">
        <f>IF(AND(B1814="",C1814=""),"",ROUND(J1814*F1814,2))</f>
        <v/>
      </c>
      <c r="L1814" s="225" t="n">
        <v>1</v>
      </c>
      <c r="M1814" s="424" t="n">
        <v>1731.8421</v>
      </c>
      <c r="N1814" s="227" t="n">
        <v>1</v>
      </c>
      <c r="O1814" s="228">
        <f>IF(AND(B1814="",C1814=""),"",IF(G1814&gt;=20000,0.05,IF(G1814&gt;=10000,0.1,IF(G1814&gt;=5000,0.2,IF(G1814&gt;=1000,0.3,IF(G1814&gt;=0,0.4,{0}))))))</f>
        <v/>
      </c>
      <c r="P1814" s="425">
        <f>IF(AND(B1814="",C1814=""),"",ROUND(H1814*O1814,2))</f>
        <v/>
      </c>
      <c r="Q1814" s="426" t="inlineStr">
        <is>
          <t>母排</t>
        </is>
      </c>
      <c r="R1814" s="234" t="inlineStr"/>
      <c r="S1814" s="234" t="inlineStr"/>
      <c r="T1814" s="235" t="inlineStr">
        <is>
          <t>0</t>
        </is>
      </c>
      <c r="U1814" s="235" t="inlineStr"/>
      <c r="V1814" s="427" t="n"/>
      <c r="W1814" s="427" t="n"/>
      <c r="X1814" s="237" t="inlineStr">
        <is>
          <t>TMY 2*30*5→TMY 30*8</t>
        </is>
      </c>
    </row>
    <row r="1815" customFormat="1" s="5">
      <c r="A1815" s="64">
        <f>ROW()-ROW(A$1801)</f>
        <v/>
      </c>
      <c r="B1815" s="22" t="inlineStr">
        <is>
          <t>垂直排</t>
        </is>
      </c>
      <c r="C1815" s="22" t="inlineStr">
        <is>
          <t>TMY 3*2*60*5</t>
        </is>
      </c>
      <c r="D1815" s="22" t="inlineStr">
        <is>
          <t>国产优质</t>
        </is>
      </c>
      <c r="E1815" s="23" t="inlineStr">
        <is>
          <t>米</t>
        </is>
      </c>
      <c r="F1815" s="23" t="n">
        <v>2</v>
      </c>
      <c r="G1815" s="349">
        <f>IF(AND(B1815="",C1815=""),"",ROUND(M1815*L1815*N1815,2))</f>
        <v/>
      </c>
      <c r="H1815" s="349">
        <f>IF(AND(B1815="",C1815=""),"",ROUND(F1815*G1815,2))</f>
        <v/>
      </c>
      <c r="I1815" s="45" t="inlineStr"/>
      <c r="J1815" s="422">
        <f>IF(AND(B1815="",C1815=""),"",ROUND(M1815*N1815,2))</f>
        <v/>
      </c>
      <c r="K1815" s="423">
        <f>IF(AND(B1815="",C1815=""),"",ROUND(J1815*F1815,2))</f>
        <v/>
      </c>
      <c r="L1815" s="225" t="n">
        <v>1</v>
      </c>
      <c r="M1815" s="424" t="n">
        <v>1731.8421</v>
      </c>
      <c r="N1815" s="227" t="n">
        <v>1</v>
      </c>
      <c r="O1815" s="228">
        <f>IF(AND(B1815="",C1815=""),"",IF(G1815&gt;=20000,0.05,IF(G1815&gt;=10000,0.1,IF(G1815&gt;=5000,0.2,IF(G1815&gt;=1000,0.3,IF(G1815&gt;=0,0.4,{0}))))))</f>
        <v/>
      </c>
      <c r="P1815" s="425">
        <f>IF(AND(B1815="",C1815=""),"",ROUND(H1815*O1815,2))</f>
        <v/>
      </c>
      <c r="Q1815" s="426" t="inlineStr">
        <is>
          <t>母排</t>
        </is>
      </c>
      <c r="R1815" s="234" t="inlineStr"/>
      <c r="S1815" s="234" t="inlineStr"/>
      <c r="T1815" s="235" t="inlineStr">
        <is>
          <t>0</t>
        </is>
      </c>
      <c r="U1815" s="235" t="inlineStr"/>
      <c r="V1815" s="427" t="n"/>
      <c r="W1815" s="427" t="n"/>
      <c r="X1815" s="237" t="inlineStr">
        <is>
          <t>TMY 2*30*5→TMY 30*8</t>
        </is>
      </c>
    </row>
    <row r="1816" customFormat="1" s="5">
      <c r="A1816" s="64">
        <f>ROW()-ROW(A$1801)</f>
        <v/>
      </c>
      <c r="B1816" s="22" t="inlineStr">
        <is>
          <t>N排</t>
        </is>
      </c>
      <c r="C1816" s="22" t="inlineStr">
        <is>
          <t>TMY 2*60*10</t>
        </is>
      </c>
      <c r="D1816" s="22" t="inlineStr">
        <is>
          <t>国产优质</t>
        </is>
      </c>
      <c r="E1816" s="23" t="inlineStr">
        <is>
          <t>米</t>
        </is>
      </c>
      <c r="F1816" s="23" t="n">
        <v>3</v>
      </c>
      <c r="G1816" s="349">
        <f>IF(AND(B1816="",C1816=""),"",ROUND(M1816*L1816*N1816,2))</f>
        <v/>
      </c>
      <c r="H1816" s="349">
        <f>IF(AND(B1816="",C1816=""),"",ROUND(F1816*G1816,2))</f>
        <v/>
      </c>
      <c r="I1816" s="45" t="inlineStr"/>
      <c r="J1816" s="422">
        <f>IF(AND(B1816="",C1816=""),"",ROUND(M1816*N1816,2))</f>
        <v/>
      </c>
      <c r="K1816" s="423">
        <f>IF(AND(B1816="",C1816=""),"",ROUND(J1816*F1816,2))</f>
        <v/>
      </c>
      <c r="L1816" s="225" t="n">
        <v>1</v>
      </c>
      <c r="M1816" s="424" t="n">
        <v>1154.5614</v>
      </c>
      <c r="N1816" s="227" t="n">
        <v>1</v>
      </c>
      <c r="O1816" s="228">
        <f>IF(AND(B1816="",C1816=""),"",IF(G1816&gt;=20000,0.05,IF(G1816&gt;=10000,0.1,IF(G1816&gt;=5000,0.2,IF(G1816&gt;=1000,0.3,IF(G1816&gt;=0,0.4,{0}))))))</f>
        <v/>
      </c>
      <c r="P1816" s="425">
        <f>IF(AND(B1816="",C1816=""),"",ROUND(H1816*O1816,2))</f>
        <v/>
      </c>
      <c r="Q1816" s="426" t="inlineStr">
        <is>
          <t>母排</t>
        </is>
      </c>
      <c r="R1816" s="234" t="inlineStr"/>
      <c r="S1816" s="234" t="inlineStr"/>
      <c r="T1816" s="235" t="inlineStr">
        <is>
          <t>0</t>
        </is>
      </c>
      <c r="U1816" s="235" t="inlineStr"/>
      <c r="V1816" s="427" t="n"/>
      <c r="W1816" s="427" t="n"/>
      <c r="X1816" s="237" t="inlineStr">
        <is>
          <t>TMY 2*30*5→TMY 30*8</t>
        </is>
      </c>
    </row>
    <row r="1817" customFormat="1" s="5">
      <c r="A1817" s="64">
        <f>ROW()-ROW(A$1801)</f>
        <v/>
      </c>
      <c r="B1817" s="22" t="inlineStr">
        <is>
          <t>PE排</t>
        </is>
      </c>
      <c r="C1817" s="22" t="inlineStr">
        <is>
          <t>TMY 2*50*5</t>
        </is>
      </c>
      <c r="D1817" s="22" t="inlineStr">
        <is>
          <t>国产优质</t>
        </is>
      </c>
      <c r="E1817" s="23" t="inlineStr">
        <is>
          <t>米</t>
        </is>
      </c>
      <c r="F1817" s="23" t="n">
        <v>2</v>
      </c>
      <c r="G1817" s="349">
        <f>IF(AND(B1817="",C1817=""),"",ROUND(M1817*L1817*N1817,2))</f>
        <v/>
      </c>
      <c r="H1817" s="349">
        <f>IF(AND(B1817="",C1817=""),"",ROUND(F1817*G1817,2))</f>
        <v/>
      </c>
      <c r="I1817" s="45" t="inlineStr"/>
      <c r="J1817" s="422">
        <f>IF(AND(B1817="",C1817=""),"",ROUND(M1817*N1817,2))</f>
        <v/>
      </c>
      <c r="K1817" s="423">
        <f>IF(AND(B1817="",C1817=""),"",ROUND(J1817*F1817,2))</f>
        <v/>
      </c>
      <c r="L1817" s="225" t="n">
        <v>1</v>
      </c>
      <c r="M1817" s="424" t="n">
        <v>481.06725</v>
      </c>
      <c r="N1817" s="227" t="n">
        <v>1</v>
      </c>
      <c r="O1817" s="228">
        <f>IF(AND(B1817="",C1817=""),"",IF(G1817&gt;=20000,0.05,IF(G1817&gt;=10000,0.1,IF(G1817&gt;=5000,0.2,IF(G1817&gt;=1000,0.3,IF(G1817&gt;=0,0.4,{0}))))))</f>
        <v/>
      </c>
      <c r="P1817" s="425">
        <f>IF(AND(B1817="",C1817=""),"",ROUND(H1817*O1817,2))</f>
        <v/>
      </c>
      <c r="Q1817" s="426" t="inlineStr">
        <is>
          <t>母排</t>
        </is>
      </c>
      <c r="R1817" s="234" t="inlineStr"/>
      <c r="S1817" s="234" t="inlineStr"/>
      <c r="T1817" s="235" t="inlineStr">
        <is>
          <t>0</t>
        </is>
      </c>
      <c r="U1817" s="235" t="inlineStr"/>
      <c r="V1817" s="427" t="n"/>
      <c r="W1817" s="427" t="n"/>
      <c r="X1817" s="237" t="inlineStr">
        <is>
          <t>TMY 2*30*5→TMY 30*8</t>
        </is>
      </c>
    </row>
    <row r="1818" s="308">
      <c r="A1818" s="64">
        <f>ROW()-ROW(A$1801)</f>
        <v/>
      </c>
      <c r="B1818" s="112" t="inlineStr">
        <is>
          <t>辅料</t>
        </is>
      </c>
      <c r="C1818" s="112" t="inlineStr"/>
      <c r="D1818" s="112" t="inlineStr"/>
      <c r="E1818" s="114" t="inlineStr">
        <is>
          <t>套</t>
        </is>
      </c>
      <c r="F1818" s="114" t="n">
        <v>1</v>
      </c>
      <c r="G1818" s="396">
        <f>IF(AND(B1818="",C1818=""),"",ROUND(M1818*L1818*N1818,2))</f>
        <v/>
      </c>
      <c r="H1818" s="396">
        <f>IF(AND(B1818="",C1818=""),"",ROUND(F1818*G1818,2))</f>
        <v/>
      </c>
      <c r="I1818" s="219" t="inlineStr"/>
      <c r="J1818" s="397">
        <f>IF(AND(B1818="",C1818=""),"",ROUND(M1818*N1818,2))</f>
        <v/>
      </c>
      <c r="K1818" s="398">
        <f>IF(AND(B1818="",C1818=""),"",ROUND(J1818*F1818,2))</f>
        <v/>
      </c>
      <c r="L1818" s="200" t="n">
        <v>1</v>
      </c>
      <c r="M1818" s="399" t="n">
        <v>800</v>
      </c>
      <c r="N1818" s="154" t="n">
        <v>1</v>
      </c>
      <c r="O1818" s="155">
        <f>IF(AND(B1818="",C1818=""),"",IF(G1818&gt;=20000,0.05,IF(G1818&gt;=10000,0.1,IF(G1818&gt;=5000,0.2,IF(G1818&gt;=1000,0.3,IF(G1818&gt;=0,0.4,{0}))))))</f>
        <v/>
      </c>
      <c r="P1818" s="400">
        <f>IF(AND(B1818="",C1818=""),"",ROUND(H1818*O1818,2))</f>
        <v/>
      </c>
      <c r="Q1818" s="401" t="inlineStr">
        <is>
          <t>辅料</t>
        </is>
      </c>
      <c r="R1818" s="168" t="inlineStr"/>
      <c r="S1818" s="168" t="inlineStr"/>
      <c r="T1818" s="168" t="inlineStr">
        <is>
          <t>0</t>
        </is>
      </c>
      <c r="U1818" s="168" t="inlineStr"/>
      <c r="V1818" s="402" t="n"/>
      <c r="W1818" s="402" t="n"/>
      <c r="X1818" s="170" t="inlineStr"/>
    </row>
    <row r="1819" s="308">
      <c r="A1819" s="64">
        <f>ROW()-ROW(A$1801)</f>
        <v/>
      </c>
      <c r="B1819" s="112" t="inlineStr">
        <is>
          <t>柜体Blokset</t>
        </is>
      </c>
      <c r="C1819" s="22" t="inlineStr">
        <is>
          <t>400W*1200D*2200H</t>
        </is>
      </c>
      <c r="D1819" s="112" t="inlineStr">
        <is>
          <t>清科</t>
        </is>
      </c>
      <c r="E1819" s="114" t="inlineStr">
        <is>
          <t>台</t>
        </is>
      </c>
      <c r="F1819" s="114" t="n">
        <v>1</v>
      </c>
      <c r="G1819" s="396">
        <f>IF(AND(B1819="",C1819=""),"",ROUND(M1819*L1819*N1819,2))</f>
        <v/>
      </c>
      <c r="H1819" s="396">
        <f>IF(AND(B1819="",C1819=""),"",ROUND(F1819*G1819,2))</f>
        <v/>
      </c>
      <c r="I1819" s="219" t="inlineStr"/>
      <c r="J1819" s="397">
        <f>IF(AND(B1819="",C1819=""),"",ROUND(M1819*N1819,2))</f>
        <v/>
      </c>
      <c r="K1819" s="398">
        <f>IF(AND(B1819="",C1819=""),"",ROUND(J1819*F1819,2))</f>
        <v/>
      </c>
      <c r="L1819" s="200" t="n">
        <v>1</v>
      </c>
      <c r="M1819" s="399" t="n">
        <v>4916</v>
      </c>
      <c r="N1819" s="154" t="n">
        <v>1</v>
      </c>
      <c r="O1819" s="155">
        <f>IF(AND(B1819="",C1819=""),"",IF(G1819&gt;=20000,0.05,IF(G1819&gt;=10000,0.1,IF(G1819&gt;=5000,0.2,IF(G1819&gt;=1000,0.3,IF(G1819&gt;=0,0.4,{0}))))))</f>
        <v/>
      </c>
      <c r="P1819" s="400">
        <f>IF(AND(B1819="",C1819=""),"",ROUND(H1819*O1819,2))</f>
        <v/>
      </c>
      <c r="Q1819" s="401" t="inlineStr">
        <is>
          <t>箱体</t>
        </is>
      </c>
      <c r="R1819" s="168" t="inlineStr"/>
      <c r="S1819" s="168" t="inlineStr"/>
      <c r="T1819" s="168" t="inlineStr">
        <is>
          <t>0</t>
        </is>
      </c>
      <c r="U1819" s="168" t="inlineStr"/>
      <c r="V1819" s="402" t="n"/>
      <c r="W1819" s="402" t="n"/>
      <c r="X1819" s="170" t="inlineStr">
        <is>
          <t>BlokSeT</t>
        </is>
      </c>
    </row>
    <row r="1820" s="308">
      <c r="A1820" s="64">
        <f>ROW()-ROW(A$1801)</f>
        <v/>
      </c>
      <c r="B1820" s="22" t="inlineStr"/>
      <c r="C1820" s="22" t="inlineStr"/>
      <c r="D1820" s="22" t="inlineStr"/>
      <c r="E1820" s="23" t="n"/>
      <c r="F1820" s="23">
        <f>IF(AND(B1820="",C1820=""),"",1)</f>
        <v/>
      </c>
      <c r="G1820" s="349">
        <f>IF(AND(B1820="",C1820=""),"",ROUND(M1820*L1820*N1820,2))</f>
        <v/>
      </c>
      <c r="H1820" s="349">
        <f>IF(AND(B1820="",C1820=""),"",ROUND(F1820*G1820,2))</f>
        <v/>
      </c>
      <c r="I1820" s="45" t="inlineStr"/>
      <c r="J1820" s="397">
        <f>IF(AND(B1820="",C1820=""),"",ROUND(M1820*N1820,2))</f>
        <v/>
      </c>
      <c r="K1820" s="398">
        <f>IF(AND(B1820="",C1820=""),"",ROUND(J1820*F1820,2))</f>
        <v/>
      </c>
      <c r="L1820" s="200">
        <f>IF(AND(B1820="",C1820=""),"",1)</f>
        <v/>
      </c>
      <c r="M1820" s="399" t="n"/>
      <c r="N1820" s="154">
        <f>IF(AND(B1820="",C1820=""),"",1)</f>
        <v/>
      </c>
      <c r="O1820" s="155">
        <f>IF(AND(B1820="",C1820=""),"",IF(J1820&gt;=20000,0.05,IF(J1820&gt;=10000,0.1,IF(J1820&gt;=5000,0.2,IF(J1820&gt;=1000,0.3,IF(J1820&gt;=0,0.4,{0}))))))</f>
        <v/>
      </c>
      <c r="P1820" s="400">
        <f>IF(AND(B1820="",C1820=""),"",ROUND(H1820*O1820,2))</f>
        <v/>
      </c>
      <c r="Q1820" s="401">
        <f>IF(AND(B1820="",C1820=""),"","元件")</f>
        <v/>
      </c>
      <c r="R1820" s="168" t="inlineStr"/>
      <c r="S1820" s="168" t="inlineStr"/>
      <c r="T1820" s="168" t="inlineStr"/>
      <c r="U1820" s="168" t="inlineStr"/>
      <c r="V1820" s="402" t="n"/>
      <c r="W1820" s="402" t="n"/>
      <c r="X1820" s="170" t="inlineStr"/>
    </row>
    <row r="1821" s="308">
      <c r="A1821" s="64">
        <f>ROW()-ROW(A$1801)</f>
        <v/>
      </c>
      <c r="B1821" s="171" t="inlineStr">
        <is>
          <t>小计</t>
        </is>
      </c>
      <c r="C1821" s="172" t="n"/>
      <c r="D1821" s="204" t="n"/>
      <c r="E1821" s="114" t="n"/>
      <c r="F1821" s="114" t="n"/>
      <c r="G1821" s="396" t="n"/>
      <c r="H1821" s="396">
        <f>ROUND(SUM(H1801:INDEX(H:H,ROW()-1)),2)</f>
        <v/>
      </c>
      <c r="I1821" s="45" t="inlineStr"/>
      <c r="J1821" s="397" t="n"/>
      <c r="K1821" s="398">
        <f>ROUND(SUM(K1801:INDEX(K:K,ROW()-1)),2)</f>
        <v/>
      </c>
      <c r="L1821" s="200" t="n"/>
      <c r="M1821" s="399" t="n"/>
      <c r="N1821" s="154" t="n"/>
      <c r="O1821" s="155" t="n"/>
      <c r="P1821" s="400" t="n"/>
      <c r="Q1821" s="401" t="n"/>
      <c r="R1821" s="168" t="inlineStr"/>
      <c r="S1821" s="168" t="inlineStr"/>
      <c r="T1821" s="168" t="inlineStr"/>
      <c r="U1821" s="168" t="inlineStr"/>
      <c r="V1821" s="402">
        <f>ROUND(SUMPRODUCT(F1801:INDEX(F:F,ROW()-1),V1801:INDEX(V:V,ROW()-1)),2)</f>
        <v/>
      </c>
      <c r="W1821" s="402">
        <f>ROUND(SUMPRODUCT(F1801:INDEX(F:F,ROW()-1),W1801:INDEX(W:W,ROW()-1)),2)</f>
        <v/>
      </c>
      <c r="X1821" s="170" t="inlineStr"/>
    </row>
    <row r="1822" s="308">
      <c r="A1822" s="64">
        <f>ROW()-ROW(A$1801)</f>
        <v/>
      </c>
      <c r="B1822" s="171" t="inlineStr">
        <is>
          <t>综合费(人工、管理、税金、利润等)</t>
        </is>
      </c>
      <c r="C1822" s="172" t="n"/>
      <c r="D1822" s="204" t="n"/>
      <c r="E1822" s="114" t="n"/>
      <c r="F1822" s="114" t="n"/>
      <c r="G1822" s="396" t="n"/>
      <c r="H1822" s="396">
        <f>2500</f>
        <v/>
      </c>
      <c r="I1822" s="45" t="inlineStr"/>
      <c r="J1822" s="397" t="n"/>
      <c r="K1822" s="398" t="n"/>
      <c r="L1822" s="200" t="n"/>
      <c r="M1822" s="399" t="n"/>
      <c r="N1822" s="154" t="n"/>
      <c r="O1822" s="155" t="n"/>
      <c r="P1822" s="400" t="n"/>
      <c r="Q1822" s="401" t="inlineStr">
        <is>
          <t>费用</t>
        </is>
      </c>
      <c r="R1822" s="168" t="inlineStr"/>
      <c r="S1822" s="168" t="inlineStr"/>
      <c r="T1822" s="168" t="inlineStr"/>
      <c r="U1822" s="168" t="inlineStr"/>
      <c r="V1822" s="402" t="n"/>
      <c r="W1822" s="402" t="n"/>
      <c r="X1822" s="170" t="inlineStr"/>
    </row>
    <row r="1823" s="308">
      <c r="A1823" s="64">
        <f>ROW()-ROW(A$1801)</f>
        <v/>
      </c>
      <c r="B1823" s="204" t="inlineStr">
        <is>
          <t>单台合计</t>
        </is>
      </c>
      <c r="C1823" s="172" t="n"/>
      <c r="D1823" s="204" t="n"/>
      <c r="E1823" s="114" t="n"/>
      <c r="F1823" s="114" t="n"/>
      <c r="G1823" s="396" t="n"/>
      <c r="H1823" s="396">
        <f>ROUND(SUM(H1821:H1822),2)</f>
        <v/>
      </c>
      <c r="I1823" s="181" t="n"/>
      <c r="J1823" s="397" t="n"/>
      <c r="K1823" s="398">
        <f>ROUND(SUM(K1821:K1822),2)</f>
        <v/>
      </c>
      <c r="L1823" s="209" t="n"/>
      <c r="M1823" s="399" t="n"/>
      <c r="N1823" s="210" t="n"/>
      <c r="O1823" s="211" t="n"/>
      <c r="P1823" s="400" t="n"/>
      <c r="Q1823" s="401" t="n"/>
      <c r="R1823" s="168" t="inlineStr"/>
      <c r="S1823" s="168" t="inlineStr"/>
      <c r="T1823" s="168" t="inlineStr"/>
      <c r="U1823" s="168" t="inlineStr"/>
      <c r="V1823" s="402" t="n"/>
      <c r="W1823" s="402" t="n"/>
      <c r="X1823" s="170" t="inlineStr"/>
    </row>
    <row r="1824" s="308">
      <c r="A1824" s="173" t="inlineStr">
        <is>
          <t>总计</t>
        </is>
      </c>
      <c r="B1824" s="205" t="n"/>
      <c r="C1824" s="175" t="n"/>
      <c r="D1824" s="206" t="n"/>
      <c r="E1824" s="206" t="inlineStr">
        <is>
          <t>台</t>
        </is>
      </c>
      <c r="F1824" s="206" t="n">
        <v>2</v>
      </c>
      <c r="G1824" s="414">
        <f>ROUND(H1823,2)</f>
        <v/>
      </c>
      <c r="H1824" s="414">
        <f>ROUND(F1824*G1824,2)</f>
        <v/>
      </c>
      <c r="I1824" s="185" t="n"/>
      <c r="J1824" s="415" t="n"/>
      <c r="K1824" s="416">
        <f>ROUND(K1823*F1824,2)</f>
        <v/>
      </c>
      <c r="L1824" s="214" t="n"/>
      <c r="M1824" s="417" t="n"/>
      <c r="N1824" s="216" t="n"/>
      <c r="O1824" s="217" t="n"/>
      <c r="P1824" s="418" t="n"/>
      <c r="Q1824" s="401" t="n"/>
      <c r="R1824" s="168" t="inlineStr"/>
      <c r="S1824" s="168" t="inlineStr"/>
      <c r="T1824" s="168" t="inlineStr"/>
      <c r="U1824" s="168" t="inlineStr"/>
      <c r="V1824" s="402" t="n"/>
      <c r="W1824" s="402" t="n"/>
      <c r="X1824" s="170" t="inlineStr"/>
    </row>
    <row r="1825" customFormat="1" s="4">
      <c r="A1825" s="6" t="n"/>
      <c r="B1825" s="195" t="inlineStr"/>
      <c r="C1825" s="195" t="inlineStr"/>
      <c r="D1825" s="195" t="inlineStr"/>
      <c r="Q1825" s="159" t="n"/>
      <c r="R1825" s="159" t="n"/>
      <c r="S1825" s="159" t="n"/>
      <c r="T1825" s="159" t="n"/>
      <c r="U1825" s="159" t="n"/>
      <c r="X1825" s="195" t="inlineStr"/>
    </row>
    <row r="1826" customFormat="1" s="4">
      <c r="A1826" s="6" t="n"/>
      <c r="B1826" s="195" t="inlineStr"/>
      <c r="C1826" s="195" t="inlineStr"/>
      <c r="D1826" s="195" t="inlineStr"/>
      <c r="Q1826" s="159" t="n"/>
      <c r="R1826" s="159" t="n"/>
      <c r="S1826" s="159" t="n"/>
      <c r="T1826" s="159" t="n"/>
      <c r="U1826" s="159" t="n"/>
      <c r="X1826" s="195" t="inlineStr"/>
    </row>
    <row r="1827" s="308">
      <c r="A1827" s="208">
        <f>CONCATENATE("报价人：",项目信息!$B$8)</f>
        <v/>
      </c>
      <c r="B1827" s="208" t="n"/>
      <c r="C1827" s="4" t="n"/>
      <c r="D1827" s="4" t="n"/>
      <c r="E1827" s="4" t="n"/>
      <c r="F1827" s="4" t="n"/>
      <c r="G1827" s="4" t="n"/>
      <c r="H1827" s="178">
        <f>项目信息!$B$9</f>
        <v/>
      </c>
      <c r="Q1827" s="159" t="n"/>
      <c r="R1827" s="159" t="n"/>
      <c r="S1827" s="159" t="n"/>
      <c r="T1827" s="159" t="n"/>
      <c r="U1827" s="159" t="n"/>
      <c r="X1827" s="203" t="inlineStr"/>
    </row>
    <row r="1828" s="308">
      <c r="A1828" s="8">
        <f>T(项目信息!$B$22)</f>
        <v/>
      </c>
      <c r="Q1828" s="159" t="n"/>
      <c r="R1828" s="159" t="n"/>
      <c r="S1828" s="159" t="n"/>
      <c r="T1828" s="159" t="n"/>
      <c r="U1828" s="159" t="n"/>
    </row>
    <row r="1829" s="308">
      <c r="A1829" s="9">
        <f>T(项目信息!$B$23)</f>
        <v/>
      </c>
      <c r="Q1829" s="159" t="n"/>
      <c r="R1829" s="159" t="n"/>
      <c r="S1829" s="159" t="n"/>
      <c r="T1829" s="159" t="n"/>
      <c r="U1829" s="159" t="n"/>
    </row>
    <row r="1830" s="308">
      <c r="A1830" s="97" t="inlineStr">
        <is>
          <t>成套产品报价明细表</t>
        </is>
      </c>
      <c r="B1830" s="378" t="n"/>
      <c r="C1830" s="378" t="n"/>
      <c r="D1830" s="378" t="n"/>
      <c r="E1830" s="378" t="n"/>
      <c r="F1830" s="378" t="n"/>
      <c r="G1830" s="378" t="n"/>
      <c r="H1830" s="378" t="n"/>
      <c r="I1830" s="378" t="n"/>
      <c r="Q1830" s="159" t="n"/>
      <c r="R1830" s="159" t="n"/>
      <c r="S1830" s="159" t="n"/>
      <c r="T1830" s="159" t="n"/>
      <c r="U1830" s="159" t="n"/>
    </row>
    <row r="1831" customFormat="1" s="2">
      <c r="A1831" s="98" t="inlineStr">
        <is>
          <t>柜号:</t>
        </is>
      </c>
      <c r="B1831" s="99" t="inlineStr">
        <is>
          <t>T5-AU12、T6-BU12</t>
        </is>
      </c>
      <c r="C1831" s="100" t="inlineStr">
        <is>
          <t>型号:</t>
        </is>
      </c>
      <c r="D1831" s="99" t="inlineStr">
        <is>
          <t>BlokSeT</t>
        </is>
      </c>
      <c r="E1831" s="379" t="n"/>
      <c r="F1831" s="101" t="inlineStr">
        <is>
          <t>名称:</t>
        </is>
      </c>
      <c r="G1831" s="99" t="inlineStr">
        <is>
          <t>进线柜</t>
        </is>
      </c>
      <c r="H1831" s="379" t="n"/>
      <c r="I1831" s="380" t="inlineStr"/>
      <c r="J1831" s="131" t="inlineStr">
        <is>
          <t>箱柜尺寸:</t>
        </is>
      </c>
      <c r="K1831" s="132" t="inlineStr">
        <is>
          <t>400W*1200D*2200H</t>
        </is>
      </c>
      <c r="L1831" s="131" t="inlineStr">
        <is>
          <t>类别:</t>
        </is>
      </c>
      <c r="M1831" s="132" t="inlineStr">
        <is>
          <t>低压固定柜</t>
        </is>
      </c>
      <c r="N1831" s="381" t="inlineStr"/>
      <c r="Q1831" s="160" t="n"/>
      <c r="R1831" s="160" t="n"/>
      <c r="S1831" s="160" t="n"/>
      <c r="T1831" s="160" t="n"/>
      <c r="U1831" s="160" t="n"/>
    </row>
    <row r="1832" ht="20.1" customFormat="1" customHeight="1" s="3">
      <c r="A1832" s="102" t="inlineStr">
        <is>
          <t>序号</t>
        </is>
      </c>
      <c r="B1832" s="103" t="inlineStr">
        <is>
          <t>元件名称</t>
        </is>
      </c>
      <c r="C1832" s="103" t="inlineStr">
        <is>
          <t>型号规格</t>
        </is>
      </c>
      <c r="D1832" s="104" t="inlineStr">
        <is>
          <t>生产厂家</t>
        </is>
      </c>
      <c r="E1832" s="105" t="inlineStr">
        <is>
          <t>单位</t>
        </is>
      </c>
      <c r="F1832" s="105" t="inlineStr">
        <is>
          <t>数量</t>
        </is>
      </c>
      <c r="G1832" s="382" t="inlineStr">
        <is>
          <t>单   价</t>
        </is>
      </c>
      <c r="H1832" s="383" t="inlineStr">
        <is>
          <t>总   价</t>
        </is>
      </c>
      <c r="I1832" s="134" t="inlineStr">
        <is>
          <t>备注</t>
        </is>
      </c>
      <c r="J1832" s="384" t="inlineStr">
        <is>
          <t>成本单价</t>
        </is>
      </c>
      <c r="K1832" s="384" t="inlineStr">
        <is>
          <t>成本总价</t>
        </is>
      </c>
      <c r="L1832" s="136" t="inlineStr">
        <is>
          <t>报出
系数</t>
        </is>
      </c>
      <c r="M1832" s="384" t="inlineStr">
        <is>
          <t>表价</t>
        </is>
      </c>
      <c r="N1832" s="136" t="inlineStr">
        <is>
          <t>折扣
系数</t>
        </is>
      </c>
      <c r="O1832" s="137" t="inlineStr">
        <is>
          <t>取费
系数</t>
        </is>
      </c>
      <c r="P1832" s="384" t="inlineStr">
        <is>
          <t>成套费</t>
        </is>
      </c>
      <c r="Q1832" s="161" t="inlineStr">
        <is>
          <t>类别</t>
        </is>
      </c>
      <c r="R1832" s="161" t="inlineStr">
        <is>
          <t>物料编码</t>
        </is>
      </c>
      <c r="S1832" s="161" t="inlineStr">
        <is>
          <t>产地</t>
        </is>
      </c>
      <c r="T1832" s="161" t="inlineStr">
        <is>
          <t>加工费</t>
        </is>
      </c>
      <c r="U1832" s="161" t="inlineStr">
        <is>
          <t>订货号</t>
        </is>
      </c>
      <c r="V1832" s="161" t="inlineStr">
        <is>
          <t>人工</t>
        </is>
      </c>
      <c r="W1832" s="161" t="inlineStr">
        <is>
          <t>辅料</t>
        </is>
      </c>
      <c r="X1832" s="162" t="inlineStr"/>
    </row>
    <row r="1833" customFormat="1" s="3">
      <c r="A1833" s="108">
        <f>ROW()-ROW(A$1832)</f>
        <v/>
      </c>
      <c r="B1833" s="109" t="inlineStr">
        <is>
          <t>双电源</t>
        </is>
      </c>
      <c r="C1833" s="22" t="inlineStr">
        <is>
          <t>MT12 N1a SG 3P MIC5.0 E</t>
        </is>
      </c>
      <c r="D1833" s="22" t="inlineStr">
        <is>
          <t>甲供/施耐德电气</t>
        </is>
      </c>
      <c r="E1833" s="110" t="inlineStr">
        <is>
          <t>只</t>
        </is>
      </c>
      <c r="F1833" s="110" t="n">
        <v>1</v>
      </c>
      <c r="G1833" s="385">
        <f>IF(AND(B1833="",C1833=""),"",ROUND(M1833*L1833*N1833,2))</f>
        <v/>
      </c>
      <c r="H1833" s="385">
        <f>IF(AND(B1833="",C1833=""),"",ROUND(F1833*G1833,2))</f>
        <v/>
      </c>
      <c r="I1833" s="138" t="inlineStr"/>
      <c r="J1833" s="386">
        <f>IF(AND(B1833="",C1833=""),"",ROUND(M1833*N1833,2))</f>
        <v/>
      </c>
      <c r="K1833" s="387">
        <f>IF(AND(B1833="",C1833=""),"",ROUND(J1833*F1833,2))</f>
        <v/>
      </c>
      <c r="L1833" s="141" t="n">
        <v>1</v>
      </c>
      <c r="M1833" s="388" t="n">
        <v>1e-07</v>
      </c>
      <c r="N1833" s="143" t="n">
        <v>1</v>
      </c>
      <c r="O1833" s="144">
        <f>IF(AND(B1833="",C1833=""),"",IF(G1833&gt;=20000,0.05,IF(G1833&gt;=10000,0.1,IF(G1833&gt;=5000,0.2,IF(G1833&gt;=1000,0.3,IF(G1833&gt;=0,0.4,{0}))))))</f>
        <v/>
      </c>
      <c r="P1833" s="389">
        <f>IF(AND(B1833="",C1833=""),"",ROUND(H1833*O1833,2))</f>
        <v/>
      </c>
      <c r="Q1833" s="390" t="inlineStr">
        <is>
          <t>元件</t>
        </is>
      </c>
      <c r="R1833" s="164" t="inlineStr"/>
      <c r="S1833" s="164" t="inlineStr"/>
      <c r="T1833" s="164" t="inlineStr">
        <is>
          <t>0</t>
        </is>
      </c>
      <c r="U1833" s="164" t="inlineStr">
        <is>
          <t>48327+48500+33542+48527+48494+48484+48408+48603+48170+48175+48384</t>
        </is>
      </c>
      <c r="V1833" s="391" t="n"/>
      <c r="W1833" s="391" t="n"/>
      <c r="X1833"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1834" customFormat="1" s="3">
      <c r="A1834" s="64">
        <f>ROW()-ROW(A$1832)</f>
        <v/>
      </c>
      <c r="B1834" s="27" t="inlineStr">
        <is>
          <t>多功能表</t>
        </is>
      </c>
      <c r="C1834" s="22" t="inlineStr">
        <is>
          <t>PM4101</t>
        </is>
      </c>
      <c r="D1834" s="22" t="inlineStr">
        <is>
          <t>甲供/施耐德电气</t>
        </is>
      </c>
      <c r="E1834" s="110" t="inlineStr">
        <is>
          <t>只</t>
        </is>
      </c>
      <c r="F1834" s="23" t="n">
        <v>1</v>
      </c>
      <c r="G1834" s="353">
        <f>IF(AND(B1834="",C1834=""),"",ROUND(M1834*L1834*N1834,2))</f>
        <v/>
      </c>
      <c r="H1834" s="349">
        <f>IF(AND(B1834="",C1834=""),"",ROUND(F1834*G1834,2))</f>
        <v/>
      </c>
      <c r="I1834" s="45" t="inlineStr"/>
      <c r="J1834" s="392">
        <f>IF(AND(B1834="",C1834=""),"",ROUND(M1834*N1834,2))</f>
        <v/>
      </c>
      <c r="K1834" s="393">
        <f>IF(AND(B1834="",C1834=""),"",ROUND(J1834*F1834,2))</f>
        <v/>
      </c>
      <c r="L1834" s="141" t="n">
        <v>1</v>
      </c>
      <c r="M1834" s="394" t="n">
        <v>1e-07</v>
      </c>
      <c r="N1834" s="143" t="n">
        <v>1</v>
      </c>
      <c r="O1834" s="144">
        <f>IF(AND(B1834="",C1834=""),"",IF(G1834&gt;=20000,0.05,IF(G1834&gt;=10000,0.1,IF(G1834&gt;=5000,0.2,IF(G1834&gt;=1000,0.3,IF(G1834&gt;=0,0.4,{0}))))))</f>
        <v/>
      </c>
      <c r="P1834" s="395">
        <f>IF(AND(B1834="",C1834=""),"",ROUND(H1834*O1834,2))</f>
        <v/>
      </c>
      <c r="Q1834" s="390" t="inlineStr">
        <is>
          <t>元件</t>
        </is>
      </c>
      <c r="R1834" s="164" t="inlineStr"/>
      <c r="S1834" s="164" t="inlineStr"/>
      <c r="T1834" s="164" t="inlineStr">
        <is>
          <t>0</t>
        </is>
      </c>
      <c r="U1834" s="164" t="inlineStr">
        <is>
          <t>True</t>
        </is>
      </c>
      <c r="V1834" s="391" t="n"/>
      <c r="W1834" s="391" t="n"/>
      <c r="X1834" s="166" t="inlineStr">
        <is>
          <t>PM→PM4633→PM4201</t>
        </is>
      </c>
    </row>
    <row r="1835" customFormat="1" s="3">
      <c r="A1835" s="64">
        <f>ROW()-ROW(A$1832)</f>
        <v/>
      </c>
      <c r="B1835" s="27" t="inlineStr">
        <is>
          <t>电流互感器</t>
        </is>
      </c>
      <c r="C1835" s="22" t="inlineStr">
        <is>
          <t>SD-0.66-80II-V 1250/5A</t>
        </is>
      </c>
      <c r="D1835" s="27" t="inlineStr">
        <is>
          <t>桑迪</t>
        </is>
      </c>
      <c r="E1835" s="110" t="inlineStr">
        <is>
          <t>只</t>
        </is>
      </c>
      <c r="F1835" s="23" t="n">
        <v>3</v>
      </c>
      <c r="G1835" s="349">
        <f>IF(AND(B1835="",C1835=""),"",ROUND(M1835*L1835*N1835,2))</f>
        <v/>
      </c>
      <c r="H1835" s="349">
        <f>IF(AND(B1835="",C1835=""),"",ROUND(F1835*G1835,2))</f>
        <v/>
      </c>
      <c r="I1835" s="45" t="inlineStr"/>
      <c r="J1835" s="392">
        <f>IF(AND(B1835="",C1835=""),"",ROUND(M1835*N1835,2))</f>
        <v/>
      </c>
      <c r="K1835" s="393">
        <f>IF(AND(B1835="",C1835=""),"",ROUND(J1835*F1835,2))</f>
        <v/>
      </c>
      <c r="L1835" s="141" t="n">
        <v>1</v>
      </c>
      <c r="M1835" s="394" t="n">
        <v>115.7</v>
      </c>
      <c r="N1835" s="143" t="n">
        <v>1</v>
      </c>
      <c r="O1835" s="144">
        <f>IF(AND(B1835="",C1835=""),"",IF(G1835&gt;=20000,0.05,IF(G1835&gt;=10000,0.1,IF(G1835&gt;=5000,0.2,IF(G1835&gt;=1000,0.3,IF(G1835&gt;=0,0.4,{0}))))))</f>
        <v/>
      </c>
      <c r="P1835" s="395">
        <f>IF(AND(B1835="",C1835=""),"",ROUND(H1835*O1835,2))</f>
        <v/>
      </c>
      <c r="Q1835" s="390" t="inlineStr">
        <is>
          <t>元件</t>
        </is>
      </c>
      <c r="R1835" s="164" t="inlineStr"/>
      <c r="S1835" s="164" t="inlineStr"/>
      <c r="T1835" s="164" t="inlineStr">
        <is>
          <t>0</t>
        </is>
      </c>
      <c r="U1835" s="164" t="inlineStr">
        <is>
          <t>710141426552500</t>
        </is>
      </c>
      <c r="V1835" s="391" t="n"/>
      <c r="W1835" s="391" t="n"/>
      <c r="X1835"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1600/5A→SD-0.66-160III-C 5000/5A→SD-0.66-130III-V 3000/5A→SD-0.66-100II-C 2000/5A→SD-0.66-80II-V 800/5A→SD-0.66-80II-V 1000/5A</t>
        </is>
      </c>
    </row>
    <row r="1836" customFormat="1" s="3">
      <c r="A1836" s="64">
        <f>ROW()-ROW(A$1832)</f>
        <v/>
      </c>
      <c r="B1836" s="27" t="inlineStr">
        <is>
          <t>后备保护器</t>
        </is>
      </c>
      <c r="C1836" s="22" t="inlineStr">
        <is>
          <t>iSCB2 40H2 4P</t>
        </is>
      </c>
      <c r="D1836" s="22" t="inlineStr">
        <is>
          <t>甲供/施耐德万高</t>
        </is>
      </c>
      <c r="E1836" s="110" t="inlineStr">
        <is>
          <t>只</t>
        </is>
      </c>
      <c r="F1836" s="23" t="n">
        <v>1</v>
      </c>
      <c r="G1836" s="349">
        <f>IF(AND(B1836="",C1836=""),"",ROUND(M1836*L1836*N1836,2))</f>
        <v/>
      </c>
      <c r="H1836" s="349">
        <f>IF(AND(B1836="",C1836=""),"",ROUND(F1836*G1836,2))</f>
        <v/>
      </c>
      <c r="I1836" s="45" t="inlineStr"/>
      <c r="J1836" s="392">
        <f>IF(AND(B1836="",C1836=""),"",ROUND(M1836*N1836,2))</f>
        <v/>
      </c>
      <c r="K1836" s="393">
        <f>IF(AND(B1836="",C1836=""),"",ROUND(J1836*F1836,2))</f>
        <v/>
      </c>
      <c r="L1836" s="141" t="n">
        <v>1</v>
      </c>
      <c r="M1836" s="394" t="n">
        <v>1e-07</v>
      </c>
      <c r="N1836" s="143" t="n">
        <v>1</v>
      </c>
      <c r="O1836" s="144">
        <f>IF(AND(B1836="",C1836=""),"",IF(G1836&gt;=20000,0.05,IF(G1836&gt;=10000,0.1,IF(G1836&gt;=5000,0.2,IF(G1836&gt;=1000,0.3,IF(G1836&gt;=0,0.4,{0}))))))</f>
        <v/>
      </c>
      <c r="P1836" s="395">
        <f>IF(AND(B1836="",C1836=""),"",ROUND(H1836*O1836,2))</f>
        <v/>
      </c>
      <c r="Q1836" s="390" t="inlineStr">
        <is>
          <t>元件</t>
        </is>
      </c>
      <c r="R1836" s="164" t="inlineStr"/>
      <c r="S1836" s="164" t="inlineStr"/>
      <c r="T1836" s="164" t="inlineStr">
        <is>
          <t>0</t>
        </is>
      </c>
      <c r="U1836" s="164" t="inlineStr">
        <is>
          <t>A9L102554</t>
        </is>
      </c>
      <c r="V1836" s="391" t="n"/>
      <c r="W1836" s="391" t="n"/>
      <c r="X1836" s="166" t="inlineStr">
        <is>
          <t>iSCB1 25L1 4P→iSCB2 40H2 4P</t>
        </is>
      </c>
    </row>
    <row r="1837" customFormat="1" s="3">
      <c r="A1837" s="64">
        <f>ROW()-ROW(A$1832)</f>
        <v/>
      </c>
      <c r="B1837" s="27" t="inlineStr">
        <is>
          <t>电涌保护器</t>
        </is>
      </c>
      <c r="C1837" s="22" t="inlineStr">
        <is>
          <t>iPRU 40r 3P+N</t>
        </is>
      </c>
      <c r="D1837" s="22" t="inlineStr">
        <is>
          <t>甲供/施耐德万高</t>
        </is>
      </c>
      <c r="E1837" s="110" t="inlineStr">
        <is>
          <t>只</t>
        </is>
      </c>
      <c r="F1837" s="23" t="n">
        <v>1</v>
      </c>
      <c r="G1837" s="349">
        <f>IF(AND(B1837="",C1837=""),"",ROUND(M1837*L1837*N1837,2))</f>
        <v/>
      </c>
      <c r="H1837" s="349">
        <f>IF(AND(B1837="",C1837=""),"",ROUND(F1837*G1837,2))</f>
        <v/>
      </c>
      <c r="I1837" s="45" t="inlineStr"/>
      <c r="J1837" s="392">
        <f>IF(AND(B1837="",C1837=""),"",ROUND(M1837*N1837,2))</f>
        <v/>
      </c>
      <c r="K1837" s="393">
        <f>IF(AND(B1837="",C1837=""),"",ROUND(J1837*F1837,2))</f>
        <v/>
      </c>
      <c r="L1837" s="141" t="n">
        <v>1</v>
      </c>
      <c r="M1837" s="394" t="n">
        <v>1e-07</v>
      </c>
      <c r="N1837" s="143" t="n">
        <v>1</v>
      </c>
      <c r="O1837" s="144">
        <f>IF(AND(B1837="",C1837=""),"",IF(G1837&gt;=20000,0.05,IF(G1837&gt;=10000,0.1,IF(G1837&gt;=5000,0.2,IF(G1837&gt;=1000,0.3,IF(G1837&gt;=0,0.4,{0}))))))</f>
        <v/>
      </c>
      <c r="P1837" s="395">
        <f>IF(AND(B1837="",C1837=""),"",ROUND(H1837*O1837,2))</f>
        <v/>
      </c>
      <c r="Q1837" s="390" t="inlineStr">
        <is>
          <t>元件</t>
        </is>
      </c>
      <c r="R1837" s="164" t="inlineStr"/>
      <c r="S1837" s="164" t="inlineStr"/>
      <c r="T1837" s="164" t="inlineStr">
        <is>
          <t>0</t>
        </is>
      </c>
      <c r="U1837" s="164" t="inlineStr">
        <is>
          <t>A9L620601</t>
        </is>
      </c>
      <c r="V1837" s="391" t="n"/>
      <c r="W1837" s="391" t="n"/>
      <c r="X1837" s="166" t="inlineStr">
        <is>
          <t>iPRF1 12.5r 3P+N→iPRU 40r 3P→iPRF1 12.5r 3P+N</t>
        </is>
      </c>
    </row>
    <row r="1838" customFormat="1" s="3">
      <c r="A1838" s="64">
        <f>ROW()-ROW(A$1832)</f>
        <v/>
      </c>
      <c r="B1838" s="27" t="inlineStr">
        <is>
          <t>微型断路器</t>
        </is>
      </c>
      <c r="C1838" s="22" t="inlineStr">
        <is>
          <t>iC65H 2P C16A</t>
        </is>
      </c>
      <c r="D1838" s="22" t="inlineStr">
        <is>
          <t>甲供/施耐德电气</t>
        </is>
      </c>
      <c r="E1838" s="110" t="inlineStr">
        <is>
          <t>只</t>
        </is>
      </c>
      <c r="F1838" s="23" t="n">
        <v>2</v>
      </c>
      <c r="G1838" s="349">
        <f>IF(AND(B1838="",C1838=""),"",ROUND(M1838*L1838*N1838,2))</f>
        <v/>
      </c>
      <c r="H1838" s="349">
        <f>IF(AND(B1838="",C1838=""),"",ROUND(F1838*G1838,2))</f>
        <v/>
      </c>
      <c r="I1838" s="45" t="inlineStr"/>
      <c r="J1838" s="392">
        <f>IF(AND(B1838="",C1838=""),"",ROUND(M1838*N1838,2))</f>
        <v/>
      </c>
      <c r="K1838" s="393">
        <f>IF(AND(B1838="",C1838=""),"",ROUND(J1838*F1838,2))</f>
        <v/>
      </c>
      <c r="L1838" s="141" t="n">
        <v>1</v>
      </c>
      <c r="M1838" s="394" t="n">
        <v>1e-07</v>
      </c>
      <c r="N1838" s="143" t="n">
        <v>1</v>
      </c>
      <c r="O1838" s="144">
        <f>IF(AND(B1838="",C1838=""),"",IF(G1838&gt;=20000,0.05,IF(G1838&gt;=10000,0.1,IF(G1838&gt;=5000,0.2,IF(G1838&gt;=1000,0.3,IF(G1838&gt;=0,0.4,{0}))))))</f>
        <v/>
      </c>
      <c r="P1838" s="395">
        <f>IF(AND(B1838="",C1838=""),"",ROUND(H1838*O1838,2))</f>
        <v/>
      </c>
      <c r="Q1838" s="390" t="inlineStr">
        <is>
          <t>元件</t>
        </is>
      </c>
      <c r="R1838" s="164" t="inlineStr"/>
      <c r="S1838" s="164" t="inlineStr"/>
      <c r="T1838" s="164" t="n">
        <v>0</v>
      </c>
      <c r="U1838" s="164" t="inlineStr"/>
      <c r="V1838" s="391" t="n"/>
      <c r="W1838" s="391" t="n"/>
      <c r="X1838" s="166" t="inlineStr"/>
    </row>
    <row r="1839" s="308">
      <c r="A1839" s="64">
        <f>ROW()-ROW(A$1832)</f>
        <v/>
      </c>
      <c r="B1839" s="112" t="inlineStr">
        <is>
          <t>温湿度控制器</t>
        </is>
      </c>
      <c r="C1839" s="112" t="inlineStr">
        <is>
          <t>ATH48G-11</t>
        </is>
      </c>
      <c r="D1839" s="22" t="inlineStr">
        <is>
          <t>杭州安廷</t>
        </is>
      </c>
      <c r="E1839" s="23" t="inlineStr">
        <is>
          <t>套</t>
        </is>
      </c>
      <c r="F1839" s="23" t="n">
        <v>1</v>
      </c>
      <c r="G1839" s="349">
        <f>IF(AND(B1839="",C1839=""),"",ROUND(M1839*L1839*N1839,2))</f>
        <v/>
      </c>
      <c r="H1839" s="396">
        <f>IF(AND(B1839="",C1839=""),"",ROUND(F1839*G1839,2))</f>
        <v/>
      </c>
      <c r="I1839" s="150" t="inlineStr"/>
      <c r="J1839" s="397">
        <f>IF(AND(B1839="",C1839=""),"",ROUND(M1839*N1839,2))</f>
        <v/>
      </c>
      <c r="K1839" s="398">
        <f>IF(AND(B1839="",C1839=""),"",ROUND(J1839*F1839,2))</f>
        <v/>
      </c>
      <c r="L1839" s="141" t="n">
        <v>1</v>
      </c>
      <c r="M1839" s="399" t="n">
        <v>450</v>
      </c>
      <c r="N1839" s="154" t="n">
        <v>1</v>
      </c>
      <c r="O1839" s="155">
        <f>IF(AND(B1839="",C1839=""),"",IF(G1839&gt;=20000,0.05,IF(G1839&gt;=10000,0.1,IF(G1839&gt;=5000,0.2,IF(G1839&gt;=1000,0.3,IF(G1839&gt;=0,0.4,{0}))))))</f>
        <v/>
      </c>
      <c r="P1839" s="400">
        <f>IF(AND(B1839="",C1839=""),"",ROUND(H1839*O1839,2))</f>
        <v/>
      </c>
      <c r="Q1839" s="401" t="inlineStr">
        <is>
          <t>元件</t>
        </is>
      </c>
      <c r="R1839" s="168" t="inlineStr"/>
      <c r="S1839" s="168" t="inlineStr"/>
      <c r="T1839" s="168" t="inlineStr">
        <is>
          <t>0</t>
        </is>
      </c>
      <c r="U1839" s="168" t="inlineStr"/>
      <c r="V1839" s="402" t="n"/>
      <c r="W1839" s="402" t="n"/>
      <c r="X1839" s="170" t="inlineStr"/>
    </row>
    <row r="1840" s="308">
      <c r="A1840" s="64">
        <f>ROW()-ROW(A$1832)</f>
        <v/>
      </c>
      <c r="B1840" s="112" t="inlineStr">
        <is>
          <t>指示灯</t>
        </is>
      </c>
      <c r="C1840" s="112" t="inlineStr">
        <is>
          <t>XB2BVM3LC</t>
        </is>
      </c>
      <c r="D1840" s="112" t="inlineStr">
        <is>
          <t>甲供/施耐德电气</t>
        </is>
      </c>
      <c r="E1840" s="114" t="inlineStr">
        <is>
          <t>只</t>
        </is>
      </c>
      <c r="F1840" s="114" t="n">
        <v>1</v>
      </c>
      <c r="G1840" s="396">
        <f>IF(AND(B1840="",C1840=""),"",ROUND(M1840*L1840*N1840,2))</f>
        <v/>
      </c>
      <c r="H1840" s="396">
        <f>IF(AND(B1840="",C1840=""),"",ROUND(F1840*G1840,2))</f>
        <v/>
      </c>
      <c r="I1840" s="150" t="inlineStr"/>
      <c r="J1840" s="397">
        <f>IF(AND(B1840="",C1840=""),"",ROUND(M1840*N1840,2))</f>
        <v/>
      </c>
      <c r="K1840" s="398">
        <f>IF(AND(B1840="",C1840=""),"",ROUND(J1840*F1840,2))</f>
        <v/>
      </c>
      <c r="L1840" s="141" t="n">
        <v>1</v>
      </c>
      <c r="M1840" s="399" t="n">
        <v>1e-07</v>
      </c>
      <c r="N1840" s="154" t="n">
        <v>1</v>
      </c>
      <c r="O1840" s="155">
        <f>IF(AND(B1840="",C1840=""),"",IF(G1840&gt;=20000,0.05,IF(G1840&gt;=10000,0.1,IF(G1840&gt;=5000,0.2,IF(G1840&gt;=1000,0.3,IF(G1840&gt;=0,0.4,{0}))))))</f>
        <v/>
      </c>
      <c r="P1840" s="400">
        <f>IF(AND(B1840="",C1840=""),"",ROUND(H1840*O1840,2))</f>
        <v/>
      </c>
      <c r="Q1840" s="401" t="inlineStr">
        <is>
          <t>元件</t>
        </is>
      </c>
      <c r="R1840" s="168" t="inlineStr"/>
      <c r="S1840" s="168" t="inlineStr"/>
      <c r="T1840" s="168" t="inlineStr">
        <is>
          <t>0</t>
        </is>
      </c>
      <c r="U1840" s="168" t="inlineStr">
        <is>
          <t>XA2EVM3LC</t>
        </is>
      </c>
      <c r="V1840" s="402" t="n"/>
      <c r="W1840" s="402" t="n"/>
      <c r="X1840" s="170" t="inlineStr"/>
    </row>
    <row r="1841" s="308">
      <c r="A1841" s="64">
        <f>ROW()-ROW(A$1832)</f>
        <v/>
      </c>
      <c r="B1841" s="112" t="inlineStr">
        <is>
          <t>指示灯</t>
        </is>
      </c>
      <c r="C1841" s="22" t="inlineStr">
        <is>
          <t>XB2BVM4LC</t>
        </is>
      </c>
      <c r="D1841" s="112" t="inlineStr">
        <is>
          <t>甲供/施耐德电气</t>
        </is>
      </c>
      <c r="E1841" s="114" t="inlineStr">
        <is>
          <t>只</t>
        </is>
      </c>
      <c r="F1841" s="114" t="n">
        <v>1</v>
      </c>
      <c r="G1841" s="396">
        <f>IF(AND(B1841="",C1841=""),"",ROUND(M1841*L1841*N1841,2))</f>
        <v/>
      </c>
      <c r="H1841" s="396">
        <f>IF(AND(B1841="",C1841=""),"",ROUND(F1841*G1841,2))</f>
        <v/>
      </c>
      <c r="I1841" s="150" t="inlineStr"/>
      <c r="J1841" s="397">
        <f>IF(AND(B1841="",C1841=""),"",ROUND(M1841*N1841,2))</f>
        <v/>
      </c>
      <c r="K1841" s="398">
        <f>IF(AND(B1841="",C1841=""),"",ROUND(J1841*F1841,2))</f>
        <v/>
      </c>
      <c r="L1841" s="141" t="n">
        <v>1</v>
      </c>
      <c r="M1841" s="399" t="n">
        <v>1e-07</v>
      </c>
      <c r="N1841" s="154" t="n">
        <v>1</v>
      </c>
      <c r="O1841" s="155">
        <f>IF(AND(B1841="",C1841=""),"",IF(G1841&gt;=20000,0.05,IF(G1841&gt;=10000,0.1,IF(G1841&gt;=5000,0.2,IF(G1841&gt;=1000,0.3,IF(G1841&gt;=0,0.4,{0}))))))</f>
        <v/>
      </c>
      <c r="P1841" s="400">
        <f>IF(AND(B1841="",C1841=""),"",ROUND(H1841*O1841,2))</f>
        <v/>
      </c>
      <c r="Q1841" s="401" t="inlineStr">
        <is>
          <t>元件</t>
        </is>
      </c>
      <c r="R1841" s="168" t="inlineStr"/>
      <c r="S1841" s="168" t="inlineStr"/>
      <c r="T1841" s="168" t="inlineStr">
        <is>
          <t>0</t>
        </is>
      </c>
      <c r="U1841" s="168" t="inlineStr">
        <is>
          <t>XA2EVM4LC</t>
        </is>
      </c>
      <c r="V1841" s="402" t="n"/>
      <c r="W1841" s="402" t="n"/>
      <c r="X1841" s="170" t="inlineStr"/>
    </row>
    <row r="1842" s="308">
      <c r="A1842" s="64">
        <f>ROW()-ROW(A$1832)</f>
        <v/>
      </c>
      <c r="B1842" s="112" t="inlineStr">
        <is>
          <t>指示灯</t>
        </is>
      </c>
      <c r="C1842" s="112" t="inlineStr">
        <is>
          <t>XB2BVM5LC</t>
        </is>
      </c>
      <c r="D1842" s="112" t="inlineStr">
        <is>
          <t>甲供/施耐德电气</t>
        </is>
      </c>
      <c r="E1842" s="114" t="inlineStr">
        <is>
          <t>只</t>
        </is>
      </c>
      <c r="F1842" s="114" t="n">
        <v>1</v>
      </c>
      <c r="G1842" s="396">
        <f>IF(AND(B1842="",C1842=""),"",ROUND(M1842*L1842*N1842,2))</f>
        <v/>
      </c>
      <c r="H1842" s="396">
        <f>IF(AND(B1842="",C1842=""),"",ROUND(F1842*G1842,2))</f>
        <v/>
      </c>
      <c r="I1842" s="150" t="inlineStr"/>
      <c r="J1842" s="397">
        <f>IF(AND(B1842="",C1842=""),"",ROUND(M1842*N1842,2))</f>
        <v/>
      </c>
      <c r="K1842" s="398">
        <f>IF(AND(B1842="",C1842=""),"",ROUND(J1842*F1842,2))</f>
        <v/>
      </c>
      <c r="L1842" s="141" t="n">
        <v>1</v>
      </c>
      <c r="M1842" s="399" t="n">
        <v>1e-07</v>
      </c>
      <c r="N1842" s="154" t="n">
        <v>1</v>
      </c>
      <c r="O1842" s="155">
        <f>IF(AND(B1842="",C1842=""),"",IF(G1842&gt;=20000,0.05,IF(G1842&gt;=10000,0.1,IF(G1842&gt;=5000,0.2,IF(G1842&gt;=1000,0.3,IF(G1842&gt;=0,0.4,{0}))))))</f>
        <v/>
      </c>
      <c r="P1842" s="400">
        <f>IF(AND(B1842="",C1842=""),"",ROUND(H1842*O1842,2))</f>
        <v/>
      </c>
      <c r="Q1842" s="401" t="inlineStr">
        <is>
          <t>元件</t>
        </is>
      </c>
      <c r="R1842" s="168" t="inlineStr"/>
      <c r="S1842" s="168" t="inlineStr"/>
      <c r="T1842" s="168" t="inlineStr">
        <is>
          <t>0</t>
        </is>
      </c>
      <c r="U1842" s="168" t="inlineStr">
        <is>
          <t>XA2EVM5LC</t>
        </is>
      </c>
      <c r="V1842" s="402" t="n"/>
      <c r="W1842" s="402" t="n"/>
      <c r="X1842" s="170" t="inlineStr"/>
    </row>
    <row r="1843" s="308">
      <c r="A1843" s="64">
        <f>ROW()-ROW(A$1832)</f>
        <v/>
      </c>
      <c r="B1843" s="112" t="inlineStr">
        <is>
          <t>按钮</t>
        </is>
      </c>
      <c r="C1843" s="112" t="inlineStr">
        <is>
          <t>XB2BA31C</t>
        </is>
      </c>
      <c r="D1843" s="112" t="inlineStr">
        <is>
          <t>甲供/施耐德电气</t>
        </is>
      </c>
      <c r="E1843" s="114" t="inlineStr">
        <is>
          <t>只</t>
        </is>
      </c>
      <c r="F1843" s="114" t="n">
        <v>1</v>
      </c>
      <c r="G1843" s="396">
        <f>IF(AND(B1843="",C1843=""),"",ROUND(M1843*L1843*N1843,2))</f>
        <v/>
      </c>
      <c r="H1843" s="396">
        <f>IF(AND(B1843="",C1843=""),"",ROUND(F1843*G1843,2))</f>
        <v/>
      </c>
      <c r="I1843" s="150" t="inlineStr"/>
      <c r="J1843" s="397">
        <f>IF(AND(B1843="",C1843=""),"",ROUND(M1843*N1843,2))</f>
        <v/>
      </c>
      <c r="K1843" s="398">
        <f>IF(AND(B1843="",C1843=""),"",ROUND(J1843*F1843,2))</f>
        <v/>
      </c>
      <c r="L1843" s="141" t="n">
        <v>1</v>
      </c>
      <c r="M1843" s="399" t="n">
        <v>1e-07</v>
      </c>
      <c r="N1843" s="154" t="n">
        <v>1</v>
      </c>
      <c r="O1843" s="155">
        <f>IF(AND(B1843="",C1843=""),"",IF(G1843&gt;=20000,0.05,IF(G1843&gt;=10000,0.1,IF(G1843&gt;=5000,0.2,IF(G1843&gt;=1000,0.3,IF(G1843&gt;=0,0.4,{0}))))))</f>
        <v/>
      </c>
      <c r="P1843" s="400">
        <f>IF(AND(B1843="",C1843=""),"",ROUND(H1843*O1843,2))</f>
        <v/>
      </c>
      <c r="Q1843" s="401" t="inlineStr">
        <is>
          <t>元件</t>
        </is>
      </c>
      <c r="R1843" s="168" t="inlineStr"/>
      <c r="S1843" s="168" t="inlineStr"/>
      <c r="T1843" s="168" t="inlineStr">
        <is>
          <t>0</t>
        </is>
      </c>
      <c r="U1843" s="168" t="inlineStr">
        <is>
          <t>XB2BA31C</t>
        </is>
      </c>
      <c r="V1843" s="402" t="n"/>
      <c r="W1843" s="402" t="n"/>
      <c r="X1843" s="170" t="inlineStr">
        <is>
          <t>XA2EA31</t>
        </is>
      </c>
    </row>
    <row r="1844" s="308">
      <c r="A1844" s="64">
        <f>ROW()-ROW(A$1832)</f>
        <v/>
      </c>
      <c r="B1844" s="22" t="inlineStr">
        <is>
          <t>按钮</t>
        </is>
      </c>
      <c r="C1844" s="22" t="inlineStr">
        <is>
          <t>XB2BA42C</t>
        </is>
      </c>
      <c r="D1844" s="22" t="inlineStr">
        <is>
          <t>甲供/施耐德电气</t>
        </is>
      </c>
      <c r="E1844" s="23" t="inlineStr">
        <is>
          <t>只</t>
        </is>
      </c>
      <c r="F1844" s="23" t="n">
        <v>1</v>
      </c>
      <c r="G1844" s="349">
        <f>IF(AND(B1844="",C1844=""),"",ROUND(M1844*L1844*N1844,2))</f>
        <v/>
      </c>
      <c r="H1844" s="396">
        <f>IF(AND(B1844="",C1844=""),"",ROUND(F1844*G1844,2))</f>
        <v/>
      </c>
      <c r="I1844" s="150" t="inlineStr"/>
      <c r="J1844" s="397">
        <f>IF(AND(B1844="",C1844=""),"",ROUND(M1844*N1844,2))</f>
        <v/>
      </c>
      <c r="K1844" s="398">
        <f>IF(AND(B1844="",C1844=""),"",ROUND(J1844*F1844,2))</f>
        <v/>
      </c>
      <c r="L1844" s="141" t="n">
        <v>1</v>
      </c>
      <c r="M1844" s="399" t="n">
        <v>1e-07</v>
      </c>
      <c r="N1844" s="154" t="n">
        <v>1</v>
      </c>
      <c r="O1844" s="155">
        <f>IF(AND(B1844="",C1844=""),"",IF(G1844&gt;=20000,0.05,IF(G1844&gt;=10000,0.1,IF(G1844&gt;=5000,0.2,IF(G1844&gt;=1000,0.3,IF(G1844&gt;=0,0.4,{0}))))))</f>
        <v/>
      </c>
      <c r="P1844" s="400">
        <f>IF(AND(B1844="",C1844=""),"",ROUND(H1844*O1844,2))</f>
        <v/>
      </c>
      <c r="Q1844" s="401" t="inlineStr">
        <is>
          <t>元件</t>
        </is>
      </c>
      <c r="R1844" s="168" t="inlineStr"/>
      <c r="S1844" s="168" t="inlineStr"/>
      <c r="T1844" s="168" t="inlineStr">
        <is>
          <t>0</t>
        </is>
      </c>
      <c r="U1844" s="168" t="inlineStr">
        <is>
          <t>XB2BA42C</t>
        </is>
      </c>
      <c r="V1844" s="402" t="n"/>
      <c r="W1844" s="402" t="n"/>
      <c r="X1844" s="170" t="inlineStr">
        <is>
          <t>XA2EA41</t>
        </is>
      </c>
    </row>
    <row r="1845" s="308">
      <c r="A1845" s="64">
        <f>ROW()-ROW(A$1832)</f>
        <v/>
      </c>
      <c r="B1845" s="22" t="inlineStr">
        <is>
          <t>中间继电器</t>
        </is>
      </c>
      <c r="C1845" s="22" t="inlineStr">
        <is>
          <t>RXM4AB2P7+RXZE2S114M+RXZ400</t>
        </is>
      </c>
      <c r="D1845" s="22" t="inlineStr">
        <is>
          <t>甲供/施耐德电气</t>
        </is>
      </c>
      <c r="E1845" s="23" t="inlineStr">
        <is>
          <t>只</t>
        </is>
      </c>
      <c r="F1845" s="23" t="n">
        <v>2</v>
      </c>
      <c r="G1845" s="349">
        <f>IF(AND(B1845="",C1845=""),"",ROUND(M1845*L1845*N1845,2))</f>
        <v/>
      </c>
      <c r="H1845" s="349">
        <f>IF(AND(B1845="",C1845=""),"",ROUND(F1845*G1845,2))</f>
        <v/>
      </c>
      <c r="I1845" s="45" t="inlineStr"/>
      <c r="J1845" s="397">
        <f>IF(AND(B1845="",C1845=""),"",ROUND(M1845*N1845,2))</f>
        <v/>
      </c>
      <c r="K1845" s="398">
        <f>IF(AND(B1845="",C1845=""),"",ROUND(J1845*F1845,2))</f>
        <v/>
      </c>
      <c r="L1845" s="141" t="n">
        <v>1</v>
      </c>
      <c r="M1845" s="399" t="n">
        <v>1e-07</v>
      </c>
      <c r="N1845" s="154" t="n">
        <v>1</v>
      </c>
      <c r="O1845" s="155">
        <f>IF(AND(B1845="",C1845=""),"",IF(G1845&gt;=20000,0.05,IF(G1845&gt;=10000,0.1,IF(G1845&gt;=5000,0.2,IF(G1845&gt;=1000,0.3,IF(G1845&gt;=0,0.4,{0}))))))</f>
        <v/>
      </c>
      <c r="P1845" s="400">
        <f>IF(AND(B1845="",C1845=""),"",ROUND(H1845*O1845,2))</f>
        <v/>
      </c>
      <c r="Q1845" s="401" t="inlineStr">
        <is>
          <t>元件</t>
        </is>
      </c>
      <c r="R1845" s="168" t="inlineStr"/>
      <c r="S1845" s="168" t="inlineStr"/>
      <c r="T1845" s="168" t="inlineStr">
        <is>
          <t>0</t>
        </is>
      </c>
      <c r="U1845" s="168" t="inlineStr">
        <is>
          <t>RXM4AB2P7+RXZE2S114M+RXZ400</t>
        </is>
      </c>
      <c r="V1845" s="402" t="n"/>
      <c r="W1845" s="402" t="n"/>
      <c r="X1845" s="170" t="inlineStr">
        <is>
          <t>REL-IR-BL/L-230AC/4X21，含底座→RXM4AB2P7+RXZE2S114M+RXZ400→REL-IR-BL/L-230AC/4X21，含底座</t>
        </is>
      </c>
    </row>
    <row r="1846" customFormat="1" s="3">
      <c r="A1846" s="64">
        <f>ROW()-ROW(A$1832)</f>
        <v/>
      </c>
      <c r="B1846" s="22" t="inlineStr">
        <is>
          <t>带熔丝端子</t>
        </is>
      </c>
      <c r="C1846" s="22" t="inlineStr">
        <is>
          <t>UK 5-HESI</t>
        </is>
      </c>
      <c r="D1846" s="22" t="inlineStr">
        <is>
          <t>菲尼克斯</t>
        </is>
      </c>
      <c r="E1846" s="23" t="inlineStr">
        <is>
          <t>只</t>
        </is>
      </c>
      <c r="F1846" s="23" t="n">
        <v>4</v>
      </c>
      <c r="G1846" s="349">
        <f>IF(AND(B1846="",C1846=""),"",ROUND(M1846*L1846*N1846,2))</f>
        <v/>
      </c>
      <c r="H1846" s="349">
        <f>IF(AND(B1846="",C1846=""),"",ROUND(F1846*G1846,2))</f>
        <v/>
      </c>
      <c r="I1846" s="45" t="inlineStr"/>
      <c r="J1846" s="392">
        <f>IF(AND(B1846="",C1846=""),"",ROUND(M1846*N1846,2))</f>
        <v/>
      </c>
      <c r="K1846" s="393">
        <f>IF(AND(B1846="",C1846=""),"",ROUND(J1846*F1846,2))</f>
        <v/>
      </c>
      <c r="L1846" s="141" t="n">
        <v>1</v>
      </c>
      <c r="M1846" s="394" t="n">
        <v>7</v>
      </c>
      <c r="N1846" s="220" t="n">
        <v>1</v>
      </c>
      <c r="O1846" s="221">
        <f>IF(AND(B1846="",C1846=""),"",IF(G1846&gt;=20000,0.05,IF(G1846&gt;=10000,0.1,IF(G1846&gt;=5000,0.2,IF(G1846&gt;=1000,0.3,IF(G1846&gt;=0,0.4,{0}))))))</f>
        <v/>
      </c>
      <c r="P1846" s="419">
        <f>IF(AND(B1846="",C1846=""),"",ROUND(H1846*O1846,2))</f>
        <v/>
      </c>
      <c r="Q1846" s="420" t="inlineStr">
        <is>
          <t>元件</t>
        </is>
      </c>
      <c r="R1846" s="231" t="inlineStr"/>
      <c r="S1846" s="231" t="inlineStr"/>
      <c r="T1846" s="231" t="inlineStr">
        <is>
          <t>0</t>
        </is>
      </c>
      <c r="U1846" s="231" t="inlineStr">
        <is>
          <t>True</t>
        </is>
      </c>
      <c r="V1846" s="421" t="n"/>
      <c r="W1846" s="421" t="n"/>
      <c r="X1846" s="166" t="inlineStr"/>
    </row>
    <row r="1847" s="308">
      <c r="A1847" s="64">
        <f>ROW()-ROW(A$1832)</f>
        <v/>
      </c>
      <c r="B1847" s="33" t="inlineStr">
        <is>
          <t>水平母排</t>
        </is>
      </c>
      <c r="C1847" s="22" t="inlineStr">
        <is>
          <t>TMY 4*(3*125*5)+2*50*5</t>
        </is>
      </c>
      <c r="D1847" s="22" t="inlineStr">
        <is>
          <t>国产优质</t>
        </is>
      </c>
      <c r="E1847" s="23" t="inlineStr">
        <is>
          <t>米</t>
        </is>
      </c>
      <c r="F1847" s="23" t="n">
        <v>0.5</v>
      </c>
      <c r="G1847" s="349">
        <f>IF(AND(B1847="",C1847=""),"",ROUND(M1847*L1847*N1847,2))</f>
        <v/>
      </c>
      <c r="H1847" s="349">
        <f>IF(AND(B1847="",C1847=""),"",ROUND(F1847*G1847,2))</f>
        <v/>
      </c>
      <c r="I1847" s="179" t="inlineStr"/>
      <c r="J1847" s="397">
        <f>IF(AND(B1847="",C1847=""),"",ROUND(M1847*N1847,2))</f>
        <v/>
      </c>
      <c r="K1847" s="398">
        <f>IF(AND(B1847="",C1847=""),"",ROUND(J1847*F1847,2))</f>
        <v/>
      </c>
      <c r="L1847" s="141" t="n">
        <v>1</v>
      </c>
      <c r="M1847" s="399" t="n">
        <v>7697.076</v>
      </c>
      <c r="N1847" s="154">
        <f>(6317.932*1*1+2684.8*1*1)/9002.732</f>
        <v/>
      </c>
      <c r="O1847" s="155">
        <f>IF(AND(B1847="",C1847=""),"",IF(G1847&gt;=20000,0.05,IF(G1847&gt;=10000,0.1,IF(G1847&gt;=5000,0.2,IF(G1847&gt;=1000,0.3,IF(G1847&gt;=0,0.4,{0}))))))</f>
        <v/>
      </c>
      <c r="P1847" s="400">
        <f>IF(AND(B1847="",C1847=""),"",ROUND(H1847*O1847,2))</f>
        <v/>
      </c>
      <c r="Q1847" s="401" t="inlineStr">
        <is>
          <t>母排</t>
        </is>
      </c>
      <c r="R1847" s="168" t="inlineStr"/>
      <c r="S1847" s="168" t="inlineStr"/>
      <c r="T1847" s="168" t="inlineStr">
        <is>
          <t>0</t>
        </is>
      </c>
      <c r="U1847" s="168" t="inlineStr"/>
      <c r="V1847" s="402" t="n"/>
      <c r="W1847" s="402" t="n"/>
      <c r="X1847" s="170" t="inlineStr"/>
    </row>
    <row r="1848" customFormat="1" s="5">
      <c r="A1848" s="64">
        <f>ROW()-ROW(A$1832)</f>
        <v/>
      </c>
      <c r="B1848" s="22" t="inlineStr">
        <is>
          <t>桩头排</t>
        </is>
      </c>
      <c r="C1848" s="22" t="inlineStr">
        <is>
          <t>TMY 3*2*60*5</t>
        </is>
      </c>
      <c r="D1848" s="22" t="inlineStr">
        <is>
          <t>国产优质</t>
        </is>
      </c>
      <c r="E1848" s="23" t="inlineStr">
        <is>
          <t>米</t>
        </is>
      </c>
      <c r="F1848" s="23" t="n">
        <v>1.5</v>
      </c>
      <c r="G1848" s="349">
        <f>IF(AND(B1848="",C1848=""),"",ROUND(M1848*L1848*N1848,2))</f>
        <v/>
      </c>
      <c r="H1848" s="349">
        <f>IF(AND(B1848="",C1848=""),"",ROUND(F1848*G1848,2))</f>
        <v/>
      </c>
      <c r="I1848" s="45" t="inlineStr"/>
      <c r="J1848" s="422">
        <f>IF(AND(B1848="",C1848=""),"",ROUND(M1848*N1848,2))</f>
        <v/>
      </c>
      <c r="K1848" s="423">
        <f>IF(AND(B1848="",C1848=""),"",ROUND(J1848*F1848,2))</f>
        <v/>
      </c>
      <c r="L1848" s="225" t="n">
        <v>1</v>
      </c>
      <c r="M1848" s="424" t="n">
        <v>1731.8421</v>
      </c>
      <c r="N1848" s="227" t="n">
        <v>1</v>
      </c>
      <c r="O1848" s="228">
        <f>IF(AND(B1848="",C1848=""),"",IF(G1848&gt;=20000,0.05,IF(G1848&gt;=10000,0.1,IF(G1848&gt;=5000,0.2,IF(G1848&gt;=1000,0.3,IF(G1848&gt;=0,0.4,{0}))))))</f>
        <v/>
      </c>
      <c r="P1848" s="425">
        <f>IF(AND(B1848="",C1848=""),"",ROUND(H1848*O1848,2))</f>
        <v/>
      </c>
      <c r="Q1848" s="426" t="inlineStr">
        <is>
          <t>母排</t>
        </is>
      </c>
      <c r="R1848" s="234" t="inlineStr"/>
      <c r="S1848" s="234" t="inlineStr"/>
      <c r="T1848" s="235" t="inlineStr">
        <is>
          <t>0</t>
        </is>
      </c>
      <c r="U1848" s="235" t="inlineStr"/>
      <c r="V1848" s="427" t="n"/>
      <c r="W1848" s="427" t="n"/>
      <c r="X1848" s="237" t="inlineStr">
        <is>
          <t>TMY 2*30*5→TMY 30*8</t>
        </is>
      </c>
    </row>
    <row r="1849" customFormat="1" s="5">
      <c r="A1849" s="64">
        <f>ROW()-ROW(A$1832)</f>
        <v/>
      </c>
      <c r="B1849" s="22" t="inlineStr">
        <is>
          <t>N排</t>
        </is>
      </c>
      <c r="C1849" s="22" t="inlineStr">
        <is>
          <t>TMY 80*10</t>
        </is>
      </c>
      <c r="D1849" s="22" t="inlineStr">
        <is>
          <t>国产优质</t>
        </is>
      </c>
      <c r="E1849" s="23" t="inlineStr">
        <is>
          <t>米</t>
        </is>
      </c>
      <c r="F1849" s="23" t="n">
        <v>1.8</v>
      </c>
      <c r="G1849" s="349">
        <f>IF(AND(B1849="",C1849=""),"",ROUND(M1849*L1849*N1849,2))</f>
        <v/>
      </c>
      <c r="H1849" s="349">
        <f>IF(AND(B1849="",C1849=""),"",ROUND(F1849*G1849,2))</f>
        <v/>
      </c>
      <c r="I1849" s="45" t="inlineStr"/>
      <c r="J1849" s="422">
        <f>IF(AND(B1849="",C1849=""),"",ROUND(M1849*N1849,2))</f>
        <v/>
      </c>
      <c r="K1849" s="423">
        <f>IF(AND(B1849="",C1849=""),"",ROUND(J1849*F1849,2))</f>
        <v/>
      </c>
      <c r="L1849" s="225" t="n">
        <v>1</v>
      </c>
      <c r="M1849" s="424" t="n">
        <v>769.7076</v>
      </c>
      <c r="N1849" s="227" t="n">
        <v>1</v>
      </c>
      <c r="O1849" s="228">
        <f>IF(AND(B1849="",C1849=""),"",IF(G1849&gt;=20000,0.05,IF(G1849&gt;=10000,0.1,IF(G1849&gt;=5000,0.2,IF(G1849&gt;=1000,0.3,IF(G1849&gt;=0,0.4,{0}))))))</f>
        <v/>
      </c>
      <c r="P1849" s="425">
        <f>IF(AND(B1849="",C1849=""),"",ROUND(H1849*O1849,2))</f>
        <v/>
      </c>
      <c r="Q1849" s="426" t="inlineStr">
        <is>
          <t>母排</t>
        </is>
      </c>
      <c r="R1849" s="234" t="inlineStr"/>
      <c r="S1849" s="234" t="inlineStr"/>
      <c r="T1849" s="235" t="inlineStr">
        <is>
          <t>0</t>
        </is>
      </c>
      <c r="U1849" s="235" t="inlineStr"/>
      <c r="V1849" s="427" t="n"/>
      <c r="W1849" s="427" t="n"/>
      <c r="X1849" s="237" t="inlineStr">
        <is>
          <t>TMY 2*30*5→TMY 30*8</t>
        </is>
      </c>
    </row>
    <row r="1850" customFormat="1" s="5">
      <c r="A1850" s="64">
        <f>ROW()-ROW(A$1832)</f>
        <v/>
      </c>
      <c r="B1850" s="22" t="inlineStr">
        <is>
          <t>PE排</t>
        </is>
      </c>
      <c r="C1850" s="22" t="inlineStr">
        <is>
          <t>TMY 2*50*5</t>
        </is>
      </c>
      <c r="D1850" s="22" t="inlineStr">
        <is>
          <t>国产优质</t>
        </is>
      </c>
      <c r="E1850" s="23" t="inlineStr">
        <is>
          <t>米</t>
        </is>
      </c>
      <c r="F1850" s="23" t="n">
        <v>2</v>
      </c>
      <c r="G1850" s="349">
        <f>IF(AND(B1850="",C1850=""),"",ROUND(M1850*L1850*N1850,2))</f>
        <v/>
      </c>
      <c r="H1850" s="349">
        <f>IF(AND(B1850="",C1850=""),"",ROUND(F1850*G1850,2))</f>
        <v/>
      </c>
      <c r="I1850" s="45" t="inlineStr"/>
      <c r="J1850" s="422">
        <f>IF(AND(B1850="",C1850=""),"",ROUND(M1850*N1850,2))</f>
        <v/>
      </c>
      <c r="K1850" s="423">
        <f>IF(AND(B1850="",C1850=""),"",ROUND(J1850*F1850,2))</f>
        <v/>
      </c>
      <c r="L1850" s="225" t="n">
        <v>1</v>
      </c>
      <c r="M1850" s="424" t="n">
        <v>481.06725</v>
      </c>
      <c r="N1850" s="227" t="n">
        <v>1</v>
      </c>
      <c r="O1850" s="228">
        <f>IF(AND(B1850="",C1850=""),"",IF(G1850&gt;=20000,0.05,IF(G1850&gt;=10000,0.1,IF(G1850&gt;=5000,0.2,IF(G1850&gt;=1000,0.3,IF(G1850&gt;=0,0.4,{0}))))))</f>
        <v/>
      </c>
      <c r="P1850" s="425">
        <f>IF(AND(B1850="",C1850=""),"",ROUND(H1850*O1850,2))</f>
        <v/>
      </c>
      <c r="Q1850" s="426" t="inlineStr">
        <is>
          <t>母排</t>
        </is>
      </c>
      <c r="R1850" s="234" t="inlineStr"/>
      <c r="S1850" s="234" t="inlineStr"/>
      <c r="T1850" s="235" t="inlineStr">
        <is>
          <t>0</t>
        </is>
      </c>
      <c r="U1850" s="235" t="inlineStr"/>
      <c r="V1850" s="427" t="n"/>
      <c r="W1850" s="427" t="n"/>
      <c r="X1850" s="237" t="inlineStr">
        <is>
          <t>TMY 2*30*5→TMY 30*8</t>
        </is>
      </c>
    </row>
    <row r="1851" s="308">
      <c r="A1851" s="64">
        <f>ROW()-ROW(A$1832)</f>
        <v/>
      </c>
      <c r="B1851" s="22" t="inlineStr">
        <is>
          <t>辅料</t>
        </is>
      </c>
      <c r="C1851" s="22" t="inlineStr"/>
      <c r="D1851" s="22" t="inlineStr"/>
      <c r="E1851" s="23" t="inlineStr">
        <is>
          <t>套</t>
        </is>
      </c>
      <c r="F1851" s="23" t="n">
        <v>1</v>
      </c>
      <c r="G1851" s="349">
        <f>IF(AND(B1851="",C1851=""),"",ROUND(M1851*L1851*N1851,2))</f>
        <v/>
      </c>
      <c r="H1851" s="349">
        <f>IF(AND(B1851="",C1851=""),"",ROUND(F1851*G1851,2))</f>
        <v/>
      </c>
      <c r="I1851" s="179" t="inlineStr"/>
      <c r="J1851" s="397">
        <f>IF(AND(B1851="",C1851=""),"",ROUND(M1851*N1851,2))</f>
        <v/>
      </c>
      <c r="K1851" s="398">
        <f>IF(AND(B1851="",C1851=""),"",ROUND(J1851*F1851,2))</f>
        <v/>
      </c>
      <c r="L1851" s="141" t="n">
        <v>1</v>
      </c>
      <c r="M1851" s="399" t="n">
        <v>550</v>
      </c>
      <c r="N1851" s="154" t="n">
        <v>1</v>
      </c>
      <c r="O1851" s="155">
        <f>IF(AND(B1851="",C1851=""),"",IF(G1851&gt;=20000,0.05,IF(G1851&gt;=10000,0.1,IF(G1851&gt;=5000,0.2,IF(G1851&gt;=1000,0.3,IF(G1851&gt;=0,0.4,{0}))))))</f>
        <v/>
      </c>
      <c r="P1851" s="400">
        <f>IF(AND(B1851="",C1851=""),"",ROUND(H1851*O1851,2))</f>
        <v/>
      </c>
      <c r="Q1851" s="401" t="inlineStr">
        <is>
          <t>辅料</t>
        </is>
      </c>
      <c r="R1851" s="168" t="inlineStr"/>
      <c r="S1851" s="168" t="inlineStr"/>
      <c r="T1851" s="168" t="inlineStr">
        <is>
          <t>0</t>
        </is>
      </c>
      <c r="U1851" s="168" t="inlineStr"/>
      <c r="V1851" s="402" t="n"/>
      <c r="W1851" s="402" t="n"/>
      <c r="X1851" s="170" t="inlineStr"/>
    </row>
    <row r="1852" s="308">
      <c r="A1852" s="64">
        <f>ROW()-ROW(A$1832)</f>
        <v/>
      </c>
      <c r="B1852" s="22" t="inlineStr">
        <is>
          <t>柜体Blokset</t>
        </is>
      </c>
      <c r="C1852" s="33" t="inlineStr">
        <is>
          <t>400W*1200D*2200H</t>
        </is>
      </c>
      <c r="D1852" s="22" t="inlineStr">
        <is>
          <t>清科</t>
        </is>
      </c>
      <c r="E1852" s="23" t="inlineStr">
        <is>
          <t>台</t>
        </is>
      </c>
      <c r="F1852" s="23" t="n">
        <v>1</v>
      </c>
      <c r="G1852" s="349">
        <f>IF(AND(B1852="",C1852=""),"",ROUND(M1852*L1852*N1852,2))</f>
        <v/>
      </c>
      <c r="H1852" s="349">
        <f>IF(AND(B1852="",C1852=""),"",ROUND(F1852*G1852,2))</f>
        <v/>
      </c>
      <c r="I1852" s="179" t="inlineStr"/>
      <c r="J1852" s="397">
        <f>IF(AND(B1852="",C1852=""),"",ROUND(M1852*N1852,2))</f>
        <v/>
      </c>
      <c r="K1852" s="398">
        <f>IF(AND(B1852="",C1852=""),"",ROUND(J1852*F1852,2))</f>
        <v/>
      </c>
      <c r="L1852" s="141" t="n">
        <v>1</v>
      </c>
      <c r="M1852" s="399" t="n">
        <v>4010</v>
      </c>
      <c r="N1852" s="154" t="n">
        <v>1</v>
      </c>
      <c r="O1852" s="155">
        <f>IF(AND(B1852="",C1852=""),"",IF(G1852&gt;=20000,0.05,IF(G1852&gt;=10000,0.1,IF(G1852&gt;=5000,0.2,IF(G1852&gt;=1000,0.3,IF(G1852&gt;=0,0.4,{0}))))))</f>
        <v/>
      </c>
      <c r="P1852" s="400">
        <f>IF(AND(B1852="",C1852=""),"",ROUND(H1852*O1852,2))</f>
        <v/>
      </c>
      <c r="Q1852" s="401" t="inlineStr">
        <is>
          <t>箱体</t>
        </is>
      </c>
      <c r="R1852" s="168" t="inlineStr"/>
      <c r="S1852" s="168" t="inlineStr"/>
      <c r="T1852" s="168" t="inlineStr">
        <is>
          <t>0</t>
        </is>
      </c>
      <c r="U1852" s="168" t="inlineStr"/>
      <c r="V1852" s="402" t="n"/>
      <c r="W1852" s="402" t="n"/>
      <c r="X1852" s="170" t="inlineStr"/>
    </row>
    <row r="1853" customFormat="1" s="3">
      <c r="A1853" s="64">
        <f>ROW()-ROW(A$1832)</f>
        <v/>
      </c>
      <c r="B1853" s="27" t="inlineStr"/>
      <c r="C1853" s="27" t="inlineStr"/>
      <c r="D1853" s="27" t="inlineStr"/>
      <c r="E1853" s="28" t="n"/>
      <c r="F1853" s="28">
        <f>IF(AND(B1853="",C1853=""),"",1)</f>
        <v/>
      </c>
      <c r="G1853" s="353" t="n"/>
      <c r="H1853" s="353">
        <f>IF(AND(B1853="",C1853=""),"",ROUND(F1853*G1853,2))</f>
        <v/>
      </c>
      <c r="I1853" s="180" t="inlineStr"/>
      <c r="J1853" s="392">
        <f>IF(AND(B1853="",C1853=""),"",ROUND(M1853*N1853,2))</f>
        <v/>
      </c>
      <c r="K1853" s="393">
        <f>IF(AND(B1853="",C1853=""),"",ROUND(J1853*F1853,2))</f>
        <v/>
      </c>
      <c r="L1853" s="141">
        <f>IF(AND(B1853="",C1853=""),"",1)</f>
        <v/>
      </c>
      <c r="M1853" s="394" t="n"/>
      <c r="N1853" s="143">
        <f>IF(AND(B1853="",C1853=""),"",1)</f>
        <v/>
      </c>
      <c r="O1853" s="144">
        <f>IF(AND(B1853="",C1853=""),"",IF(J1853&gt;=20000,0.05,IF(J1853&gt;=10000,0.1,IF(J1853&gt;=5000,0.2,IF(J1853&gt;=1000,0.3,IF(J1853&gt;=0,0.4,{0}))))))</f>
        <v/>
      </c>
      <c r="P1853" s="395">
        <f>IF(AND(B1853="",C1853=""),"",ROUND(H1853*O1853,2))</f>
        <v/>
      </c>
      <c r="Q1853" s="390">
        <f>IF(AND(B1853="",C1853=""),"","元件")</f>
        <v/>
      </c>
      <c r="R1853" s="164" t="inlineStr"/>
      <c r="S1853" s="164" t="inlineStr"/>
      <c r="T1853" s="164" t="inlineStr"/>
      <c r="U1853" s="164" t="inlineStr"/>
      <c r="V1853" s="391" t="n"/>
      <c r="W1853" s="391" t="n"/>
      <c r="X1853" s="166" t="inlineStr"/>
    </row>
    <row r="1854" customFormat="1" s="3">
      <c r="A1854" s="64">
        <f>ROW()-ROW(A$1832)</f>
        <v/>
      </c>
      <c r="B1854" s="27" t="inlineStr"/>
      <c r="C1854" s="27" t="inlineStr"/>
      <c r="D1854" s="27" t="inlineStr"/>
      <c r="E1854" s="28" t="n"/>
      <c r="F1854" s="28">
        <f>IF(AND(B1854="",C1854=""),"",1)</f>
        <v/>
      </c>
      <c r="G1854" s="353">
        <f>IF(AND(B1854="",C1854=""),"",ROUND(M1854*L1854*N1854,2))</f>
        <v/>
      </c>
      <c r="H1854" s="353">
        <f>IF(AND(B1854="",C1854=""),"",ROUND(F1854*G1854,2))</f>
        <v/>
      </c>
      <c r="I1854" s="180" t="inlineStr"/>
      <c r="J1854" s="392">
        <f>IF(AND(B1854="",C1854=""),"",ROUND(M1854*N1854,2))</f>
        <v/>
      </c>
      <c r="K1854" s="393">
        <f>IF(AND(B1854="",C1854=""),"",ROUND(J1854*F1854,2))</f>
        <v/>
      </c>
      <c r="L1854" s="141">
        <f>IF(AND(B1854="",C1854=""),"",1)</f>
        <v/>
      </c>
      <c r="M1854" s="394" t="n"/>
      <c r="N1854" s="143">
        <f>IF(AND(B1854="",C1854=""),"",1)</f>
        <v/>
      </c>
      <c r="O1854" s="144">
        <f>IF(AND(B1854="",C1854=""),"",IF(J1854&gt;=20000,0.05,IF(J1854&gt;=10000,0.1,IF(J1854&gt;=5000,0.2,IF(J1854&gt;=1000,0.3,IF(J1854&gt;=0,0.4,{0}))))))</f>
        <v/>
      </c>
      <c r="P1854" s="395">
        <f>IF(AND(B1854="",C1854=""),"",ROUND(H1854*O1854,2))</f>
        <v/>
      </c>
      <c r="Q1854" s="390">
        <f>IF(AND(B1854="",C1854=""),"","元件")</f>
        <v/>
      </c>
      <c r="R1854" s="164" t="inlineStr"/>
      <c r="S1854" s="164" t="inlineStr"/>
      <c r="T1854" s="164" t="inlineStr"/>
      <c r="U1854" s="164" t="inlineStr"/>
      <c r="V1854" s="391" t="n"/>
      <c r="W1854" s="391" t="n"/>
      <c r="X1854" s="166" t="inlineStr"/>
    </row>
    <row r="1855" customFormat="1" s="3">
      <c r="A1855" s="64">
        <f>ROW()-ROW(A$1832)</f>
        <v/>
      </c>
      <c r="B1855" s="171" t="inlineStr">
        <is>
          <t>小计</t>
        </is>
      </c>
      <c r="C1855" s="172" t="n"/>
      <c r="D1855" s="82" t="n"/>
      <c r="E1855" s="28" t="n"/>
      <c r="F1855" s="28" t="n"/>
      <c r="G1855" s="353" t="n"/>
      <c r="H1855" s="353">
        <f>ROUND(SUM(H1832:INDEX(H:H,ROW()-1)),2)</f>
        <v/>
      </c>
      <c r="I1855" s="45" t="inlineStr"/>
      <c r="J1855" s="392" t="n"/>
      <c r="K1855" s="393">
        <f>ROUND(SUM(K1832:INDEX(K:K,ROW()-1)),2)</f>
        <v/>
      </c>
      <c r="L1855" s="141" t="n"/>
      <c r="M1855" s="394" t="n"/>
      <c r="N1855" s="143" t="n"/>
      <c r="O1855" s="144" t="n"/>
      <c r="P1855" s="395" t="n"/>
      <c r="Q1855" s="390" t="n"/>
      <c r="R1855" s="164" t="inlineStr"/>
      <c r="S1855" s="164" t="inlineStr"/>
      <c r="T1855" s="164" t="inlineStr"/>
      <c r="U1855" s="164" t="inlineStr"/>
      <c r="V1855" s="391">
        <f>ROUND(SUMPRODUCT(F1832:INDEX(F:F,ROW()-1),V1832:INDEX(V:V,ROW()-1)),2)</f>
        <v/>
      </c>
      <c r="W1855" s="391">
        <f>ROUND(SUMPRODUCT(F1832:INDEX(F:F,ROW()-1),W1832:INDEX(W:W,ROW()-1)),2)</f>
        <v/>
      </c>
      <c r="X1855" s="166" t="inlineStr"/>
    </row>
    <row r="1856" customFormat="1" s="3">
      <c r="A1856" s="64">
        <f>ROW()-ROW(A$1832)</f>
        <v/>
      </c>
      <c r="B1856" s="171" t="inlineStr">
        <is>
          <t>综合费(人工、管理、税金、利润等)</t>
        </is>
      </c>
      <c r="C1856" s="172" t="n"/>
      <c r="D1856" s="82" t="n"/>
      <c r="E1856" s="28" t="n"/>
      <c r="F1856" s="28" t="n"/>
      <c r="G1856" s="353" t="n"/>
      <c r="H1856" s="353">
        <f>2500</f>
        <v/>
      </c>
      <c r="I1856" s="45" t="inlineStr"/>
      <c r="J1856" s="392" t="n"/>
      <c r="K1856" s="393" t="n"/>
      <c r="L1856" s="141" t="n"/>
      <c r="M1856" s="394" t="n"/>
      <c r="N1856" s="143" t="n"/>
      <c r="O1856" s="144" t="n"/>
      <c r="P1856" s="395" t="n"/>
      <c r="Q1856" s="390" t="inlineStr">
        <is>
          <t>费用</t>
        </is>
      </c>
      <c r="R1856" s="164" t="inlineStr"/>
      <c r="S1856" s="164" t="inlineStr"/>
      <c r="T1856" s="164" t="inlineStr"/>
      <c r="U1856" s="164" t="inlineStr"/>
      <c r="V1856" s="391" t="n"/>
      <c r="W1856" s="391" t="n"/>
      <c r="X1856" s="166" t="inlineStr"/>
    </row>
    <row r="1857" customFormat="1" s="3">
      <c r="A1857" s="64">
        <f>ROW()-ROW(A$1832)</f>
        <v/>
      </c>
      <c r="B1857" s="82" t="inlineStr">
        <is>
          <t>单台合计</t>
        </is>
      </c>
      <c r="C1857" s="172" t="n"/>
      <c r="D1857" s="82" t="n"/>
      <c r="E1857" s="28" t="n"/>
      <c r="F1857" s="28" t="n"/>
      <c r="G1857" s="353" t="n"/>
      <c r="H1857" s="353">
        <f>ROUND(SUM(H1855:H1856),2)</f>
        <v/>
      </c>
      <c r="I1857" s="181" t="n"/>
      <c r="J1857" s="392" t="n"/>
      <c r="K1857" s="393">
        <f>ROUND(SUM(K1855:K1856),2)</f>
        <v/>
      </c>
      <c r="L1857" s="182" t="n"/>
      <c r="M1857" s="394" t="n"/>
      <c r="N1857" s="183" t="n"/>
      <c r="O1857" s="184" t="n"/>
      <c r="P1857" s="395" t="n"/>
      <c r="Q1857" s="390" t="n"/>
      <c r="R1857" s="164" t="inlineStr"/>
      <c r="S1857" s="164" t="inlineStr"/>
      <c r="T1857" s="164" t="inlineStr"/>
      <c r="U1857" s="164" t="inlineStr"/>
      <c r="V1857" s="391" t="n"/>
      <c r="W1857" s="391" t="n"/>
      <c r="X1857" s="166" t="inlineStr"/>
    </row>
    <row r="1858" customFormat="1" s="3">
      <c r="A1858" s="173" t="inlineStr">
        <is>
          <t>总计</t>
        </is>
      </c>
      <c r="B1858" s="174" t="n"/>
      <c r="C1858" s="175" t="n"/>
      <c r="D1858" s="176" t="n"/>
      <c r="E1858" s="176" t="inlineStr">
        <is>
          <t>台</t>
        </is>
      </c>
      <c r="F1858" s="176" t="n">
        <v>2</v>
      </c>
      <c r="G1858" s="403">
        <f>ROUND(H1857,2)</f>
        <v/>
      </c>
      <c r="H1858" s="403">
        <f>ROUND(F1858*G1858,2)</f>
        <v/>
      </c>
      <c r="I1858" s="185" t="n"/>
      <c r="J1858" s="404" t="n"/>
      <c r="K1858" s="405">
        <f>ROUND(K1857*F1858,2)</f>
        <v/>
      </c>
      <c r="L1858" s="188" t="n"/>
      <c r="M1858" s="406" t="n"/>
      <c r="N1858" s="190" t="n"/>
      <c r="O1858" s="191" t="n"/>
      <c r="P1858" s="407" t="n"/>
      <c r="Q1858" s="390" t="n"/>
      <c r="R1858" s="164" t="inlineStr"/>
      <c r="S1858" s="164" t="inlineStr"/>
      <c r="T1858" s="164" t="inlineStr"/>
      <c r="U1858" s="164" t="inlineStr"/>
      <c r="V1858" s="391" t="n"/>
      <c r="W1858" s="391" t="n"/>
      <c r="X1858" s="166" t="inlineStr"/>
    </row>
    <row r="1859" customFormat="1" s="2">
      <c r="A1859" s="89" t="n"/>
      <c r="B1859" s="132" t="inlineStr"/>
      <c r="C1859" s="132" t="inlineStr"/>
      <c r="D1859" s="132" t="inlineStr"/>
      <c r="Q1859" s="160" t="n"/>
      <c r="R1859" s="160" t="n"/>
      <c r="S1859" s="160" t="n"/>
      <c r="T1859" s="160" t="n"/>
      <c r="U1859" s="160" t="n"/>
      <c r="X1859" s="132" t="inlineStr"/>
    </row>
    <row r="1860" customFormat="1" s="2">
      <c r="A1860" s="89" t="n"/>
      <c r="B1860" s="132" t="inlineStr"/>
      <c r="C1860" s="132" t="inlineStr"/>
      <c r="D1860" s="132" t="inlineStr"/>
      <c r="Q1860" s="160" t="n"/>
      <c r="R1860" s="160" t="n"/>
      <c r="S1860" s="160" t="n"/>
      <c r="T1860" s="160" t="n"/>
      <c r="U1860" s="160" t="n"/>
      <c r="X1860" s="132" t="inlineStr"/>
    </row>
    <row r="1861" customFormat="1" s="3">
      <c r="A1861" s="92">
        <f>CONCATENATE("报价人：",项目信息!$B$8)</f>
        <v/>
      </c>
      <c r="B1861" s="92" t="n"/>
      <c r="C1861" s="2" t="n"/>
      <c r="D1861" s="2" t="n"/>
      <c r="E1861" s="2" t="n"/>
      <c r="F1861" s="2" t="n"/>
      <c r="G1861" s="2" t="n"/>
      <c r="H1861" s="178">
        <f>项目信息!$B$9</f>
        <v/>
      </c>
      <c r="Q1861" s="160" t="n"/>
      <c r="R1861" s="160" t="n"/>
      <c r="S1861" s="160" t="n"/>
      <c r="T1861" s="160" t="n"/>
      <c r="U1861" s="160" t="n"/>
      <c r="X1861" s="162" t="inlineStr"/>
    </row>
    <row r="1862" s="308">
      <c r="A1862" s="8">
        <f>T(项目信息!$B$22)</f>
        <v/>
      </c>
      <c r="Q1862" s="159" t="n"/>
      <c r="R1862" s="159" t="n"/>
      <c r="S1862" s="159" t="n"/>
      <c r="T1862" s="159" t="n"/>
      <c r="U1862" s="159" t="n"/>
    </row>
    <row r="1863" s="308">
      <c r="A1863" s="9">
        <f>T(项目信息!$B$23)</f>
        <v/>
      </c>
      <c r="Q1863" s="159" t="n"/>
      <c r="R1863" s="159" t="n"/>
      <c r="S1863" s="159" t="n"/>
      <c r="T1863" s="159" t="n"/>
      <c r="U1863" s="159" t="n"/>
    </row>
    <row r="1864" s="308">
      <c r="A1864" s="97" t="inlineStr">
        <is>
          <t>成套产品报价明细表</t>
        </is>
      </c>
      <c r="B1864" s="378" t="n"/>
      <c r="C1864" s="378" t="n"/>
      <c r="D1864" s="378" t="n"/>
      <c r="E1864" s="378" t="n"/>
      <c r="F1864" s="378" t="n"/>
      <c r="G1864" s="378" t="n"/>
      <c r="H1864" s="378" t="n"/>
      <c r="I1864" s="378" t="n"/>
      <c r="Q1864" s="159" t="n"/>
      <c r="R1864" s="159" t="n"/>
      <c r="S1864" s="159" t="n"/>
      <c r="T1864" s="159" t="n"/>
      <c r="U1864" s="159" t="n"/>
    </row>
    <row r="1865" customFormat="1" s="4">
      <c r="A1865" s="98" t="inlineStr">
        <is>
          <t>柜号:</t>
        </is>
      </c>
      <c r="B1865" s="99" t="inlineStr">
        <is>
          <t>T5-AU13、T5-AU14、T6-BU13、T6-BU14</t>
        </is>
      </c>
      <c r="C1865" s="100" t="inlineStr">
        <is>
          <t>型号:</t>
        </is>
      </c>
      <c r="D1865" s="99" t="inlineStr">
        <is>
          <t>BlokSeT</t>
        </is>
      </c>
      <c r="E1865" s="379" t="n"/>
      <c r="F1865" s="101" t="inlineStr">
        <is>
          <t>名称:</t>
        </is>
      </c>
      <c r="G1865" s="99" t="inlineStr">
        <is>
          <t>馈线柜</t>
        </is>
      </c>
      <c r="H1865" s="379" t="n"/>
      <c r="I1865" s="408" t="inlineStr"/>
      <c r="J1865" s="194" t="inlineStr">
        <is>
          <t>箱柜尺寸:</t>
        </is>
      </c>
      <c r="K1865" s="195" t="inlineStr">
        <is>
          <t>600W*1200D*2200H</t>
        </is>
      </c>
      <c r="L1865" s="194" t="inlineStr">
        <is>
          <t>类别:</t>
        </is>
      </c>
      <c r="M1865" s="195" t="inlineStr">
        <is>
          <t>低压固定柜</t>
        </is>
      </c>
      <c r="N1865" s="409" t="inlineStr"/>
      <c r="Q1865" s="159" t="n"/>
      <c r="R1865" s="159" t="n"/>
      <c r="S1865" s="159" t="n"/>
      <c r="T1865" s="159" t="n"/>
      <c r="U1865" s="159" t="n"/>
    </row>
    <row r="1866" ht="20.1" customHeight="1" s="308">
      <c r="A1866" s="102" t="inlineStr">
        <is>
          <t>序号</t>
        </is>
      </c>
      <c r="B1866" s="103" t="inlineStr">
        <is>
          <t>元件名称</t>
        </is>
      </c>
      <c r="C1866" s="103" t="inlineStr">
        <is>
          <t>型号规格</t>
        </is>
      </c>
      <c r="D1866" s="104" t="inlineStr">
        <is>
          <t>生产厂家</t>
        </is>
      </c>
      <c r="E1866" s="105" t="inlineStr">
        <is>
          <t>单位</t>
        </is>
      </c>
      <c r="F1866" s="105" t="inlineStr">
        <is>
          <t>数量</t>
        </is>
      </c>
      <c r="G1866" s="382" t="inlineStr">
        <is>
          <t>单   价</t>
        </is>
      </c>
      <c r="H1866" s="383" t="inlineStr">
        <is>
          <t>总   价</t>
        </is>
      </c>
      <c r="I1866" s="134" t="inlineStr">
        <is>
          <t>备注</t>
        </is>
      </c>
      <c r="J1866" s="384" t="inlineStr">
        <is>
          <t>成本单价</t>
        </is>
      </c>
      <c r="K1866" s="384" t="inlineStr">
        <is>
          <t>成本总价</t>
        </is>
      </c>
      <c r="L1866" s="136" t="inlineStr">
        <is>
          <t>报出
系数</t>
        </is>
      </c>
      <c r="M1866" s="384" t="inlineStr">
        <is>
          <t>表价</t>
        </is>
      </c>
      <c r="N1866" s="136" t="inlineStr">
        <is>
          <t>折扣
系数</t>
        </is>
      </c>
      <c r="O1866" s="137" t="inlineStr">
        <is>
          <t>取费
系数</t>
        </is>
      </c>
      <c r="P1866" s="384" t="inlineStr">
        <is>
          <t>成套费</t>
        </is>
      </c>
      <c r="Q1866" s="161" t="inlineStr">
        <is>
          <t>类别</t>
        </is>
      </c>
      <c r="R1866" s="161" t="inlineStr">
        <is>
          <t>物料编码</t>
        </is>
      </c>
      <c r="S1866" s="161" t="inlineStr">
        <is>
          <t>产地</t>
        </is>
      </c>
      <c r="T1866" s="161" t="inlineStr">
        <is>
          <t>加工费</t>
        </is>
      </c>
      <c r="U1866" s="161" t="inlineStr">
        <is>
          <t>订货号</t>
        </is>
      </c>
      <c r="V1866" s="161" t="inlineStr">
        <is>
          <t>人工</t>
        </is>
      </c>
      <c r="W1866" s="161" t="inlineStr">
        <is>
          <t>辅料</t>
        </is>
      </c>
      <c r="X1866" s="203" t="inlineStr"/>
    </row>
    <row r="1867" s="308">
      <c r="A1867" s="64">
        <f>ROW()-ROW(A$1866)</f>
        <v/>
      </c>
      <c r="B1867" s="22" t="inlineStr">
        <is>
          <t>塑壳断路器</t>
        </is>
      </c>
      <c r="C1867" s="22" t="inlineStr">
        <is>
          <t>NSX400H Mic2.3 400A 3P3D P</t>
        </is>
      </c>
      <c r="D1867" s="22" t="inlineStr">
        <is>
          <t>甲供/施耐德电气</t>
        </is>
      </c>
      <c r="E1867" s="23" t="inlineStr">
        <is>
          <t>只</t>
        </is>
      </c>
      <c r="F1867" s="23" t="n">
        <v>7</v>
      </c>
      <c r="G1867" s="349">
        <f>IF(AND(B1867="",C1867=""),"",ROUND(M1867*L1867*N1867,2))</f>
        <v/>
      </c>
      <c r="H1867" s="349">
        <f>IF(AND(B1867="",C1867=""),"",ROUND(F1867*G1867,2))</f>
        <v/>
      </c>
      <c r="I1867" s="45" t="inlineStr"/>
      <c r="J1867" s="397">
        <f>IF(AND(B1867="",C1867=""),"",ROUND(M1867*N1867,2))</f>
        <v/>
      </c>
      <c r="K1867" s="398">
        <f>IF(AND(B1867="",C1867=""),"",ROUND(J1867*F1867,2))</f>
        <v/>
      </c>
      <c r="L1867" s="200" t="n">
        <v>1</v>
      </c>
      <c r="M1867" s="399" t="n">
        <v>1e-07</v>
      </c>
      <c r="N1867" s="154" t="n">
        <v>1</v>
      </c>
      <c r="O1867" s="155">
        <f>IF(AND(B1867="",C1867=""),"",IF(G1867&gt;=20000,0.05,IF(G1867&gt;=10000,0.1,IF(G1867&gt;=5000,0.2,IF(G1867&gt;=1000,0.3,IF(G1867&gt;=0,0.4,{0}))))))</f>
        <v/>
      </c>
      <c r="P1867" s="400">
        <f>IF(AND(B1867="",C1867=""),"",ROUND(H1867*O1867,2))</f>
        <v/>
      </c>
      <c r="Q1867" s="401" t="inlineStr">
        <is>
          <t>元件</t>
        </is>
      </c>
      <c r="R1867" s="168" t="inlineStr"/>
      <c r="S1867" s="168" t="inlineStr"/>
      <c r="T1867" s="168" t="inlineStr">
        <is>
          <t>0</t>
        </is>
      </c>
      <c r="U1867" s="168" t="inlineStr"/>
      <c r="V1867" s="402" t="n"/>
      <c r="W1867" s="402" t="n"/>
      <c r="X1867" s="170" t="inlineStr"/>
    </row>
    <row r="1868" s="308">
      <c r="A1868" s="64">
        <f>ROW()-ROW(A$1866)</f>
        <v/>
      </c>
      <c r="B1868" s="22" t="inlineStr">
        <is>
          <t>电流互感器</t>
        </is>
      </c>
      <c r="C1868" s="22" t="inlineStr">
        <is>
          <t>SD-0.66-40II-C 400/5A</t>
        </is>
      </c>
      <c r="D1868" s="22" t="inlineStr">
        <is>
          <t>桑迪</t>
        </is>
      </c>
      <c r="E1868" s="23" t="inlineStr">
        <is>
          <t>只</t>
        </is>
      </c>
      <c r="F1868" s="23" t="n">
        <v>21</v>
      </c>
      <c r="G1868" s="349">
        <f>IF(AND(B1868="",C1868=""),"",ROUND(M1868*L1868*N1868,2))</f>
        <v/>
      </c>
      <c r="H1868" s="396">
        <f>IF(AND(B1868="",C1868=""),"",ROUND(F1868*G1868,2))</f>
        <v/>
      </c>
      <c r="I1868" s="219" t="inlineStr"/>
      <c r="J1868" s="397">
        <f>IF(AND(B1868="",C1868=""),"",ROUND(M1868*N1868,2))</f>
        <v/>
      </c>
      <c r="K1868" s="398">
        <f>IF(AND(B1868="",C1868=""),"",ROUND(J1868*F1868,2))</f>
        <v/>
      </c>
      <c r="L1868" s="200" t="n">
        <v>1</v>
      </c>
      <c r="M1868" s="399" t="n">
        <v>52</v>
      </c>
      <c r="N1868" s="154" t="n">
        <v>1</v>
      </c>
      <c r="O1868" s="155">
        <f>IF(AND(B1868="",C1868=""),"",IF(G1868&gt;=20000,0.05,IF(G1868&gt;=10000,0.1,IF(G1868&gt;=5000,0.2,IF(G1868&gt;=1000,0.3,IF(G1868&gt;=0,0.4,{0}))))))</f>
        <v/>
      </c>
      <c r="P1868" s="400">
        <f>IF(AND(B1868="",C1868=""),"",ROUND(H1868*O1868,2))</f>
        <v/>
      </c>
      <c r="Q1868" s="401" t="inlineStr">
        <is>
          <t>元件</t>
        </is>
      </c>
      <c r="R1868" s="168" t="inlineStr"/>
      <c r="S1868" s="168" t="inlineStr"/>
      <c r="T1868" s="168" t="inlineStr">
        <is>
          <t>0</t>
        </is>
      </c>
      <c r="U1868" s="168" t="inlineStr">
        <is>
          <t>710140200000049</t>
        </is>
      </c>
      <c r="V1868" s="402" t="n"/>
      <c r="W1868" s="402" t="n"/>
      <c r="X1868" s="170" t="inlineStr">
        <is>
          <t>SD→SD-0.66-40II-C 400/5A→SD-0.66-30I 250/5A→SD-0.66-30I 150/5A→SD-0.66-60II-C 750/5A→SD-0.66-60II-C 600/5A→SD-0.66-30I 150/5A→SD-0.66-40II-C 400/5A→SD-0.66-100II-C 1600/5A→SD-0.66-80II-V 1000/5A</t>
        </is>
      </c>
    </row>
    <row r="1869" s="308">
      <c r="A1869" s="64">
        <f>ROW()-ROW(A$1866)</f>
        <v/>
      </c>
      <c r="B1869" s="112" t="inlineStr">
        <is>
          <t>多功能表</t>
        </is>
      </c>
      <c r="C1869" s="112" t="inlineStr">
        <is>
          <t>PM4101</t>
        </is>
      </c>
      <c r="D1869" s="112" t="inlineStr">
        <is>
          <t>甲供/施耐德电气</t>
        </is>
      </c>
      <c r="E1869" s="114" t="inlineStr">
        <is>
          <t>只</t>
        </is>
      </c>
      <c r="F1869" s="114" t="n">
        <v>7</v>
      </c>
      <c r="G1869" s="396">
        <f>IF(AND(B1869="",C1869=""),"",ROUND(M1869*L1869*N1869,2))</f>
        <v/>
      </c>
      <c r="H1869" s="349">
        <f>IF(AND(B1869="",C1869=""),"",ROUND(F1869*G1869,2))</f>
        <v/>
      </c>
      <c r="I1869" s="45" t="inlineStr"/>
      <c r="J1869" s="397">
        <f>IF(AND(B1869="",C1869=""),"",ROUND(M1869*N1869,2))</f>
        <v/>
      </c>
      <c r="K1869" s="398">
        <f>IF(AND(B1869="",C1869=""),"",ROUND(J1869*F1869,2))</f>
        <v/>
      </c>
      <c r="L1869" s="200" t="n">
        <v>1</v>
      </c>
      <c r="M1869" s="399" t="n">
        <v>1e-07</v>
      </c>
      <c r="N1869" s="154" t="n">
        <v>1</v>
      </c>
      <c r="O1869" s="155">
        <f>IF(AND(B1869="",C1869=""),"",IF(J1869&gt;=20000,0.05,IF(J1869&gt;=10000,0.1,IF(J1869&gt;=5000,0.2,IF(J1869&gt;=1000,0.3,IF(J1869&gt;=0,0.4,{0}))))))</f>
        <v/>
      </c>
      <c r="P1869" s="400">
        <f>IF(AND(B1869="",C1869=""),"",ROUND(H1869*O1869,2))</f>
        <v/>
      </c>
      <c r="Q1869" s="401" t="inlineStr">
        <is>
          <t>元件</t>
        </is>
      </c>
      <c r="R1869" s="168" t="inlineStr"/>
      <c r="S1869" s="168" t="inlineStr"/>
      <c r="T1869" s="168" t="inlineStr">
        <is>
          <t>0</t>
        </is>
      </c>
      <c r="U1869" s="168" t="inlineStr"/>
      <c r="V1869" s="402" t="n"/>
      <c r="W1869" s="402" t="n"/>
      <c r="X1869" s="170" t="inlineStr"/>
    </row>
    <row r="1870" customFormat="1" s="3">
      <c r="A1870" s="64">
        <f>ROW()-ROW(A$1866)</f>
        <v/>
      </c>
      <c r="B1870" s="22" t="inlineStr">
        <is>
          <t>指示灯</t>
        </is>
      </c>
      <c r="C1870" s="22" t="inlineStr">
        <is>
          <t>XB2BVM3LC</t>
        </is>
      </c>
      <c r="D1870" s="22" t="inlineStr">
        <is>
          <t>甲供/施耐德电气</t>
        </is>
      </c>
      <c r="E1870" s="23" t="inlineStr">
        <is>
          <t>只</t>
        </is>
      </c>
      <c r="F1870" s="23" t="n">
        <v>7</v>
      </c>
      <c r="G1870" s="349">
        <f>IF(AND(B1870="",C1870=""),"",ROUND(M1870*L1870*N1870,2))</f>
        <v/>
      </c>
      <c r="H1870" s="353">
        <f>IF(AND(B1870="",C1870=""),"",ROUND(F1870*G1870,2))</f>
        <v/>
      </c>
      <c r="I1870" s="180" t="inlineStr"/>
      <c r="J1870" s="392">
        <f>IF(AND(B1870="",C1870=""),"",ROUND(M1870*N1870,2))</f>
        <v/>
      </c>
      <c r="K1870" s="393">
        <f>IF(AND(B1870="",C1870=""),"",ROUND(J1870*F1870,2))</f>
        <v/>
      </c>
      <c r="L1870" s="141" t="n">
        <v>1</v>
      </c>
      <c r="M1870" s="394" t="n">
        <v>1e-07</v>
      </c>
      <c r="N1870" s="220" t="n">
        <v>1</v>
      </c>
      <c r="O1870" s="221">
        <f>IF(AND(B1870="",C1870=""),"",IF(G1870&gt;=20000,0.05,IF(G1870&gt;=10000,0.1,IF(G1870&gt;=5000,0.2,IF(G1870&gt;=1000,0.3,IF(G1870&gt;=0,0.4,{0}))))))</f>
        <v/>
      </c>
      <c r="P1870" s="419">
        <f>IF(AND(B1870="",C1870=""),"",ROUND(H1870*O1870,2))</f>
        <v/>
      </c>
      <c r="Q1870" s="420" t="inlineStr">
        <is>
          <t>元件</t>
        </is>
      </c>
      <c r="R1870" s="231" t="inlineStr"/>
      <c r="S1870" s="231" t="inlineStr"/>
      <c r="T1870" s="231" t="inlineStr">
        <is>
          <t>0</t>
        </is>
      </c>
      <c r="U1870" s="231" t="inlineStr">
        <is>
          <t>XB2BVM3LC</t>
        </is>
      </c>
      <c r="V1870" s="421" t="n"/>
      <c r="W1870" s="421" t="n"/>
      <c r="X1870" s="166" t="inlineStr">
        <is>
          <t>XA2EVM3LC</t>
        </is>
      </c>
    </row>
    <row r="1871" customFormat="1" s="3">
      <c r="A1871" s="64">
        <f>ROW()-ROW(A$1866)</f>
        <v/>
      </c>
      <c r="B1871" s="22" t="inlineStr">
        <is>
          <t>指示灯</t>
        </is>
      </c>
      <c r="C1871" s="22" t="inlineStr">
        <is>
          <t>XB2BVM4LC</t>
        </is>
      </c>
      <c r="D1871" s="22" t="inlineStr">
        <is>
          <t>甲供/施耐德电气</t>
        </is>
      </c>
      <c r="E1871" s="23" t="inlineStr">
        <is>
          <t>只</t>
        </is>
      </c>
      <c r="F1871" s="23" t="n">
        <v>7</v>
      </c>
      <c r="G1871" s="349">
        <f>IF(AND(B1871="",C1871=""),"",ROUND(M1871*L1871*N1871,2))</f>
        <v/>
      </c>
      <c r="H1871" s="353">
        <f>IF(AND(B1871="",C1871=""),"",ROUND(F1871*G1871,2))</f>
        <v/>
      </c>
      <c r="I1871" s="180" t="inlineStr"/>
      <c r="J1871" s="392">
        <f>IF(AND(B1871="",C1871=""),"",ROUND(M1871*N1871,2))</f>
        <v/>
      </c>
      <c r="K1871" s="393">
        <f>IF(AND(B1871="",C1871=""),"",ROUND(J1871*F1871,2))</f>
        <v/>
      </c>
      <c r="L1871" s="141" t="n">
        <v>1</v>
      </c>
      <c r="M1871" s="394" t="n">
        <v>1e-07</v>
      </c>
      <c r="N1871" s="220" t="n">
        <v>1</v>
      </c>
      <c r="O1871" s="221">
        <f>IF(AND(B1871="",C1871=""),"",IF(G1871&gt;=20000,0.05,IF(G1871&gt;=10000,0.1,IF(G1871&gt;=5000,0.2,IF(G1871&gt;=1000,0.3,IF(G1871&gt;=0,0.4,{0}))))))</f>
        <v/>
      </c>
      <c r="P1871" s="419">
        <f>IF(AND(B1871="",C1871=""),"",ROUND(H1871*O1871,2))</f>
        <v/>
      </c>
      <c r="Q1871" s="420" t="inlineStr">
        <is>
          <t>元件</t>
        </is>
      </c>
      <c r="R1871" s="231" t="inlineStr"/>
      <c r="S1871" s="231" t="inlineStr"/>
      <c r="T1871" s="231" t="inlineStr">
        <is>
          <t>0</t>
        </is>
      </c>
      <c r="U1871" s="231" t="inlineStr">
        <is>
          <t>XB2BVM4LC</t>
        </is>
      </c>
      <c r="V1871" s="421" t="n"/>
      <c r="W1871" s="421" t="n"/>
      <c r="X1871" s="166" t="inlineStr">
        <is>
          <t>XA2EVM4LC</t>
        </is>
      </c>
    </row>
    <row r="1872" s="308">
      <c r="A1872" s="64">
        <f>ROW()-ROW(A$1866)</f>
        <v/>
      </c>
      <c r="B1872" s="112" t="inlineStr">
        <is>
          <t>温湿度控制器</t>
        </is>
      </c>
      <c r="C1872" s="112" t="inlineStr">
        <is>
          <t>ATH48G-11</t>
        </is>
      </c>
      <c r="D1872" s="22" t="inlineStr">
        <is>
          <t>杭州安廷</t>
        </is>
      </c>
      <c r="E1872" s="23" t="inlineStr">
        <is>
          <t>套</t>
        </is>
      </c>
      <c r="F1872" s="23" t="n">
        <v>1</v>
      </c>
      <c r="G1872" s="349">
        <f>IF(AND(B1872="",C1872=""),"",ROUND(M1872*L1872*N1872,2))</f>
        <v/>
      </c>
      <c r="H1872" s="396">
        <f>IF(AND(B1872="",C1872=""),"",ROUND(F1872*G1872,2))</f>
        <v/>
      </c>
      <c r="I1872" s="150" t="inlineStr"/>
      <c r="J1872" s="397">
        <f>IF(AND(B1872="",C1872=""),"",ROUND(M1872*N1872,2))</f>
        <v/>
      </c>
      <c r="K1872" s="398">
        <f>IF(AND(B1872="",C1872=""),"",ROUND(J1872*F1872,2))</f>
        <v/>
      </c>
      <c r="L1872" s="141" t="n">
        <v>1</v>
      </c>
      <c r="M1872" s="399" t="n">
        <v>450</v>
      </c>
      <c r="N1872" s="154" t="n">
        <v>1</v>
      </c>
      <c r="O1872" s="155">
        <f>IF(AND(B1872="",C1872=""),"",IF(G1872&gt;=20000,0.05,IF(G1872&gt;=10000,0.1,IF(G1872&gt;=5000,0.2,IF(G1872&gt;=1000,0.3,IF(G1872&gt;=0,0.4,{0}))))))</f>
        <v/>
      </c>
      <c r="P1872" s="400">
        <f>IF(AND(B1872="",C1872=""),"",ROUND(H1872*O1872,2))</f>
        <v/>
      </c>
      <c r="Q1872" s="401" t="inlineStr">
        <is>
          <t>元件</t>
        </is>
      </c>
      <c r="R1872" s="168" t="inlineStr"/>
      <c r="S1872" s="168" t="inlineStr"/>
      <c r="T1872" s="168" t="inlineStr">
        <is>
          <t>0</t>
        </is>
      </c>
      <c r="U1872" s="168" t="inlineStr"/>
      <c r="V1872" s="402" t="n"/>
      <c r="W1872" s="402" t="n"/>
      <c r="X1872" s="170" t="inlineStr"/>
    </row>
    <row r="1873" s="308">
      <c r="A1873" s="64">
        <f>ROW()-ROW(A$1866)</f>
        <v/>
      </c>
      <c r="B1873" s="22" t="inlineStr">
        <is>
          <t>中间继电器</t>
        </is>
      </c>
      <c r="C1873" s="22" t="inlineStr">
        <is>
          <t>RXM4AB2P7+RXZE2S114M+RXZ400</t>
        </is>
      </c>
      <c r="D1873" s="22" t="inlineStr">
        <is>
          <t>甲供/施耐德电气</t>
        </is>
      </c>
      <c r="E1873" s="23" t="inlineStr">
        <is>
          <t>只</t>
        </is>
      </c>
      <c r="F1873" s="23" t="n">
        <v>14</v>
      </c>
      <c r="G1873" s="349">
        <f>IF(AND(B1873="",C1873=""),"",ROUND(M1873*L1873*N1873,2))</f>
        <v/>
      </c>
      <c r="H1873" s="349">
        <f>IF(AND(B1873="",C1873=""),"",ROUND(F1873*G1873,2))</f>
        <v/>
      </c>
      <c r="I1873" s="45" t="inlineStr"/>
      <c r="J1873" s="397">
        <f>IF(AND(B1873="",C1873=""),"",ROUND(M1873*N1873,2))</f>
        <v/>
      </c>
      <c r="K1873" s="398">
        <f>IF(AND(B1873="",C1873=""),"",ROUND(J1873*F1873,2))</f>
        <v/>
      </c>
      <c r="L1873" s="141" t="n">
        <v>1</v>
      </c>
      <c r="M1873" s="399" t="n">
        <v>1e-07</v>
      </c>
      <c r="N1873" s="154" t="n">
        <v>1</v>
      </c>
      <c r="O1873" s="155">
        <f>IF(AND(B1873="",C1873=""),"",IF(G1873&gt;=20000,0.05,IF(G1873&gt;=10000,0.1,IF(G1873&gt;=5000,0.2,IF(G1873&gt;=1000,0.3,IF(G1873&gt;=0,0.4,{0}))))))</f>
        <v/>
      </c>
      <c r="P1873" s="400">
        <f>IF(AND(B1873="",C1873=""),"",ROUND(H1873*O1873,2))</f>
        <v/>
      </c>
      <c r="Q1873" s="401" t="inlineStr">
        <is>
          <t>元件</t>
        </is>
      </c>
      <c r="R1873" s="168" t="inlineStr"/>
      <c r="S1873" s="168" t="inlineStr"/>
      <c r="T1873" s="168" t="inlineStr">
        <is>
          <t>0</t>
        </is>
      </c>
      <c r="U1873" s="168" t="inlineStr">
        <is>
          <t>RXM4AB2P7+RXZE2S114M+RXZ400</t>
        </is>
      </c>
      <c r="V1873" s="402" t="n"/>
      <c r="W1873" s="402" t="n"/>
      <c r="X1873" s="170" t="inlineStr">
        <is>
          <t>REL-IR-BL/L-230AC/4X21，含底座→RXM4AB2P7+RXZE2S114M+RXZ400→REL-IR-BL/L-230AC/4X21，含底座</t>
        </is>
      </c>
    </row>
    <row r="1874" customFormat="1" s="3">
      <c r="A1874" s="64">
        <f>ROW()-ROW(A$1866)</f>
        <v/>
      </c>
      <c r="B1874" s="22" t="inlineStr">
        <is>
          <t>带熔丝端子</t>
        </is>
      </c>
      <c r="C1874" s="22" t="inlineStr">
        <is>
          <t>UK 5-HESI</t>
        </is>
      </c>
      <c r="D1874" s="22" t="inlineStr">
        <is>
          <t>菲尼克斯</t>
        </is>
      </c>
      <c r="E1874" s="23" t="inlineStr">
        <is>
          <t>只</t>
        </is>
      </c>
      <c r="F1874" s="23" t="n">
        <v>28</v>
      </c>
      <c r="G1874" s="349">
        <f>IF(AND(B1874="",C1874=""),"",ROUND(M1874*L1874*N1874,2))</f>
        <v/>
      </c>
      <c r="H1874" s="349">
        <f>IF(AND(B1874="",C1874=""),"",ROUND(F1874*G1874,2))</f>
        <v/>
      </c>
      <c r="I1874" s="45" t="inlineStr"/>
      <c r="J1874" s="392">
        <f>IF(AND(B1874="",C1874=""),"",ROUND(M1874*N1874,2))</f>
        <v/>
      </c>
      <c r="K1874" s="393">
        <f>IF(AND(B1874="",C1874=""),"",ROUND(J1874*F1874,2))</f>
        <v/>
      </c>
      <c r="L1874" s="141" t="n">
        <v>1</v>
      </c>
      <c r="M1874" s="394" t="n">
        <v>7</v>
      </c>
      <c r="N1874" s="220" t="n">
        <v>1</v>
      </c>
      <c r="O1874" s="221">
        <f>IF(AND(B1874="",C1874=""),"",IF(G1874&gt;=20000,0.05,IF(G1874&gt;=10000,0.1,IF(G1874&gt;=5000,0.2,IF(G1874&gt;=1000,0.3,IF(G1874&gt;=0,0.4,{0}))))))</f>
        <v/>
      </c>
      <c r="P1874" s="419">
        <f>IF(AND(B1874="",C1874=""),"",ROUND(H1874*O1874,2))</f>
        <v/>
      </c>
      <c r="Q1874" s="420" t="inlineStr">
        <is>
          <t>元件</t>
        </is>
      </c>
      <c r="R1874" s="231" t="inlineStr"/>
      <c r="S1874" s="231" t="inlineStr"/>
      <c r="T1874" s="231" t="inlineStr">
        <is>
          <t>0</t>
        </is>
      </c>
      <c r="U1874" s="231" t="inlineStr">
        <is>
          <t>True</t>
        </is>
      </c>
      <c r="V1874" s="421" t="n"/>
      <c r="W1874" s="421" t="n"/>
      <c r="X1874" s="166" t="inlineStr"/>
    </row>
    <row r="1875" s="308">
      <c r="A1875" s="64">
        <f>ROW()-ROW(A$1866)</f>
        <v/>
      </c>
      <c r="B1875" s="22" t="inlineStr">
        <is>
          <t>水平母排</t>
        </is>
      </c>
      <c r="C1875" s="22" t="inlineStr">
        <is>
          <t>TMY 4*(3*125*5)+2*50*5</t>
        </is>
      </c>
      <c r="D1875" s="22" t="inlineStr">
        <is>
          <t>国产优质</t>
        </is>
      </c>
      <c r="E1875" s="23" t="inlineStr">
        <is>
          <t>米</t>
        </is>
      </c>
      <c r="F1875" s="23" t="n">
        <v>0.7</v>
      </c>
      <c r="G1875" s="349">
        <f>IF(AND(B1875="",C1875=""),"",ROUND(M1875*L1875*N1875,2))</f>
        <v/>
      </c>
      <c r="H1875" s="349">
        <f>IF(AND(B1875="",C1875=""),"",ROUND(F1875*G1875,2))</f>
        <v/>
      </c>
      <c r="I1875" s="45" t="inlineStr"/>
      <c r="J1875" s="397">
        <f>IF(AND(B1875="",C1875=""),"",ROUND(M1875*N1875,2))</f>
        <v/>
      </c>
      <c r="K1875" s="398">
        <f>IF(AND(B1875="",C1875=""),"",ROUND(J1875*F1875,2))</f>
        <v/>
      </c>
      <c r="L1875" s="200" t="n">
        <v>1</v>
      </c>
      <c r="M1875" s="399" t="n">
        <v>7697.076</v>
      </c>
      <c r="N1875" s="154">
        <f>(6317.932*1*1+2684.8*1*1)/9002.732</f>
        <v/>
      </c>
      <c r="O1875" s="155">
        <f>IF(AND(B1875="",C1875=""),"",IF(J1875&gt;=20000,0.05,IF(J1875&gt;=10000,0.1,IF(J1875&gt;=5000,0.2,IF(J1875&gt;=1000,0.3,IF(J1875&gt;=0,0.4,{0}))))))</f>
        <v/>
      </c>
      <c r="P1875" s="400">
        <f>IF(AND(B1875="",C1875=""),"",ROUND(H1875*O1875,2))</f>
        <v/>
      </c>
      <c r="Q1875" s="401" t="inlineStr">
        <is>
          <t>母排</t>
        </is>
      </c>
      <c r="R1875" s="168" t="inlineStr"/>
      <c r="S1875" s="168" t="inlineStr"/>
      <c r="T1875" s="168" t="inlineStr">
        <is>
          <t>0</t>
        </is>
      </c>
      <c r="U1875" s="168" t="inlineStr"/>
      <c r="V1875" s="402" t="n"/>
      <c r="W1875" s="402" t="n"/>
      <c r="X1875" s="170" t="inlineStr"/>
    </row>
    <row r="1876" customFormat="1" s="5">
      <c r="A1876" s="64">
        <f>ROW()-ROW(A$1866)</f>
        <v/>
      </c>
      <c r="B1876" s="22" t="inlineStr">
        <is>
          <t>垂直排</t>
        </is>
      </c>
      <c r="C1876" s="22" t="inlineStr">
        <is>
          <t>TMY 3*3*80*5</t>
        </is>
      </c>
      <c r="D1876" s="22" t="inlineStr">
        <is>
          <t>国产优质</t>
        </is>
      </c>
      <c r="E1876" s="23" t="inlineStr">
        <is>
          <t>米</t>
        </is>
      </c>
      <c r="F1876" s="23" t="n">
        <v>2</v>
      </c>
      <c r="G1876" s="349">
        <f>IF(AND(B1876="",C1876=""),"",ROUND(M1876*L1876*N1876,2))</f>
        <v/>
      </c>
      <c r="H1876" s="349">
        <f>IF(AND(B1876="",C1876=""),"",ROUND(F1876*G1876,2))</f>
        <v/>
      </c>
      <c r="I1876" s="45" t="inlineStr"/>
      <c r="J1876" s="422">
        <f>IF(AND(B1876="",C1876=""),"",ROUND(M1876*N1876,2))</f>
        <v/>
      </c>
      <c r="K1876" s="423">
        <f>IF(AND(B1876="",C1876=""),"",ROUND(J1876*F1876,2))</f>
        <v/>
      </c>
      <c r="L1876" s="225" t="n">
        <v>1</v>
      </c>
      <c r="M1876" s="424" t="n">
        <v>3463.6842</v>
      </c>
      <c r="N1876" s="227" t="n">
        <v>1</v>
      </c>
      <c r="O1876" s="228">
        <f>IF(AND(B1876="",C1876=""),"",IF(G1876&gt;=20000,0.05,IF(G1876&gt;=10000,0.1,IF(G1876&gt;=5000,0.2,IF(G1876&gt;=1000,0.3,IF(G1876&gt;=0,0.4,{0}))))))</f>
        <v/>
      </c>
      <c r="P1876" s="425">
        <f>IF(AND(B1876="",C1876=""),"",ROUND(H1876*O1876,2))</f>
        <v/>
      </c>
      <c r="Q1876" s="426" t="inlineStr">
        <is>
          <t>母排</t>
        </is>
      </c>
      <c r="R1876" s="234" t="inlineStr"/>
      <c r="S1876" s="234" t="inlineStr"/>
      <c r="T1876" s="235" t="inlineStr">
        <is>
          <t>0</t>
        </is>
      </c>
      <c r="U1876" s="235" t="inlineStr"/>
      <c r="V1876" s="427" t="n"/>
      <c r="W1876" s="427" t="n"/>
      <c r="X1876" s="237" t="inlineStr">
        <is>
          <t>TMY 2*30*5→TMY 30*8</t>
        </is>
      </c>
    </row>
    <row r="1877" customFormat="1" s="5">
      <c r="A1877" s="64">
        <f>ROW()-ROW(A$1866)</f>
        <v/>
      </c>
      <c r="B1877" s="22" t="inlineStr">
        <is>
          <t>N排</t>
        </is>
      </c>
      <c r="C1877" s="22" t="inlineStr">
        <is>
          <t>TMY 3*80*5</t>
        </is>
      </c>
      <c r="D1877" s="22" t="inlineStr">
        <is>
          <t>国产优质</t>
        </is>
      </c>
      <c r="E1877" s="23" t="inlineStr">
        <is>
          <t>米</t>
        </is>
      </c>
      <c r="F1877" s="23" t="n">
        <v>3</v>
      </c>
      <c r="G1877" s="349">
        <f>IF(AND(B1877="",C1877=""),"",ROUND(M1877*L1877*N1877,2))</f>
        <v/>
      </c>
      <c r="H1877" s="349">
        <f>IF(AND(B1877="",C1877=""),"",ROUND(F1877*G1877,2))</f>
        <v/>
      </c>
      <c r="I1877" s="45" t="inlineStr"/>
      <c r="J1877" s="422">
        <f>IF(AND(B1877="",C1877=""),"",ROUND(M1877*N1877,2))</f>
        <v/>
      </c>
      <c r="K1877" s="423">
        <f>IF(AND(B1877="",C1877=""),"",ROUND(J1877*F1877,2))</f>
        <v/>
      </c>
      <c r="L1877" s="225" t="n">
        <v>1</v>
      </c>
      <c r="M1877" s="424" t="n">
        <v>1154.5614</v>
      </c>
      <c r="N1877" s="227" t="n">
        <v>1</v>
      </c>
      <c r="O1877" s="228">
        <f>IF(AND(B1877="",C1877=""),"",IF(G1877&gt;=20000,0.05,IF(G1877&gt;=10000,0.1,IF(G1877&gt;=5000,0.2,IF(G1877&gt;=1000,0.3,IF(G1877&gt;=0,0.4,{0}))))))</f>
        <v/>
      </c>
      <c r="P1877" s="425">
        <f>IF(AND(B1877="",C1877=""),"",ROUND(H1877*O1877,2))</f>
        <v/>
      </c>
      <c r="Q1877" s="426" t="inlineStr">
        <is>
          <t>母排</t>
        </is>
      </c>
      <c r="R1877" s="234" t="inlineStr"/>
      <c r="S1877" s="234" t="inlineStr"/>
      <c r="T1877" s="235" t="inlineStr">
        <is>
          <t>0</t>
        </is>
      </c>
      <c r="U1877" s="235" t="inlineStr"/>
      <c r="V1877" s="427" t="n"/>
      <c r="W1877" s="427" t="n"/>
      <c r="X1877" s="237" t="inlineStr">
        <is>
          <t>TMY 2*30*5→TMY 30*8</t>
        </is>
      </c>
    </row>
    <row r="1878" customFormat="1" s="5">
      <c r="A1878" s="64">
        <f>ROW()-ROW(A$1866)</f>
        <v/>
      </c>
      <c r="B1878" s="22" t="inlineStr">
        <is>
          <t>PE排</t>
        </is>
      </c>
      <c r="C1878" s="22" t="inlineStr">
        <is>
          <t>TMY 2*50*5</t>
        </is>
      </c>
      <c r="D1878" s="22" t="inlineStr">
        <is>
          <t>国产优质</t>
        </is>
      </c>
      <c r="E1878" s="23" t="inlineStr">
        <is>
          <t>米</t>
        </is>
      </c>
      <c r="F1878" s="23" t="n">
        <v>2</v>
      </c>
      <c r="G1878" s="349">
        <f>IF(AND(B1878="",C1878=""),"",ROUND(M1878*L1878*N1878,2))</f>
        <v/>
      </c>
      <c r="H1878" s="349">
        <f>IF(AND(B1878="",C1878=""),"",ROUND(F1878*G1878,2))</f>
        <v/>
      </c>
      <c r="I1878" s="45" t="inlineStr"/>
      <c r="J1878" s="422">
        <f>IF(AND(B1878="",C1878=""),"",ROUND(M1878*N1878,2))</f>
        <v/>
      </c>
      <c r="K1878" s="423">
        <f>IF(AND(B1878="",C1878=""),"",ROUND(J1878*F1878,2))</f>
        <v/>
      </c>
      <c r="L1878" s="225" t="n">
        <v>1</v>
      </c>
      <c r="M1878" s="424" t="n">
        <v>481.06725</v>
      </c>
      <c r="N1878" s="227" t="n">
        <v>1</v>
      </c>
      <c r="O1878" s="228">
        <f>IF(AND(B1878="",C1878=""),"",IF(G1878&gt;=20000,0.05,IF(G1878&gt;=10000,0.1,IF(G1878&gt;=5000,0.2,IF(G1878&gt;=1000,0.3,IF(G1878&gt;=0,0.4,{0}))))))</f>
        <v/>
      </c>
      <c r="P1878" s="425">
        <f>IF(AND(B1878="",C1878=""),"",ROUND(H1878*O1878,2))</f>
        <v/>
      </c>
      <c r="Q1878" s="426" t="inlineStr">
        <is>
          <t>母排</t>
        </is>
      </c>
      <c r="R1878" s="234" t="inlineStr"/>
      <c r="S1878" s="234" t="inlineStr"/>
      <c r="T1878" s="235" t="inlineStr">
        <is>
          <t>0</t>
        </is>
      </c>
      <c r="U1878" s="235" t="inlineStr"/>
      <c r="V1878" s="427" t="n"/>
      <c r="W1878" s="427" t="n"/>
      <c r="X1878" s="237" t="inlineStr">
        <is>
          <t>TMY 2*30*5→TMY 30*8</t>
        </is>
      </c>
    </row>
    <row r="1879" customFormat="1" s="5">
      <c r="A1879" s="64">
        <f>ROW()-ROW(A$1866)</f>
        <v/>
      </c>
      <c r="B1879" s="22" t="inlineStr">
        <is>
          <t>400A铜排</t>
        </is>
      </c>
      <c r="C1879" s="22" t="inlineStr">
        <is>
          <t>TMY 30*5</t>
        </is>
      </c>
      <c r="D1879" s="22" t="inlineStr">
        <is>
          <t>国产优质</t>
        </is>
      </c>
      <c r="E1879" s="23" t="inlineStr">
        <is>
          <t>米</t>
        </is>
      </c>
      <c r="F1879" s="23" t="n">
        <v>22.4</v>
      </c>
      <c r="G1879" s="349">
        <f>IF(AND(B1879="",C1879=""),"",ROUND(M1879*L1879*N1879,2))</f>
        <v/>
      </c>
      <c r="H1879" s="349">
        <f>IF(AND(B1879="",C1879=""),"",ROUND(F1879*G1879,2))</f>
        <v/>
      </c>
      <c r="I1879" s="45" t="inlineStr"/>
      <c r="J1879" s="422">
        <f>IF(AND(B1879="",C1879=""),"",ROUND(M1879*N1879,2))</f>
        <v/>
      </c>
      <c r="K1879" s="423">
        <f>IF(AND(B1879="",C1879=""),"",ROUND(J1879*F1879,2))</f>
        <v/>
      </c>
      <c r="L1879" s="225" t="n">
        <v>1</v>
      </c>
      <c r="M1879" s="424" t="n">
        <v>144.320175</v>
      </c>
      <c r="N1879" s="227" t="n">
        <v>1</v>
      </c>
      <c r="O1879" s="228">
        <f>IF(AND(B1879="",C1879=""),"",IF(G1879&gt;=20000,0.05,IF(G1879&gt;=10000,0.1,IF(G1879&gt;=5000,0.2,IF(G1879&gt;=1000,0.3,IF(G1879&gt;=0,0.4,{0}))))))</f>
        <v/>
      </c>
      <c r="P1879" s="425">
        <f>IF(AND(B1879="",C1879=""),"",ROUND(H1879*O1879,2))</f>
        <v/>
      </c>
      <c r="Q1879" s="426" t="inlineStr">
        <is>
          <t>母排</t>
        </is>
      </c>
      <c r="R1879" s="234" t="inlineStr"/>
      <c r="S1879" s="234" t="inlineStr"/>
      <c r="T1879" s="235" t="inlineStr">
        <is>
          <t>0</t>
        </is>
      </c>
      <c r="U1879" s="235" t="inlineStr"/>
      <c r="V1879" s="427" t="n"/>
      <c r="W1879" s="427" t="n"/>
      <c r="X1879" s="237" t="inlineStr">
        <is>
          <t>TMY 2*30*5→TMY 30*8</t>
        </is>
      </c>
    </row>
    <row r="1880" s="308">
      <c r="A1880" s="64">
        <f>ROW()-ROW(A$1866)</f>
        <v/>
      </c>
      <c r="B1880" s="112" t="inlineStr">
        <is>
          <t>辅料</t>
        </is>
      </c>
      <c r="C1880" s="112" t="inlineStr"/>
      <c r="D1880" s="112" t="inlineStr"/>
      <c r="E1880" s="114" t="inlineStr">
        <is>
          <t>套</t>
        </is>
      </c>
      <c r="F1880" s="114" t="n">
        <v>1</v>
      </c>
      <c r="G1880" s="396">
        <f>IF(AND(B1880="",C1880=""),"",ROUND(M1880*L1880*N1880,2))</f>
        <v/>
      </c>
      <c r="H1880" s="396">
        <f>IF(AND(B1880="",C1880=""),"",ROUND(F1880*G1880,2))</f>
        <v/>
      </c>
      <c r="I1880" s="219" t="inlineStr"/>
      <c r="J1880" s="397">
        <f>IF(AND(B1880="",C1880=""),"",ROUND(M1880*N1880,2))</f>
        <v/>
      </c>
      <c r="K1880" s="398">
        <f>IF(AND(B1880="",C1880=""),"",ROUND(J1880*F1880,2))</f>
        <v/>
      </c>
      <c r="L1880" s="200" t="n">
        <v>1</v>
      </c>
      <c r="M1880" s="399" t="n">
        <v>778.02</v>
      </c>
      <c r="N1880" s="154" t="n">
        <v>1</v>
      </c>
      <c r="O1880" s="155">
        <f>IF(AND(B1880="",C1880=""),"",IF(G1880&gt;=20000,0.05,IF(G1880&gt;=10000,0.1,IF(G1880&gt;=5000,0.2,IF(G1880&gt;=1000,0.3,IF(G1880&gt;=0,0.4,{0}))))))</f>
        <v/>
      </c>
      <c r="P1880" s="400">
        <f>IF(AND(B1880="",C1880=""),"",ROUND(H1880*O1880,2))</f>
        <v/>
      </c>
      <c r="Q1880" s="401" t="inlineStr">
        <is>
          <t>辅料</t>
        </is>
      </c>
      <c r="R1880" s="168" t="inlineStr"/>
      <c r="S1880" s="168" t="inlineStr"/>
      <c r="T1880" s="168" t="inlineStr">
        <is>
          <t>0</t>
        </is>
      </c>
      <c r="U1880" s="168" t="inlineStr"/>
      <c r="V1880" s="402" t="n"/>
      <c r="W1880" s="402" t="n"/>
      <c r="X1880" s="170" t="inlineStr"/>
    </row>
    <row r="1881" s="308">
      <c r="A1881" s="64">
        <f>ROW()-ROW(A$1866)</f>
        <v/>
      </c>
      <c r="B1881" s="112" t="inlineStr">
        <is>
          <t>柜体Blokset</t>
        </is>
      </c>
      <c r="C1881" s="22" t="inlineStr">
        <is>
          <t>600W*1200D*2200H</t>
        </is>
      </c>
      <c r="D1881" s="112" t="inlineStr">
        <is>
          <t>清科</t>
        </is>
      </c>
      <c r="E1881" s="114" t="inlineStr">
        <is>
          <t>台</t>
        </is>
      </c>
      <c r="F1881" s="114" t="n">
        <v>1</v>
      </c>
      <c r="G1881" s="396">
        <f>IF(AND(B1881="",C1881=""),"",ROUND(M1881*L1881*N1881,2))</f>
        <v/>
      </c>
      <c r="H1881" s="396">
        <f>IF(AND(B1881="",C1881=""),"",ROUND(F1881*G1881,2))</f>
        <v/>
      </c>
      <c r="I1881" s="219" t="inlineStr"/>
      <c r="J1881" s="397">
        <f>IF(AND(B1881="",C1881=""),"",ROUND(M1881*N1881,2))</f>
        <v/>
      </c>
      <c r="K1881" s="398">
        <f>IF(AND(B1881="",C1881=""),"",ROUND(J1881*F1881,2))</f>
        <v/>
      </c>
      <c r="L1881" s="200" t="n">
        <v>1</v>
      </c>
      <c r="M1881" s="399" t="n">
        <v>5770</v>
      </c>
      <c r="N1881" s="154" t="n">
        <v>1</v>
      </c>
      <c r="O1881" s="155">
        <f>IF(AND(B1881="",C1881=""),"",IF(G1881&gt;=20000,0.05,IF(G1881&gt;=10000,0.1,IF(G1881&gt;=5000,0.2,IF(G1881&gt;=1000,0.3,IF(G1881&gt;=0,0.4,{0}))))))</f>
        <v/>
      </c>
      <c r="P1881" s="400">
        <f>IF(AND(B1881="",C1881=""),"",ROUND(H1881*O1881,2))</f>
        <v/>
      </c>
      <c r="Q1881" s="401" t="inlineStr">
        <is>
          <t>箱体</t>
        </is>
      </c>
      <c r="R1881" s="168" t="inlineStr"/>
      <c r="S1881" s="168" t="inlineStr"/>
      <c r="T1881" s="168" t="inlineStr">
        <is>
          <t>0</t>
        </is>
      </c>
      <c r="U1881" s="168" t="inlineStr"/>
      <c r="V1881" s="402" t="n"/>
      <c r="W1881" s="402" t="n"/>
      <c r="X1881" s="170" t="inlineStr">
        <is>
          <t>BlokSeT</t>
        </is>
      </c>
    </row>
    <row r="1882" s="308">
      <c r="A1882" s="64">
        <f>ROW()-ROW(A$1866)</f>
        <v/>
      </c>
      <c r="B1882" s="22" t="inlineStr"/>
      <c r="C1882" s="22" t="inlineStr"/>
      <c r="D1882" s="22" t="inlineStr"/>
      <c r="E1882" s="23" t="n"/>
      <c r="F1882" s="23">
        <f>IF(AND(B1882="",C1882=""),"",1)</f>
        <v/>
      </c>
      <c r="G1882" s="349">
        <f>IF(AND(B1882="",C1882=""),"",ROUND(M1882*L1882*N1882,2))</f>
        <v/>
      </c>
      <c r="H1882" s="349">
        <f>IF(AND(B1882="",C1882=""),"",ROUND(F1882*G1882,2))</f>
        <v/>
      </c>
      <c r="I1882" s="45" t="inlineStr"/>
      <c r="J1882" s="397">
        <f>IF(AND(B1882="",C1882=""),"",ROUND(M1882*N1882,2))</f>
        <v/>
      </c>
      <c r="K1882" s="398">
        <f>IF(AND(B1882="",C1882=""),"",ROUND(J1882*F1882,2))</f>
        <v/>
      </c>
      <c r="L1882" s="200">
        <f>IF(AND(B1882="",C1882=""),"",1)</f>
        <v/>
      </c>
      <c r="M1882" s="399" t="n"/>
      <c r="N1882" s="154">
        <f>IF(AND(B1882="",C1882=""),"",1)</f>
        <v/>
      </c>
      <c r="O1882" s="155">
        <f>IF(AND(B1882="",C1882=""),"",IF(J1882&gt;=20000,0.05,IF(J1882&gt;=10000,0.1,IF(J1882&gt;=5000,0.2,IF(J1882&gt;=1000,0.3,IF(J1882&gt;=0,0.4,{0}))))))</f>
        <v/>
      </c>
      <c r="P1882" s="400">
        <f>IF(AND(B1882="",C1882=""),"",ROUND(H1882*O1882,2))</f>
        <v/>
      </c>
      <c r="Q1882" s="401">
        <f>IF(AND(B1882="",C1882=""),"","元件")</f>
        <v/>
      </c>
      <c r="R1882" s="168" t="inlineStr"/>
      <c r="S1882" s="168" t="inlineStr"/>
      <c r="T1882" s="168" t="inlineStr"/>
      <c r="U1882" s="168" t="inlineStr"/>
      <c r="V1882" s="402" t="n"/>
      <c r="W1882" s="402" t="n"/>
      <c r="X1882" s="170" t="inlineStr"/>
    </row>
    <row r="1883" s="308">
      <c r="A1883" s="64">
        <f>ROW()-ROW(A$1866)</f>
        <v/>
      </c>
      <c r="B1883" s="171" t="inlineStr">
        <is>
          <t>小计</t>
        </is>
      </c>
      <c r="C1883" s="172" t="n"/>
      <c r="D1883" s="204" t="n"/>
      <c r="E1883" s="114" t="n"/>
      <c r="F1883" s="114" t="n"/>
      <c r="G1883" s="396" t="n"/>
      <c r="H1883" s="396">
        <f>ROUND(SUM(H1866:INDEX(H:H,ROW()-1)),2)</f>
        <v/>
      </c>
      <c r="I1883" s="45" t="inlineStr"/>
      <c r="J1883" s="397" t="n"/>
      <c r="K1883" s="398">
        <f>ROUND(SUM(K1866:INDEX(K:K,ROW()-1)),2)</f>
        <v/>
      </c>
      <c r="L1883" s="200" t="n"/>
      <c r="M1883" s="399" t="n"/>
      <c r="N1883" s="154" t="n"/>
      <c r="O1883" s="155" t="n"/>
      <c r="P1883" s="400" t="n"/>
      <c r="Q1883" s="401" t="n"/>
      <c r="R1883" s="168" t="inlineStr"/>
      <c r="S1883" s="168" t="inlineStr"/>
      <c r="T1883" s="168" t="inlineStr"/>
      <c r="U1883" s="168" t="inlineStr"/>
      <c r="V1883" s="402">
        <f>ROUND(SUMPRODUCT(F1866:INDEX(F:F,ROW()-1),V1866:INDEX(V:V,ROW()-1)),2)</f>
        <v/>
      </c>
      <c r="W1883" s="402">
        <f>ROUND(SUMPRODUCT(F1866:INDEX(F:F,ROW()-1),W1866:INDEX(W:W,ROW()-1)),2)</f>
        <v/>
      </c>
      <c r="X1883" s="170" t="inlineStr"/>
    </row>
    <row r="1884" s="308">
      <c r="A1884" s="64">
        <f>ROW()-ROW(A$1866)</f>
        <v/>
      </c>
      <c r="B1884" s="171" t="inlineStr">
        <is>
          <t>综合费(人工、管理、税金、利润等)</t>
        </is>
      </c>
      <c r="C1884" s="172" t="n"/>
      <c r="D1884" s="204" t="n"/>
      <c r="E1884" s="114" t="n"/>
      <c r="F1884" s="114" t="n"/>
      <c r="G1884" s="396" t="n"/>
      <c r="H1884" s="396">
        <f>2500</f>
        <v/>
      </c>
      <c r="I1884" s="45" t="inlineStr"/>
      <c r="J1884" s="397" t="n"/>
      <c r="K1884" s="398" t="n"/>
      <c r="L1884" s="200" t="n"/>
      <c r="M1884" s="399" t="n"/>
      <c r="N1884" s="154" t="n"/>
      <c r="O1884" s="155" t="n"/>
      <c r="P1884" s="400" t="n"/>
      <c r="Q1884" s="401" t="inlineStr">
        <is>
          <t>费用</t>
        </is>
      </c>
      <c r="R1884" s="168" t="inlineStr"/>
      <c r="S1884" s="168" t="inlineStr"/>
      <c r="T1884" s="168" t="inlineStr"/>
      <c r="U1884" s="168" t="inlineStr"/>
      <c r="V1884" s="402" t="n"/>
      <c r="W1884" s="402" t="n"/>
      <c r="X1884" s="170" t="inlineStr"/>
    </row>
    <row r="1885" s="308">
      <c r="A1885" s="64">
        <f>ROW()-ROW(A$1866)</f>
        <v/>
      </c>
      <c r="B1885" s="204" t="inlineStr">
        <is>
          <t>单台合计</t>
        </is>
      </c>
      <c r="C1885" s="172" t="n"/>
      <c r="D1885" s="204" t="n"/>
      <c r="E1885" s="114" t="n"/>
      <c r="F1885" s="114" t="n"/>
      <c r="G1885" s="396" t="n"/>
      <c r="H1885" s="396">
        <f>ROUND(SUM(H1883:H1884),2)</f>
        <v/>
      </c>
      <c r="I1885" s="181" t="n"/>
      <c r="J1885" s="397" t="n"/>
      <c r="K1885" s="398">
        <f>ROUND(SUM(K1883:K1884),2)</f>
        <v/>
      </c>
      <c r="L1885" s="209" t="n"/>
      <c r="M1885" s="399" t="n"/>
      <c r="N1885" s="210" t="n"/>
      <c r="O1885" s="211" t="n"/>
      <c r="P1885" s="400" t="n"/>
      <c r="Q1885" s="401" t="n"/>
      <c r="R1885" s="168" t="inlineStr"/>
      <c r="S1885" s="168" t="inlineStr"/>
      <c r="T1885" s="168" t="inlineStr"/>
      <c r="U1885" s="168" t="inlineStr"/>
      <c r="V1885" s="402" t="n"/>
      <c r="W1885" s="402" t="n"/>
      <c r="X1885" s="170" t="inlineStr"/>
    </row>
    <row r="1886" s="308">
      <c r="A1886" s="173" t="inlineStr">
        <is>
          <t>总计</t>
        </is>
      </c>
      <c r="B1886" s="205" t="n"/>
      <c r="C1886" s="175" t="n"/>
      <c r="D1886" s="206" t="n"/>
      <c r="E1886" s="206" t="inlineStr">
        <is>
          <t>台</t>
        </is>
      </c>
      <c r="F1886" s="206" t="n">
        <v>4</v>
      </c>
      <c r="G1886" s="414">
        <f>ROUND(H1885,2)</f>
        <v/>
      </c>
      <c r="H1886" s="414">
        <f>ROUND(F1886*G1886,2)</f>
        <v/>
      </c>
      <c r="I1886" s="185" t="n"/>
      <c r="J1886" s="415" t="n"/>
      <c r="K1886" s="416">
        <f>ROUND(K1885*F1886,2)</f>
        <v/>
      </c>
      <c r="L1886" s="214" t="n"/>
      <c r="M1886" s="417" t="n"/>
      <c r="N1886" s="216" t="n"/>
      <c r="O1886" s="217" t="n"/>
      <c r="P1886" s="418" t="n"/>
      <c r="Q1886" s="401" t="n"/>
      <c r="R1886" s="168" t="inlineStr"/>
      <c r="S1886" s="168" t="inlineStr"/>
      <c r="T1886" s="168" t="inlineStr"/>
      <c r="U1886" s="168" t="inlineStr"/>
      <c r="V1886" s="402" t="n"/>
      <c r="W1886" s="402" t="n"/>
      <c r="X1886" s="170" t="inlineStr"/>
    </row>
    <row r="1887" customFormat="1" s="4">
      <c r="A1887" s="6" t="n"/>
      <c r="B1887" s="195" t="inlineStr"/>
      <c r="C1887" s="195" t="inlineStr"/>
      <c r="D1887" s="195" t="inlineStr"/>
      <c r="Q1887" s="159" t="n"/>
      <c r="R1887" s="159" t="n"/>
      <c r="S1887" s="159" t="n"/>
      <c r="T1887" s="159" t="n"/>
      <c r="U1887" s="159" t="n"/>
      <c r="X1887" s="195" t="inlineStr"/>
    </row>
    <row r="1888" customFormat="1" s="4">
      <c r="A1888" s="6" t="n"/>
      <c r="B1888" s="195" t="inlineStr"/>
      <c r="C1888" s="195" t="inlineStr"/>
      <c r="D1888" s="195" t="inlineStr"/>
      <c r="Q1888" s="159" t="n"/>
      <c r="R1888" s="159" t="n"/>
      <c r="S1888" s="159" t="n"/>
      <c r="T1888" s="159" t="n"/>
      <c r="U1888" s="159" t="n"/>
      <c r="X1888" s="195" t="inlineStr"/>
    </row>
    <row r="1889" s="308">
      <c r="A1889" s="208">
        <f>CONCATENATE("报价人：",项目信息!$B$8)</f>
        <v/>
      </c>
      <c r="B1889" s="208" t="n"/>
      <c r="C1889" s="4" t="n"/>
      <c r="D1889" s="4" t="n"/>
      <c r="E1889" s="4" t="n"/>
      <c r="F1889" s="4" t="n"/>
      <c r="G1889" s="4" t="n"/>
      <c r="H1889" s="178">
        <f>项目信息!$B$9</f>
        <v/>
      </c>
      <c r="Q1889" s="159" t="n"/>
      <c r="R1889" s="159" t="n"/>
      <c r="S1889" s="159" t="n"/>
      <c r="T1889" s="159" t="n"/>
      <c r="U1889" s="159" t="n"/>
      <c r="X1889" s="203" t="inlineStr"/>
    </row>
    <row r="1890" s="308">
      <c r="A1890" s="8">
        <f>T(项目信息!$B$22)</f>
        <v/>
      </c>
      <c r="Q1890" s="159" t="n"/>
      <c r="R1890" s="159" t="n"/>
      <c r="S1890" s="159" t="n"/>
      <c r="T1890" s="159" t="n"/>
      <c r="U1890" s="159" t="n"/>
    </row>
    <row r="1891" s="308">
      <c r="A1891" s="9">
        <f>T(项目信息!$B$23)</f>
        <v/>
      </c>
      <c r="Q1891" s="159" t="n"/>
      <c r="R1891" s="159" t="n"/>
      <c r="S1891" s="159" t="n"/>
      <c r="T1891" s="159" t="n"/>
      <c r="U1891" s="159" t="n"/>
    </row>
    <row r="1892" s="308">
      <c r="A1892" s="97" t="inlineStr">
        <is>
          <t>成套产品报价明细表</t>
        </is>
      </c>
      <c r="B1892" s="378" t="n"/>
      <c r="C1892" s="378" t="n"/>
      <c r="D1892" s="378" t="n"/>
      <c r="E1892" s="378" t="n"/>
      <c r="F1892" s="378" t="n"/>
      <c r="G1892" s="378" t="n"/>
      <c r="H1892" s="378" t="n"/>
      <c r="I1892" s="378" t="n"/>
      <c r="Q1892" s="159" t="n"/>
      <c r="R1892" s="159" t="n"/>
      <c r="S1892" s="159" t="n"/>
      <c r="T1892" s="159" t="n"/>
      <c r="U1892" s="159" t="n"/>
    </row>
    <row r="1893" customFormat="1" s="4">
      <c r="A1893" s="98" t="inlineStr">
        <is>
          <t>柜号:</t>
        </is>
      </c>
      <c r="B1893" s="99" t="inlineStr">
        <is>
          <t>T5-AU21、T6-BU21</t>
        </is>
      </c>
      <c r="C1893" s="100" t="inlineStr">
        <is>
          <t>型号:</t>
        </is>
      </c>
      <c r="D1893" s="99" t="inlineStr">
        <is>
          <t>BlokSeT</t>
        </is>
      </c>
      <c r="E1893" s="379" t="n"/>
      <c r="F1893" s="101" t="inlineStr">
        <is>
          <t>名称:</t>
        </is>
      </c>
      <c r="G1893" s="99" t="inlineStr">
        <is>
          <t>进线柜</t>
        </is>
      </c>
      <c r="H1893" s="379" t="n"/>
      <c r="I1893" s="408" t="inlineStr"/>
      <c r="J1893" s="194" t="inlineStr">
        <is>
          <t>箱柜尺寸:</t>
        </is>
      </c>
      <c r="K1893" s="195" t="inlineStr">
        <is>
          <t>400W*1200D*2200H</t>
        </is>
      </c>
      <c r="L1893" s="194" t="inlineStr">
        <is>
          <t>类别:</t>
        </is>
      </c>
      <c r="M1893" s="195" t="inlineStr">
        <is>
          <t>低压固定柜</t>
        </is>
      </c>
      <c r="N1893" s="409" t="inlineStr"/>
      <c r="Q1893" s="159" t="n"/>
      <c r="R1893" s="159" t="n"/>
      <c r="S1893" s="159" t="n"/>
      <c r="T1893" s="159" t="n"/>
      <c r="U1893" s="159" t="n"/>
    </row>
    <row r="1894" ht="20.1" customHeight="1" s="308">
      <c r="A1894" s="102" t="inlineStr">
        <is>
          <t>序号</t>
        </is>
      </c>
      <c r="B1894" s="103" t="inlineStr">
        <is>
          <t>元件名称</t>
        </is>
      </c>
      <c r="C1894" s="103" t="inlineStr">
        <is>
          <t>型号规格</t>
        </is>
      </c>
      <c r="D1894" s="104" t="inlineStr">
        <is>
          <t>生产厂家</t>
        </is>
      </c>
      <c r="E1894" s="105" t="inlineStr">
        <is>
          <t>单位</t>
        </is>
      </c>
      <c r="F1894" s="105" t="inlineStr">
        <is>
          <t>数量</t>
        </is>
      </c>
      <c r="G1894" s="382" t="inlineStr">
        <is>
          <t>单   价</t>
        </is>
      </c>
      <c r="H1894" s="383" t="inlineStr">
        <is>
          <t>总   价</t>
        </is>
      </c>
      <c r="I1894" s="134" t="inlineStr">
        <is>
          <t>备注</t>
        </is>
      </c>
      <c r="J1894" s="384" t="inlineStr">
        <is>
          <t>成本单价</t>
        </is>
      </c>
      <c r="K1894" s="384" t="inlineStr">
        <is>
          <t>成本总价</t>
        </is>
      </c>
      <c r="L1894" s="136" t="inlineStr">
        <is>
          <t>报出
系数</t>
        </is>
      </c>
      <c r="M1894" s="384" t="inlineStr">
        <is>
          <t>表价</t>
        </is>
      </c>
      <c r="N1894" s="136" t="inlineStr">
        <is>
          <t>折扣
系数</t>
        </is>
      </c>
      <c r="O1894" s="137" t="inlineStr">
        <is>
          <t>取费
系数</t>
        </is>
      </c>
      <c r="P1894" s="384" t="inlineStr">
        <is>
          <t>成套费</t>
        </is>
      </c>
      <c r="Q1894" s="161" t="inlineStr">
        <is>
          <t>类别</t>
        </is>
      </c>
      <c r="R1894" s="161" t="inlineStr">
        <is>
          <t>物料编码</t>
        </is>
      </c>
      <c r="S1894" s="161" t="inlineStr">
        <is>
          <t>产地</t>
        </is>
      </c>
      <c r="T1894" s="161" t="inlineStr">
        <is>
          <t>加工费</t>
        </is>
      </c>
      <c r="U1894" s="161" t="inlineStr">
        <is>
          <t>订货号</t>
        </is>
      </c>
      <c r="V1894" s="161" t="inlineStr">
        <is>
          <t>人工</t>
        </is>
      </c>
      <c r="W1894" s="161" t="inlineStr">
        <is>
          <t>辅料</t>
        </is>
      </c>
      <c r="X1894" s="203" t="inlineStr"/>
    </row>
    <row r="1895" s="308">
      <c r="A1895" s="64">
        <f>ROW()-ROW(A$1894)</f>
        <v/>
      </c>
      <c r="B1895" s="22" t="inlineStr">
        <is>
          <t>框架断路器</t>
        </is>
      </c>
      <c r="C1895" s="22" t="inlineStr">
        <is>
          <t>MT10 N1a SG 3P MIC5.0 E</t>
        </is>
      </c>
      <c r="D1895" s="22" t="inlineStr">
        <is>
          <t>甲供/施耐德电气</t>
        </is>
      </c>
      <c r="E1895" s="23" t="inlineStr">
        <is>
          <t>只</t>
        </is>
      </c>
      <c r="F1895" s="23" t="n">
        <v>2</v>
      </c>
      <c r="G1895" s="349">
        <f>IF(AND(B1895="",C1895=""),"",ROUND(M1895*L1895*N1895,2))</f>
        <v/>
      </c>
      <c r="H1895" s="349">
        <f>IF(AND(B1895="",C1895=""),"",ROUND(F1895*G1895,2))</f>
        <v/>
      </c>
      <c r="I1895" s="45" t="inlineStr"/>
      <c r="J1895" s="397">
        <f>IF(AND(B1895="",C1895=""),"",ROUND(M1895*N1895,2))</f>
        <v/>
      </c>
      <c r="K1895" s="398">
        <f>IF(AND(B1895="",C1895=""),"",ROUND(J1895*F1895,2))</f>
        <v/>
      </c>
      <c r="L1895" s="200" t="n">
        <v>1</v>
      </c>
      <c r="M1895" s="399" t="n">
        <v>1e-07</v>
      </c>
      <c r="N1895" s="154" t="n">
        <v>1</v>
      </c>
      <c r="O1895" s="155">
        <f>IF(AND(B1895="",C1895=""),"",IF(G1895&gt;=20000,0.05,IF(G1895&gt;=10000,0.1,IF(G1895&gt;=5000,0.2,IF(G1895&gt;=1000,0.3,IF(G1895&gt;=0,0.4,{0}))))))</f>
        <v/>
      </c>
      <c r="P1895" s="400">
        <f>IF(AND(B1895="",C1895=""),"",ROUND(H1895*O1895,2))</f>
        <v/>
      </c>
      <c r="Q1895" s="401" t="inlineStr">
        <is>
          <t>元件</t>
        </is>
      </c>
      <c r="R1895" s="168" t="inlineStr"/>
      <c r="S1895" s="168" t="inlineStr"/>
      <c r="T1895" s="168" t="inlineStr">
        <is>
          <t>0</t>
        </is>
      </c>
      <c r="U1895" s="168" t="inlineStr">
        <is>
          <t>C16F32D160</t>
        </is>
      </c>
      <c r="V1895" s="402" t="n"/>
      <c r="W1895" s="402" t="n"/>
      <c r="X1895" s="170" t="inlineStr">
        <is>
          <t>NSX630N Mic2.3 630A 3P3D F→NSX630F MIC2.3 630 3P F→NSX630F MIC 2.3 630 3P F</t>
        </is>
      </c>
    </row>
    <row r="1896" s="308">
      <c r="A1896" s="64">
        <f>ROW()-ROW(A$1894)</f>
        <v/>
      </c>
      <c r="B1896" s="22" t="inlineStr">
        <is>
          <t>电流互感器</t>
        </is>
      </c>
      <c r="C1896" s="22" t="inlineStr">
        <is>
          <t>SD-0.66-80II-V 1000/5A</t>
        </is>
      </c>
      <c r="D1896" s="22" t="inlineStr">
        <is>
          <t>桑迪</t>
        </is>
      </c>
      <c r="E1896" s="23" t="inlineStr">
        <is>
          <t>只</t>
        </is>
      </c>
      <c r="F1896" s="23" t="n">
        <v>6</v>
      </c>
      <c r="G1896" s="349">
        <f>IF(AND(B1896="",C1896=""),"",ROUND(M1896*L1896*N1896,2))</f>
        <v/>
      </c>
      <c r="H1896" s="396">
        <f>IF(AND(B1896="",C1896=""),"",ROUND(F1896*G1896,2))</f>
        <v/>
      </c>
      <c r="I1896" s="219" t="inlineStr"/>
      <c r="J1896" s="397">
        <f>IF(AND(B1896="",C1896=""),"",ROUND(M1896*N1896,2))</f>
        <v/>
      </c>
      <c r="K1896" s="398">
        <f>IF(AND(B1896="",C1896=""),"",ROUND(J1896*F1896,2))</f>
        <v/>
      </c>
      <c r="L1896" s="200" t="n">
        <v>1</v>
      </c>
      <c r="M1896" s="399" t="n">
        <v>91.65000000000001</v>
      </c>
      <c r="N1896" s="154" t="n">
        <v>1</v>
      </c>
      <c r="O1896" s="155">
        <f>IF(AND(B1896="",C1896=""),"",IF(G1896&gt;=20000,0.05,IF(G1896&gt;=10000,0.1,IF(G1896&gt;=5000,0.2,IF(G1896&gt;=1000,0.3,IF(G1896&gt;=0,0.4,{0}))))))</f>
        <v/>
      </c>
      <c r="P1896" s="400">
        <f>IF(AND(B1896="",C1896=""),"",ROUND(H1896*O1896,2))</f>
        <v/>
      </c>
      <c r="Q1896" s="401" t="inlineStr">
        <is>
          <t>元件</t>
        </is>
      </c>
      <c r="R1896" s="168" t="inlineStr"/>
      <c r="S1896" s="168" t="inlineStr"/>
      <c r="T1896" s="168" t="inlineStr">
        <is>
          <t>0</t>
        </is>
      </c>
      <c r="U1896" s="168" t="inlineStr">
        <is>
          <t>710141426552500</t>
        </is>
      </c>
      <c r="V1896" s="402" t="n"/>
      <c r="W1896" s="402" t="n"/>
      <c r="X1896" s="170" t="inlineStr">
        <is>
          <t>SD→SD-0.66-40II-C 400/5A→SD-0.66-30I 250/5A→SD-0.66-30I 150/5A→SD-0.66-60II-C 750/5A→SD-0.66-60II-C 600/5A→SD-0.66-30I 150/5A→SD-0.66-40II-C 400/5A→SD-0.66-100II-C 1600/5A→SD-0.66-80II-V 1000/5A→SD-0.66-80II-V 1250/5A</t>
        </is>
      </c>
    </row>
    <row r="1897" s="308">
      <c r="A1897" s="64">
        <f>ROW()-ROW(A$1894)</f>
        <v/>
      </c>
      <c r="B1897" s="112" t="inlineStr">
        <is>
          <t>多功能表</t>
        </is>
      </c>
      <c r="C1897" s="112" t="inlineStr">
        <is>
          <t>PM4101</t>
        </is>
      </c>
      <c r="D1897" s="112" t="inlineStr">
        <is>
          <t>甲供/施耐德电气</t>
        </is>
      </c>
      <c r="E1897" s="114" t="inlineStr">
        <is>
          <t>只</t>
        </is>
      </c>
      <c r="F1897" s="114" t="n">
        <v>2</v>
      </c>
      <c r="G1897" s="396">
        <f>IF(AND(B1897="",C1897=""),"",ROUND(M1897*L1897*N1897,2))</f>
        <v/>
      </c>
      <c r="H1897" s="349">
        <f>IF(AND(B1897="",C1897=""),"",ROUND(F1897*G1897,2))</f>
        <v/>
      </c>
      <c r="I1897" s="45" t="inlineStr"/>
      <c r="J1897" s="397">
        <f>IF(AND(B1897="",C1897=""),"",ROUND(M1897*N1897,2))</f>
        <v/>
      </c>
      <c r="K1897" s="398">
        <f>IF(AND(B1897="",C1897=""),"",ROUND(J1897*F1897,2))</f>
        <v/>
      </c>
      <c r="L1897" s="200" t="n">
        <v>1</v>
      </c>
      <c r="M1897" s="399" t="n">
        <v>1e-07</v>
      </c>
      <c r="N1897" s="154" t="n">
        <v>1</v>
      </c>
      <c r="O1897" s="155">
        <f>IF(AND(B1897="",C1897=""),"",IF(J1897&gt;=20000,0.05,IF(J1897&gt;=10000,0.1,IF(J1897&gt;=5000,0.2,IF(J1897&gt;=1000,0.3,IF(J1897&gt;=0,0.4,{0}))))))</f>
        <v/>
      </c>
      <c r="P1897" s="400">
        <f>IF(AND(B1897="",C1897=""),"",ROUND(H1897*O1897,2))</f>
        <v/>
      </c>
      <c r="Q1897" s="401" t="inlineStr">
        <is>
          <t>元件</t>
        </is>
      </c>
      <c r="R1897" s="168" t="inlineStr"/>
      <c r="S1897" s="168" t="inlineStr"/>
      <c r="T1897" s="168" t="inlineStr">
        <is>
          <t>0</t>
        </is>
      </c>
      <c r="U1897" s="168" t="inlineStr"/>
      <c r="V1897" s="402" t="n"/>
      <c r="W1897" s="402" t="n"/>
      <c r="X1897" s="170" t="inlineStr"/>
    </row>
    <row r="1898" customFormat="1" s="3">
      <c r="A1898" s="64">
        <f>ROW()-ROW(A$1894)</f>
        <v/>
      </c>
      <c r="B1898" s="27" t="inlineStr">
        <is>
          <t>后备保护器</t>
        </is>
      </c>
      <c r="C1898" s="22" t="inlineStr">
        <is>
          <t>iSCB2 40H2 4P</t>
        </is>
      </c>
      <c r="D1898" s="22" t="inlineStr">
        <is>
          <t>甲供/施耐德万高</t>
        </is>
      </c>
      <c r="E1898" s="110" t="inlineStr">
        <is>
          <t>只</t>
        </is>
      </c>
      <c r="F1898" s="23" t="n">
        <v>1</v>
      </c>
      <c r="G1898" s="349">
        <f>IF(AND(B1898="",C1898=""),"",ROUND(M1898*L1898*N1898,2))</f>
        <v/>
      </c>
      <c r="H1898" s="349">
        <f>IF(AND(B1898="",C1898=""),"",ROUND(F1898*G1898,2))</f>
        <v/>
      </c>
      <c r="I1898" s="45" t="inlineStr"/>
      <c r="J1898" s="392">
        <f>IF(AND(B1898="",C1898=""),"",ROUND(M1898*N1898,2))</f>
        <v/>
      </c>
      <c r="K1898" s="393">
        <f>IF(AND(B1898="",C1898=""),"",ROUND(J1898*F1898,2))</f>
        <v/>
      </c>
      <c r="L1898" s="141" t="n">
        <v>1</v>
      </c>
      <c r="M1898" s="394" t="n">
        <v>1e-07</v>
      </c>
      <c r="N1898" s="143" t="n">
        <v>1</v>
      </c>
      <c r="O1898" s="144">
        <f>IF(AND(B1898="",C1898=""),"",IF(G1898&gt;=20000,0.05,IF(G1898&gt;=10000,0.1,IF(G1898&gt;=5000,0.2,IF(G1898&gt;=1000,0.3,IF(G1898&gt;=0,0.4,{0}))))))</f>
        <v/>
      </c>
      <c r="P1898" s="395">
        <f>IF(AND(B1898="",C1898=""),"",ROUND(H1898*O1898,2))</f>
        <v/>
      </c>
      <c r="Q1898" s="390" t="inlineStr">
        <is>
          <t>元件</t>
        </is>
      </c>
      <c r="R1898" s="164" t="inlineStr"/>
      <c r="S1898" s="164" t="inlineStr"/>
      <c r="T1898" s="164" t="inlineStr">
        <is>
          <t>0</t>
        </is>
      </c>
      <c r="U1898" s="164" t="inlineStr">
        <is>
          <t>A9L102554</t>
        </is>
      </c>
      <c r="V1898" s="391" t="n"/>
      <c r="W1898" s="391" t="n"/>
      <c r="X1898" s="166" t="inlineStr">
        <is>
          <t>iSCB1 25L1 4P→iSCB2 40H2 4P</t>
        </is>
      </c>
    </row>
    <row r="1899" customFormat="1" s="3">
      <c r="A1899" s="64">
        <f>ROW()-ROW(A$1894)</f>
        <v/>
      </c>
      <c r="B1899" s="27" t="inlineStr">
        <is>
          <t>电涌保护器</t>
        </is>
      </c>
      <c r="C1899" s="22" t="inlineStr">
        <is>
          <t>iPRU 40r 3P+N</t>
        </is>
      </c>
      <c r="D1899" s="22" t="inlineStr">
        <is>
          <t>甲供/施耐德万高</t>
        </is>
      </c>
      <c r="E1899" s="110" t="inlineStr">
        <is>
          <t>只</t>
        </is>
      </c>
      <c r="F1899" s="23" t="n">
        <v>1</v>
      </c>
      <c r="G1899" s="349">
        <f>IF(AND(B1899="",C1899=""),"",ROUND(M1899*L1899*N1899,2))</f>
        <v/>
      </c>
      <c r="H1899" s="349">
        <f>IF(AND(B1899="",C1899=""),"",ROUND(F1899*G1899,2))</f>
        <v/>
      </c>
      <c r="I1899" s="45" t="inlineStr"/>
      <c r="J1899" s="392">
        <f>IF(AND(B1899="",C1899=""),"",ROUND(M1899*N1899,2))</f>
        <v/>
      </c>
      <c r="K1899" s="393">
        <f>IF(AND(B1899="",C1899=""),"",ROUND(J1899*F1899,2))</f>
        <v/>
      </c>
      <c r="L1899" s="141" t="n">
        <v>1</v>
      </c>
      <c r="M1899" s="394" t="n">
        <v>1e-07</v>
      </c>
      <c r="N1899" s="143" t="n">
        <v>1</v>
      </c>
      <c r="O1899" s="144">
        <f>IF(AND(B1899="",C1899=""),"",IF(G1899&gt;=20000,0.05,IF(G1899&gt;=10000,0.1,IF(G1899&gt;=5000,0.2,IF(G1899&gt;=1000,0.3,IF(G1899&gt;=0,0.4,{0}))))))</f>
        <v/>
      </c>
      <c r="P1899" s="395">
        <f>IF(AND(B1899="",C1899=""),"",ROUND(H1899*O1899,2))</f>
        <v/>
      </c>
      <c r="Q1899" s="390" t="inlineStr">
        <is>
          <t>元件</t>
        </is>
      </c>
      <c r="R1899" s="164" t="inlineStr"/>
      <c r="S1899" s="164" t="inlineStr"/>
      <c r="T1899" s="164" t="inlineStr">
        <is>
          <t>0</t>
        </is>
      </c>
      <c r="U1899" s="164" t="inlineStr">
        <is>
          <t>A9L620601</t>
        </is>
      </c>
      <c r="V1899" s="391" t="n"/>
      <c r="W1899" s="391" t="n"/>
      <c r="X1899" s="166" t="inlineStr">
        <is>
          <t>iPRF1 12.5r 3P+N→iPRU 40r 3P→iPRF1 12.5r 3P+N</t>
        </is>
      </c>
    </row>
    <row r="1900" customFormat="1" s="3">
      <c r="A1900" s="64">
        <f>ROW()-ROW(A$1894)</f>
        <v/>
      </c>
      <c r="B1900" s="27" t="inlineStr">
        <is>
          <t>微型断路器</t>
        </is>
      </c>
      <c r="C1900" s="22" t="inlineStr">
        <is>
          <t>iC65H 2P C16A</t>
        </is>
      </c>
      <c r="D1900" s="22" t="inlineStr">
        <is>
          <t>甲供/施耐德电气</t>
        </is>
      </c>
      <c r="E1900" s="110" t="inlineStr">
        <is>
          <t>只</t>
        </is>
      </c>
      <c r="F1900" s="23" t="n">
        <v>2</v>
      </c>
      <c r="G1900" s="349">
        <f>IF(AND(B1900="",C1900=""),"",ROUND(M1900*L1900*N1900,2))</f>
        <v/>
      </c>
      <c r="H1900" s="349">
        <f>IF(AND(B1900="",C1900=""),"",ROUND(F1900*G1900,2))</f>
        <v/>
      </c>
      <c r="I1900" s="45" t="inlineStr"/>
      <c r="J1900" s="392">
        <f>IF(AND(B1900="",C1900=""),"",ROUND(M1900*N1900,2))</f>
        <v/>
      </c>
      <c r="K1900" s="393">
        <f>IF(AND(B1900="",C1900=""),"",ROUND(J1900*F1900,2))</f>
        <v/>
      </c>
      <c r="L1900" s="141" t="n">
        <v>1</v>
      </c>
      <c r="M1900" s="394" t="n">
        <v>1e-07</v>
      </c>
      <c r="N1900" s="143" t="n">
        <v>1</v>
      </c>
      <c r="O1900" s="144">
        <f>IF(AND(B1900="",C1900=""),"",IF(G1900&gt;=20000,0.05,IF(G1900&gt;=10000,0.1,IF(G1900&gt;=5000,0.2,IF(G1900&gt;=1000,0.3,IF(G1900&gt;=0,0.4,{0}))))))</f>
        <v/>
      </c>
      <c r="P1900" s="395">
        <f>IF(AND(B1900="",C1900=""),"",ROUND(H1900*O1900,2))</f>
        <v/>
      </c>
      <c r="Q1900" s="390" t="inlineStr">
        <is>
          <t>元件</t>
        </is>
      </c>
      <c r="R1900" s="164" t="inlineStr"/>
      <c r="S1900" s="164" t="inlineStr"/>
      <c r="T1900" s="164" t="n">
        <v>0</v>
      </c>
      <c r="U1900" s="164" t="inlineStr"/>
      <c r="V1900" s="391" t="n"/>
      <c r="W1900" s="391" t="n"/>
      <c r="X1900" s="166" t="inlineStr"/>
    </row>
    <row r="1901" customFormat="1" s="3">
      <c r="A1901" s="64">
        <f>ROW()-ROW(A$1894)</f>
        <v/>
      </c>
      <c r="B1901" s="22" t="inlineStr">
        <is>
          <t>指示灯</t>
        </is>
      </c>
      <c r="C1901" s="22" t="inlineStr">
        <is>
          <t>XB2BVM3LC</t>
        </is>
      </c>
      <c r="D1901" s="22" t="inlineStr">
        <is>
          <t>甲供/施耐德电气</t>
        </is>
      </c>
      <c r="E1901" s="23" t="inlineStr">
        <is>
          <t>只</t>
        </is>
      </c>
      <c r="F1901" s="23" t="n">
        <v>2</v>
      </c>
      <c r="G1901" s="349">
        <f>IF(AND(B1901="",C1901=""),"",ROUND(M1901*L1901*N1901,2))</f>
        <v/>
      </c>
      <c r="H1901" s="353">
        <f>IF(AND(B1901="",C1901=""),"",ROUND(F1901*G1901,2))</f>
        <v/>
      </c>
      <c r="I1901" s="180" t="inlineStr"/>
      <c r="J1901" s="392">
        <f>IF(AND(B1901="",C1901=""),"",ROUND(M1901*N1901,2))</f>
        <v/>
      </c>
      <c r="K1901" s="393">
        <f>IF(AND(B1901="",C1901=""),"",ROUND(J1901*F1901,2))</f>
        <v/>
      </c>
      <c r="L1901" s="141" t="n">
        <v>1</v>
      </c>
      <c r="M1901" s="394" t="n">
        <v>1e-07</v>
      </c>
      <c r="N1901" s="220" t="n">
        <v>1</v>
      </c>
      <c r="O1901" s="221">
        <f>IF(AND(B1901="",C1901=""),"",IF(G1901&gt;=20000,0.05,IF(G1901&gt;=10000,0.1,IF(G1901&gt;=5000,0.2,IF(G1901&gt;=1000,0.3,IF(G1901&gt;=0,0.4,{0}))))))</f>
        <v/>
      </c>
      <c r="P1901" s="419">
        <f>IF(AND(B1901="",C1901=""),"",ROUND(H1901*O1901,2))</f>
        <v/>
      </c>
      <c r="Q1901" s="420" t="inlineStr">
        <is>
          <t>元件</t>
        </is>
      </c>
      <c r="R1901" s="231" t="inlineStr"/>
      <c r="S1901" s="231" t="inlineStr"/>
      <c r="T1901" s="231" t="inlineStr">
        <is>
          <t>0</t>
        </is>
      </c>
      <c r="U1901" s="231" t="inlineStr">
        <is>
          <t>XB2BVM3LC</t>
        </is>
      </c>
      <c r="V1901" s="421" t="n"/>
      <c r="W1901" s="421" t="n"/>
      <c r="X1901" s="166" t="inlineStr">
        <is>
          <t>XA2EVM3LC</t>
        </is>
      </c>
    </row>
    <row r="1902" customFormat="1" s="3">
      <c r="A1902" s="64">
        <f>ROW()-ROW(A$1894)</f>
        <v/>
      </c>
      <c r="B1902" s="22" t="inlineStr">
        <is>
          <t>指示灯</t>
        </is>
      </c>
      <c r="C1902" s="22" t="inlineStr">
        <is>
          <t>XB2BVM4LC</t>
        </is>
      </c>
      <c r="D1902" s="22" t="inlineStr">
        <is>
          <t>甲供/施耐德电气</t>
        </is>
      </c>
      <c r="E1902" s="23" t="inlineStr">
        <is>
          <t>只</t>
        </is>
      </c>
      <c r="F1902" s="23" t="n">
        <v>2</v>
      </c>
      <c r="G1902" s="349">
        <f>IF(AND(B1902="",C1902=""),"",ROUND(M1902*L1902*N1902,2))</f>
        <v/>
      </c>
      <c r="H1902" s="353">
        <f>IF(AND(B1902="",C1902=""),"",ROUND(F1902*G1902,2))</f>
        <v/>
      </c>
      <c r="I1902" s="180" t="inlineStr"/>
      <c r="J1902" s="392">
        <f>IF(AND(B1902="",C1902=""),"",ROUND(M1902*N1902,2))</f>
        <v/>
      </c>
      <c r="K1902" s="393">
        <f>IF(AND(B1902="",C1902=""),"",ROUND(J1902*F1902,2))</f>
        <v/>
      </c>
      <c r="L1902" s="141" t="n">
        <v>1</v>
      </c>
      <c r="M1902" s="394" t="n">
        <v>1e-07</v>
      </c>
      <c r="N1902" s="220" t="n">
        <v>1</v>
      </c>
      <c r="O1902" s="221">
        <f>IF(AND(B1902="",C1902=""),"",IF(G1902&gt;=20000,0.05,IF(G1902&gt;=10000,0.1,IF(G1902&gt;=5000,0.2,IF(G1902&gt;=1000,0.3,IF(G1902&gt;=0,0.4,{0}))))))</f>
        <v/>
      </c>
      <c r="P1902" s="419">
        <f>IF(AND(B1902="",C1902=""),"",ROUND(H1902*O1902,2))</f>
        <v/>
      </c>
      <c r="Q1902" s="420" t="inlineStr">
        <is>
          <t>元件</t>
        </is>
      </c>
      <c r="R1902" s="231" t="inlineStr"/>
      <c r="S1902" s="231" t="inlineStr"/>
      <c r="T1902" s="231" t="inlineStr">
        <is>
          <t>0</t>
        </is>
      </c>
      <c r="U1902" s="231" t="inlineStr">
        <is>
          <t>XB2BVM4LC</t>
        </is>
      </c>
      <c r="V1902" s="421" t="n"/>
      <c r="W1902" s="421" t="n"/>
      <c r="X1902" s="166" t="inlineStr">
        <is>
          <t>XA2EVM4LC</t>
        </is>
      </c>
    </row>
    <row r="1903" s="308">
      <c r="A1903" s="64">
        <f>ROW()-ROW(A$1894)</f>
        <v/>
      </c>
      <c r="B1903" s="112" t="inlineStr">
        <is>
          <t>指示灯</t>
        </is>
      </c>
      <c r="C1903" s="112" t="inlineStr">
        <is>
          <t>XB2BVM5LC</t>
        </is>
      </c>
      <c r="D1903" s="112" t="inlineStr">
        <is>
          <t>甲供/施耐德电气</t>
        </is>
      </c>
      <c r="E1903" s="114" t="inlineStr">
        <is>
          <t>只</t>
        </is>
      </c>
      <c r="F1903" s="114" t="n">
        <v>2</v>
      </c>
      <c r="G1903" s="396">
        <f>IF(AND(B1903="",C1903=""),"",ROUND(M1903*L1903*N1903,2))</f>
        <v/>
      </c>
      <c r="H1903" s="396">
        <f>IF(AND(B1903="",C1903=""),"",ROUND(F1903*G1903,2))</f>
        <v/>
      </c>
      <c r="I1903" s="150" t="inlineStr"/>
      <c r="J1903" s="397">
        <f>IF(AND(B1903="",C1903=""),"",ROUND(M1903*N1903,2))</f>
        <v/>
      </c>
      <c r="K1903" s="398">
        <f>IF(AND(B1903="",C1903=""),"",ROUND(J1903*F1903,2))</f>
        <v/>
      </c>
      <c r="L1903" s="141" t="n">
        <v>1</v>
      </c>
      <c r="M1903" s="399" t="n">
        <v>1e-07</v>
      </c>
      <c r="N1903" s="154" t="n">
        <v>1</v>
      </c>
      <c r="O1903" s="155">
        <f>IF(AND(B1903="",C1903=""),"",IF(G1903&gt;=20000,0.05,IF(G1903&gt;=10000,0.1,IF(G1903&gt;=5000,0.2,IF(G1903&gt;=1000,0.3,IF(G1903&gt;=0,0.4,{0}))))))</f>
        <v/>
      </c>
      <c r="P1903" s="400">
        <f>IF(AND(B1903="",C1903=""),"",ROUND(H1903*O1903,2))</f>
        <v/>
      </c>
      <c r="Q1903" s="401" t="inlineStr">
        <is>
          <t>元件</t>
        </is>
      </c>
      <c r="R1903" s="168" t="inlineStr"/>
      <c r="S1903" s="168" t="inlineStr"/>
      <c r="T1903" s="168" t="inlineStr">
        <is>
          <t>0</t>
        </is>
      </c>
      <c r="U1903" s="168" t="inlineStr">
        <is>
          <t>XA2EVM5LC</t>
        </is>
      </c>
      <c r="V1903" s="402" t="n"/>
      <c r="W1903" s="402" t="n"/>
      <c r="X1903" s="170" t="inlineStr"/>
    </row>
    <row r="1904" s="308">
      <c r="A1904" s="64">
        <f>ROW()-ROW(A$1894)</f>
        <v/>
      </c>
      <c r="B1904" s="112" t="inlineStr">
        <is>
          <t>按钮</t>
        </is>
      </c>
      <c r="C1904" s="112" t="inlineStr">
        <is>
          <t>XB2BA31C</t>
        </is>
      </c>
      <c r="D1904" s="112" t="inlineStr">
        <is>
          <t>甲供/施耐德电气</t>
        </is>
      </c>
      <c r="E1904" s="114" t="inlineStr">
        <is>
          <t>只</t>
        </is>
      </c>
      <c r="F1904" s="114" t="n">
        <v>2</v>
      </c>
      <c r="G1904" s="396">
        <f>IF(AND(B1904="",C1904=""),"",ROUND(M1904*L1904*N1904,2))</f>
        <v/>
      </c>
      <c r="H1904" s="396">
        <f>IF(AND(B1904="",C1904=""),"",ROUND(F1904*G1904,2))</f>
        <v/>
      </c>
      <c r="I1904" s="150" t="inlineStr"/>
      <c r="J1904" s="397">
        <f>IF(AND(B1904="",C1904=""),"",ROUND(M1904*N1904,2))</f>
        <v/>
      </c>
      <c r="K1904" s="398">
        <f>IF(AND(B1904="",C1904=""),"",ROUND(J1904*F1904,2))</f>
        <v/>
      </c>
      <c r="L1904" s="141" t="n">
        <v>1</v>
      </c>
      <c r="M1904" s="399" t="n">
        <v>1e-07</v>
      </c>
      <c r="N1904" s="154" t="n">
        <v>1</v>
      </c>
      <c r="O1904" s="155">
        <f>IF(AND(B1904="",C1904=""),"",IF(G1904&gt;=20000,0.05,IF(G1904&gt;=10000,0.1,IF(G1904&gt;=5000,0.2,IF(G1904&gt;=1000,0.3,IF(G1904&gt;=0,0.4,{0}))))))</f>
        <v/>
      </c>
      <c r="P1904" s="400">
        <f>IF(AND(B1904="",C1904=""),"",ROUND(H1904*O1904,2))</f>
        <v/>
      </c>
      <c r="Q1904" s="401" t="inlineStr">
        <is>
          <t>元件</t>
        </is>
      </c>
      <c r="R1904" s="168" t="inlineStr"/>
      <c r="S1904" s="168" t="inlineStr"/>
      <c r="T1904" s="168" t="inlineStr">
        <is>
          <t>0</t>
        </is>
      </c>
      <c r="U1904" s="168" t="inlineStr">
        <is>
          <t>XB2BA31C</t>
        </is>
      </c>
      <c r="V1904" s="402" t="n"/>
      <c r="W1904" s="402" t="n"/>
      <c r="X1904" s="170" t="inlineStr">
        <is>
          <t>XA2EA31</t>
        </is>
      </c>
    </row>
    <row r="1905" s="308">
      <c r="A1905" s="64">
        <f>ROW()-ROW(A$1894)</f>
        <v/>
      </c>
      <c r="B1905" s="22" t="inlineStr">
        <is>
          <t>按钮</t>
        </is>
      </c>
      <c r="C1905" s="22" t="inlineStr">
        <is>
          <t>XB2BA42C</t>
        </is>
      </c>
      <c r="D1905" s="22" t="inlineStr">
        <is>
          <t>甲供/施耐德电气</t>
        </is>
      </c>
      <c r="E1905" s="23" t="inlineStr">
        <is>
          <t>只</t>
        </is>
      </c>
      <c r="F1905" s="23" t="n">
        <v>2</v>
      </c>
      <c r="G1905" s="349">
        <f>IF(AND(B1905="",C1905=""),"",ROUND(M1905*L1905*N1905,2))</f>
        <v/>
      </c>
      <c r="H1905" s="396">
        <f>IF(AND(B1905="",C1905=""),"",ROUND(F1905*G1905,2))</f>
        <v/>
      </c>
      <c r="I1905" s="150" t="inlineStr"/>
      <c r="J1905" s="397">
        <f>IF(AND(B1905="",C1905=""),"",ROUND(M1905*N1905,2))</f>
        <v/>
      </c>
      <c r="K1905" s="398">
        <f>IF(AND(B1905="",C1905=""),"",ROUND(J1905*F1905,2))</f>
        <v/>
      </c>
      <c r="L1905" s="141" t="n">
        <v>1</v>
      </c>
      <c r="M1905" s="399" t="n">
        <v>1e-07</v>
      </c>
      <c r="N1905" s="154" t="n">
        <v>1</v>
      </c>
      <c r="O1905" s="155">
        <f>IF(AND(B1905="",C1905=""),"",IF(G1905&gt;=20000,0.05,IF(G1905&gt;=10000,0.1,IF(G1905&gt;=5000,0.2,IF(G1905&gt;=1000,0.3,IF(G1905&gt;=0,0.4,{0}))))))</f>
        <v/>
      </c>
      <c r="P1905" s="400">
        <f>IF(AND(B1905="",C1905=""),"",ROUND(H1905*O1905,2))</f>
        <v/>
      </c>
      <c r="Q1905" s="401" t="inlineStr">
        <is>
          <t>元件</t>
        </is>
      </c>
      <c r="R1905" s="168" t="inlineStr"/>
      <c r="S1905" s="168" t="inlineStr"/>
      <c r="T1905" s="168" t="inlineStr">
        <is>
          <t>0</t>
        </is>
      </c>
      <c r="U1905" s="168" t="inlineStr">
        <is>
          <t>XB2BA42C</t>
        </is>
      </c>
      <c r="V1905" s="402" t="n"/>
      <c r="W1905" s="402" t="n"/>
      <c r="X1905" s="170" t="inlineStr">
        <is>
          <t>XA2EA41</t>
        </is>
      </c>
    </row>
    <row r="1906" s="308">
      <c r="A1906" s="64">
        <f>ROW()-ROW(A$1894)</f>
        <v/>
      </c>
      <c r="B1906" s="112" t="inlineStr">
        <is>
          <t>温湿度控制器</t>
        </is>
      </c>
      <c r="C1906" s="112" t="inlineStr">
        <is>
          <t>ATH48G-11</t>
        </is>
      </c>
      <c r="D1906" s="22" t="inlineStr">
        <is>
          <t>杭州安廷</t>
        </is>
      </c>
      <c r="E1906" s="23" t="inlineStr">
        <is>
          <t>套</t>
        </is>
      </c>
      <c r="F1906" s="23" t="n">
        <v>1</v>
      </c>
      <c r="G1906" s="349">
        <f>IF(AND(B1906="",C1906=""),"",ROUND(M1906*L1906*N1906,2))</f>
        <v/>
      </c>
      <c r="H1906" s="396">
        <f>IF(AND(B1906="",C1906=""),"",ROUND(F1906*G1906,2))</f>
        <v/>
      </c>
      <c r="I1906" s="150" t="inlineStr"/>
      <c r="J1906" s="397">
        <f>IF(AND(B1906="",C1906=""),"",ROUND(M1906*N1906,2))</f>
        <v/>
      </c>
      <c r="K1906" s="398">
        <f>IF(AND(B1906="",C1906=""),"",ROUND(J1906*F1906,2))</f>
        <v/>
      </c>
      <c r="L1906" s="141" t="n">
        <v>1</v>
      </c>
      <c r="M1906" s="399" t="n">
        <v>450</v>
      </c>
      <c r="N1906" s="154" t="n">
        <v>1</v>
      </c>
      <c r="O1906" s="155">
        <f>IF(AND(B1906="",C1906=""),"",IF(G1906&gt;=20000,0.05,IF(G1906&gt;=10000,0.1,IF(G1906&gt;=5000,0.2,IF(G1906&gt;=1000,0.3,IF(G1906&gt;=0,0.4,{0}))))))</f>
        <v/>
      </c>
      <c r="P1906" s="400">
        <f>IF(AND(B1906="",C1906=""),"",ROUND(H1906*O1906,2))</f>
        <v/>
      </c>
      <c r="Q1906" s="401" t="inlineStr">
        <is>
          <t>元件</t>
        </is>
      </c>
      <c r="R1906" s="168" t="inlineStr"/>
      <c r="S1906" s="168" t="inlineStr"/>
      <c r="T1906" s="168" t="inlineStr">
        <is>
          <t>0</t>
        </is>
      </c>
      <c r="U1906" s="168" t="inlineStr"/>
      <c r="V1906" s="402" t="n"/>
      <c r="W1906" s="402" t="n"/>
      <c r="X1906" s="170" t="inlineStr"/>
    </row>
    <row r="1907" s="308">
      <c r="A1907" s="64">
        <f>ROW()-ROW(A$1894)</f>
        <v/>
      </c>
      <c r="B1907" s="22" t="inlineStr">
        <is>
          <t>中间继电器</t>
        </is>
      </c>
      <c r="C1907" s="22" t="inlineStr">
        <is>
          <t>RXM4AB2P7+RXZE2S114M+RXZ400</t>
        </is>
      </c>
      <c r="D1907" s="22" t="inlineStr">
        <is>
          <t>甲供/施耐德电气</t>
        </is>
      </c>
      <c r="E1907" s="23" t="inlineStr">
        <is>
          <t>只</t>
        </is>
      </c>
      <c r="F1907" s="23" t="n">
        <v>4</v>
      </c>
      <c r="G1907" s="349">
        <f>IF(AND(B1907="",C1907=""),"",ROUND(M1907*L1907*N1907,2))</f>
        <v/>
      </c>
      <c r="H1907" s="349">
        <f>IF(AND(B1907="",C1907=""),"",ROUND(F1907*G1907,2))</f>
        <v/>
      </c>
      <c r="I1907" s="45" t="inlineStr"/>
      <c r="J1907" s="397">
        <f>IF(AND(B1907="",C1907=""),"",ROUND(M1907*N1907,2))</f>
        <v/>
      </c>
      <c r="K1907" s="398">
        <f>IF(AND(B1907="",C1907=""),"",ROUND(J1907*F1907,2))</f>
        <v/>
      </c>
      <c r="L1907" s="141" t="n">
        <v>1</v>
      </c>
      <c r="M1907" s="399" t="n">
        <v>1e-07</v>
      </c>
      <c r="N1907" s="154" t="n">
        <v>1</v>
      </c>
      <c r="O1907" s="155">
        <f>IF(AND(B1907="",C1907=""),"",IF(G1907&gt;=20000,0.05,IF(G1907&gt;=10000,0.1,IF(G1907&gt;=5000,0.2,IF(G1907&gt;=1000,0.3,IF(G1907&gt;=0,0.4,{0}))))))</f>
        <v/>
      </c>
      <c r="P1907" s="400">
        <f>IF(AND(B1907="",C1907=""),"",ROUND(H1907*O1907,2))</f>
        <v/>
      </c>
      <c r="Q1907" s="401" t="inlineStr">
        <is>
          <t>元件</t>
        </is>
      </c>
      <c r="R1907" s="168" t="inlineStr"/>
      <c r="S1907" s="168" t="inlineStr"/>
      <c r="T1907" s="168" t="inlineStr">
        <is>
          <t>0</t>
        </is>
      </c>
      <c r="U1907" s="168" t="inlineStr">
        <is>
          <t>RXM4AB2P7+RXZE2S114M+RXZ400</t>
        </is>
      </c>
      <c r="V1907" s="402" t="n"/>
      <c r="W1907" s="402" t="n"/>
      <c r="X1907" s="170" t="inlineStr">
        <is>
          <t>REL-IR-BL/L-230AC/4X21，含底座→RXM4AB2P7+RXZE2S114M+RXZ400→REL-IR-BL/L-230AC/4X21，含底座</t>
        </is>
      </c>
    </row>
    <row r="1908" customFormat="1" s="3">
      <c r="A1908" s="64">
        <f>ROW()-ROW(A$1894)</f>
        <v/>
      </c>
      <c r="B1908" s="22" t="inlineStr">
        <is>
          <t>带熔丝端子</t>
        </is>
      </c>
      <c r="C1908" s="22" t="inlineStr">
        <is>
          <t>UK 5-HESI</t>
        </is>
      </c>
      <c r="D1908" s="22" t="inlineStr">
        <is>
          <t>菲尼克斯</t>
        </is>
      </c>
      <c r="E1908" s="23" t="inlineStr">
        <is>
          <t>只</t>
        </is>
      </c>
      <c r="F1908" s="23" t="n">
        <v>8</v>
      </c>
      <c r="G1908" s="349">
        <f>IF(AND(B1908="",C1908=""),"",ROUND(M1908*L1908*N1908,2))</f>
        <v/>
      </c>
      <c r="H1908" s="349">
        <f>IF(AND(B1908="",C1908=""),"",ROUND(F1908*G1908,2))</f>
        <v/>
      </c>
      <c r="I1908" s="45" t="inlineStr"/>
      <c r="J1908" s="392">
        <f>IF(AND(B1908="",C1908=""),"",ROUND(M1908*N1908,2))</f>
        <v/>
      </c>
      <c r="K1908" s="393">
        <f>IF(AND(B1908="",C1908=""),"",ROUND(J1908*F1908,2))</f>
        <v/>
      </c>
      <c r="L1908" s="141" t="n">
        <v>1</v>
      </c>
      <c r="M1908" s="394" t="n">
        <v>7</v>
      </c>
      <c r="N1908" s="220" t="n">
        <v>1</v>
      </c>
      <c r="O1908" s="221">
        <f>IF(AND(B1908="",C1908=""),"",IF(G1908&gt;=20000,0.05,IF(G1908&gt;=10000,0.1,IF(G1908&gt;=5000,0.2,IF(G1908&gt;=1000,0.3,IF(G1908&gt;=0,0.4,{0}))))))</f>
        <v/>
      </c>
      <c r="P1908" s="419">
        <f>IF(AND(B1908="",C1908=""),"",ROUND(H1908*O1908,2))</f>
        <v/>
      </c>
      <c r="Q1908" s="420" t="inlineStr">
        <is>
          <t>元件</t>
        </is>
      </c>
      <c r="R1908" s="231" t="inlineStr"/>
      <c r="S1908" s="231" t="inlineStr"/>
      <c r="T1908" s="231" t="inlineStr">
        <is>
          <t>0</t>
        </is>
      </c>
      <c r="U1908" s="231" t="inlineStr">
        <is>
          <t>True</t>
        </is>
      </c>
      <c r="V1908" s="421" t="n"/>
      <c r="W1908" s="421" t="n"/>
      <c r="X1908" s="166" t="inlineStr"/>
    </row>
    <row r="1909" s="308">
      <c r="A1909" s="64">
        <f>ROW()-ROW(A$1894)</f>
        <v/>
      </c>
      <c r="B1909" s="22" t="inlineStr">
        <is>
          <t>水平母排</t>
        </is>
      </c>
      <c r="C1909" s="22" t="inlineStr">
        <is>
          <t>TMY 4*(2*100*5)+2*50*5</t>
        </is>
      </c>
      <c r="D1909" s="22" t="inlineStr">
        <is>
          <t>国产优质</t>
        </is>
      </c>
      <c r="E1909" s="23" t="inlineStr">
        <is>
          <t>米</t>
        </is>
      </c>
      <c r="F1909" s="23" t="n">
        <v>0.4</v>
      </c>
      <c r="G1909" s="349">
        <f>IF(AND(B1909="",C1909=""),"",ROUND(M1909*L1909*N1909,2))</f>
        <v/>
      </c>
      <c r="H1909" s="349">
        <f>IF(AND(B1909="",C1909=""),"",ROUND(F1909*G1909,2))</f>
        <v/>
      </c>
      <c r="I1909" s="45" t="inlineStr"/>
      <c r="J1909" s="397">
        <f>IF(AND(B1909="",C1909=""),"",ROUND(M1909*N1909,2))</f>
        <v/>
      </c>
      <c r="K1909" s="398">
        <f>IF(AND(B1909="",C1909=""),"",ROUND(J1909*F1909,2))</f>
        <v/>
      </c>
      <c r="L1909" s="200" t="n">
        <v>1</v>
      </c>
      <c r="M1909" s="399" t="n">
        <v>4329.60525</v>
      </c>
      <c r="N1909" s="154">
        <f>(6317.932*1*1+2684.8*1*1)/9002.732</f>
        <v/>
      </c>
      <c r="O1909" s="155">
        <f>IF(AND(B1909="",C1909=""),"",IF(J1909&gt;=20000,0.05,IF(J1909&gt;=10000,0.1,IF(J1909&gt;=5000,0.2,IF(J1909&gt;=1000,0.3,IF(J1909&gt;=0,0.4,{0}))))))</f>
        <v/>
      </c>
      <c r="P1909" s="400">
        <f>IF(AND(B1909="",C1909=""),"",ROUND(H1909*O1909,2))</f>
        <v/>
      </c>
      <c r="Q1909" s="401" t="inlineStr">
        <is>
          <t>母排</t>
        </is>
      </c>
      <c r="R1909" s="168" t="inlineStr"/>
      <c r="S1909" s="168" t="inlineStr"/>
      <c r="T1909" s="168" t="inlineStr">
        <is>
          <t>0</t>
        </is>
      </c>
      <c r="U1909" s="168" t="inlineStr"/>
      <c r="V1909" s="402" t="n"/>
      <c r="W1909" s="402" t="n"/>
      <c r="X1909" s="170" t="inlineStr"/>
    </row>
    <row r="1910" customFormat="1" s="5">
      <c r="A1910" s="64">
        <f>ROW()-ROW(A$1894)</f>
        <v/>
      </c>
      <c r="B1910" s="22" t="inlineStr">
        <is>
          <t>桩头排</t>
        </is>
      </c>
      <c r="C1910" s="22" t="inlineStr">
        <is>
          <t>TMY 3*80*5</t>
        </is>
      </c>
      <c r="D1910" s="22" t="inlineStr">
        <is>
          <t>国产优质</t>
        </is>
      </c>
      <c r="E1910" s="23" t="inlineStr">
        <is>
          <t>米</t>
        </is>
      </c>
      <c r="F1910" s="23" t="n">
        <v>3</v>
      </c>
      <c r="G1910" s="349">
        <f>IF(AND(B1910="",C1910=""),"",ROUND(M1910*L1910*N1910,2))</f>
        <v/>
      </c>
      <c r="H1910" s="349">
        <f>IF(AND(B1910="",C1910=""),"",ROUND(F1910*G1910,2))</f>
        <v/>
      </c>
      <c r="I1910" s="45" t="inlineStr"/>
      <c r="J1910" s="422">
        <f>IF(AND(B1910="",C1910=""),"",ROUND(M1910*N1910,2))</f>
        <v/>
      </c>
      <c r="K1910" s="423">
        <f>IF(AND(B1910="",C1910=""),"",ROUND(J1910*F1910,2))</f>
        <v/>
      </c>
      <c r="L1910" s="225" t="n">
        <v>1</v>
      </c>
      <c r="M1910" s="424" t="n">
        <v>1154.5614</v>
      </c>
      <c r="N1910" s="227" t="n">
        <v>1</v>
      </c>
      <c r="O1910" s="228">
        <f>IF(AND(B1910="",C1910=""),"",IF(G1910&gt;=20000,0.05,IF(G1910&gt;=10000,0.1,IF(G1910&gt;=5000,0.2,IF(G1910&gt;=1000,0.3,IF(G1910&gt;=0,0.4,{0}))))))</f>
        <v/>
      </c>
      <c r="P1910" s="425">
        <f>IF(AND(B1910="",C1910=""),"",ROUND(H1910*O1910,2))</f>
        <v/>
      </c>
      <c r="Q1910" s="426" t="inlineStr">
        <is>
          <t>母排</t>
        </is>
      </c>
      <c r="R1910" s="234" t="inlineStr"/>
      <c r="S1910" s="234" t="inlineStr"/>
      <c r="T1910" s="235" t="inlineStr">
        <is>
          <t>0</t>
        </is>
      </c>
      <c r="U1910" s="235" t="inlineStr"/>
      <c r="V1910" s="427" t="n"/>
      <c r="W1910" s="427" t="n"/>
      <c r="X1910" s="237" t="inlineStr">
        <is>
          <t>TMY 2*30*5→TMY 30*8</t>
        </is>
      </c>
    </row>
    <row r="1911" customFormat="1" s="5">
      <c r="A1911" s="64">
        <f>ROW()-ROW(A$1894)</f>
        <v/>
      </c>
      <c r="B1911" s="22" t="inlineStr">
        <is>
          <t>垂直排</t>
        </is>
      </c>
      <c r="C1911" s="22" t="inlineStr">
        <is>
          <t>TMY 3*80*5</t>
        </is>
      </c>
      <c r="D1911" s="22" t="inlineStr">
        <is>
          <t>国产优质</t>
        </is>
      </c>
      <c r="E1911" s="23" t="inlineStr">
        <is>
          <t>米</t>
        </is>
      </c>
      <c r="F1911" s="23" t="n">
        <v>2</v>
      </c>
      <c r="G1911" s="349">
        <f>IF(AND(B1911="",C1911=""),"",ROUND(M1911*L1911*N1911,2))</f>
        <v/>
      </c>
      <c r="H1911" s="349">
        <f>IF(AND(B1911="",C1911=""),"",ROUND(F1911*G1911,2))</f>
        <v/>
      </c>
      <c r="I1911" s="45" t="inlineStr"/>
      <c r="J1911" s="422">
        <f>IF(AND(B1911="",C1911=""),"",ROUND(M1911*N1911,2))</f>
        <v/>
      </c>
      <c r="K1911" s="423">
        <f>IF(AND(B1911="",C1911=""),"",ROUND(J1911*F1911,2))</f>
        <v/>
      </c>
      <c r="L1911" s="225" t="n">
        <v>1</v>
      </c>
      <c r="M1911" s="424" t="n">
        <v>1154.5614</v>
      </c>
      <c r="N1911" s="227" t="n">
        <v>1</v>
      </c>
      <c r="O1911" s="228">
        <f>IF(AND(B1911="",C1911=""),"",IF(G1911&gt;=20000,0.05,IF(G1911&gt;=10000,0.1,IF(G1911&gt;=5000,0.2,IF(G1911&gt;=1000,0.3,IF(G1911&gt;=0,0.4,{0}))))))</f>
        <v/>
      </c>
      <c r="P1911" s="425">
        <f>IF(AND(B1911="",C1911=""),"",ROUND(H1911*O1911,2))</f>
        <v/>
      </c>
      <c r="Q1911" s="426" t="inlineStr">
        <is>
          <t>母排</t>
        </is>
      </c>
      <c r="R1911" s="234" t="inlineStr"/>
      <c r="S1911" s="234" t="inlineStr"/>
      <c r="T1911" s="235" t="inlineStr">
        <is>
          <t>0</t>
        </is>
      </c>
      <c r="U1911" s="235" t="inlineStr"/>
      <c r="V1911" s="427" t="n"/>
      <c r="W1911" s="427" t="n"/>
      <c r="X1911" s="237" t="inlineStr">
        <is>
          <t>TMY 2*30*5→TMY 30*8</t>
        </is>
      </c>
    </row>
    <row r="1912" customFormat="1" s="5">
      <c r="A1912" s="64">
        <f>ROW()-ROW(A$1894)</f>
        <v/>
      </c>
      <c r="B1912" s="22" t="inlineStr">
        <is>
          <t>N排</t>
        </is>
      </c>
      <c r="C1912" s="22" t="inlineStr">
        <is>
          <t>TMY 80*10</t>
        </is>
      </c>
      <c r="D1912" s="22" t="inlineStr">
        <is>
          <t>国产优质</t>
        </is>
      </c>
      <c r="E1912" s="23" t="inlineStr">
        <is>
          <t>米</t>
        </is>
      </c>
      <c r="F1912" s="23" t="n">
        <v>3</v>
      </c>
      <c r="G1912" s="349">
        <f>IF(AND(B1912="",C1912=""),"",ROUND(M1912*L1912*N1912,2))</f>
        <v/>
      </c>
      <c r="H1912" s="349">
        <f>IF(AND(B1912="",C1912=""),"",ROUND(F1912*G1912,2))</f>
        <v/>
      </c>
      <c r="I1912" s="45" t="inlineStr"/>
      <c r="J1912" s="422">
        <f>IF(AND(B1912="",C1912=""),"",ROUND(M1912*N1912,2))</f>
        <v/>
      </c>
      <c r="K1912" s="423">
        <f>IF(AND(B1912="",C1912=""),"",ROUND(J1912*F1912,2))</f>
        <v/>
      </c>
      <c r="L1912" s="225" t="n">
        <v>1</v>
      </c>
      <c r="M1912" s="424" t="n">
        <v>769.7076</v>
      </c>
      <c r="N1912" s="227" t="n">
        <v>1</v>
      </c>
      <c r="O1912" s="228">
        <f>IF(AND(B1912="",C1912=""),"",IF(G1912&gt;=20000,0.05,IF(G1912&gt;=10000,0.1,IF(G1912&gt;=5000,0.2,IF(G1912&gt;=1000,0.3,IF(G1912&gt;=0,0.4,{0}))))))</f>
        <v/>
      </c>
      <c r="P1912" s="425">
        <f>IF(AND(B1912="",C1912=""),"",ROUND(H1912*O1912,2))</f>
        <v/>
      </c>
      <c r="Q1912" s="426" t="inlineStr">
        <is>
          <t>母排</t>
        </is>
      </c>
      <c r="R1912" s="234" t="inlineStr"/>
      <c r="S1912" s="234" t="inlineStr"/>
      <c r="T1912" s="235" t="inlineStr">
        <is>
          <t>0</t>
        </is>
      </c>
      <c r="U1912" s="235" t="inlineStr"/>
      <c r="V1912" s="427" t="n"/>
      <c r="W1912" s="427" t="n"/>
      <c r="X1912" s="237" t="inlineStr">
        <is>
          <t>TMY 2*30*5→TMY 30*8</t>
        </is>
      </c>
    </row>
    <row r="1913" customFormat="1" s="5">
      <c r="A1913" s="64">
        <f>ROW()-ROW(A$1894)</f>
        <v/>
      </c>
      <c r="B1913" s="22" t="inlineStr">
        <is>
          <t>PE排</t>
        </is>
      </c>
      <c r="C1913" s="22" t="inlineStr">
        <is>
          <t>TMY 2*50*5</t>
        </is>
      </c>
      <c r="D1913" s="22" t="inlineStr">
        <is>
          <t>国产优质</t>
        </is>
      </c>
      <c r="E1913" s="23" t="inlineStr">
        <is>
          <t>米</t>
        </is>
      </c>
      <c r="F1913" s="23" t="n">
        <v>2</v>
      </c>
      <c r="G1913" s="349">
        <f>IF(AND(B1913="",C1913=""),"",ROUND(M1913*L1913*N1913,2))</f>
        <v/>
      </c>
      <c r="H1913" s="349">
        <f>IF(AND(B1913="",C1913=""),"",ROUND(F1913*G1913,2))</f>
        <v/>
      </c>
      <c r="I1913" s="45" t="inlineStr"/>
      <c r="J1913" s="422">
        <f>IF(AND(B1913="",C1913=""),"",ROUND(M1913*N1913,2))</f>
        <v/>
      </c>
      <c r="K1913" s="423">
        <f>IF(AND(B1913="",C1913=""),"",ROUND(J1913*F1913,2))</f>
        <v/>
      </c>
      <c r="L1913" s="225" t="n">
        <v>1</v>
      </c>
      <c r="M1913" s="424" t="n">
        <v>481.06725</v>
      </c>
      <c r="N1913" s="227" t="n">
        <v>1</v>
      </c>
      <c r="O1913" s="228">
        <f>IF(AND(B1913="",C1913=""),"",IF(G1913&gt;=20000,0.05,IF(G1913&gt;=10000,0.1,IF(G1913&gt;=5000,0.2,IF(G1913&gt;=1000,0.3,IF(G1913&gt;=0,0.4,{0}))))))</f>
        <v/>
      </c>
      <c r="P1913" s="425">
        <f>IF(AND(B1913="",C1913=""),"",ROUND(H1913*O1913,2))</f>
        <v/>
      </c>
      <c r="Q1913" s="426" t="inlineStr">
        <is>
          <t>母排</t>
        </is>
      </c>
      <c r="R1913" s="234" t="inlineStr"/>
      <c r="S1913" s="234" t="inlineStr"/>
      <c r="T1913" s="235" t="inlineStr">
        <is>
          <t>0</t>
        </is>
      </c>
      <c r="U1913" s="235" t="inlineStr"/>
      <c r="V1913" s="427" t="n"/>
      <c r="W1913" s="427" t="n"/>
      <c r="X1913" s="237" t="inlineStr">
        <is>
          <t>TMY 2*30*5→TMY 30*8</t>
        </is>
      </c>
    </row>
    <row r="1914" s="308">
      <c r="A1914" s="64">
        <f>ROW()-ROW(A$1894)</f>
        <v/>
      </c>
      <c r="B1914" s="112" t="inlineStr">
        <is>
          <t>辅料</t>
        </is>
      </c>
      <c r="C1914" s="112" t="inlineStr"/>
      <c r="D1914" s="112" t="inlineStr"/>
      <c r="E1914" s="114" t="inlineStr">
        <is>
          <t>套</t>
        </is>
      </c>
      <c r="F1914" s="114" t="n">
        <v>1</v>
      </c>
      <c r="G1914" s="396">
        <f>IF(AND(B1914="",C1914=""),"",ROUND(M1914*L1914*N1914,2))</f>
        <v/>
      </c>
      <c r="H1914" s="396">
        <f>IF(AND(B1914="",C1914=""),"",ROUND(F1914*G1914,2))</f>
        <v/>
      </c>
      <c r="I1914" s="219" t="inlineStr"/>
      <c r="J1914" s="397">
        <f>IF(AND(B1914="",C1914=""),"",ROUND(M1914*N1914,2))</f>
        <v/>
      </c>
      <c r="K1914" s="398">
        <f>IF(AND(B1914="",C1914=""),"",ROUND(J1914*F1914,2))</f>
        <v/>
      </c>
      <c r="L1914" s="200" t="n">
        <v>1</v>
      </c>
      <c r="M1914" s="399" t="n">
        <v>800</v>
      </c>
      <c r="N1914" s="154" t="n">
        <v>1</v>
      </c>
      <c r="O1914" s="155">
        <f>IF(AND(B1914="",C1914=""),"",IF(G1914&gt;=20000,0.05,IF(G1914&gt;=10000,0.1,IF(G1914&gt;=5000,0.2,IF(G1914&gt;=1000,0.3,IF(G1914&gt;=0,0.4,{0}))))))</f>
        <v/>
      </c>
      <c r="P1914" s="400">
        <f>IF(AND(B1914="",C1914=""),"",ROUND(H1914*O1914,2))</f>
        <v/>
      </c>
      <c r="Q1914" s="401" t="inlineStr">
        <is>
          <t>辅料</t>
        </is>
      </c>
      <c r="R1914" s="168" t="inlineStr"/>
      <c r="S1914" s="168" t="inlineStr"/>
      <c r="T1914" s="168" t="inlineStr">
        <is>
          <t>0</t>
        </is>
      </c>
      <c r="U1914" s="168" t="inlineStr"/>
      <c r="V1914" s="402" t="n"/>
      <c r="W1914" s="402" t="n"/>
      <c r="X1914" s="170" t="inlineStr"/>
    </row>
    <row r="1915" s="308">
      <c r="A1915" s="64">
        <f>ROW()-ROW(A$1894)</f>
        <v/>
      </c>
      <c r="B1915" s="112" t="inlineStr">
        <is>
          <t>柜体Blokset</t>
        </is>
      </c>
      <c r="C1915" s="22" t="inlineStr">
        <is>
          <t>400W*1200D*2200H</t>
        </is>
      </c>
      <c r="D1915" s="112" t="inlineStr">
        <is>
          <t>清科</t>
        </is>
      </c>
      <c r="E1915" s="114" t="inlineStr">
        <is>
          <t>台</t>
        </is>
      </c>
      <c r="F1915" s="114" t="n">
        <v>1</v>
      </c>
      <c r="G1915" s="396">
        <f>IF(AND(B1915="",C1915=""),"",ROUND(M1915*L1915*N1915,2))</f>
        <v/>
      </c>
      <c r="H1915" s="396">
        <f>IF(AND(B1915="",C1915=""),"",ROUND(F1915*G1915,2))</f>
        <v/>
      </c>
      <c r="I1915" s="219" t="inlineStr"/>
      <c r="J1915" s="397">
        <f>IF(AND(B1915="",C1915=""),"",ROUND(M1915*N1915,2))</f>
        <v/>
      </c>
      <c r="K1915" s="398">
        <f>IF(AND(B1915="",C1915=""),"",ROUND(J1915*F1915,2))</f>
        <v/>
      </c>
      <c r="L1915" s="200" t="n">
        <v>1</v>
      </c>
      <c r="M1915" s="399" t="n">
        <v>4916</v>
      </c>
      <c r="N1915" s="154" t="n">
        <v>1</v>
      </c>
      <c r="O1915" s="155">
        <f>IF(AND(B1915="",C1915=""),"",IF(G1915&gt;=20000,0.05,IF(G1915&gt;=10000,0.1,IF(G1915&gt;=5000,0.2,IF(G1915&gt;=1000,0.3,IF(G1915&gt;=0,0.4,{0}))))))</f>
        <v/>
      </c>
      <c r="P1915" s="400">
        <f>IF(AND(B1915="",C1915=""),"",ROUND(H1915*O1915,2))</f>
        <v/>
      </c>
      <c r="Q1915" s="401" t="inlineStr">
        <is>
          <t>箱体</t>
        </is>
      </c>
      <c r="R1915" s="168" t="inlineStr"/>
      <c r="S1915" s="168" t="inlineStr"/>
      <c r="T1915" s="168" t="inlineStr">
        <is>
          <t>0</t>
        </is>
      </c>
      <c r="U1915" s="168" t="inlineStr"/>
      <c r="V1915" s="402" t="n"/>
      <c r="W1915" s="402" t="n"/>
      <c r="X1915" s="170" t="inlineStr">
        <is>
          <t>BlokSeT</t>
        </is>
      </c>
    </row>
    <row r="1916" s="308">
      <c r="A1916" s="64">
        <f>ROW()-ROW(A$1894)</f>
        <v/>
      </c>
      <c r="B1916" s="22" t="inlineStr"/>
      <c r="C1916" s="22" t="inlineStr"/>
      <c r="D1916" s="22" t="inlineStr"/>
      <c r="E1916" s="23" t="n"/>
      <c r="F1916" s="23">
        <f>IF(AND(B1916="",C1916=""),"",1)</f>
        <v/>
      </c>
      <c r="G1916" s="349">
        <f>IF(AND(B1916="",C1916=""),"",ROUND(M1916*L1916*N1916,2))</f>
        <v/>
      </c>
      <c r="H1916" s="349">
        <f>IF(AND(B1916="",C1916=""),"",ROUND(F1916*G1916,2))</f>
        <v/>
      </c>
      <c r="I1916" s="45" t="inlineStr"/>
      <c r="J1916" s="397">
        <f>IF(AND(B1916="",C1916=""),"",ROUND(M1916*N1916,2))</f>
        <v/>
      </c>
      <c r="K1916" s="398">
        <f>IF(AND(B1916="",C1916=""),"",ROUND(J1916*F1916,2))</f>
        <v/>
      </c>
      <c r="L1916" s="200">
        <f>IF(AND(B1916="",C1916=""),"",1)</f>
        <v/>
      </c>
      <c r="M1916" s="399" t="n"/>
      <c r="N1916" s="154">
        <f>IF(AND(B1916="",C1916=""),"",1)</f>
        <v/>
      </c>
      <c r="O1916" s="155">
        <f>IF(AND(B1916="",C1916=""),"",IF(J1916&gt;=20000,0.05,IF(J1916&gt;=10000,0.1,IF(J1916&gt;=5000,0.2,IF(J1916&gt;=1000,0.3,IF(J1916&gt;=0,0.4,{0}))))))</f>
        <v/>
      </c>
      <c r="P1916" s="400">
        <f>IF(AND(B1916="",C1916=""),"",ROUND(H1916*O1916,2))</f>
        <v/>
      </c>
      <c r="Q1916" s="401">
        <f>IF(AND(B1916="",C1916=""),"","元件")</f>
        <v/>
      </c>
      <c r="R1916" s="168" t="inlineStr"/>
      <c r="S1916" s="168" t="inlineStr"/>
      <c r="T1916" s="168" t="inlineStr"/>
      <c r="U1916" s="168" t="inlineStr"/>
      <c r="V1916" s="402" t="n"/>
      <c r="W1916" s="402" t="n"/>
      <c r="X1916" s="170" t="inlineStr"/>
    </row>
    <row r="1917" s="308">
      <c r="A1917" s="64">
        <f>ROW()-ROW(A$1894)</f>
        <v/>
      </c>
      <c r="B1917" s="171" t="inlineStr">
        <is>
          <t>小计</t>
        </is>
      </c>
      <c r="C1917" s="172" t="n"/>
      <c r="D1917" s="204" t="n"/>
      <c r="E1917" s="114" t="n"/>
      <c r="F1917" s="114" t="n"/>
      <c r="G1917" s="396" t="n"/>
      <c r="H1917" s="396">
        <f>ROUND(SUM(H1894:INDEX(H:H,ROW()-1)),2)</f>
        <v/>
      </c>
      <c r="I1917" s="45" t="inlineStr"/>
      <c r="J1917" s="397" t="n"/>
      <c r="K1917" s="398">
        <f>ROUND(SUM(K1894:INDEX(K:K,ROW()-1)),2)</f>
        <v/>
      </c>
      <c r="L1917" s="200" t="n"/>
      <c r="M1917" s="399" t="n"/>
      <c r="N1917" s="154" t="n"/>
      <c r="O1917" s="155" t="n"/>
      <c r="P1917" s="400" t="n"/>
      <c r="Q1917" s="401" t="n"/>
      <c r="R1917" s="168" t="inlineStr"/>
      <c r="S1917" s="168" t="inlineStr"/>
      <c r="T1917" s="168" t="inlineStr"/>
      <c r="U1917" s="168" t="inlineStr"/>
      <c r="V1917" s="402">
        <f>ROUND(SUMPRODUCT(F1894:INDEX(F:F,ROW()-1),V1894:INDEX(V:V,ROW()-1)),2)</f>
        <v/>
      </c>
      <c r="W1917" s="402">
        <f>ROUND(SUMPRODUCT(F1894:INDEX(F:F,ROW()-1),W1894:INDEX(W:W,ROW()-1)),2)</f>
        <v/>
      </c>
      <c r="X1917" s="170" t="inlineStr"/>
    </row>
    <row r="1918" s="308">
      <c r="A1918" s="64">
        <f>ROW()-ROW(A$1894)</f>
        <v/>
      </c>
      <c r="B1918" s="171" t="inlineStr">
        <is>
          <t>综合费(人工、管理、税金、利润等)</t>
        </is>
      </c>
      <c r="C1918" s="172" t="n"/>
      <c r="D1918" s="204" t="n"/>
      <c r="E1918" s="114" t="n"/>
      <c r="F1918" s="114" t="n"/>
      <c r="G1918" s="396" t="n"/>
      <c r="H1918" s="396">
        <f>2500</f>
        <v/>
      </c>
      <c r="I1918" s="45" t="inlineStr"/>
      <c r="J1918" s="397" t="n"/>
      <c r="K1918" s="398" t="n"/>
      <c r="L1918" s="200" t="n"/>
      <c r="M1918" s="399" t="n"/>
      <c r="N1918" s="154" t="n"/>
      <c r="O1918" s="155" t="n"/>
      <c r="P1918" s="400" t="n"/>
      <c r="Q1918" s="401" t="inlineStr">
        <is>
          <t>费用</t>
        </is>
      </c>
      <c r="R1918" s="168" t="inlineStr"/>
      <c r="S1918" s="168" t="inlineStr"/>
      <c r="T1918" s="168" t="inlineStr"/>
      <c r="U1918" s="168" t="inlineStr"/>
      <c r="V1918" s="402" t="n"/>
      <c r="W1918" s="402" t="n"/>
      <c r="X1918" s="170" t="inlineStr"/>
    </row>
    <row r="1919" s="308">
      <c r="A1919" s="64">
        <f>ROW()-ROW(A$1894)</f>
        <v/>
      </c>
      <c r="B1919" s="204" t="inlineStr">
        <is>
          <t>单台合计</t>
        </is>
      </c>
      <c r="C1919" s="172" t="n"/>
      <c r="D1919" s="204" t="n"/>
      <c r="E1919" s="114" t="n"/>
      <c r="F1919" s="114" t="n"/>
      <c r="G1919" s="396" t="n"/>
      <c r="H1919" s="396">
        <f>ROUND(SUM(H1917:H1918),2)</f>
        <v/>
      </c>
      <c r="I1919" s="181" t="n"/>
      <c r="J1919" s="397" t="n"/>
      <c r="K1919" s="398">
        <f>ROUND(SUM(K1917:K1918),2)</f>
        <v/>
      </c>
      <c r="L1919" s="209" t="n"/>
      <c r="M1919" s="399" t="n"/>
      <c r="N1919" s="210" t="n"/>
      <c r="O1919" s="211" t="n"/>
      <c r="P1919" s="400" t="n"/>
      <c r="Q1919" s="401" t="n"/>
      <c r="R1919" s="168" t="inlineStr"/>
      <c r="S1919" s="168" t="inlineStr"/>
      <c r="T1919" s="168" t="inlineStr"/>
      <c r="U1919" s="168" t="inlineStr"/>
      <c r="V1919" s="402" t="n"/>
      <c r="W1919" s="402" t="n"/>
      <c r="X1919" s="170" t="inlineStr"/>
    </row>
    <row r="1920" s="308">
      <c r="A1920" s="173" t="inlineStr">
        <is>
          <t>总计</t>
        </is>
      </c>
      <c r="B1920" s="205" t="n"/>
      <c r="C1920" s="175" t="n"/>
      <c r="D1920" s="206" t="n"/>
      <c r="E1920" s="206" t="inlineStr">
        <is>
          <t>台</t>
        </is>
      </c>
      <c r="F1920" s="206" t="n">
        <v>2</v>
      </c>
      <c r="G1920" s="414">
        <f>ROUND(H1919,2)</f>
        <v/>
      </c>
      <c r="H1920" s="414">
        <f>ROUND(F1920*G1920,2)</f>
        <v/>
      </c>
      <c r="I1920" s="185" t="n"/>
      <c r="J1920" s="415" t="n"/>
      <c r="K1920" s="416">
        <f>ROUND(K1919*F1920,2)</f>
        <v/>
      </c>
      <c r="L1920" s="214" t="n"/>
      <c r="M1920" s="417" t="n"/>
      <c r="N1920" s="216" t="n"/>
      <c r="O1920" s="217" t="n"/>
      <c r="P1920" s="418" t="n"/>
      <c r="Q1920" s="401" t="n"/>
      <c r="R1920" s="168" t="inlineStr"/>
      <c r="S1920" s="168" t="inlineStr"/>
      <c r="T1920" s="168" t="inlineStr"/>
      <c r="U1920" s="168" t="inlineStr"/>
      <c r="V1920" s="402" t="n"/>
      <c r="W1920" s="402" t="n"/>
      <c r="X1920" s="170" t="inlineStr"/>
    </row>
    <row r="1921" customFormat="1" s="4">
      <c r="A1921" s="6" t="n"/>
      <c r="B1921" s="195" t="inlineStr"/>
      <c r="C1921" s="195" t="inlineStr"/>
      <c r="D1921" s="195" t="inlineStr"/>
      <c r="Q1921" s="159" t="n"/>
      <c r="R1921" s="159" t="n"/>
      <c r="S1921" s="159" t="n"/>
      <c r="T1921" s="159" t="n"/>
      <c r="U1921" s="159" t="n"/>
      <c r="X1921" s="195" t="inlineStr"/>
    </row>
    <row r="1922" customFormat="1" s="4">
      <c r="A1922" s="6" t="n"/>
      <c r="B1922" s="195" t="inlineStr"/>
      <c r="C1922" s="195" t="inlineStr"/>
      <c r="D1922" s="195" t="inlineStr"/>
      <c r="Q1922" s="159" t="n"/>
      <c r="R1922" s="159" t="n"/>
      <c r="S1922" s="159" t="n"/>
      <c r="T1922" s="159" t="n"/>
      <c r="U1922" s="159" t="n"/>
      <c r="X1922" s="195" t="inlineStr"/>
    </row>
    <row r="1923" s="308">
      <c r="A1923" s="208">
        <f>CONCATENATE("报价人：",项目信息!$B$8)</f>
        <v/>
      </c>
      <c r="B1923" s="208" t="n"/>
      <c r="C1923" s="4" t="n"/>
      <c r="D1923" s="4" t="n"/>
      <c r="E1923" s="4" t="n"/>
      <c r="F1923" s="4" t="n"/>
      <c r="G1923" s="4" t="n"/>
      <c r="H1923" s="178">
        <f>项目信息!$B$9</f>
        <v/>
      </c>
      <c r="Q1923" s="159" t="n"/>
      <c r="R1923" s="159" t="n"/>
      <c r="S1923" s="159" t="n"/>
      <c r="T1923" s="159" t="n"/>
      <c r="U1923" s="159" t="n"/>
      <c r="X1923" s="203" t="inlineStr"/>
    </row>
    <row r="1924" s="308">
      <c r="A1924" s="8">
        <f>T(项目信息!$B$22)</f>
        <v/>
      </c>
      <c r="Q1924" s="159" t="n"/>
      <c r="R1924" s="159" t="n"/>
      <c r="S1924" s="159" t="n"/>
      <c r="T1924" s="159" t="n"/>
      <c r="U1924" s="159" t="n"/>
    </row>
    <row r="1925" s="308">
      <c r="A1925" s="9">
        <f>T(项目信息!$B$23)</f>
        <v/>
      </c>
      <c r="Q1925" s="159" t="n"/>
      <c r="R1925" s="159" t="n"/>
      <c r="S1925" s="159" t="n"/>
      <c r="T1925" s="159" t="n"/>
      <c r="U1925" s="159" t="n"/>
    </row>
    <row r="1926" s="308">
      <c r="A1926" s="97" t="inlineStr">
        <is>
          <t>成套产品报价明细表</t>
        </is>
      </c>
      <c r="B1926" s="378" t="n"/>
      <c r="C1926" s="378" t="n"/>
      <c r="D1926" s="378" t="n"/>
      <c r="E1926" s="378" t="n"/>
      <c r="F1926" s="378" t="n"/>
      <c r="G1926" s="378" t="n"/>
      <c r="H1926" s="378" t="n"/>
      <c r="I1926" s="378" t="n"/>
      <c r="Q1926" s="159" t="n"/>
      <c r="R1926" s="159" t="n"/>
      <c r="S1926" s="159" t="n"/>
      <c r="T1926" s="159" t="n"/>
      <c r="U1926" s="159" t="n"/>
    </row>
    <row r="1927" customFormat="1" s="4">
      <c r="A1927" s="98" t="inlineStr">
        <is>
          <t>柜号:</t>
        </is>
      </c>
      <c r="B1927" s="99" t="inlineStr">
        <is>
          <t>T5-AU22、T6-BU22</t>
        </is>
      </c>
      <c r="C1927" s="100" t="inlineStr">
        <is>
          <t>型号:</t>
        </is>
      </c>
      <c r="D1927" s="99" t="inlineStr">
        <is>
          <t>BlokSeT</t>
        </is>
      </c>
      <c r="E1927" s="379" t="n"/>
      <c r="F1927" s="101" t="inlineStr">
        <is>
          <t>名称:</t>
        </is>
      </c>
      <c r="G1927" s="99" t="inlineStr">
        <is>
          <t>馈线柜</t>
        </is>
      </c>
      <c r="H1927" s="379" t="n"/>
      <c r="I1927" s="408" t="inlineStr"/>
      <c r="J1927" s="194" t="inlineStr">
        <is>
          <t>箱柜尺寸:</t>
        </is>
      </c>
      <c r="K1927" s="195" t="inlineStr">
        <is>
          <t>600W*1200D*2200H</t>
        </is>
      </c>
      <c r="L1927" s="194" t="inlineStr">
        <is>
          <t>类别:</t>
        </is>
      </c>
      <c r="M1927" s="195" t="inlineStr">
        <is>
          <t>低压固定柜</t>
        </is>
      </c>
      <c r="N1927" s="409" t="inlineStr"/>
      <c r="Q1927" s="159" t="n"/>
      <c r="R1927" s="159" t="n"/>
      <c r="S1927" s="159" t="n"/>
      <c r="T1927" s="159" t="n"/>
      <c r="U1927" s="159" t="n"/>
    </row>
    <row r="1928" ht="20.1" customHeight="1" s="308">
      <c r="A1928" s="102" t="inlineStr">
        <is>
          <t>序号</t>
        </is>
      </c>
      <c r="B1928" s="103" t="inlineStr">
        <is>
          <t>元件名称</t>
        </is>
      </c>
      <c r="C1928" s="103" t="inlineStr">
        <is>
          <t>型号规格</t>
        </is>
      </c>
      <c r="D1928" s="104" t="inlineStr">
        <is>
          <t>生产厂家</t>
        </is>
      </c>
      <c r="E1928" s="105" t="inlineStr">
        <is>
          <t>单位</t>
        </is>
      </c>
      <c r="F1928" s="105" t="inlineStr">
        <is>
          <t>数量</t>
        </is>
      </c>
      <c r="G1928" s="382" t="inlineStr">
        <is>
          <t>单   价</t>
        </is>
      </c>
      <c r="H1928" s="383" t="inlineStr">
        <is>
          <t>总   价</t>
        </is>
      </c>
      <c r="I1928" s="134" t="inlineStr">
        <is>
          <t>备注</t>
        </is>
      </c>
      <c r="J1928" s="384" t="inlineStr">
        <is>
          <t>成本单价</t>
        </is>
      </c>
      <c r="K1928" s="384" t="inlineStr">
        <is>
          <t>成本总价</t>
        </is>
      </c>
      <c r="L1928" s="136" t="inlineStr">
        <is>
          <t>报出
系数</t>
        </is>
      </c>
      <c r="M1928" s="384" t="inlineStr">
        <is>
          <t>表价</t>
        </is>
      </c>
      <c r="N1928" s="136" t="inlineStr">
        <is>
          <t>折扣
系数</t>
        </is>
      </c>
      <c r="O1928" s="137" t="inlineStr">
        <is>
          <t>取费
系数</t>
        </is>
      </c>
      <c r="P1928" s="384" t="inlineStr">
        <is>
          <t>成套费</t>
        </is>
      </c>
      <c r="Q1928" s="161" t="inlineStr">
        <is>
          <t>类别</t>
        </is>
      </c>
      <c r="R1928" s="161" t="inlineStr">
        <is>
          <t>物料编码</t>
        </is>
      </c>
      <c r="S1928" s="161" t="inlineStr">
        <is>
          <t>产地</t>
        </is>
      </c>
      <c r="T1928" s="161" t="inlineStr">
        <is>
          <t>加工费</t>
        </is>
      </c>
      <c r="U1928" s="161" t="inlineStr">
        <is>
          <t>订货号</t>
        </is>
      </c>
      <c r="V1928" s="161" t="inlineStr">
        <is>
          <t>人工</t>
        </is>
      </c>
      <c r="W1928" s="161" t="inlineStr">
        <is>
          <t>辅料</t>
        </is>
      </c>
      <c r="X1928" s="203" t="inlineStr"/>
    </row>
    <row r="1929" s="308">
      <c r="A1929" s="64">
        <f>ROW()-ROW(A$1928)</f>
        <v/>
      </c>
      <c r="B1929" s="22" t="inlineStr">
        <is>
          <t>塑壳断路器</t>
        </is>
      </c>
      <c r="C1929" s="22" t="inlineStr">
        <is>
          <t>NSX400H Mic2.3 400A 3P3D P</t>
        </is>
      </c>
      <c r="D1929" s="22" t="inlineStr">
        <is>
          <t>甲供/施耐德电气</t>
        </is>
      </c>
      <c r="E1929" s="23" t="inlineStr">
        <is>
          <t>只</t>
        </is>
      </c>
      <c r="F1929" s="23" t="n">
        <v>6</v>
      </c>
      <c r="G1929" s="349">
        <f>IF(AND(B1929="",C1929=""),"",ROUND(M1929*L1929*N1929,2))</f>
        <v/>
      </c>
      <c r="H1929" s="349">
        <f>IF(AND(B1929="",C1929=""),"",ROUND(F1929*G1929,2))</f>
        <v/>
      </c>
      <c r="I1929" s="45" t="inlineStr"/>
      <c r="J1929" s="397">
        <f>IF(AND(B1929="",C1929=""),"",ROUND(M1929*N1929,2))</f>
        <v/>
      </c>
      <c r="K1929" s="398">
        <f>IF(AND(B1929="",C1929=""),"",ROUND(J1929*F1929,2))</f>
        <v/>
      </c>
      <c r="L1929" s="200" t="n">
        <v>1</v>
      </c>
      <c r="M1929" s="399" t="n">
        <v>1e-07</v>
      </c>
      <c r="N1929" s="154" t="n">
        <v>1</v>
      </c>
      <c r="O1929" s="155">
        <f>IF(AND(B1929="",C1929=""),"",IF(G1929&gt;=20000,0.05,IF(G1929&gt;=10000,0.1,IF(G1929&gt;=5000,0.2,IF(G1929&gt;=1000,0.3,IF(G1929&gt;=0,0.4,{0}))))))</f>
        <v/>
      </c>
      <c r="P1929" s="400">
        <f>IF(AND(B1929="",C1929=""),"",ROUND(H1929*O1929,2))</f>
        <v/>
      </c>
      <c r="Q1929" s="401" t="inlineStr">
        <is>
          <t>元件</t>
        </is>
      </c>
      <c r="R1929" s="168" t="inlineStr"/>
      <c r="S1929" s="168" t="inlineStr"/>
      <c r="T1929" s="168" t="inlineStr">
        <is>
          <t>0</t>
        </is>
      </c>
      <c r="U1929" s="168" t="inlineStr"/>
      <c r="V1929" s="402" t="n"/>
      <c r="W1929" s="402" t="n"/>
      <c r="X1929" s="170" t="inlineStr"/>
    </row>
    <row r="1930" s="308">
      <c r="A1930" s="64">
        <f>ROW()-ROW(A$1928)</f>
        <v/>
      </c>
      <c r="B1930" s="22" t="inlineStr">
        <is>
          <t>电流互感器</t>
        </is>
      </c>
      <c r="C1930" s="22" t="inlineStr">
        <is>
          <t>SD-0.66-40II-C 400/5A</t>
        </is>
      </c>
      <c r="D1930" s="22" t="inlineStr">
        <is>
          <t>桑迪</t>
        </is>
      </c>
      <c r="E1930" s="23" t="inlineStr">
        <is>
          <t>只</t>
        </is>
      </c>
      <c r="F1930" s="23" t="n">
        <v>18</v>
      </c>
      <c r="G1930" s="349">
        <f>IF(AND(B1930="",C1930=""),"",ROUND(M1930*L1930*N1930,2))</f>
        <v/>
      </c>
      <c r="H1930" s="396">
        <f>IF(AND(B1930="",C1930=""),"",ROUND(F1930*G1930,2))</f>
        <v/>
      </c>
      <c r="I1930" s="219" t="inlineStr"/>
      <c r="J1930" s="397">
        <f>IF(AND(B1930="",C1930=""),"",ROUND(M1930*N1930,2))</f>
        <v/>
      </c>
      <c r="K1930" s="398">
        <f>IF(AND(B1930="",C1930=""),"",ROUND(J1930*F1930,2))</f>
        <v/>
      </c>
      <c r="L1930" s="200" t="n">
        <v>1</v>
      </c>
      <c r="M1930" s="399" t="n">
        <v>52</v>
      </c>
      <c r="N1930" s="154" t="n">
        <v>1</v>
      </c>
      <c r="O1930" s="155">
        <f>IF(AND(B1930="",C1930=""),"",IF(G1930&gt;=20000,0.05,IF(G1930&gt;=10000,0.1,IF(G1930&gt;=5000,0.2,IF(G1930&gt;=1000,0.3,IF(G1930&gt;=0,0.4,{0}))))))</f>
        <v/>
      </c>
      <c r="P1930" s="400">
        <f>IF(AND(B1930="",C1930=""),"",ROUND(H1930*O1930,2))</f>
        <v/>
      </c>
      <c r="Q1930" s="401" t="inlineStr">
        <is>
          <t>元件</t>
        </is>
      </c>
      <c r="R1930" s="168" t="inlineStr"/>
      <c r="S1930" s="168" t="inlineStr"/>
      <c r="T1930" s="168" t="inlineStr">
        <is>
          <t>0</t>
        </is>
      </c>
      <c r="U1930" s="168" t="inlineStr">
        <is>
          <t>710140200000049</t>
        </is>
      </c>
      <c r="V1930" s="402" t="n"/>
      <c r="W1930" s="402" t="n"/>
      <c r="X1930" s="170" t="inlineStr">
        <is>
          <t>SD→SD-0.66-40II-C 400/5A→SD-0.66-30I 250/5A→SD-0.66-30I 150/5A→SD-0.66-60II-C 750/5A→SD-0.66-60II-C 600/5A→SD-0.66-30I 150/5A→SD-0.66-40II-C 400/5A→SD-0.66-100II-C 1600/5A→SD-0.66-80II-V 1000/5A</t>
        </is>
      </c>
    </row>
    <row r="1931" s="308">
      <c r="A1931" s="64">
        <f>ROW()-ROW(A$1928)</f>
        <v/>
      </c>
      <c r="B1931" s="112" t="inlineStr">
        <is>
          <t>多功能表</t>
        </is>
      </c>
      <c r="C1931" s="112" t="inlineStr">
        <is>
          <t>PM4101</t>
        </is>
      </c>
      <c r="D1931" s="112" t="inlineStr">
        <is>
          <t>甲供/施耐德电气</t>
        </is>
      </c>
      <c r="E1931" s="114" t="inlineStr">
        <is>
          <t>只</t>
        </is>
      </c>
      <c r="F1931" s="114" t="n">
        <v>6</v>
      </c>
      <c r="G1931" s="396">
        <f>IF(AND(B1931="",C1931=""),"",ROUND(M1931*L1931*N1931,2))</f>
        <v/>
      </c>
      <c r="H1931" s="349">
        <f>IF(AND(B1931="",C1931=""),"",ROUND(F1931*G1931,2))</f>
        <v/>
      </c>
      <c r="I1931" s="45" t="inlineStr"/>
      <c r="J1931" s="397">
        <f>IF(AND(B1931="",C1931=""),"",ROUND(M1931*N1931,2))</f>
        <v/>
      </c>
      <c r="K1931" s="398">
        <f>IF(AND(B1931="",C1931=""),"",ROUND(J1931*F1931,2))</f>
        <v/>
      </c>
      <c r="L1931" s="200" t="n">
        <v>1</v>
      </c>
      <c r="M1931" s="399" t="n">
        <v>1e-07</v>
      </c>
      <c r="N1931" s="154" t="n">
        <v>1</v>
      </c>
      <c r="O1931" s="155">
        <f>IF(AND(B1931="",C1931=""),"",IF(J1931&gt;=20000,0.05,IF(J1931&gt;=10000,0.1,IF(J1931&gt;=5000,0.2,IF(J1931&gt;=1000,0.3,IF(J1931&gt;=0,0.4,{0}))))))</f>
        <v/>
      </c>
      <c r="P1931" s="400">
        <f>IF(AND(B1931="",C1931=""),"",ROUND(H1931*O1931,2))</f>
        <v/>
      </c>
      <c r="Q1931" s="401" t="inlineStr">
        <is>
          <t>元件</t>
        </is>
      </c>
      <c r="R1931" s="168" t="inlineStr"/>
      <c r="S1931" s="168" t="inlineStr"/>
      <c r="T1931" s="168" t="inlineStr">
        <is>
          <t>0</t>
        </is>
      </c>
      <c r="U1931" s="168" t="inlineStr"/>
      <c r="V1931" s="402" t="n"/>
      <c r="W1931" s="402" t="n"/>
      <c r="X1931" s="170" t="inlineStr"/>
    </row>
    <row r="1932" customFormat="1" s="3">
      <c r="A1932" s="64">
        <f>ROW()-ROW(A$1928)</f>
        <v/>
      </c>
      <c r="B1932" s="22" t="inlineStr">
        <is>
          <t>指示灯</t>
        </is>
      </c>
      <c r="C1932" s="22" t="inlineStr">
        <is>
          <t>XB2BVM3LC</t>
        </is>
      </c>
      <c r="D1932" s="22" t="inlineStr">
        <is>
          <t>甲供/施耐德电气</t>
        </is>
      </c>
      <c r="E1932" s="23" t="inlineStr">
        <is>
          <t>只</t>
        </is>
      </c>
      <c r="F1932" s="23" t="n">
        <v>6</v>
      </c>
      <c r="G1932" s="349">
        <f>IF(AND(B1932="",C1932=""),"",ROUND(M1932*L1932*N1932,2))</f>
        <v/>
      </c>
      <c r="H1932" s="353">
        <f>IF(AND(B1932="",C1932=""),"",ROUND(F1932*G1932,2))</f>
        <v/>
      </c>
      <c r="I1932" s="180" t="inlineStr"/>
      <c r="J1932" s="392">
        <f>IF(AND(B1932="",C1932=""),"",ROUND(M1932*N1932,2))</f>
        <v/>
      </c>
      <c r="K1932" s="393">
        <f>IF(AND(B1932="",C1932=""),"",ROUND(J1932*F1932,2))</f>
        <v/>
      </c>
      <c r="L1932" s="141" t="n">
        <v>1</v>
      </c>
      <c r="M1932" s="394" t="n">
        <v>1e-07</v>
      </c>
      <c r="N1932" s="220" t="n">
        <v>1</v>
      </c>
      <c r="O1932" s="221">
        <f>IF(AND(B1932="",C1932=""),"",IF(G1932&gt;=20000,0.05,IF(G1932&gt;=10000,0.1,IF(G1932&gt;=5000,0.2,IF(G1932&gt;=1000,0.3,IF(G1932&gt;=0,0.4,{0}))))))</f>
        <v/>
      </c>
      <c r="P1932" s="419">
        <f>IF(AND(B1932="",C1932=""),"",ROUND(H1932*O1932,2))</f>
        <v/>
      </c>
      <c r="Q1932" s="420" t="inlineStr">
        <is>
          <t>元件</t>
        </is>
      </c>
      <c r="R1932" s="231" t="inlineStr"/>
      <c r="S1932" s="231" t="inlineStr"/>
      <c r="T1932" s="231" t="inlineStr">
        <is>
          <t>0</t>
        </is>
      </c>
      <c r="U1932" s="231" t="inlineStr">
        <is>
          <t>XB2BVM3LC</t>
        </is>
      </c>
      <c r="V1932" s="421" t="n"/>
      <c r="W1932" s="421" t="n"/>
      <c r="X1932" s="166" t="inlineStr">
        <is>
          <t>XA2EVM3LC</t>
        </is>
      </c>
    </row>
    <row r="1933" customFormat="1" s="3">
      <c r="A1933" s="64">
        <f>ROW()-ROW(A$1928)</f>
        <v/>
      </c>
      <c r="B1933" s="22" t="inlineStr">
        <is>
          <t>指示灯</t>
        </is>
      </c>
      <c r="C1933" s="22" t="inlineStr">
        <is>
          <t>XB2BVM4LC</t>
        </is>
      </c>
      <c r="D1933" s="22" t="inlineStr">
        <is>
          <t>甲供/施耐德电气</t>
        </is>
      </c>
      <c r="E1933" s="23" t="inlineStr">
        <is>
          <t>只</t>
        </is>
      </c>
      <c r="F1933" s="23" t="n">
        <v>6</v>
      </c>
      <c r="G1933" s="349">
        <f>IF(AND(B1933="",C1933=""),"",ROUND(M1933*L1933*N1933,2))</f>
        <v/>
      </c>
      <c r="H1933" s="353">
        <f>IF(AND(B1933="",C1933=""),"",ROUND(F1933*G1933,2))</f>
        <v/>
      </c>
      <c r="I1933" s="180" t="inlineStr"/>
      <c r="J1933" s="392">
        <f>IF(AND(B1933="",C1933=""),"",ROUND(M1933*N1933,2))</f>
        <v/>
      </c>
      <c r="K1933" s="393">
        <f>IF(AND(B1933="",C1933=""),"",ROUND(J1933*F1933,2))</f>
        <v/>
      </c>
      <c r="L1933" s="141" t="n">
        <v>1</v>
      </c>
      <c r="M1933" s="394" t="n">
        <v>1e-07</v>
      </c>
      <c r="N1933" s="220" t="n">
        <v>1</v>
      </c>
      <c r="O1933" s="221">
        <f>IF(AND(B1933="",C1933=""),"",IF(G1933&gt;=20000,0.05,IF(G1933&gt;=10000,0.1,IF(G1933&gt;=5000,0.2,IF(G1933&gt;=1000,0.3,IF(G1933&gt;=0,0.4,{0}))))))</f>
        <v/>
      </c>
      <c r="P1933" s="419">
        <f>IF(AND(B1933="",C1933=""),"",ROUND(H1933*O1933,2))</f>
        <v/>
      </c>
      <c r="Q1933" s="420" t="inlineStr">
        <is>
          <t>元件</t>
        </is>
      </c>
      <c r="R1933" s="231" t="inlineStr"/>
      <c r="S1933" s="231" t="inlineStr"/>
      <c r="T1933" s="231" t="inlineStr">
        <is>
          <t>0</t>
        </is>
      </c>
      <c r="U1933" s="231" t="inlineStr">
        <is>
          <t>XB2BVM4LC</t>
        </is>
      </c>
      <c r="V1933" s="421" t="n"/>
      <c r="W1933" s="421" t="n"/>
      <c r="X1933" s="166" t="inlineStr">
        <is>
          <t>XA2EVM4LC</t>
        </is>
      </c>
    </row>
    <row r="1934" s="308">
      <c r="A1934" s="64">
        <f>ROW()-ROW(A$1928)</f>
        <v/>
      </c>
      <c r="B1934" s="112" t="inlineStr">
        <is>
          <t>温湿度控制器</t>
        </is>
      </c>
      <c r="C1934" s="112" t="inlineStr">
        <is>
          <t>ATH48G-11</t>
        </is>
      </c>
      <c r="D1934" s="22" t="inlineStr">
        <is>
          <t>杭州安廷</t>
        </is>
      </c>
      <c r="E1934" s="23" t="inlineStr">
        <is>
          <t>套</t>
        </is>
      </c>
      <c r="F1934" s="23" t="n">
        <v>1</v>
      </c>
      <c r="G1934" s="349">
        <f>IF(AND(B1934="",C1934=""),"",ROUND(M1934*L1934*N1934,2))</f>
        <v/>
      </c>
      <c r="H1934" s="396">
        <f>IF(AND(B1934="",C1934=""),"",ROUND(F1934*G1934,2))</f>
        <v/>
      </c>
      <c r="I1934" s="150" t="inlineStr"/>
      <c r="J1934" s="397">
        <f>IF(AND(B1934="",C1934=""),"",ROUND(M1934*N1934,2))</f>
        <v/>
      </c>
      <c r="K1934" s="398">
        <f>IF(AND(B1934="",C1934=""),"",ROUND(J1934*F1934,2))</f>
        <v/>
      </c>
      <c r="L1934" s="141" t="n">
        <v>1</v>
      </c>
      <c r="M1934" s="399" t="n">
        <v>450</v>
      </c>
      <c r="N1934" s="154" t="n">
        <v>1</v>
      </c>
      <c r="O1934" s="155">
        <f>IF(AND(B1934="",C1934=""),"",IF(G1934&gt;=20000,0.05,IF(G1934&gt;=10000,0.1,IF(G1934&gt;=5000,0.2,IF(G1934&gt;=1000,0.3,IF(G1934&gt;=0,0.4,{0}))))))</f>
        <v/>
      </c>
      <c r="P1934" s="400">
        <f>IF(AND(B1934="",C1934=""),"",ROUND(H1934*O1934,2))</f>
        <v/>
      </c>
      <c r="Q1934" s="401" t="inlineStr">
        <is>
          <t>元件</t>
        </is>
      </c>
      <c r="R1934" s="168" t="inlineStr"/>
      <c r="S1934" s="168" t="inlineStr"/>
      <c r="T1934" s="168" t="inlineStr">
        <is>
          <t>0</t>
        </is>
      </c>
      <c r="U1934" s="168" t="inlineStr"/>
      <c r="V1934" s="402" t="n"/>
      <c r="W1934" s="402" t="n"/>
      <c r="X1934" s="170" t="inlineStr"/>
    </row>
    <row r="1935" s="308">
      <c r="A1935" s="64">
        <f>ROW()-ROW(A$1928)</f>
        <v/>
      </c>
      <c r="B1935" s="22" t="inlineStr">
        <is>
          <t>中间继电器</t>
        </is>
      </c>
      <c r="C1935" s="22" t="inlineStr">
        <is>
          <t>RXM4AB2P7+RXZE2S114M+RXZ400</t>
        </is>
      </c>
      <c r="D1935" s="22" t="inlineStr">
        <is>
          <t>甲供/施耐德电气</t>
        </is>
      </c>
      <c r="E1935" s="23" t="inlineStr">
        <is>
          <t>只</t>
        </is>
      </c>
      <c r="F1935" s="23" t="n">
        <v>12</v>
      </c>
      <c r="G1935" s="349">
        <f>IF(AND(B1935="",C1935=""),"",ROUND(M1935*L1935*N1935,2))</f>
        <v/>
      </c>
      <c r="H1935" s="349">
        <f>IF(AND(B1935="",C1935=""),"",ROUND(F1935*G1935,2))</f>
        <v/>
      </c>
      <c r="I1935" s="45" t="inlineStr"/>
      <c r="J1935" s="397">
        <f>IF(AND(B1935="",C1935=""),"",ROUND(M1935*N1935,2))</f>
        <v/>
      </c>
      <c r="K1935" s="398">
        <f>IF(AND(B1935="",C1935=""),"",ROUND(J1935*F1935,2))</f>
        <v/>
      </c>
      <c r="L1935" s="141" t="n">
        <v>1</v>
      </c>
      <c r="M1935" s="399" t="n">
        <v>1e-07</v>
      </c>
      <c r="N1935" s="154" t="n">
        <v>1</v>
      </c>
      <c r="O1935" s="155">
        <f>IF(AND(B1935="",C1935=""),"",IF(G1935&gt;=20000,0.05,IF(G1935&gt;=10000,0.1,IF(G1935&gt;=5000,0.2,IF(G1935&gt;=1000,0.3,IF(G1935&gt;=0,0.4,{0}))))))</f>
        <v/>
      </c>
      <c r="P1935" s="400">
        <f>IF(AND(B1935="",C1935=""),"",ROUND(H1935*O1935,2))</f>
        <v/>
      </c>
      <c r="Q1935" s="401" t="inlineStr">
        <is>
          <t>元件</t>
        </is>
      </c>
      <c r="R1935" s="168" t="inlineStr"/>
      <c r="S1935" s="168" t="inlineStr"/>
      <c r="T1935" s="168" t="inlineStr">
        <is>
          <t>0</t>
        </is>
      </c>
      <c r="U1935" s="168" t="inlineStr">
        <is>
          <t>RXM4AB2P7+RXZE2S114M+RXZ400</t>
        </is>
      </c>
      <c r="V1935" s="402" t="n"/>
      <c r="W1935" s="402" t="n"/>
      <c r="X1935" s="170" t="inlineStr">
        <is>
          <t>REL-IR-BL/L-230AC/4X21，含底座→RXM4AB2P7+RXZE2S114M+RXZ400→REL-IR-BL/L-230AC/4X21，含底座</t>
        </is>
      </c>
    </row>
    <row r="1936" customFormat="1" s="3">
      <c r="A1936" s="64">
        <f>ROW()-ROW(A$1928)</f>
        <v/>
      </c>
      <c r="B1936" s="22" t="inlineStr">
        <is>
          <t>带熔丝端子</t>
        </is>
      </c>
      <c r="C1936" s="22" t="inlineStr">
        <is>
          <t>UK 5-HESI</t>
        </is>
      </c>
      <c r="D1936" s="22" t="inlineStr">
        <is>
          <t>菲尼克斯</t>
        </is>
      </c>
      <c r="E1936" s="23" t="inlineStr">
        <is>
          <t>只</t>
        </is>
      </c>
      <c r="F1936" s="23" t="n">
        <v>24</v>
      </c>
      <c r="G1936" s="349">
        <f>IF(AND(B1936="",C1936=""),"",ROUND(M1936*L1936*N1936,2))</f>
        <v/>
      </c>
      <c r="H1936" s="349">
        <f>IF(AND(B1936="",C1936=""),"",ROUND(F1936*G1936,2))</f>
        <v/>
      </c>
      <c r="I1936" s="45" t="inlineStr"/>
      <c r="J1936" s="392">
        <f>IF(AND(B1936="",C1936=""),"",ROUND(M1936*N1936,2))</f>
        <v/>
      </c>
      <c r="K1936" s="393">
        <f>IF(AND(B1936="",C1936=""),"",ROUND(J1936*F1936,2))</f>
        <v/>
      </c>
      <c r="L1936" s="141" t="n">
        <v>1</v>
      </c>
      <c r="M1936" s="394" t="n">
        <v>7</v>
      </c>
      <c r="N1936" s="220" t="n">
        <v>1</v>
      </c>
      <c r="O1936" s="221">
        <f>IF(AND(B1936="",C1936=""),"",IF(G1936&gt;=20000,0.05,IF(G1936&gt;=10000,0.1,IF(G1936&gt;=5000,0.2,IF(G1936&gt;=1000,0.3,IF(G1936&gt;=0,0.4,{0}))))))</f>
        <v/>
      </c>
      <c r="P1936" s="419">
        <f>IF(AND(B1936="",C1936=""),"",ROUND(H1936*O1936,2))</f>
        <v/>
      </c>
      <c r="Q1936" s="420" t="inlineStr">
        <is>
          <t>元件</t>
        </is>
      </c>
      <c r="R1936" s="231" t="inlineStr"/>
      <c r="S1936" s="231" t="inlineStr"/>
      <c r="T1936" s="231" t="inlineStr">
        <is>
          <t>0</t>
        </is>
      </c>
      <c r="U1936" s="231" t="inlineStr">
        <is>
          <t>True</t>
        </is>
      </c>
      <c r="V1936" s="421" t="n"/>
      <c r="W1936" s="421" t="n"/>
      <c r="X1936" s="166" t="inlineStr"/>
    </row>
    <row r="1937" s="308">
      <c r="A1937" s="64">
        <f>ROW()-ROW(A$1928)</f>
        <v/>
      </c>
      <c r="B1937" s="22" t="inlineStr">
        <is>
          <t>水平母排</t>
        </is>
      </c>
      <c r="C1937" s="22" t="inlineStr">
        <is>
          <t>TMY 4*(2*100*5)+2*50*5</t>
        </is>
      </c>
      <c r="D1937" s="22" t="inlineStr">
        <is>
          <t>国产优质</t>
        </is>
      </c>
      <c r="E1937" s="23" t="inlineStr">
        <is>
          <t>米</t>
        </is>
      </c>
      <c r="F1937" s="23" t="n">
        <v>0.7</v>
      </c>
      <c r="G1937" s="349">
        <f>IF(AND(B1937="",C1937=""),"",ROUND(M1937*L1937*N1937,2))</f>
        <v/>
      </c>
      <c r="H1937" s="349">
        <f>IF(AND(B1937="",C1937=""),"",ROUND(F1937*G1937,2))</f>
        <v/>
      </c>
      <c r="I1937" s="45" t="inlineStr"/>
      <c r="J1937" s="397">
        <f>IF(AND(B1937="",C1937=""),"",ROUND(M1937*N1937,2))</f>
        <v/>
      </c>
      <c r="K1937" s="398">
        <f>IF(AND(B1937="",C1937=""),"",ROUND(J1937*F1937,2))</f>
        <v/>
      </c>
      <c r="L1937" s="200" t="n">
        <v>1</v>
      </c>
      <c r="M1937" s="399" t="n">
        <v>4329.60525</v>
      </c>
      <c r="N1937" s="154">
        <f>(6317.932*1*1+2684.8*1*1)/9002.732</f>
        <v/>
      </c>
      <c r="O1937" s="155">
        <f>IF(AND(B1937="",C1937=""),"",IF(J1937&gt;=20000,0.05,IF(J1937&gt;=10000,0.1,IF(J1937&gt;=5000,0.2,IF(J1937&gt;=1000,0.3,IF(J1937&gt;=0,0.4,{0}))))))</f>
        <v/>
      </c>
      <c r="P1937" s="400">
        <f>IF(AND(B1937="",C1937=""),"",ROUND(H1937*O1937,2))</f>
        <v/>
      </c>
      <c r="Q1937" s="401" t="inlineStr">
        <is>
          <t>母排</t>
        </is>
      </c>
      <c r="R1937" s="168" t="inlineStr"/>
      <c r="S1937" s="168" t="inlineStr"/>
      <c r="T1937" s="168" t="inlineStr">
        <is>
          <t>0</t>
        </is>
      </c>
      <c r="U1937" s="168" t="inlineStr"/>
      <c r="V1937" s="402" t="n"/>
      <c r="W1937" s="402" t="n"/>
      <c r="X1937" s="170" t="inlineStr"/>
    </row>
    <row r="1938" customFormat="1" s="5">
      <c r="A1938" s="64">
        <f>ROW()-ROW(A$1928)</f>
        <v/>
      </c>
      <c r="B1938" s="22" t="inlineStr">
        <is>
          <t>垂直排</t>
        </is>
      </c>
      <c r="C1938" s="22" t="inlineStr">
        <is>
          <t>TMY 3*2*80*5</t>
        </is>
      </c>
      <c r="D1938" s="22" t="inlineStr">
        <is>
          <t>国产优质</t>
        </is>
      </c>
      <c r="E1938" s="23" t="inlineStr">
        <is>
          <t>米</t>
        </is>
      </c>
      <c r="F1938" s="23" t="n">
        <v>2</v>
      </c>
      <c r="G1938" s="349">
        <f>IF(AND(B1938="",C1938=""),"",ROUND(M1938*L1938*N1938,2))</f>
        <v/>
      </c>
      <c r="H1938" s="349">
        <f>IF(AND(B1938="",C1938=""),"",ROUND(F1938*G1938,2))</f>
        <v/>
      </c>
      <c r="I1938" s="45" t="inlineStr"/>
      <c r="J1938" s="422">
        <f>IF(AND(B1938="",C1938=""),"",ROUND(M1938*N1938,2))</f>
        <v/>
      </c>
      <c r="K1938" s="423">
        <f>IF(AND(B1938="",C1938=""),"",ROUND(J1938*F1938,2))</f>
        <v/>
      </c>
      <c r="L1938" s="225" t="n">
        <v>1</v>
      </c>
      <c r="M1938" s="424" t="n">
        <v>2309.1228</v>
      </c>
      <c r="N1938" s="227" t="n">
        <v>1</v>
      </c>
      <c r="O1938" s="228">
        <f>IF(AND(B1938="",C1938=""),"",IF(G1938&gt;=20000,0.05,IF(G1938&gt;=10000,0.1,IF(G1938&gt;=5000,0.2,IF(G1938&gt;=1000,0.3,IF(G1938&gt;=0,0.4,{0}))))))</f>
        <v/>
      </c>
      <c r="P1938" s="425">
        <f>IF(AND(B1938="",C1938=""),"",ROUND(H1938*O1938,2))</f>
        <v/>
      </c>
      <c r="Q1938" s="426" t="inlineStr">
        <is>
          <t>母排</t>
        </is>
      </c>
      <c r="R1938" s="234" t="inlineStr"/>
      <c r="S1938" s="234" t="inlineStr"/>
      <c r="T1938" s="235" t="inlineStr">
        <is>
          <t>0</t>
        </is>
      </c>
      <c r="U1938" s="235" t="inlineStr"/>
      <c r="V1938" s="427" t="n"/>
      <c r="W1938" s="427" t="n"/>
      <c r="X1938" s="237" t="inlineStr">
        <is>
          <t>TMY 2*30*5→TMY 30*8</t>
        </is>
      </c>
    </row>
    <row r="1939" customFormat="1" s="5">
      <c r="A1939" s="64">
        <f>ROW()-ROW(A$1928)</f>
        <v/>
      </c>
      <c r="B1939" s="22" t="inlineStr">
        <is>
          <t>N排</t>
        </is>
      </c>
      <c r="C1939" s="22" t="inlineStr">
        <is>
          <t>TMY 80*10</t>
        </is>
      </c>
      <c r="D1939" s="22" t="inlineStr">
        <is>
          <t>国产优质</t>
        </is>
      </c>
      <c r="E1939" s="23" t="inlineStr">
        <is>
          <t>米</t>
        </is>
      </c>
      <c r="F1939" s="23" t="n">
        <v>3</v>
      </c>
      <c r="G1939" s="349">
        <f>IF(AND(B1939="",C1939=""),"",ROUND(M1939*L1939*N1939,2))</f>
        <v/>
      </c>
      <c r="H1939" s="349">
        <f>IF(AND(B1939="",C1939=""),"",ROUND(F1939*G1939,2))</f>
        <v/>
      </c>
      <c r="I1939" s="45" t="inlineStr"/>
      <c r="J1939" s="422">
        <f>IF(AND(B1939="",C1939=""),"",ROUND(M1939*N1939,2))</f>
        <v/>
      </c>
      <c r="K1939" s="423">
        <f>IF(AND(B1939="",C1939=""),"",ROUND(J1939*F1939,2))</f>
        <v/>
      </c>
      <c r="L1939" s="225" t="n">
        <v>1</v>
      </c>
      <c r="M1939" s="424" t="n">
        <v>769.7076</v>
      </c>
      <c r="N1939" s="227" t="n">
        <v>1</v>
      </c>
      <c r="O1939" s="228">
        <f>IF(AND(B1939="",C1939=""),"",IF(G1939&gt;=20000,0.05,IF(G1939&gt;=10000,0.1,IF(G1939&gt;=5000,0.2,IF(G1939&gt;=1000,0.3,IF(G1939&gt;=0,0.4,{0}))))))</f>
        <v/>
      </c>
      <c r="P1939" s="425">
        <f>IF(AND(B1939="",C1939=""),"",ROUND(H1939*O1939,2))</f>
        <v/>
      </c>
      <c r="Q1939" s="426" t="inlineStr">
        <is>
          <t>母排</t>
        </is>
      </c>
      <c r="R1939" s="234" t="inlineStr"/>
      <c r="S1939" s="234" t="inlineStr"/>
      <c r="T1939" s="235" t="inlineStr">
        <is>
          <t>0</t>
        </is>
      </c>
      <c r="U1939" s="235" t="inlineStr"/>
      <c r="V1939" s="427" t="n"/>
      <c r="W1939" s="427" t="n"/>
      <c r="X1939" s="237" t="inlineStr">
        <is>
          <t>TMY 2*30*5→TMY 30*8</t>
        </is>
      </c>
    </row>
    <row r="1940" customFormat="1" s="5">
      <c r="A1940" s="64">
        <f>ROW()-ROW(A$1928)</f>
        <v/>
      </c>
      <c r="B1940" s="22" t="inlineStr">
        <is>
          <t>PE排</t>
        </is>
      </c>
      <c r="C1940" s="22" t="inlineStr">
        <is>
          <t>TMY 2*50*5</t>
        </is>
      </c>
      <c r="D1940" s="22" t="inlineStr">
        <is>
          <t>国产优质</t>
        </is>
      </c>
      <c r="E1940" s="23" t="inlineStr">
        <is>
          <t>米</t>
        </is>
      </c>
      <c r="F1940" s="23" t="n">
        <v>2</v>
      </c>
      <c r="G1940" s="349">
        <f>IF(AND(B1940="",C1940=""),"",ROUND(M1940*L1940*N1940,2))</f>
        <v/>
      </c>
      <c r="H1940" s="349">
        <f>IF(AND(B1940="",C1940=""),"",ROUND(F1940*G1940,2))</f>
        <v/>
      </c>
      <c r="I1940" s="45" t="inlineStr"/>
      <c r="J1940" s="422">
        <f>IF(AND(B1940="",C1940=""),"",ROUND(M1940*N1940,2))</f>
        <v/>
      </c>
      <c r="K1940" s="423">
        <f>IF(AND(B1940="",C1940=""),"",ROUND(J1940*F1940,2))</f>
        <v/>
      </c>
      <c r="L1940" s="225" t="n">
        <v>1</v>
      </c>
      <c r="M1940" s="424" t="n">
        <v>481.06725</v>
      </c>
      <c r="N1940" s="227" t="n">
        <v>1</v>
      </c>
      <c r="O1940" s="228">
        <f>IF(AND(B1940="",C1940=""),"",IF(G1940&gt;=20000,0.05,IF(G1940&gt;=10000,0.1,IF(G1940&gt;=5000,0.2,IF(G1940&gt;=1000,0.3,IF(G1940&gt;=0,0.4,{0}))))))</f>
        <v/>
      </c>
      <c r="P1940" s="425">
        <f>IF(AND(B1940="",C1940=""),"",ROUND(H1940*O1940,2))</f>
        <v/>
      </c>
      <c r="Q1940" s="426" t="inlineStr">
        <is>
          <t>母排</t>
        </is>
      </c>
      <c r="R1940" s="234" t="inlineStr"/>
      <c r="S1940" s="234" t="inlineStr"/>
      <c r="T1940" s="235" t="inlineStr">
        <is>
          <t>0</t>
        </is>
      </c>
      <c r="U1940" s="235" t="inlineStr"/>
      <c r="V1940" s="427" t="n"/>
      <c r="W1940" s="427" t="n"/>
      <c r="X1940" s="237" t="inlineStr">
        <is>
          <t>TMY 2*30*5→TMY 30*8</t>
        </is>
      </c>
    </row>
    <row r="1941" customFormat="1" s="5">
      <c r="A1941" s="64">
        <f>ROW()-ROW(A$1928)</f>
        <v/>
      </c>
      <c r="B1941" s="22" t="inlineStr">
        <is>
          <t>400A铜排</t>
        </is>
      </c>
      <c r="C1941" s="22" t="inlineStr">
        <is>
          <t>TMY 30*5</t>
        </is>
      </c>
      <c r="D1941" s="22" t="inlineStr">
        <is>
          <t>国产优质</t>
        </is>
      </c>
      <c r="E1941" s="23" t="inlineStr">
        <is>
          <t>米</t>
        </is>
      </c>
      <c r="F1941" s="23" t="n">
        <v>19.2</v>
      </c>
      <c r="G1941" s="349">
        <f>IF(AND(B1941="",C1941=""),"",ROUND(M1941*L1941*N1941,2))</f>
        <v/>
      </c>
      <c r="H1941" s="349">
        <f>IF(AND(B1941="",C1941=""),"",ROUND(F1941*G1941,2))</f>
        <v/>
      </c>
      <c r="I1941" s="45" t="inlineStr"/>
      <c r="J1941" s="422">
        <f>IF(AND(B1941="",C1941=""),"",ROUND(M1941*N1941,2))</f>
        <v/>
      </c>
      <c r="K1941" s="423">
        <f>IF(AND(B1941="",C1941=""),"",ROUND(J1941*F1941,2))</f>
        <v/>
      </c>
      <c r="L1941" s="225" t="n">
        <v>1</v>
      </c>
      <c r="M1941" s="424" t="n">
        <v>144.320175</v>
      </c>
      <c r="N1941" s="227" t="n">
        <v>1</v>
      </c>
      <c r="O1941" s="228">
        <f>IF(AND(B1941="",C1941=""),"",IF(G1941&gt;=20000,0.05,IF(G1941&gt;=10000,0.1,IF(G1941&gt;=5000,0.2,IF(G1941&gt;=1000,0.3,IF(G1941&gt;=0,0.4,{0}))))))</f>
        <v/>
      </c>
      <c r="P1941" s="425">
        <f>IF(AND(B1941="",C1941=""),"",ROUND(H1941*O1941,2))</f>
        <v/>
      </c>
      <c r="Q1941" s="426" t="inlineStr">
        <is>
          <t>母排</t>
        </is>
      </c>
      <c r="R1941" s="234" t="inlineStr"/>
      <c r="S1941" s="234" t="inlineStr"/>
      <c r="T1941" s="235" t="inlineStr">
        <is>
          <t>0</t>
        </is>
      </c>
      <c r="U1941" s="235" t="inlineStr"/>
      <c r="V1941" s="427" t="n"/>
      <c r="W1941" s="427" t="n"/>
      <c r="X1941" s="237" t="inlineStr">
        <is>
          <t>TMY 2*30*5→TMY 30*8</t>
        </is>
      </c>
    </row>
    <row r="1942" s="308">
      <c r="A1942" s="64">
        <f>ROW()-ROW(A$1928)</f>
        <v/>
      </c>
      <c r="B1942" s="112" t="inlineStr">
        <is>
          <t>辅料</t>
        </is>
      </c>
      <c r="C1942" s="112" t="inlineStr"/>
      <c r="D1942" s="112" t="inlineStr"/>
      <c r="E1942" s="114" t="inlineStr">
        <is>
          <t>套</t>
        </is>
      </c>
      <c r="F1942" s="114" t="n">
        <v>1</v>
      </c>
      <c r="G1942" s="396">
        <f>IF(AND(B1942="",C1942=""),"",ROUND(M1942*L1942*N1942,2))</f>
        <v/>
      </c>
      <c r="H1942" s="396">
        <f>IF(AND(B1942="",C1942=""),"",ROUND(F1942*G1942,2))</f>
        <v/>
      </c>
      <c r="I1942" s="219" t="inlineStr"/>
      <c r="J1942" s="397">
        <f>IF(AND(B1942="",C1942=""),"",ROUND(M1942*N1942,2))</f>
        <v/>
      </c>
      <c r="K1942" s="398">
        <f>IF(AND(B1942="",C1942=""),"",ROUND(J1942*F1942,2))</f>
        <v/>
      </c>
      <c r="L1942" s="200" t="n">
        <v>1</v>
      </c>
      <c r="M1942" s="399" t="n">
        <v>681.16</v>
      </c>
      <c r="N1942" s="154" t="n">
        <v>1</v>
      </c>
      <c r="O1942" s="155">
        <f>IF(AND(B1942="",C1942=""),"",IF(G1942&gt;=20000,0.05,IF(G1942&gt;=10000,0.1,IF(G1942&gt;=5000,0.2,IF(G1942&gt;=1000,0.3,IF(G1942&gt;=0,0.4,{0}))))))</f>
        <v/>
      </c>
      <c r="P1942" s="400">
        <f>IF(AND(B1942="",C1942=""),"",ROUND(H1942*O1942,2))</f>
        <v/>
      </c>
      <c r="Q1942" s="401" t="inlineStr">
        <is>
          <t>辅料</t>
        </is>
      </c>
      <c r="R1942" s="168" t="inlineStr"/>
      <c r="S1942" s="168" t="inlineStr"/>
      <c r="T1942" s="168" t="inlineStr">
        <is>
          <t>0</t>
        </is>
      </c>
      <c r="U1942" s="168" t="inlineStr"/>
      <c r="V1942" s="402" t="n"/>
      <c r="W1942" s="402" t="n"/>
      <c r="X1942" s="170" t="inlineStr"/>
    </row>
    <row r="1943" s="308">
      <c r="A1943" s="64">
        <f>ROW()-ROW(A$1928)</f>
        <v/>
      </c>
      <c r="B1943" s="112" t="inlineStr">
        <is>
          <t>柜体Blokset</t>
        </is>
      </c>
      <c r="C1943" s="22" t="inlineStr">
        <is>
          <t>600W*1200D*2200H</t>
        </is>
      </c>
      <c r="D1943" s="112" t="inlineStr">
        <is>
          <t>清科</t>
        </is>
      </c>
      <c r="E1943" s="114" t="inlineStr">
        <is>
          <t>台</t>
        </is>
      </c>
      <c r="F1943" s="114" t="n">
        <v>1</v>
      </c>
      <c r="G1943" s="396">
        <f>IF(AND(B1943="",C1943=""),"",ROUND(M1943*L1943*N1943,2))</f>
        <v/>
      </c>
      <c r="H1943" s="396">
        <f>IF(AND(B1943="",C1943=""),"",ROUND(F1943*G1943,2))</f>
        <v/>
      </c>
      <c r="I1943" s="219" t="inlineStr"/>
      <c r="J1943" s="397">
        <f>IF(AND(B1943="",C1943=""),"",ROUND(M1943*N1943,2))</f>
        <v/>
      </c>
      <c r="K1943" s="398">
        <f>IF(AND(B1943="",C1943=""),"",ROUND(J1943*F1943,2))</f>
        <v/>
      </c>
      <c r="L1943" s="200" t="n">
        <v>1</v>
      </c>
      <c r="M1943" s="399" t="n">
        <v>5521</v>
      </c>
      <c r="N1943" s="154" t="n">
        <v>1</v>
      </c>
      <c r="O1943" s="155">
        <f>IF(AND(B1943="",C1943=""),"",IF(G1943&gt;=20000,0.05,IF(G1943&gt;=10000,0.1,IF(G1943&gt;=5000,0.2,IF(G1943&gt;=1000,0.3,IF(G1943&gt;=0,0.4,{0}))))))</f>
        <v/>
      </c>
      <c r="P1943" s="400">
        <f>IF(AND(B1943="",C1943=""),"",ROUND(H1943*O1943,2))</f>
        <v/>
      </c>
      <c r="Q1943" s="401" t="inlineStr">
        <is>
          <t>箱体</t>
        </is>
      </c>
      <c r="R1943" s="168" t="inlineStr"/>
      <c r="S1943" s="168" t="inlineStr"/>
      <c r="T1943" s="168" t="inlineStr">
        <is>
          <t>0</t>
        </is>
      </c>
      <c r="U1943" s="168" t="inlineStr"/>
      <c r="V1943" s="402" t="n"/>
      <c r="W1943" s="402" t="n"/>
      <c r="X1943" s="170" t="inlineStr">
        <is>
          <t>BlokSeT</t>
        </is>
      </c>
    </row>
    <row r="1944" s="308">
      <c r="A1944" s="64">
        <f>ROW()-ROW(A$1928)</f>
        <v/>
      </c>
      <c r="B1944" s="22" t="inlineStr"/>
      <c r="C1944" s="22" t="inlineStr"/>
      <c r="D1944" s="22" t="inlineStr"/>
      <c r="E1944" s="23" t="n"/>
      <c r="F1944" s="23">
        <f>IF(AND(B1944="",C1944=""),"",1)</f>
        <v/>
      </c>
      <c r="G1944" s="349">
        <f>IF(AND(B1944="",C1944=""),"",ROUND(M1944*L1944*N1944,2))</f>
        <v/>
      </c>
      <c r="H1944" s="349">
        <f>IF(AND(B1944="",C1944=""),"",ROUND(F1944*G1944,2))</f>
        <v/>
      </c>
      <c r="I1944" s="45" t="inlineStr"/>
      <c r="J1944" s="397">
        <f>IF(AND(B1944="",C1944=""),"",ROUND(M1944*N1944,2))</f>
        <v/>
      </c>
      <c r="K1944" s="398">
        <f>IF(AND(B1944="",C1944=""),"",ROUND(J1944*F1944,2))</f>
        <v/>
      </c>
      <c r="L1944" s="200">
        <f>IF(AND(B1944="",C1944=""),"",1)</f>
        <v/>
      </c>
      <c r="M1944" s="399" t="n"/>
      <c r="N1944" s="154">
        <f>IF(AND(B1944="",C1944=""),"",1)</f>
        <v/>
      </c>
      <c r="O1944" s="155">
        <f>IF(AND(B1944="",C1944=""),"",IF(J1944&gt;=20000,0.05,IF(J1944&gt;=10000,0.1,IF(J1944&gt;=5000,0.2,IF(J1944&gt;=1000,0.3,IF(J1944&gt;=0,0.4,{0}))))))</f>
        <v/>
      </c>
      <c r="P1944" s="400">
        <f>IF(AND(B1944="",C1944=""),"",ROUND(H1944*O1944,2))</f>
        <v/>
      </c>
      <c r="Q1944" s="401">
        <f>IF(AND(B1944="",C1944=""),"","元件")</f>
        <v/>
      </c>
      <c r="R1944" s="168" t="inlineStr"/>
      <c r="S1944" s="168" t="inlineStr"/>
      <c r="T1944" s="168" t="inlineStr"/>
      <c r="U1944" s="168" t="inlineStr"/>
      <c r="V1944" s="402" t="n"/>
      <c r="W1944" s="402" t="n"/>
      <c r="X1944" s="170" t="inlineStr"/>
    </row>
    <row r="1945" s="308">
      <c r="A1945" s="64">
        <f>ROW()-ROW(A$1928)</f>
        <v/>
      </c>
      <c r="B1945" s="171" t="inlineStr">
        <is>
          <t>小计</t>
        </is>
      </c>
      <c r="C1945" s="172" t="n"/>
      <c r="D1945" s="204" t="n"/>
      <c r="E1945" s="114" t="n"/>
      <c r="F1945" s="114" t="n"/>
      <c r="G1945" s="396" t="n"/>
      <c r="H1945" s="396">
        <f>ROUND(SUM(H1928:INDEX(H:H,ROW()-1)),2)</f>
        <v/>
      </c>
      <c r="I1945" s="45" t="inlineStr"/>
      <c r="J1945" s="397" t="n"/>
      <c r="K1945" s="398">
        <f>ROUND(SUM(K1928:INDEX(K:K,ROW()-1)),2)</f>
        <v/>
      </c>
      <c r="L1945" s="200" t="n"/>
      <c r="M1945" s="399" t="n"/>
      <c r="N1945" s="154" t="n"/>
      <c r="O1945" s="155" t="n"/>
      <c r="P1945" s="400" t="n"/>
      <c r="Q1945" s="401" t="n"/>
      <c r="R1945" s="168" t="inlineStr"/>
      <c r="S1945" s="168" t="inlineStr"/>
      <c r="T1945" s="168" t="inlineStr"/>
      <c r="U1945" s="168" t="inlineStr"/>
      <c r="V1945" s="402">
        <f>ROUND(SUMPRODUCT(F1928:INDEX(F:F,ROW()-1),V1928:INDEX(V:V,ROW()-1)),2)</f>
        <v/>
      </c>
      <c r="W1945" s="402">
        <f>ROUND(SUMPRODUCT(F1928:INDEX(F:F,ROW()-1),W1928:INDEX(W:W,ROW()-1)),2)</f>
        <v/>
      </c>
      <c r="X1945" s="170" t="inlineStr"/>
    </row>
    <row r="1946" s="308">
      <c r="A1946" s="64">
        <f>ROW()-ROW(A$1928)</f>
        <v/>
      </c>
      <c r="B1946" s="171" t="inlineStr">
        <is>
          <t>综合费(人工、管理、税金、利润等)</t>
        </is>
      </c>
      <c r="C1946" s="172" t="n"/>
      <c r="D1946" s="204" t="n"/>
      <c r="E1946" s="114" t="n"/>
      <c r="F1946" s="114" t="n"/>
      <c r="G1946" s="396" t="n"/>
      <c r="H1946" s="396">
        <f>2500</f>
        <v/>
      </c>
      <c r="I1946" s="45" t="inlineStr"/>
      <c r="J1946" s="397" t="n"/>
      <c r="K1946" s="398" t="n"/>
      <c r="L1946" s="200" t="n"/>
      <c r="M1946" s="399" t="n"/>
      <c r="N1946" s="154" t="n"/>
      <c r="O1946" s="155" t="n"/>
      <c r="P1946" s="400" t="n"/>
      <c r="Q1946" s="401" t="inlineStr">
        <is>
          <t>费用</t>
        </is>
      </c>
      <c r="R1946" s="168" t="inlineStr"/>
      <c r="S1946" s="168" t="inlineStr"/>
      <c r="T1946" s="168" t="inlineStr"/>
      <c r="U1946" s="168" t="inlineStr"/>
      <c r="V1946" s="402" t="n"/>
      <c r="W1946" s="402" t="n"/>
      <c r="X1946" s="170" t="inlineStr"/>
    </row>
    <row r="1947" s="308">
      <c r="A1947" s="64">
        <f>ROW()-ROW(A$1928)</f>
        <v/>
      </c>
      <c r="B1947" s="204" t="inlineStr">
        <is>
          <t>单台合计</t>
        </is>
      </c>
      <c r="C1947" s="172" t="n"/>
      <c r="D1947" s="204" t="n"/>
      <c r="E1947" s="114" t="n"/>
      <c r="F1947" s="114" t="n"/>
      <c r="G1947" s="396" t="n"/>
      <c r="H1947" s="396">
        <f>ROUND(SUM(H1945:H1946),2)</f>
        <v/>
      </c>
      <c r="I1947" s="181" t="n"/>
      <c r="J1947" s="397" t="n"/>
      <c r="K1947" s="398">
        <f>ROUND(SUM(K1945:K1946),2)</f>
        <v/>
      </c>
      <c r="L1947" s="209" t="n"/>
      <c r="M1947" s="399" t="n"/>
      <c r="N1947" s="210" t="n"/>
      <c r="O1947" s="211" t="n"/>
      <c r="P1947" s="400" t="n"/>
      <c r="Q1947" s="401" t="n"/>
      <c r="R1947" s="168" t="inlineStr"/>
      <c r="S1947" s="168" t="inlineStr"/>
      <c r="T1947" s="168" t="inlineStr"/>
      <c r="U1947" s="168" t="inlineStr"/>
      <c r="V1947" s="402" t="n"/>
      <c r="W1947" s="402" t="n"/>
      <c r="X1947" s="170" t="inlineStr"/>
    </row>
    <row r="1948" s="308">
      <c r="A1948" s="173" t="inlineStr">
        <is>
          <t>总计</t>
        </is>
      </c>
      <c r="B1948" s="205" t="n"/>
      <c r="C1948" s="175" t="n"/>
      <c r="D1948" s="206" t="n"/>
      <c r="E1948" s="206" t="inlineStr">
        <is>
          <t>台</t>
        </is>
      </c>
      <c r="F1948" s="206" t="n">
        <v>2</v>
      </c>
      <c r="G1948" s="414">
        <f>ROUND(H1947,2)</f>
        <v/>
      </c>
      <c r="H1948" s="414">
        <f>ROUND(F1948*G1948,2)</f>
        <v/>
      </c>
      <c r="I1948" s="185" t="n"/>
      <c r="J1948" s="415" t="n"/>
      <c r="K1948" s="416">
        <f>ROUND(K1947*F1948,2)</f>
        <v/>
      </c>
      <c r="L1948" s="214" t="n"/>
      <c r="M1948" s="417" t="n"/>
      <c r="N1948" s="216" t="n"/>
      <c r="O1948" s="217" t="n"/>
      <c r="P1948" s="418" t="n"/>
      <c r="Q1948" s="401" t="n"/>
      <c r="R1948" s="168" t="inlineStr"/>
      <c r="S1948" s="168" t="inlineStr"/>
      <c r="T1948" s="168" t="inlineStr"/>
      <c r="U1948" s="168" t="inlineStr"/>
      <c r="V1948" s="402" t="n"/>
      <c r="W1948" s="402" t="n"/>
      <c r="X1948" s="170" t="inlineStr"/>
    </row>
    <row r="1949" customFormat="1" s="4">
      <c r="A1949" s="6" t="n"/>
      <c r="B1949" s="195" t="inlineStr"/>
      <c r="C1949" s="195" t="inlineStr"/>
      <c r="D1949" s="195" t="inlineStr"/>
      <c r="Q1949" s="159" t="n"/>
      <c r="R1949" s="159" t="n"/>
      <c r="S1949" s="159" t="n"/>
      <c r="T1949" s="159" t="n"/>
      <c r="U1949" s="159" t="n"/>
      <c r="X1949" s="195" t="inlineStr"/>
    </row>
    <row r="1950" customFormat="1" s="4">
      <c r="A1950" s="6" t="n"/>
      <c r="B1950" s="195" t="inlineStr"/>
      <c r="C1950" s="195" t="inlineStr"/>
      <c r="D1950" s="195" t="inlineStr"/>
      <c r="Q1950" s="159" t="n"/>
      <c r="R1950" s="159" t="n"/>
      <c r="S1950" s="159" t="n"/>
      <c r="T1950" s="159" t="n"/>
      <c r="U1950" s="159" t="n"/>
      <c r="X1950" s="195" t="inlineStr"/>
    </row>
    <row r="1951" s="308">
      <c r="A1951" s="208">
        <f>CONCATENATE("报价人：",项目信息!$B$8)</f>
        <v/>
      </c>
      <c r="B1951" s="208" t="n"/>
      <c r="C1951" s="4" t="n"/>
      <c r="D1951" s="4" t="n"/>
      <c r="E1951" s="4" t="n"/>
      <c r="F1951" s="4" t="n"/>
      <c r="G1951" s="4" t="n"/>
      <c r="H1951" s="178">
        <f>项目信息!$B$9</f>
        <v/>
      </c>
      <c r="Q1951" s="159" t="n"/>
      <c r="R1951" s="159" t="n"/>
      <c r="S1951" s="159" t="n"/>
      <c r="T1951" s="159" t="n"/>
      <c r="U1951" s="159" t="n"/>
      <c r="X1951" s="203" t="inlineStr"/>
    </row>
    <row r="1952" s="308">
      <c r="A1952" s="8">
        <f>T(项目信息!$B$22)</f>
        <v/>
      </c>
      <c r="Q1952" s="159" t="n"/>
      <c r="R1952" s="159" t="n"/>
      <c r="S1952" s="159" t="n"/>
      <c r="T1952" s="159" t="n"/>
      <c r="U1952" s="159" t="n"/>
    </row>
    <row r="1953" s="308">
      <c r="A1953" s="9">
        <f>T(项目信息!$B$23)</f>
        <v/>
      </c>
      <c r="Q1953" s="159" t="n"/>
      <c r="R1953" s="159" t="n"/>
      <c r="S1953" s="159" t="n"/>
      <c r="T1953" s="159" t="n"/>
      <c r="U1953" s="159" t="n"/>
    </row>
    <row r="1954" s="308">
      <c r="A1954" s="97" t="inlineStr">
        <is>
          <t>成套产品报价明细表</t>
        </is>
      </c>
      <c r="B1954" s="378" t="n"/>
      <c r="C1954" s="378" t="n"/>
      <c r="D1954" s="378" t="n"/>
      <c r="E1954" s="378" t="n"/>
      <c r="F1954" s="378" t="n"/>
      <c r="G1954" s="378" t="n"/>
      <c r="H1954" s="378" t="n"/>
      <c r="I1954" s="378" t="n"/>
      <c r="Q1954" s="159" t="n"/>
      <c r="R1954" s="159" t="n"/>
      <c r="S1954" s="159" t="n"/>
      <c r="T1954" s="159" t="n"/>
      <c r="U1954" s="159" t="n"/>
    </row>
    <row r="1955" customFormat="1" s="4">
      <c r="A1955" s="98" t="inlineStr">
        <is>
          <t>柜号:</t>
        </is>
      </c>
      <c r="B1955" s="99" t="inlineStr">
        <is>
          <t>T7-AU11、T8-BU11</t>
        </is>
      </c>
      <c r="C1955" s="100" t="inlineStr">
        <is>
          <t>型号:</t>
        </is>
      </c>
      <c r="D1955" s="99" t="inlineStr">
        <is>
          <t>BlokSeT</t>
        </is>
      </c>
      <c r="E1955" s="379" t="n"/>
      <c r="F1955" s="101" t="inlineStr">
        <is>
          <t>名称:</t>
        </is>
      </c>
      <c r="G1955" s="99" t="inlineStr">
        <is>
          <t>进线柜</t>
        </is>
      </c>
      <c r="H1955" s="379" t="n"/>
      <c r="I1955" s="408" t="inlineStr"/>
      <c r="J1955" s="194" t="inlineStr">
        <is>
          <t>箱柜尺寸:</t>
        </is>
      </c>
      <c r="K1955" s="195" t="inlineStr">
        <is>
          <t>400W*1200D*2200H</t>
        </is>
      </c>
      <c r="L1955" s="194" t="inlineStr">
        <is>
          <t>类别:</t>
        </is>
      </c>
      <c r="M1955" s="195" t="inlineStr">
        <is>
          <t>低压固定柜</t>
        </is>
      </c>
      <c r="N1955" s="409" t="inlineStr"/>
      <c r="Q1955" s="159" t="n"/>
      <c r="R1955" s="159" t="n"/>
      <c r="S1955" s="159" t="n"/>
      <c r="T1955" s="159" t="n"/>
      <c r="U1955" s="159" t="n"/>
    </row>
    <row r="1956" ht="20.1" customHeight="1" s="308">
      <c r="A1956" s="102" t="inlineStr">
        <is>
          <t>序号</t>
        </is>
      </c>
      <c r="B1956" s="103" t="inlineStr">
        <is>
          <t>元件名称</t>
        </is>
      </c>
      <c r="C1956" s="103" t="inlineStr">
        <is>
          <t>型号规格</t>
        </is>
      </c>
      <c r="D1956" s="104" t="inlineStr">
        <is>
          <t>生产厂家</t>
        </is>
      </c>
      <c r="E1956" s="105" t="inlineStr">
        <is>
          <t>单位</t>
        </is>
      </c>
      <c r="F1956" s="105" t="inlineStr">
        <is>
          <t>数量</t>
        </is>
      </c>
      <c r="G1956" s="382" t="inlineStr">
        <is>
          <t>单   价</t>
        </is>
      </c>
      <c r="H1956" s="383" t="inlineStr">
        <is>
          <t>总   价</t>
        </is>
      </c>
      <c r="I1956" s="134" t="inlineStr">
        <is>
          <t>备注</t>
        </is>
      </c>
      <c r="J1956" s="384" t="inlineStr">
        <is>
          <t>成本单价</t>
        </is>
      </c>
      <c r="K1956" s="384" t="inlineStr">
        <is>
          <t>成本总价</t>
        </is>
      </c>
      <c r="L1956" s="136" t="inlineStr">
        <is>
          <t>报出
系数</t>
        </is>
      </c>
      <c r="M1956" s="384" t="inlineStr">
        <is>
          <t>表价</t>
        </is>
      </c>
      <c r="N1956" s="136" t="inlineStr">
        <is>
          <t>折扣
系数</t>
        </is>
      </c>
      <c r="O1956" s="137" t="inlineStr">
        <is>
          <t>取费
系数</t>
        </is>
      </c>
      <c r="P1956" s="384" t="inlineStr">
        <is>
          <t>成套费</t>
        </is>
      </c>
      <c r="Q1956" s="161" t="inlineStr">
        <is>
          <t>类别</t>
        </is>
      </c>
      <c r="R1956" s="161" t="inlineStr">
        <is>
          <t>物料编码</t>
        </is>
      </c>
      <c r="S1956" s="161" t="inlineStr">
        <is>
          <t>产地</t>
        </is>
      </c>
      <c r="T1956" s="161" t="inlineStr">
        <is>
          <t>加工费</t>
        </is>
      </c>
      <c r="U1956" s="161" t="inlineStr">
        <is>
          <t>订货号</t>
        </is>
      </c>
      <c r="V1956" s="161" t="inlineStr">
        <is>
          <t>人工</t>
        </is>
      </c>
      <c r="W1956" s="161" t="inlineStr">
        <is>
          <t>辅料</t>
        </is>
      </c>
      <c r="X1956" s="203" t="inlineStr"/>
    </row>
    <row r="1957" s="308">
      <c r="A1957" s="64">
        <f>ROW()-ROW(A$1956)</f>
        <v/>
      </c>
      <c r="B1957" s="22" t="inlineStr">
        <is>
          <t>框架断路器</t>
        </is>
      </c>
      <c r="C1957" s="22" t="inlineStr">
        <is>
          <t>MT12 N1a SG 3P MIC5.0 E</t>
        </is>
      </c>
      <c r="D1957" s="22" t="inlineStr">
        <is>
          <t>甲供/施耐德电气</t>
        </is>
      </c>
      <c r="E1957" s="23" t="inlineStr">
        <is>
          <t>只</t>
        </is>
      </c>
      <c r="F1957" s="23" t="n">
        <v>2</v>
      </c>
      <c r="G1957" s="349">
        <f>IF(AND(B1957="",C1957=""),"",ROUND(M1957*L1957*N1957,2))</f>
        <v/>
      </c>
      <c r="H1957" s="349">
        <f>IF(AND(B1957="",C1957=""),"",ROUND(F1957*G1957,2))</f>
        <v/>
      </c>
      <c r="I1957" s="45" t="inlineStr"/>
      <c r="J1957" s="397">
        <f>IF(AND(B1957="",C1957=""),"",ROUND(M1957*N1957,2))</f>
        <v/>
      </c>
      <c r="K1957" s="398">
        <f>IF(AND(B1957="",C1957=""),"",ROUND(J1957*F1957,2))</f>
        <v/>
      </c>
      <c r="L1957" s="200" t="n">
        <v>1</v>
      </c>
      <c r="M1957" s="399" t="n">
        <v>1e-07</v>
      </c>
      <c r="N1957" s="154" t="n">
        <v>1</v>
      </c>
      <c r="O1957" s="155">
        <f>IF(AND(B1957="",C1957=""),"",IF(G1957&gt;=20000,0.05,IF(G1957&gt;=10000,0.1,IF(G1957&gt;=5000,0.2,IF(G1957&gt;=1000,0.3,IF(G1957&gt;=0,0.4,{0}))))))</f>
        <v/>
      </c>
      <c r="P1957" s="400">
        <f>IF(AND(B1957="",C1957=""),"",ROUND(H1957*O1957,2))</f>
        <v/>
      </c>
      <c r="Q1957" s="401" t="inlineStr">
        <is>
          <t>元件</t>
        </is>
      </c>
      <c r="R1957" s="168" t="inlineStr"/>
      <c r="S1957" s="168" t="inlineStr"/>
      <c r="T1957" s="168" t="inlineStr">
        <is>
          <t>0</t>
        </is>
      </c>
      <c r="U1957" s="168" t="inlineStr">
        <is>
          <t>C16F32D160</t>
        </is>
      </c>
      <c r="V1957" s="402" t="n"/>
      <c r="W1957" s="402" t="n"/>
      <c r="X1957" s="170" t="inlineStr">
        <is>
          <t>NSX630N Mic2.3 630A 3P3D F→NSX630F MIC2.3 630 3P F→NSX630F MIC 2.3 630 3P F</t>
        </is>
      </c>
    </row>
    <row r="1958" s="308">
      <c r="A1958" s="64">
        <f>ROW()-ROW(A$1956)</f>
        <v/>
      </c>
      <c r="B1958" s="22" t="inlineStr">
        <is>
          <t>电流互感器</t>
        </is>
      </c>
      <c r="C1958" s="22" t="inlineStr">
        <is>
          <t>SD-0.66-80II-V 1250/5A</t>
        </is>
      </c>
      <c r="D1958" s="22" t="inlineStr">
        <is>
          <t>桑迪</t>
        </is>
      </c>
      <c r="E1958" s="23" t="inlineStr">
        <is>
          <t>只</t>
        </is>
      </c>
      <c r="F1958" s="23" t="n">
        <v>6</v>
      </c>
      <c r="G1958" s="349">
        <f>IF(AND(B1958="",C1958=""),"",ROUND(M1958*L1958*N1958,2))</f>
        <v/>
      </c>
      <c r="H1958" s="396">
        <f>IF(AND(B1958="",C1958=""),"",ROUND(F1958*G1958,2))</f>
        <v/>
      </c>
      <c r="I1958" s="219" t="inlineStr"/>
      <c r="J1958" s="397">
        <f>IF(AND(B1958="",C1958=""),"",ROUND(M1958*N1958,2))</f>
        <v/>
      </c>
      <c r="K1958" s="398">
        <f>IF(AND(B1958="",C1958=""),"",ROUND(J1958*F1958,2))</f>
        <v/>
      </c>
      <c r="L1958" s="200" t="n">
        <v>1</v>
      </c>
      <c r="M1958" s="399" t="n">
        <v>115.7</v>
      </c>
      <c r="N1958" s="154" t="n">
        <v>1</v>
      </c>
      <c r="O1958" s="155">
        <f>IF(AND(B1958="",C1958=""),"",IF(G1958&gt;=20000,0.05,IF(G1958&gt;=10000,0.1,IF(G1958&gt;=5000,0.2,IF(G1958&gt;=1000,0.3,IF(G1958&gt;=0,0.4,{0}))))))</f>
        <v/>
      </c>
      <c r="P1958" s="400">
        <f>IF(AND(B1958="",C1958=""),"",ROUND(H1958*O1958,2))</f>
        <v/>
      </c>
      <c r="Q1958" s="401" t="inlineStr">
        <is>
          <t>元件</t>
        </is>
      </c>
      <c r="R1958" s="168" t="inlineStr"/>
      <c r="S1958" s="168" t="inlineStr"/>
      <c r="T1958" s="168" t="inlineStr">
        <is>
          <t>0</t>
        </is>
      </c>
      <c r="U1958" s="168" t="inlineStr">
        <is>
          <t>710141426552500</t>
        </is>
      </c>
      <c r="V1958" s="402" t="n"/>
      <c r="W1958" s="402" t="n"/>
      <c r="X1958" s="170" t="inlineStr">
        <is>
          <t>SD→SD-0.66-40II-C 400/5A→SD-0.66-30I 250/5A→SD-0.66-30I 150/5A→SD-0.66-60II-C 750/5A→SD-0.66-60II-C 600/5A→SD-0.66-30I 150/5A→SD-0.66-40II-C 400/5A→SD-0.66-100II-C 1600/5A→SD-0.66-80II-V 1000/5A→SD-0.66-80II-V 1250/5A→SD-0.66-80II-V 1000/5A</t>
        </is>
      </c>
    </row>
    <row r="1959" s="308">
      <c r="A1959" s="64">
        <f>ROW()-ROW(A$1956)</f>
        <v/>
      </c>
      <c r="B1959" s="112" t="inlineStr">
        <is>
          <t>多功能表</t>
        </is>
      </c>
      <c r="C1959" s="112" t="inlineStr">
        <is>
          <t>PM4101</t>
        </is>
      </c>
      <c r="D1959" s="112" t="inlineStr">
        <is>
          <t>甲供/施耐德电气</t>
        </is>
      </c>
      <c r="E1959" s="114" t="inlineStr">
        <is>
          <t>只</t>
        </is>
      </c>
      <c r="F1959" s="114" t="n">
        <v>2</v>
      </c>
      <c r="G1959" s="396">
        <f>IF(AND(B1959="",C1959=""),"",ROUND(M1959*L1959*N1959,2))</f>
        <v/>
      </c>
      <c r="H1959" s="349">
        <f>IF(AND(B1959="",C1959=""),"",ROUND(F1959*G1959,2))</f>
        <v/>
      </c>
      <c r="I1959" s="45" t="inlineStr"/>
      <c r="J1959" s="397">
        <f>IF(AND(B1959="",C1959=""),"",ROUND(M1959*N1959,2))</f>
        <v/>
      </c>
      <c r="K1959" s="398">
        <f>IF(AND(B1959="",C1959=""),"",ROUND(J1959*F1959,2))</f>
        <v/>
      </c>
      <c r="L1959" s="200" t="n">
        <v>1</v>
      </c>
      <c r="M1959" s="399" t="n">
        <v>1e-07</v>
      </c>
      <c r="N1959" s="154" t="n">
        <v>1</v>
      </c>
      <c r="O1959" s="155">
        <f>IF(AND(B1959="",C1959=""),"",IF(J1959&gt;=20000,0.05,IF(J1959&gt;=10000,0.1,IF(J1959&gt;=5000,0.2,IF(J1959&gt;=1000,0.3,IF(J1959&gt;=0,0.4,{0}))))))</f>
        <v/>
      </c>
      <c r="P1959" s="400">
        <f>IF(AND(B1959="",C1959=""),"",ROUND(H1959*O1959,2))</f>
        <v/>
      </c>
      <c r="Q1959" s="401" t="inlineStr">
        <is>
          <t>元件</t>
        </is>
      </c>
      <c r="R1959" s="168" t="inlineStr"/>
      <c r="S1959" s="168" t="inlineStr"/>
      <c r="T1959" s="168" t="inlineStr">
        <is>
          <t>0</t>
        </is>
      </c>
      <c r="U1959" s="168" t="inlineStr"/>
      <c r="V1959" s="402" t="n"/>
      <c r="W1959" s="402" t="n"/>
      <c r="X1959" s="170" t="inlineStr"/>
    </row>
    <row r="1960" customFormat="1" s="3">
      <c r="A1960" s="64">
        <f>ROW()-ROW(A$1956)</f>
        <v/>
      </c>
      <c r="B1960" s="22" t="inlineStr">
        <is>
          <t>指示灯</t>
        </is>
      </c>
      <c r="C1960" s="22" t="inlineStr">
        <is>
          <t>XB2BVM3LC</t>
        </is>
      </c>
      <c r="D1960" s="22" t="inlineStr">
        <is>
          <t>甲供/施耐德电气</t>
        </is>
      </c>
      <c r="E1960" s="23" t="inlineStr">
        <is>
          <t>只</t>
        </is>
      </c>
      <c r="F1960" s="23" t="n">
        <v>2</v>
      </c>
      <c r="G1960" s="349">
        <f>IF(AND(B1960="",C1960=""),"",ROUND(M1960*L1960*N1960,2))</f>
        <v/>
      </c>
      <c r="H1960" s="353">
        <f>IF(AND(B1960="",C1960=""),"",ROUND(F1960*G1960,2))</f>
        <v/>
      </c>
      <c r="I1960" s="180" t="inlineStr"/>
      <c r="J1960" s="392">
        <f>IF(AND(B1960="",C1960=""),"",ROUND(M1960*N1960,2))</f>
        <v/>
      </c>
      <c r="K1960" s="393">
        <f>IF(AND(B1960="",C1960=""),"",ROUND(J1960*F1960,2))</f>
        <v/>
      </c>
      <c r="L1960" s="141" t="n">
        <v>1</v>
      </c>
      <c r="M1960" s="394" t="n">
        <v>1e-07</v>
      </c>
      <c r="N1960" s="220" t="n">
        <v>1</v>
      </c>
      <c r="O1960" s="221">
        <f>IF(AND(B1960="",C1960=""),"",IF(G1960&gt;=20000,0.05,IF(G1960&gt;=10000,0.1,IF(G1960&gt;=5000,0.2,IF(G1960&gt;=1000,0.3,IF(G1960&gt;=0,0.4,{0}))))))</f>
        <v/>
      </c>
      <c r="P1960" s="419">
        <f>IF(AND(B1960="",C1960=""),"",ROUND(H1960*O1960,2))</f>
        <v/>
      </c>
      <c r="Q1960" s="420" t="inlineStr">
        <is>
          <t>元件</t>
        </is>
      </c>
      <c r="R1960" s="231" t="inlineStr"/>
      <c r="S1960" s="231" t="inlineStr"/>
      <c r="T1960" s="231" t="inlineStr">
        <is>
          <t>0</t>
        </is>
      </c>
      <c r="U1960" s="231" t="inlineStr">
        <is>
          <t>XB2BVM3LC</t>
        </is>
      </c>
      <c r="V1960" s="421" t="n"/>
      <c r="W1960" s="421" t="n"/>
      <c r="X1960" s="166" t="inlineStr">
        <is>
          <t>XA2EVM3LC</t>
        </is>
      </c>
    </row>
    <row r="1961" customFormat="1" s="3">
      <c r="A1961" s="64">
        <f>ROW()-ROW(A$1956)</f>
        <v/>
      </c>
      <c r="B1961" s="22" t="inlineStr">
        <is>
          <t>指示灯</t>
        </is>
      </c>
      <c r="C1961" s="22" t="inlineStr">
        <is>
          <t>XB2BVM4LC</t>
        </is>
      </c>
      <c r="D1961" s="22" t="inlineStr">
        <is>
          <t>甲供/施耐德电气</t>
        </is>
      </c>
      <c r="E1961" s="23" t="inlineStr">
        <is>
          <t>只</t>
        </is>
      </c>
      <c r="F1961" s="23" t="n">
        <v>2</v>
      </c>
      <c r="G1961" s="349">
        <f>IF(AND(B1961="",C1961=""),"",ROUND(M1961*L1961*N1961,2))</f>
        <v/>
      </c>
      <c r="H1961" s="353">
        <f>IF(AND(B1961="",C1961=""),"",ROUND(F1961*G1961,2))</f>
        <v/>
      </c>
      <c r="I1961" s="180" t="inlineStr"/>
      <c r="J1961" s="392">
        <f>IF(AND(B1961="",C1961=""),"",ROUND(M1961*N1961,2))</f>
        <v/>
      </c>
      <c r="K1961" s="393">
        <f>IF(AND(B1961="",C1961=""),"",ROUND(J1961*F1961,2))</f>
        <v/>
      </c>
      <c r="L1961" s="141" t="n">
        <v>1</v>
      </c>
      <c r="M1961" s="394" t="n">
        <v>1e-07</v>
      </c>
      <c r="N1961" s="220" t="n">
        <v>1</v>
      </c>
      <c r="O1961" s="221">
        <f>IF(AND(B1961="",C1961=""),"",IF(G1961&gt;=20000,0.05,IF(G1961&gt;=10000,0.1,IF(G1961&gt;=5000,0.2,IF(G1961&gt;=1000,0.3,IF(G1961&gt;=0,0.4,{0}))))))</f>
        <v/>
      </c>
      <c r="P1961" s="419">
        <f>IF(AND(B1961="",C1961=""),"",ROUND(H1961*O1961,2))</f>
        <v/>
      </c>
      <c r="Q1961" s="420" t="inlineStr">
        <is>
          <t>元件</t>
        </is>
      </c>
      <c r="R1961" s="231" t="inlineStr"/>
      <c r="S1961" s="231" t="inlineStr"/>
      <c r="T1961" s="231" t="inlineStr">
        <is>
          <t>0</t>
        </is>
      </c>
      <c r="U1961" s="231" t="inlineStr">
        <is>
          <t>XB2BVM4LC</t>
        </is>
      </c>
      <c r="V1961" s="421" t="n"/>
      <c r="W1961" s="421" t="n"/>
      <c r="X1961" s="166" t="inlineStr">
        <is>
          <t>XA2EVM4LC</t>
        </is>
      </c>
    </row>
    <row r="1962" s="308">
      <c r="A1962" s="64">
        <f>ROW()-ROW(A$1956)</f>
        <v/>
      </c>
      <c r="B1962" s="112" t="inlineStr">
        <is>
          <t>指示灯</t>
        </is>
      </c>
      <c r="C1962" s="112" t="inlineStr">
        <is>
          <t>XB2BVM5LC</t>
        </is>
      </c>
      <c r="D1962" s="112" t="inlineStr">
        <is>
          <t>甲供/施耐德电气</t>
        </is>
      </c>
      <c r="E1962" s="114" t="inlineStr">
        <is>
          <t>只</t>
        </is>
      </c>
      <c r="F1962" s="114" t="n">
        <v>2</v>
      </c>
      <c r="G1962" s="396">
        <f>IF(AND(B1962="",C1962=""),"",ROUND(M1962*L1962*N1962,2))</f>
        <v/>
      </c>
      <c r="H1962" s="396">
        <f>IF(AND(B1962="",C1962=""),"",ROUND(F1962*G1962,2))</f>
        <v/>
      </c>
      <c r="I1962" s="150" t="inlineStr"/>
      <c r="J1962" s="397">
        <f>IF(AND(B1962="",C1962=""),"",ROUND(M1962*N1962,2))</f>
        <v/>
      </c>
      <c r="K1962" s="398">
        <f>IF(AND(B1962="",C1962=""),"",ROUND(J1962*F1962,2))</f>
        <v/>
      </c>
      <c r="L1962" s="141" t="n">
        <v>1</v>
      </c>
      <c r="M1962" s="399" t="n">
        <v>1e-07</v>
      </c>
      <c r="N1962" s="154" t="n">
        <v>1</v>
      </c>
      <c r="O1962" s="155">
        <f>IF(AND(B1962="",C1962=""),"",IF(G1962&gt;=20000,0.05,IF(G1962&gt;=10000,0.1,IF(G1962&gt;=5000,0.2,IF(G1962&gt;=1000,0.3,IF(G1962&gt;=0,0.4,{0}))))))</f>
        <v/>
      </c>
      <c r="P1962" s="400">
        <f>IF(AND(B1962="",C1962=""),"",ROUND(H1962*O1962,2))</f>
        <v/>
      </c>
      <c r="Q1962" s="401" t="inlineStr">
        <is>
          <t>元件</t>
        </is>
      </c>
      <c r="R1962" s="168" t="inlineStr"/>
      <c r="S1962" s="168" t="inlineStr"/>
      <c r="T1962" s="168" t="inlineStr">
        <is>
          <t>0</t>
        </is>
      </c>
      <c r="U1962" s="168" t="inlineStr">
        <is>
          <t>XA2EVM5LC</t>
        </is>
      </c>
      <c r="V1962" s="402" t="n"/>
      <c r="W1962" s="402" t="n"/>
      <c r="X1962" s="170" t="inlineStr"/>
    </row>
    <row r="1963" s="308">
      <c r="A1963" s="64">
        <f>ROW()-ROW(A$1956)</f>
        <v/>
      </c>
      <c r="B1963" s="112" t="inlineStr">
        <is>
          <t>按钮</t>
        </is>
      </c>
      <c r="C1963" s="112" t="inlineStr">
        <is>
          <t>XB2BA31C</t>
        </is>
      </c>
      <c r="D1963" s="112" t="inlineStr">
        <is>
          <t>甲供/施耐德电气</t>
        </is>
      </c>
      <c r="E1963" s="114" t="inlineStr">
        <is>
          <t>只</t>
        </is>
      </c>
      <c r="F1963" s="114" t="n">
        <v>2</v>
      </c>
      <c r="G1963" s="396">
        <f>IF(AND(B1963="",C1963=""),"",ROUND(M1963*L1963*N1963,2))</f>
        <v/>
      </c>
      <c r="H1963" s="396">
        <f>IF(AND(B1963="",C1963=""),"",ROUND(F1963*G1963,2))</f>
        <v/>
      </c>
      <c r="I1963" s="150" t="inlineStr"/>
      <c r="J1963" s="397">
        <f>IF(AND(B1963="",C1963=""),"",ROUND(M1963*N1963,2))</f>
        <v/>
      </c>
      <c r="K1963" s="398">
        <f>IF(AND(B1963="",C1963=""),"",ROUND(J1963*F1963,2))</f>
        <v/>
      </c>
      <c r="L1963" s="141" t="n">
        <v>1</v>
      </c>
      <c r="M1963" s="399" t="n">
        <v>1e-07</v>
      </c>
      <c r="N1963" s="154" t="n">
        <v>1</v>
      </c>
      <c r="O1963" s="155">
        <f>IF(AND(B1963="",C1963=""),"",IF(G1963&gt;=20000,0.05,IF(G1963&gt;=10000,0.1,IF(G1963&gt;=5000,0.2,IF(G1963&gt;=1000,0.3,IF(G1963&gt;=0,0.4,{0}))))))</f>
        <v/>
      </c>
      <c r="P1963" s="400">
        <f>IF(AND(B1963="",C1963=""),"",ROUND(H1963*O1963,2))</f>
        <v/>
      </c>
      <c r="Q1963" s="401" t="inlineStr">
        <is>
          <t>元件</t>
        </is>
      </c>
      <c r="R1963" s="168" t="inlineStr"/>
      <c r="S1963" s="168" t="inlineStr"/>
      <c r="T1963" s="168" t="inlineStr">
        <is>
          <t>0</t>
        </is>
      </c>
      <c r="U1963" s="168" t="inlineStr">
        <is>
          <t>XB2BA31C</t>
        </is>
      </c>
      <c r="V1963" s="402" t="n"/>
      <c r="W1963" s="402" t="n"/>
      <c r="X1963" s="170" t="inlineStr">
        <is>
          <t>XA2EA31</t>
        </is>
      </c>
    </row>
    <row r="1964" s="308">
      <c r="A1964" s="64">
        <f>ROW()-ROW(A$1956)</f>
        <v/>
      </c>
      <c r="B1964" s="22" t="inlineStr">
        <is>
          <t>按钮</t>
        </is>
      </c>
      <c r="C1964" s="22" t="inlineStr">
        <is>
          <t>XB2BA42C</t>
        </is>
      </c>
      <c r="D1964" s="22" t="inlineStr">
        <is>
          <t>甲供/施耐德电气</t>
        </is>
      </c>
      <c r="E1964" s="23" t="inlineStr">
        <is>
          <t>只</t>
        </is>
      </c>
      <c r="F1964" s="23" t="n">
        <v>2</v>
      </c>
      <c r="G1964" s="349">
        <f>IF(AND(B1964="",C1964=""),"",ROUND(M1964*L1964*N1964,2))</f>
        <v/>
      </c>
      <c r="H1964" s="396">
        <f>IF(AND(B1964="",C1964=""),"",ROUND(F1964*G1964,2))</f>
        <v/>
      </c>
      <c r="I1964" s="150" t="inlineStr"/>
      <c r="J1964" s="397">
        <f>IF(AND(B1964="",C1964=""),"",ROUND(M1964*N1964,2))</f>
        <v/>
      </c>
      <c r="K1964" s="398">
        <f>IF(AND(B1964="",C1964=""),"",ROUND(J1964*F1964,2))</f>
        <v/>
      </c>
      <c r="L1964" s="141" t="n">
        <v>1</v>
      </c>
      <c r="M1964" s="399" t="n">
        <v>1e-07</v>
      </c>
      <c r="N1964" s="154" t="n">
        <v>1</v>
      </c>
      <c r="O1964" s="155">
        <f>IF(AND(B1964="",C1964=""),"",IF(G1964&gt;=20000,0.05,IF(G1964&gt;=10000,0.1,IF(G1964&gt;=5000,0.2,IF(G1964&gt;=1000,0.3,IF(G1964&gt;=0,0.4,{0}))))))</f>
        <v/>
      </c>
      <c r="P1964" s="400">
        <f>IF(AND(B1964="",C1964=""),"",ROUND(H1964*O1964,2))</f>
        <v/>
      </c>
      <c r="Q1964" s="401" t="inlineStr">
        <is>
          <t>元件</t>
        </is>
      </c>
      <c r="R1964" s="168" t="inlineStr"/>
      <c r="S1964" s="168" t="inlineStr"/>
      <c r="T1964" s="168" t="inlineStr">
        <is>
          <t>0</t>
        </is>
      </c>
      <c r="U1964" s="168" t="inlineStr">
        <is>
          <t>XB2BA42C</t>
        </is>
      </c>
      <c r="V1964" s="402" t="n"/>
      <c r="W1964" s="402" t="n"/>
      <c r="X1964" s="170" t="inlineStr">
        <is>
          <t>XA2EA41</t>
        </is>
      </c>
    </row>
    <row r="1965" s="308">
      <c r="A1965" s="64">
        <f>ROW()-ROW(A$1956)</f>
        <v/>
      </c>
      <c r="B1965" s="112" t="inlineStr">
        <is>
          <t>温湿度控制器</t>
        </is>
      </c>
      <c r="C1965" s="112" t="inlineStr">
        <is>
          <t>ATH48G-11</t>
        </is>
      </c>
      <c r="D1965" s="22" t="inlineStr">
        <is>
          <t>杭州安廷</t>
        </is>
      </c>
      <c r="E1965" s="23" t="inlineStr">
        <is>
          <t>套</t>
        </is>
      </c>
      <c r="F1965" s="23" t="n">
        <v>1</v>
      </c>
      <c r="G1965" s="349">
        <f>IF(AND(B1965="",C1965=""),"",ROUND(M1965*L1965*N1965,2))</f>
        <v/>
      </c>
      <c r="H1965" s="396">
        <f>IF(AND(B1965="",C1965=""),"",ROUND(F1965*G1965,2))</f>
        <v/>
      </c>
      <c r="I1965" s="150" t="inlineStr"/>
      <c r="J1965" s="397">
        <f>IF(AND(B1965="",C1965=""),"",ROUND(M1965*N1965,2))</f>
        <v/>
      </c>
      <c r="K1965" s="398">
        <f>IF(AND(B1965="",C1965=""),"",ROUND(J1965*F1965,2))</f>
        <v/>
      </c>
      <c r="L1965" s="141" t="n">
        <v>1</v>
      </c>
      <c r="M1965" s="399" t="n">
        <v>450</v>
      </c>
      <c r="N1965" s="154" t="n">
        <v>1</v>
      </c>
      <c r="O1965" s="155">
        <f>IF(AND(B1965="",C1965=""),"",IF(G1965&gt;=20000,0.05,IF(G1965&gt;=10000,0.1,IF(G1965&gt;=5000,0.2,IF(G1965&gt;=1000,0.3,IF(G1965&gt;=0,0.4,{0}))))))</f>
        <v/>
      </c>
      <c r="P1965" s="400">
        <f>IF(AND(B1965="",C1965=""),"",ROUND(H1965*O1965,2))</f>
        <v/>
      </c>
      <c r="Q1965" s="401" t="inlineStr">
        <is>
          <t>元件</t>
        </is>
      </c>
      <c r="R1965" s="168" t="inlineStr"/>
      <c r="S1965" s="168" t="inlineStr"/>
      <c r="T1965" s="168" t="inlineStr">
        <is>
          <t>0</t>
        </is>
      </c>
      <c r="U1965" s="168" t="inlineStr"/>
      <c r="V1965" s="402" t="n"/>
      <c r="W1965" s="402" t="n"/>
      <c r="X1965" s="170" t="inlineStr"/>
    </row>
    <row r="1966" s="308">
      <c r="A1966" s="64">
        <f>ROW()-ROW(A$1956)</f>
        <v/>
      </c>
      <c r="B1966" s="22" t="inlineStr">
        <is>
          <t>中间继电器</t>
        </is>
      </c>
      <c r="C1966" s="22" t="inlineStr">
        <is>
          <t>RXM4AB2P7+RXZE2S114M+RXZ400</t>
        </is>
      </c>
      <c r="D1966" s="22" t="inlineStr">
        <is>
          <t>甲供/施耐德电气</t>
        </is>
      </c>
      <c r="E1966" s="23" t="inlineStr">
        <is>
          <t>只</t>
        </is>
      </c>
      <c r="F1966" s="23" t="n">
        <v>4</v>
      </c>
      <c r="G1966" s="349">
        <f>IF(AND(B1966="",C1966=""),"",ROUND(M1966*L1966*N1966,2))</f>
        <v/>
      </c>
      <c r="H1966" s="349">
        <f>IF(AND(B1966="",C1966=""),"",ROUND(F1966*G1966,2))</f>
        <v/>
      </c>
      <c r="I1966" s="45" t="inlineStr"/>
      <c r="J1966" s="397">
        <f>IF(AND(B1966="",C1966=""),"",ROUND(M1966*N1966,2))</f>
        <v/>
      </c>
      <c r="K1966" s="398">
        <f>IF(AND(B1966="",C1966=""),"",ROUND(J1966*F1966,2))</f>
        <v/>
      </c>
      <c r="L1966" s="141" t="n">
        <v>1</v>
      </c>
      <c r="M1966" s="399" t="n">
        <v>1e-07</v>
      </c>
      <c r="N1966" s="154" t="n">
        <v>1</v>
      </c>
      <c r="O1966" s="155">
        <f>IF(AND(B1966="",C1966=""),"",IF(G1966&gt;=20000,0.05,IF(G1966&gt;=10000,0.1,IF(G1966&gt;=5000,0.2,IF(G1966&gt;=1000,0.3,IF(G1966&gt;=0,0.4,{0}))))))</f>
        <v/>
      </c>
      <c r="P1966" s="400">
        <f>IF(AND(B1966="",C1966=""),"",ROUND(H1966*O1966,2))</f>
        <v/>
      </c>
      <c r="Q1966" s="401" t="inlineStr">
        <is>
          <t>元件</t>
        </is>
      </c>
      <c r="R1966" s="168" t="inlineStr"/>
      <c r="S1966" s="168" t="inlineStr"/>
      <c r="T1966" s="168" t="inlineStr">
        <is>
          <t>0</t>
        </is>
      </c>
      <c r="U1966" s="168" t="inlineStr">
        <is>
          <t>RXM4AB2P7+RXZE2S114M+RXZ400</t>
        </is>
      </c>
      <c r="V1966" s="402" t="n"/>
      <c r="W1966" s="402" t="n"/>
      <c r="X1966" s="170" t="inlineStr">
        <is>
          <t>REL-IR-BL/L-230AC/4X21，含底座→RXM4AB2P7+RXZE2S114M+RXZ400→REL-IR-BL/L-230AC/4X21，含底座</t>
        </is>
      </c>
    </row>
    <row r="1967" customFormat="1" s="3">
      <c r="A1967" s="64">
        <f>ROW()-ROW(A$1956)</f>
        <v/>
      </c>
      <c r="B1967" s="22" t="inlineStr">
        <is>
          <t>带熔丝端子</t>
        </is>
      </c>
      <c r="C1967" s="22" t="inlineStr">
        <is>
          <t>UK 5-HESI</t>
        </is>
      </c>
      <c r="D1967" s="22" t="inlineStr">
        <is>
          <t>菲尼克斯</t>
        </is>
      </c>
      <c r="E1967" s="23" t="inlineStr">
        <is>
          <t>只</t>
        </is>
      </c>
      <c r="F1967" s="23" t="n">
        <v>8</v>
      </c>
      <c r="G1967" s="349">
        <f>IF(AND(B1967="",C1967=""),"",ROUND(M1967*L1967*N1967,2))</f>
        <v/>
      </c>
      <c r="H1967" s="349">
        <f>IF(AND(B1967="",C1967=""),"",ROUND(F1967*G1967,2))</f>
        <v/>
      </c>
      <c r="I1967" s="45" t="inlineStr"/>
      <c r="J1967" s="392">
        <f>IF(AND(B1967="",C1967=""),"",ROUND(M1967*N1967,2))</f>
        <v/>
      </c>
      <c r="K1967" s="393">
        <f>IF(AND(B1967="",C1967=""),"",ROUND(J1967*F1967,2))</f>
        <v/>
      </c>
      <c r="L1967" s="141" t="n">
        <v>1</v>
      </c>
      <c r="M1967" s="394" t="n">
        <v>7</v>
      </c>
      <c r="N1967" s="220" t="n">
        <v>1</v>
      </c>
      <c r="O1967" s="221">
        <f>IF(AND(B1967="",C1967=""),"",IF(G1967&gt;=20000,0.05,IF(G1967&gt;=10000,0.1,IF(G1967&gt;=5000,0.2,IF(G1967&gt;=1000,0.3,IF(G1967&gt;=0,0.4,{0}))))))</f>
        <v/>
      </c>
      <c r="P1967" s="419">
        <f>IF(AND(B1967="",C1967=""),"",ROUND(H1967*O1967,2))</f>
        <v/>
      </c>
      <c r="Q1967" s="420" t="inlineStr">
        <is>
          <t>元件</t>
        </is>
      </c>
      <c r="R1967" s="231" t="inlineStr"/>
      <c r="S1967" s="231" t="inlineStr"/>
      <c r="T1967" s="231" t="inlineStr">
        <is>
          <t>0</t>
        </is>
      </c>
      <c r="U1967" s="231" t="inlineStr">
        <is>
          <t>True</t>
        </is>
      </c>
      <c r="V1967" s="421" t="n"/>
      <c r="W1967" s="421" t="n"/>
      <c r="X1967" s="166" t="inlineStr"/>
    </row>
    <row r="1968" s="308">
      <c r="A1968" s="64">
        <f>ROW()-ROW(A$1956)</f>
        <v/>
      </c>
      <c r="B1968" s="22" t="inlineStr">
        <is>
          <t>水平母排</t>
        </is>
      </c>
      <c r="C1968" s="22" t="inlineStr">
        <is>
          <t>TMY 4*(3*125*5)+2*50*5</t>
        </is>
      </c>
      <c r="D1968" s="22" t="inlineStr">
        <is>
          <t>国产优质</t>
        </is>
      </c>
      <c r="E1968" s="23" t="inlineStr">
        <is>
          <t>米</t>
        </is>
      </c>
      <c r="F1968" s="23" t="n">
        <v>0.4</v>
      </c>
      <c r="G1968" s="349">
        <f>IF(AND(B1968="",C1968=""),"",ROUND(M1968*L1968*N1968,2))</f>
        <v/>
      </c>
      <c r="H1968" s="349">
        <f>IF(AND(B1968="",C1968=""),"",ROUND(F1968*G1968,2))</f>
        <v/>
      </c>
      <c r="I1968" s="45" t="inlineStr"/>
      <c r="J1968" s="397">
        <f>IF(AND(B1968="",C1968=""),"",ROUND(M1968*N1968,2))</f>
        <v/>
      </c>
      <c r="K1968" s="398">
        <f>IF(AND(B1968="",C1968=""),"",ROUND(J1968*F1968,2))</f>
        <v/>
      </c>
      <c r="L1968" s="200" t="n">
        <v>1</v>
      </c>
      <c r="M1968" s="399" t="n">
        <v>7697.076</v>
      </c>
      <c r="N1968" s="154">
        <f>(6317.932*1*1+2684.8*1*1)/9002.732</f>
        <v/>
      </c>
      <c r="O1968" s="155">
        <f>IF(AND(B1968="",C1968=""),"",IF(J1968&gt;=20000,0.05,IF(J1968&gt;=10000,0.1,IF(J1968&gt;=5000,0.2,IF(J1968&gt;=1000,0.3,IF(J1968&gt;=0,0.4,{0}))))))</f>
        <v/>
      </c>
      <c r="P1968" s="400">
        <f>IF(AND(B1968="",C1968=""),"",ROUND(H1968*O1968,2))</f>
        <v/>
      </c>
      <c r="Q1968" s="401" t="inlineStr">
        <is>
          <t>母排</t>
        </is>
      </c>
      <c r="R1968" s="168" t="inlineStr"/>
      <c r="S1968" s="168" t="inlineStr"/>
      <c r="T1968" s="168" t="inlineStr">
        <is>
          <t>0</t>
        </is>
      </c>
      <c r="U1968" s="168" t="inlineStr"/>
      <c r="V1968" s="402" t="n"/>
      <c r="W1968" s="402" t="n"/>
      <c r="X1968" s="170" t="inlineStr"/>
    </row>
    <row r="1969" customFormat="1" s="5">
      <c r="A1969" s="64">
        <f>ROW()-ROW(A$1956)</f>
        <v/>
      </c>
      <c r="B1969" s="22" t="inlineStr">
        <is>
          <t>桩头排</t>
        </is>
      </c>
      <c r="C1969" s="22" t="inlineStr">
        <is>
          <t>TMY 3*2*60*5</t>
        </is>
      </c>
      <c r="D1969" s="22" t="inlineStr">
        <is>
          <t>国产优质</t>
        </is>
      </c>
      <c r="E1969" s="23" t="inlineStr">
        <is>
          <t>米</t>
        </is>
      </c>
      <c r="F1969" s="23" t="n">
        <v>3</v>
      </c>
      <c r="G1969" s="349">
        <f>IF(AND(B1969="",C1969=""),"",ROUND(M1969*L1969*N1969,2))</f>
        <v/>
      </c>
      <c r="H1969" s="349">
        <f>IF(AND(B1969="",C1969=""),"",ROUND(F1969*G1969,2))</f>
        <v/>
      </c>
      <c r="I1969" s="45" t="inlineStr"/>
      <c r="J1969" s="422">
        <f>IF(AND(B1969="",C1969=""),"",ROUND(M1969*N1969,2))</f>
        <v/>
      </c>
      <c r="K1969" s="423">
        <f>IF(AND(B1969="",C1969=""),"",ROUND(J1969*F1969,2))</f>
        <v/>
      </c>
      <c r="L1969" s="225" t="n">
        <v>1</v>
      </c>
      <c r="M1969" s="424" t="n">
        <v>1731.8421</v>
      </c>
      <c r="N1969" s="227" t="n">
        <v>1</v>
      </c>
      <c r="O1969" s="228">
        <f>IF(AND(B1969="",C1969=""),"",IF(G1969&gt;=20000,0.05,IF(G1969&gt;=10000,0.1,IF(G1969&gt;=5000,0.2,IF(G1969&gt;=1000,0.3,IF(G1969&gt;=0,0.4,{0}))))))</f>
        <v/>
      </c>
      <c r="P1969" s="425">
        <f>IF(AND(B1969="",C1969=""),"",ROUND(H1969*O1969,2))</f>
        <v/>
      </c>
      <c r="Q1969" s="426" t="inlineStr">
        <is>
          <t>母排</t>
        </is>
      </c>
      <c r="R1969" s="234" t="inlineStr"/>
      <c r="S1969" s="234" t="inlineStr"/>
      <c r="T1969" s="235" t="inlineStr">
        <is>
          <t>0</t>
        </is>
      </c>
      <c r="U1969" s="235" t="inlineStr"/>
      <c r="V1969" s="427" t="n"/>
      <c r="W1969" s="427" t="n"/>
      <c r="X1969" s="237" t="inlineStr">
        <is>
          <t>TMY 2*30*5→TMY 30*8</t>
        </is>
      </c>
    </row>
    <row r="1970" customFormat="1" s="5">
      <c r="A1970" s="64">
        <f>ROW()-ROW(A$1956)</f>
        <v/>
      </c>
      <c r="B1970" s="22" t="inlineStr">
        <is>
          <t>垂直排</t>
        </is>
      </c>
      <c r="C1970" s="22" t="inlineStr">
        <is>
          <t>TMY 3*2*60*5</t>
        </is>
      </c>
      <c r="D1970" s="22" t="inlineStr">
        <is>
          <t>国产优质</t>
        </is>
      </c>
      <c r="E1970" s="23" t="inlineStr">
        <is>
          <t>米</t>
        </is>
      </c>
      <c r="F1970" s="23" t="n">
        <v>2</v>
      </c>
      <c r="G1970" s="349">
        <f>IF(AND(B1970="",C1970=""),"",ROUND(M1970*L1970*N1970,2))</f>
        <v/>
      </c>
      <c r="H1970" s="349">
        <f>IF(AND(B1970="",C1970=""),"",ROUND(F1970*G1970,2))</f>
        <v/>
      </c>
      <c r="I1970" s="45" t="inlineStr"/>
      <c r="J1970" s="422">
        <f>IF(AND(B1970="",C1970=""),"",ROUND(M1970*N1970,2))</f>
        <v/>
      </c>
      <c r="K1970" s="423">
        <f>IF(AND(B1970="",C1970=""),"",ROUND(J1970*F1970,2))</f>
        <v/>
      </c>
      <c r="L1970" s="225" t="n">
        <v>1</v>
      </c>
      <c r="M1970" s="424" t="n">
        <v>1731.8421</v>
      </c>
      <c r="N1970" s="227" t="n">
        <v>1</v>
      </c>
      <c r="O1970" s="228">
        <f>IF(AND(B1970="",C1970=""),"",IF(G1970&gt;=20000,0.05,IF(G1970&gt;=10000,0.1,IF(G1970&gt;=5000,0.2,IF(G1970&gt;=1000,0.3,IF(G1970&gt;=0,0.4,{0}))))))</f>
        <v/>
      </c>
      <c r="P1970" s="425">
        <f>IF(AND(B1970="",C1970=""),"",ROUND(H1970*O1970,2))</f>
        <v/>
      </c>
      <c r="Q1970" s="426" t="inlineStr">
        <is>
          <t>母排</t>
        </is>
      </c>
      <c r="R1970" s="234" t="inlineStr"/>
      <c r="S1970" s="234" t="inlineStr"/>
      <c r="T1970" s="235" t="inlineStr">
        <is>
          <t>0</t>
        </is>
      </c>
      <c r="U1970" s="235" t="inlineStr"/>
      <c r="V1970" s="427" t="n"/>
      <c r="W1970" s="427" t="n"/>
      <c r="X1970" s="237" t="inlineStr">
        <is>
          <t>TMY 2*30*5→TMY 30*8</t>
        </is>
      </c>
    </row>
    <row r="1971" customFormat="1" s="5">
      <c r="A1971" s="64">
        <f>ROW()-ROW(A$1956)</f>
        <v/>
      </c>
      <c r="B1971" s="22" t="inlineStr">
        <is>
          <t>N排</t>
        </is>
      </c>
      <c r="C1971" s="22" t="inlineStr">
        <is>
          <t>TMY 2*60*10</t>
        </is>
      </c>
      <c r="D1971" s="22" t="inlineStr">
        <is>
          <t>国产优质</t>
        </is>
      </c>
      <c r="E1971" s="23" t="inlineStr">
        <is>
          <t>米</t>
        </is>
      </c>
      <c r="F1971" s="23" t="n">
        <v>3</v>
      </c>
      <c r="G1971" s="349">
        <f>IF(AND(B1971="",C1971=""),"",ROUND(M1971*L1971*N1971,2))</f>
        <v/>
      </c>
      <c r="H1971" s="349">
        <f>IF(AND(B1971="",C1971=""),"",ROUND(F1971*G1971,2))</f>
        <v/>
      </c>
      <c r="I1971" s="45" t="inlineStr"/>
      <c r="J1971" s="422">
        <f>IF(AND(B1971="",C1971=""),"",ROUND(M1971*N1971,2))</f>
        <v/>
      </c>
      <c r="K1971" s="423">
        <f>IF(AND(B1971="",C1971=""),"",ROUND(J1971*F1971,2))</f>
        <v/>
      </c>
      <c r="L1971" s="225" t="n">
        <v>1</v>
      </c>
      <c r="M1971" s="424" t="n">
        <v>1154.5614</v>
      </c>
      <c r="N1971" s="227" t="n">
        <v>1</v>
      </c>
      <c r="O1971" s="228">
        <f>IF(AND(B1971="",C1971=""),"",IF(G1971&gt;=20000,0.05,IF(G1971&gt;=10000,0.1,IF(G1971&gt;=5000,0.2,IF(G1971&gt;=1000,0.3,IF(G1971&gt;=0,0.4,{0}))))))</f>
        <v/>
      </c>
      <c r="P1971" s="425">
        <f>IF(AND(B1971="",C1971=""),"",ROUND(H1971*O1971,2))</f>
        <v/>
      </c>
      <c r="Q1971" s="426" t="inlineStr">
        <is>
          <t>母排</t>
        </is>
      </c>
      <c r="R1971" s="234" t="inlineStr"/>
      <c r="S1971" s="234" t="inlineStr"/>
      <c r="T1971" s="235" t="inlineStr">
        <is>
          <t>0</t>
        </is>
      </c>
      <c r="U1971" s="235" t="inlineStr"/>
      <c r="V1971" s="427" t="n"/>
      <c r="W1971" s="427" t="n"/>
      <c r="X1971" s="237" t="inlineStr">
        <is>
          <t>TMY 2*30*5→TMY 30*8</t>
        </is>
      </c>
    </row>
    <row r="1972" customFormat="1" s="5">
      <c r="A1972" s="64">
        <f>ROW()-ROW(A$1956)</f>
        <v/>
      </c>
      <c r="B1972" s="22" t="inlineStr">
        <is>
          <t>PE排</t>
        </is>
      </c>
      <c r="C1972" s="22" t="inlineStr">
        <is>
          <t>TMY 2*50*5</t>
        </is>
      </c>
      <c r="D1972" s="22" t="inlineStr">
        <is>
          <t>国产优质</t>
        </is>
      </c>
      <c r="E1972" s="23" t="inlineStr">
        <is>
          <t>米</t>
        </is>
      </c>
      <c r="F1972" s="23" t="n">
        <v>2</v>
      </c>
      <c r="G1972" s="349">
        <f>IF(AND(B1972="",C1972=""),"",ROUND(M1972*L1972*N1972,2))</f>
        <v/>
      </c>
      <c r="H1972" s="349">
        <f>IF(AND(B1972="",C1972=""),"",ROUND(F1972*G1972,2))</f>
        <v/>
      </c>
      <c r="I1972" s="45" t="inlineStr"/>
      <c r="J1972" s="422">
        <f>IF(AND(B1972="",C1972=""),"",ROUND(M1972*N1972,2))</f>
        <v/>
      </c>
      <c r="K1972" s="423">
        <f>IF(AND(B1972="",C1972=""),"",ROUND(J1972*F1972,2))</f>
        <v/>
      </c>
      <c r="L1972" s="225" t="n">
        <v>1</v>
      </c>
      <c r="M1972" s="424" t="n">
        <v>481.06725</v>
      </c>
      <c r="N1972" s="227" t="n">
        <v>1</v>
      </c>
      <c r="O1972" s="228">
        <f>IF(AND(B1972="",C1972=""),"",IF(G1972&gt;=20000,0.05,IF(G1972&gt;=10000,0.1,IF(G1972&gt;=5000,0.2,IF(G1972&gt;=1000,0.3,IF(G1972&gt;=0,0.4,{0}))))))</f>
        <v/>
      </c>
      <c r="P1972" s="425">
        <f>IF(AND(B1972="",C1972=""),"",ROUND(H1972*O1972,2))</f>
        <v/>
      </c>
      <c r="Q1972" s="426" t="inlineStr">
        <is>
          <t>母排</t>
        </is>
      </c>
      <c r="R1972" s="234" t="inlineStr"/>
      <c r="S1972" s="234" t="inlineStr"/>
      <c r="T1972" s="235" t="inlineStr">
        <is>
          <t>0</t>
        </is>
      </c>
      <c r="U1972" s="235" t="inlineStr"/>
      <c r="V1972" s="427" t="n"/>
      <c r="W1972" s="427" t="n"/>
      <c r="X1972" s="237" t="inlineStr">
        <is>
          <t>TMY 2*30*5→TMY 30*8</t>
        </is>
      </c>
    </row>
    <row r="1973" s="308">
      <c r="A1973" s="64">
        <f>ROW()-ROW(A$1956)</f>
        <v/>
      </c>
      <c r="B1973" s="112" t="inlineStr">
        <is>
          <t>辅料</t>
        </is>
      </c>
      <c r="C1973" s="112" t="inlineStr"/>
      <c r="D1973" s="112" t="inlineStr"/>
      <c r="E1973" s="114" t="inlineStr">
        <is>
          <t>套</t>
        </is>
      </c>
      <c r="F1973" s="114" t="n">
        <v>1</v>
      </c>
      <c r="G1973" s="396">
        <f>IF(AND(B1973="",C1973=""),"",ROUND(M1973*L1973*N1973,2))</f>
        <v/>
      </c>
      <c r="H1973" s="396">
        <f>IF(AND(B1973="",C1973=""),"",ROUND(F1973*G1973,2))</f>
        <v/>
      </c>
      <c r="I1973" s="219" t="inlineStr"/>
      <c r="J1973" s="397">
        <f>IF(AND(B1973="",C1973=""),"",ROUND(M1973*N1973,2))</f>
        <v/>
      </c>
      <c r="K1973" s="398">
        <f>IF(AND(B1973="",C1973=""),"",ROUND(J1973*F1973,2))</f>
        <v/>
      </c>
      <c r="L1973" s="200" t="n">
        <v>1</v>
      </c>
      <c r="M1973" s="399" t="n">
        <v>800</v>
      </c>
      <c r="N1973" s="154" t="n">
        <v>1</v>
      </c>
      <c r="O1973" s="155">
        <f>IF(AND(B1973="",C1973=""),"",IF(G1973&gt;=20000,0.05,IF(G1973&gt;=10000,0.1,IF(G1973&gt;=5000,0.2,IF(G1973&gt;=1000,0.3,IF(G1973&gt;=0,0.4,{0}))))))</f>
        <v/>
      </c>
      <c r="P1973" s="400">
        <f>IF(AND(B1973="",C1973=""),"",ROUND(H1973*O1973,2))</f>
        <v/>
      </c>
      <c r="Q1973" s="401" t="inlineStr">
        <is>
          <t>辅料</t>
        </is>
      </c>
      <c r="R1973" s="168" t="inlineStr"/>
      <c r="S1973" s="168" t="inlineStr"/>
      <c r="T1973" s="168" t="inlineStr">
        <is>
          <t>0</t>
        </is>
      </c>
      <c r="U1973" s="168" t="inlineStr"/>
      <c r="V1973" s="402" t="n"/>
      <c r="W1973" s="402" t="n"/>
      <c r="X1973" s="170" t="inlineStr"/>
    </row>
    <row r="1974" s="308">
      <c r="A1974" s="64">
        <f>ROW()-ROW(A$1956)</f>
        <v/>
      </c>
      <c r="B1974" s="112" t="inlineStr">
        <is>
          <t>柜体Blokset</t>
        </is>
      </c>
      <c r="C1974" s="22" t="inlineStr">
        <is>
          <t>400W*1200D*2200H</t>
        </is>
      </c>
      <c r="D1974" s="112" t="inlineStr">
        <is>
          <t>清科</t>
        </is>
      </c>
      <c r="E1974" s="114" t="inlineStr">
        <is>
          <t>台</t>
        </is>
      </c>
      <c r="F1974" s="114" t="n">
        <v>1</v>
      </c>
      <c r="G1974" s="396">
        <f>IF(AND(B1974="",C1974=""),"",ROUND(M1974*L1974*N1974,2))</f>
        <v/>
      </c>
      <c r="H1974" s="396">
        <f>IF(AND(B1974="",C1974=""),"",ROUND(F1974*G1974,2))</f>
        <v/>
      </c>
      <c r="I1974" s="219" t="inlineStr"/>
      <c r="J1974" s="397">
        <f>IF(AND(B1974="",C1974=""),"",ROUND(M1974*N1974,2))</f>
        <v/>
      </c>
      <c r="K1974" s="398">
        <f>IF(AND(B1974="",C1974=""),"",ROUND(J1974*F1974,2))</f>
        <v/>
      </c>
      <c r="L1974" s="200" t="n">
        <v>1</v>
      </c>
      <c r="M1974" s="399" t="n">
        <v>4916</v>
      </c>
      <c r="N1974" s="154" t="n">
        <v>1</v>
      </c>
      <c r="O1974" s="155">
        <f>IF(AND(B1974="",C1974=""),"",IF(G1974&gt;=20000,0.05,IF(G1974&gt;=10000,0.1,IF(G1974&gt;=5000,0.2,IF(G1974&gt;=1000,0.3,IF(G1974&gt;=0,0.4,{0}))))))</f>
        <v/>
      </c>
      <c r="P1974" s="400">
        <f>IF(AND(B1974="",C1974=""),"",ROUND(H1974*O1974,2))</f>
        <v/>
      </c>
      <c r="Q1974" s="401" t="inlineStr">
        <is>
          <t>箱体</t>
        </is>
      </c>
      <c r="R1974" s="168" t="inlineStr"/>
      <c r="S1974" s="168" t="inlineStr"/>
      <c r="T1974" s="168" t="inlineStr">
        <is>
          <t>0</t>
        </is>
      </c>
      <c r="U1974" s="168" t="inlineStr"/>
      <c r="V1974" s="402" t="n"/>
      <c r="W1974" s="402" t="n"/>
      <c r="X1974" s="170" t="inlineStr">
        <is>
          <t>BlokSeT</t>
        </is>
      </c>
    </row>
    <row r="1975" s="308">
      <c r="A1975" s="64">
        <f>ROW()-ROW(A$1956)</f>
        <v/>
      </c>
      <c r="B1975" s="22" t="inlineStr"/>
      <c r="C1975" s="22" t="inlineStr"/>
      <c r="D1975" s="22" t="inlineStr"/>
      <c r="E1975" s="23" t="n"/>
      <c r="F1975" s="23">
        <f>IF(AND(B1975="",C1975=""),"",1)</f>
        <v/>
      </c>
      <c r="G1975" s="349">
        <f>IF(AND(B1975="",C1975=""),"",ROUND(M1975*L1975*N1975,2))</f>
        <v/>
      </c>
      <c r="H1975" s="349">
        <f>IF(AND(B1975="",C1975=""),"",ROUND(F1975*G1975,2))</f>
        <v/>
      </c>
      <c r="I1975" s="45" t="inlineStr"/>
      <c r="J1975" s="397">
        <f>IF(AND(B1975="",C1975=""),"",ROUND(M1975*N1975,2))</f>
        <v/>
      </c>
      <c r="K1975" s="398">
        <f>IF(AND(B1975="",C1975=""),"",ROUND(J1975*F1975,2))</f>
        <v/>
      </c>
      <c r="L1975" s="200">
        <f>IF(AND(B1975="",C1975=""),"",1)</f>
        <v/>
      </c>
      <c r="M1975" s="399" t="n"/>
      <c r="N1975" s="154">
        <f>IF(AND(B1975="",C1975=""),"",1)</f>
        <v/>
      </c>
      <c r="O1975" s="155">
        <f>IF(AND(B1975="",C1975=""),"",IF(J1975&gt;=20000,0.05,IF(J1975&gt;=10000,0.1,IF(J1975&gt;=5000,0.2,IF(J1975&gt;=1000,0.3,IF(J1975&gt;=0,0.4,{0}))))))</f>
        <v/>
      </c>
      <c r="P1975" s="400">
        <f>IF(AND(B1975="",C1975=""),"",ROUND(H1975*O1975,2))</f>
        <v/>
      </c>
      <c r="Q1975" s="401">
        <f>IF(AND(B1975="",C1975=""),"","元件")</f>
        <v/>
      </c>
      <c r="R1975" s="168" t="inlineStr"/>
      <c r="S1975" s="168" t="inlineStr"/>
      <c r="T1975" s="168" t="inlineStr"/>
      <c r="U1975" s="168" t="inlineStr"/>
      <c r="V1975" s="402" t="n"/>
      <c r="W1975" s="402" t="n"/>
      <c r="X1975" s="170" t="inlineStr"/>
    </row>
    <row r="1976" s="308">
      <c r="A1976" s="64">
        <f>ROW()-ROW(A$1956)</f>
        <v/>
      </c>
      <c r="B1976" s="171" t="inlineStr">
        <is>
          <t>小计</t>
        </is>
      </c>
      <c r="C1976" s="172" t="n"/>
      <c r="D1976" s="204" t="n"/>
      <c r="E1976" s="114" t="n"/>
      <c r="F1976" s="114" t="n"/>
      <c r="G1976" s="396" t="n"/>
      <c r="H1976" s="396">
        <f>ROUND(SUM(H1956:INDEX(H:H,ROW()-1)),2)</f>
        <v/>
      </c>
      <c r="I1976" s="45" t="inlineStr"/>
      <c r="J1976" s="397" t="n"/>
      <c r="K1976" s="398">
        <f>ROUND(SUM(K1956:INDEX(K:K,ROW()-1)),2)</f>
        <v/>
      </c>
      <c r="L1976" s="200" t="n"/>
      <c r="M1976" s="399" t="n"/>
      <c r="N1976" s="154" t="n"/>
      <c r="O1976" s="155" t="n"/>
      <c r="P1976" s="400" t="n"/>
      <c r="Q1976" s="401" t="n"/>
      <c r="R1976" s="168" t="inlineStr"/>
      <c r="S1976" s="168" t="inlineStr"/>
      <c r="T1976" s="168" t="inlineStr"/>
      <c r="U1976" s="168" t="inlineStr"/>
      <c r="V1976" s="402">
        <f>ROUND(SUMPRODUCT(F1956:INDEX(F:F,ROW()-1),V1956:INDEX(V:V,ROW()-1)),2)</f>
        <v/>
      </c>
      <c r="W1976" s="402">
        <f>ROUND(SUMPRODUCT(F1956:INDEX(F:F,ROW()-1),W1956:INDEX(W:W,ROW()-1)),2)</f>
        <v/>
      </c>
      <c r="X1976" s="170" t="inlineStr"/>
    </row>
    <row r="1977" s="308">
      <c r="A1977" s="64">
        <f>ROW()-ROW(A$1956)</f>
        <v/>
      </c>
      <c r="B1977" s="171" t="inlineStr">
        <is>
          <t>综合费(人工、管理、税金、利润等)</t>
        </is>
      </c>
      <c r="C1977" s="172" t="n"/>
      <c r="D1977" s="204" t="n"/>
      <c r="E1977" s="114" t="n"/>
      <c r="F1977" s="114" t="n"/>
      <c r="G1977" s="396" t="n"/>
      <c r="H1977" s="396">
        <f>2500</f>
        <v/>
      </c>
      <c r="I1977" s="45" t="inlineStr"/>
      <c r="J1977" s="397" t="n"/>
      <c r="K1977" s="398" t="n"/>
      <c r="L1977" s="200" t="n"/>
      <c r="M1977" s="399" t="n"/>
      <c r="N1977" s="154" t="n"/>
      <c r="O1977" s="155" t="n"/>
      <c r="P1977" s="400" t="n"/>
      <c r="Q1977" s="401" t="inlineStr">
        <is>
          <t>费用</t>
        </is>
      </c>
      <c r="R1977" s="168" t="inlineStr"/>
      <c r="S1977" s="168" t="inlineStr"/>
      <c r="T1977" s="168" t="inlineStr"/>
      <c r="U1977" s="168" t="inlineStr"/>
      <c r="V1977" s="402" t="n"/>
      <c r="W1977" s="402" t="n"/>
      <c r="X1977" s="170" t="inlineStr"/>
    </row>
    <row r="1978" s="308">
      <c r="A1978" s="64">
        <f>ROW()-ROW(A$1956)</f>
        <v/>
      </c>
      <c r="B1978" s="204" t="inlineStr">
        <is>
          <t>单台合计</t>
        </is>
      </c>
      <c r="C1978" s="172" t="n"/>
      <c r="D1978" s="204" t="n"/>
      <c r="E1978" s="114" t="n"/>
      <c r="F1978" s="114" t="n"/>
      <c r="G1978" s="396" t="n"/>
      <c r="H1978" s="396">
        <f>ROUND(SUM(H1976:H1977),2)</f>
        <v/>
      </c>
      <c r="I1978" s="181" t="n"/>
      <c r="J1978" s="397" t="n"/>
      <c r="K1978" s="398">
        <f>ROUND(SUM(K1976:K1977),2)</f>
        <v/>
      </c>
      <c r="L1978" s="209" t="n"/>
      <c r="M1978" s="399" t="n"/>
      <c r="N1978" s="210" t="n"/>
      <c r="O1978" s="211" t="n"/>
      <c r="P1978" s="400" t="n"/>
      <c r="Q1978" s="401" t="n"/>
      <c r="R1978" s="168" t="inlineStr"/>
      <c r="S1978" s="168" t="inlineStr"/>
      <c r="T1978" s="168" t="inlineStr"/>
      <c r="U1978" s="168" t="inlineStr"/>
      <c r="V1978" s="402" t="n"/>
      <c r="W1978" s="402" t="n"/>
      <c r="X1978" s="170" t="inlineStr"/>
    </row>
    <row r="1979" s="308">
      <c r="A1979" s="173" t="inlineStr">
        <is>
          <t>总计</t>
        </is>
      </c>
      <c r="B1979" s="205" t="n"/>
      <c r="C1979" s="175" t="n"/>
      <c r="D1979" s="206" t="n"/>
      <c r="E1979" s="206" t="inlineStr">
        <is>
          <t>台</t>
        </is>
      </c>
      <c r="F1979" s="206" t="n">
        <v>2</v>
      </c>
      <c r="G1979" s="414">
        <f>ROUND(H1978,2)</f>
        <v/>
      </c>
      <c r="H1979" s="414">
        <f>ROUND(F1979*G1979,2)</f>
        <v/>
      </c>
      <c r="I1979" s="185" t="n"/>
      <c r="J1979" s="415" t="n"/>
      <c r="K1979" s="416">
        <f>ROUND(K1978*F1979,2)</f>
        <v/>
      </c>
      <c r="L1979" s="214" t="n"/>
      <c r="M1979" s="417" t="n"/>
      <c r="N1979" s="216" t="n"/>
      <c r="O1979" s="217" t="n"/>
      <c r="P1979" s="418" t="n"/>
      <c r="Q1979" s="401" t="n"/>
      <c r="R1979" s="168" t="inlineStr"/>
      <c r="S1979" s="168" t="inlineStr"/>
      <c r="T1979" s="168" t="inlineStr"/>
      <c r="U1979" s="168" t="inlineStr"/>
      <c r="V1979" s="402" t="n"/>
      <c r="W1979" s="402" t="n"/>
      <c r="X1979" s="170" t="inlineStr"/>
    </row>
    <row r="1980" customFormat="1" s="4">
      <c r="A1980" s="6" t="n"/>
      <c r="B1980" s="195" t="inlineStr"/>
      <c r="C1980" s="195" t="inlineStr"/>
      <c r="D1980" s="195" t="inlineStr"/>
      <c r="Q1980" s="159" t="n"/>
      <c r="R1980" s="159" t="n"/>
      <c r="S1980" s="159" t="n"/>
      <c r="T1980" s="159" t="n"/>
      <c r="U1980" s="159" t="n"/>
      <c r="X1980" s="195" t="inlineStr"/>
    </row>
    <row r="1981" customFormat="1" s="4">
      <c r="A1981" s="6" t="n"/>
      <c r="B1981" s="195" t="inlineStr"/>
      <c r="C1981" s="195" t="inlineStr"/>
      <c r="D1981" s="195" t="inlineStr"/>
      <c r="Q1981" s="159" t="n"/>
      <c r="R1981" s="159" t="n"/>
      <c r="S1981" s="159" t="n"/>
      <c r="T1981" s="159" t="n"/>
      <c r="U1981" s="159" t="n"/>
      <c r="X1981" s="195" t="inlineStr"/>
    </row>
    <row r="1982" s="308">
      <c r="A1982" s="208">
        <f>CONCATENATE("报价人：",项目信息!$B$8)</f>
        <v/>
      </c>
      <c r="B1982" s="208" t="n"/>
      <c r="C1982" s="4" t="n"/>
      <c r="D1982" s="4" t="n"/>
      <c r="E1982" s="4" t="n"/>
      <c r="F1982" s="4" t="n"/>
      <c r="G1982" s="4" t="n"/>
      <c r="H1982" s="178">
        <f>项目信息!$B$9</f>
        <v/>
      </c>
      <c r="Q1982" s="159" t="n"/>
      <c r="R1982" s="159" t="n"/>
      <c r="S1982" s="159" t="n"/>
      <c r="T1982" s="159" t="n"/>
      <c r="U1982" s="159" t="n"/>
      <c r="X1982" s="203" t="inlineStr"/>
    </row>
    <row r="1983" s="308">
      <c r="A1983" s="8">
        <f>T(项目信息!$B$22)</f>
        <v/>
      </c>
      <c r="Q1983" s="159" t="n"/>
      <c r="R1983" s="159" t="n"/>
      <c r="S1983" s="159" t="n"/>
      <c r="T1983" s="159" t="n"/>
      <c r="U1983" s="159" t="n"/>
    </row>
    <row r="1984" s="308">
      <c r="A1984" s="9">
        <f>T(项目信息!$B$23)</f>
        <v/>
      </c>
      <c r="Q1984" s="159" t="n"/>
      <c r="R1984" s="159" t="n"/>
      <c r="S1984" s="159" t="n"/>
      <c r="T1984" s="159" t="n"/>
      <c r="U1984" s="159" t="n"/>
    </row>
    <row r="1985" s="308">
      <c r="A1985" s="97" t="inlineStr">
        <is>
          <t>成套产品报价明细表</t>
        </is>
      </c>
      <c r="B1985" s="378" t="n"/>
      <c r="C1985" s="378" t="n"/>
      <c r="D1985" s="378" t="n"/>
      <c r="E1985" s="378" t="n"/>
      <c r="F1985" s="378" t="n"/>
      <c r="G1985" s="378" t="n"/>
      <c r="H1985" s="378" t="n"/>
      <c r="I1985" s="378" t="n"/>
      <c r="Q1985" s="159" t="n"/>
      <c r="R1985" s="159" t="n"/>
      <c r="S1985" s="159" t="n"/>
      <c r="T1985" s="159" t="n"/>
      <c r="U1985" s="159" t="n"/>
    </row>
    <row r="1986" customFormat="1" s="2">
      <c r="A1986" s="98" t="inlineStr">
        <is>
          <t>柜号:</t>
        </is>
      </c>
      <c r="B1986" s="99" t="inlineStr">
        <is>
          <t>T7-AU12、T5-BU12</t>
        </is>
      </c>
      <c r="C1986" s="100" t="inlineStr">
        <is>
          <t>型号:</t>
        </is>
      </c>
      <c r="D1986" s="99" t="inlineStr">
        <is>
          <t>BlokSeT</t>
        </is>
      </c>
      <c r="E1986" s="379" t="n"/>
      <c r="F1986" s="101" t="inlineStr">
        <is>
          <t>名称:</t>
        </is>
      </c>
      <c r="G1986" s="99" t="inlineStr">
        <is>
          <t>进线柜</t>
        </is>
      </c>
      <c r="H1986" s="379" t="n"/>
      <c r="I1986" s="380" t="inlineStr"/>
      <c r="J1986" s="131" t="inlineStr">
        <is>
          <t>箱柜尺寸:</t>
        </is>
      </c>
      <c r="K1986" s="132" t="inlineStr">
        <is>
          <t>400W*1200D*2200H</t>
        </is>
      </c>
      <c r="L1986" s="131" t="inlineStr">
        <is>
          <t>类别:</t>
        </is>
      </c>
      <c r="M1986" s="132" t="inlineStr">
        <is>
          <t>低压固定柜</t>
        </is>
      </c>
      <c r="N1986" s="381" t="inlineStr"/>
      <c r="Q1986" s="160" t="n"/>
      <c r="R1986" s="160" t="n"/>
      <c r="S1986" s="160" t="n"/>
      <c r="T1986" s="160" t="n"/>
      <c r="U1986" s="160" t="n"/>
    </row>
    <row r="1987" ht="20.1" customFormat="1" customHeight="1" s="3">
      <c r="A1987" s="102" t="inlineStr">
        <is>
          <t>序号</t>
        </is>
      </c>
      <c r="B1987" s="103" t="inlineStr">
        <is>
          <t>元件名称</t>
        </is>
      </c>
      <c r="C1987" s="103" t="inlineStr">
        <is>
          <t>型号规格</t>
        </is>
      </c>
      <c r="D1987" s="104" t="inlineStr">
        <is>
          <t>生产厂家</t>
        </is>
      </c>
      <c r="E1987" s="105" t="inlineStr">
        <is>
          <t>单位</t>
        </is>
      </c>
      <c r="F1987" s="105" t="inlineStr">
        <is>
          <t>数量</t>
        </is>
      </c>
      <c r="G1987" s="382" t="inlineStr">
        <is>
          <t>单   价</t>
        </is>
      </c>
      <c r="H1987" s="383" t="inlineStr">
        <is>
          <t>总   价</t>
        </is>
      </c>
      <c r="I1987" s="134" t="inlineStr">
        <is>
          <t>备注</t>
        </is>
      </c>
      <c r="J1987" s="384" t="inlineStr">
        <is>
          <t>成本单价</t>
        </is>
      </c>
      <c r="K1987" s="384" t="inlineStr">
        <is>
          <t>成本总价</t>
        </is>
      </c>
      <c r="L1987" s="136" t="inlineStr">
        <is>
          <t>报出
系数</t>
        </is>
      </c>
      <c r="M1987" s="384" t="inlineStr">
        <is>
          <t>表价</t>
        </is>
      </c>
      <c r="N1987" s="136" t="inlineStr">
        <is>
          <t>折扣
系数</t>
        </is>
      </c>
      <c r="O1987" s="137" t="inlineStr">
        <is>
          <t>取费
系数</t>
        </is>
      </c>
      <c r="P1987" s="384" t="inlineStr">
        <is>
          <t>成套费</t>
        </is>
      </c>
      <c r="Q1987" s="161" t="inlineStr">
        <is>
          <t>类别</t>
        </is>
      </c>
      <c r="R1987" s="161" t="inlineStr">
        <is>
          <t>物料编码</t>
        </is>
      </c>
      <c r="S1987" s="161" t="inlineStr">
        <is>
          <t>产地</t>
        </is>
      </c>
      <c r="T1987" s="161" t="inlineStr">
        <is>
          <t>加工费</t>
        </is>
      </c>
      <c r="U1987" s="161" t="inlineStr">
        <is>
          <t>订货号</t>
        </is>
      </c>
      <c r="V1987" s="161" t="inlineStr">
        <is>
          <t>人工</t>
        </is>
      </c>
      <c r="W1987" s="161" t="inlineStr">
        <is>
          <t>辅料</t>
        </is>
      </c>
      <c r="X1987" s="162" t="inlineStr"/>
    </row>
    <row r="1988" customFormat="1" s="3">
      <c r="A1988" s="108">
        <f>ROW()-ROW(A$1987)</f>
        <v/>
      </c>
      <c r="B1988" s="109" t="inlineStr">
        <is>
          <t>双电源</t>
        </is>
      </c>
      <c r="C1988" s="22" t="inlineStr">
        <is>
          <t>MT12 N1a SG 3P MIC5.0 E</t>
        </is>
      </c>
      <c r="D1988" s="22" t="inlineStr">
        <is>
          <t>甲供/施耐德电气</t>
        </is>
      </c>
      <c r="E1988" s="110" t="inlineStr">
        <is>
          <t>只</t>
        </is>
      </c>
      <c r="F1988" s="110" t="n">
        <v>1</v>
      </c>
      <c r="G1988" s="385">
        <f>IF(AND(B1988="",C1988=""),"",ROUND(M1988*L1988*N1988,2))</f>
        <v/>
      </c>
      <c r="H1988" s="385">
        <f>IF(AND(B1988="",C1988=""),"",ROUND(F1988*G1988,2))</f>
        <v/>
      </c>
      <c r="I1988" s="138" t="inlineStr"/>
      <c r="J1988" s="386">
        <f>IF(AND(B1988="",C1988=""),"",ROUND(M1988*N1988,2))</f>
        <v/>
      </c>
      <c r="K1988" s="387">
        <f>IF(AND(B1988="",C1988=""),"",ROUND(J1988*F1988,2))</f>
        <v/>
      </c>
      <c r="L1988" s="141" t="n">
        <v>1</v>
      </c>
      <c r="M1988" s="388" t="n">
        <v>1e-07</v>
      </c>
      <c r="N1988" s="143" t="n">
        <v>1</v>
      </c>
      <c r="O1988" s="144">
        <f>IF(AND(B1988="",C1988=""),"",IF(G1988&gt;=20000,0.05,IF(G1988&gt;=10000,0.1,IF(G1988&gt;=5000,0.2,IF(G1988&gt;=1000,0.3,IF(G1988&gt;=0,0.4,{0}))))))</f>
        <v/>
      </c>
      <c r="P1988" s="389">
        <f>IF(AND(B1988="",C1988=""),"",ROUND(H1988*O1988,2))</f>
        <v/>
      </c>
      <c r="Q1988" s="390" t="inlineStr">
        <is>
          <t>元件</t>
        </is>
      </c>
      <c r="R1988" s="164" t="inlineStr"/>
      <c r="S1988" s="164" t="inlineStr"/>
      <c r="T1988" s="164" t="inlineStr">
        <is>
          <t>0</t>
        </is>
      </c>
      <c r="U1988" s="164" t="inlineStr">
        <is>
          <t>48327+48500+33542+48527+48494+48484+48408+48603+48170+48175+48384</t>
        </is>
      </c>
      <c r="V1988" s="391" t="n"/>
      <c r="W1988" s="391" t="n"/>
      <c r="X1988"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1989" customFormat="1" s="3">
      <c r="A1989" s="64">
        <f>ROW()-ROW(A$1987)</f>
        <v/>
      </c>
      <c r="B1989" s="27" t="inlineStr">
        <is>
          <t>多功能表</t>
        </is>
      </c>
      <c r="C1989" s="22" t="inlineStr">
        <is>
          <t>PM4101</t>
        </is>
      </c>
      <c r="D1989" s="22" t="inlineStr">
        <is>
          <t>甲供/施耐德电气</t>
        </is>
      </c>
      <c r="E1989" s="110" t="inlineStr">
        <is>
          <t>只</t>
        </is>
      </c>
      <c r="F1989" s="23" t="n">
        <v>1</v>
      </c>
      <c r="G1989" s="353">
        <f>IF(AND(B1989="",C1989=""),"",ROUND(M1989*L1989*N1989,2))</f>
        <v/>
      </c>
      <c r="H1989" s="349">
        <f>IF(AND(B1989="",C1989=""),"",ROUND(F1989*G1989,2))</f>
        <v/>
      </c>
      <c r="I1989" s="45" t="inlineStr"/>
      <c r="J1989" s="392">
        <f>IF(AND(B1989="",C1989=""),"",ROUND(M1989*N1989,2))</f>
        <v/>
      </c>
      <c r="K1989" s="393">
        <f>IF(AND(B1989="",C1989=""),"",ROUND(J1989*F1989,2))</f>
        <v/>
      </c>
      <c r="L1989" s="141" t="n">
        <v>1</v>
      </c>
      <c r="M1989" s="394" t="n">
        <v>1e-07</v>
      </c>
      <c r="N1989" s="143" t="n">
        <v>1</v>
      </c>
      <c r="O1989" s="144">
        <f>IF(AND(B1989="",C1989=""),"",IF(G1989&gt;=20000,0.05,IF(G1989&gt;=10000,0.1,IF(G1989&gt;=5000,0.2,IF(G1989&gt;=1000,0.3,IF(G1989&gt;=0,0.4,{0}))))))</f>
        <v/>
      </c>
      <c r="P1989" s="395">
        <f>IF(AND(B1989="",C1989=""),"",ROUND(H1989*O1989,2))</f>
        <v/>
      </c>
      <c r="Q1989" s="390" t="inlineStr">
        <is>
          <t>元件</t>
        </is>
      </c>
      <c r="R1989" s="164" t="inlineStr"/>
      <c r="S1989" s="164" t="inlineStr"/>
      <c r="T1989" s="164" t="inlineStr">
        <is>
          <t>0</t>
        </is>
      </c>
      <c r="U1989" s="164" t="inlineStr">
        <is>
          <t>True</t>
        </is>
      </c>
      <c r="V1989" s="391" t="n"/>
      <c r="W1989" s="391" t="n"/>
      <c r="X1989" s="166" t="inlineStr">
        <is>
          <t>PM→PM4633→PM4201</t>
        </is>
      </c>
    </row>
    <row r="1990" customFormat="1" s="3">
      <c r="A1990" s="64">
        <f>ROW()-ROW(A$1987)</f>
        <v/>
      </c>
      <c r="B1990" s="27" t="inlineStr">
        <is>
          <t>电流互感器</t>
        </is>
      </c>
      <c r="C1990" s="22" t="inlineStr">
        <is>
          <t>SD-0.66-80II-V 1250/5A</t>
        </is>
      </c>
      <c r="D1990" s="27" t="inlineStr">
        <is>
          <t>桑迪</t>
        </is>
      </c>
      <c r="E1990" s="110" t="inlineStr">
        <is>
          <t>只</t>
        </is>
      </c>
      <c r="F1990" s="23" t="n">
        <v>3</v>
      </c>
      <c r="G1990" s="349">
        <f>IF(AND(B1990="",C1990=""),"",ROUND(M1990*L1990*N1990,2))</f>
        <v/>
      </c>
      <c r="H1990" s="349">
        <f>IF(AND(B1990="",C1990=""),"",ROUND(F1990*G1990,2))</f>
        <v/>
      </c>
      <c r="I1990" s="45" t="inlineStr"/>
      <c r="J1990" s="392">
        <f>IF(AND(B1990="",C1990=""),"",ROUND(M1990*N1990,2))</f>
        <v/>
      </c>
      <c r="K1990" s="393">
        <f>IF(AND(B1990="",C1990=""),"",ROUND(J1990*F1990,2))</f>
        <v/>
      </c>
      <c r="L1990" s="141" t="n">
        <v>1</v>
      </c>
      <c r="M1990" s="394" t="n">
        <v>115.7</v>
      </c>
      <c r="N1990" s="143" t="n">
        <v>1</v>
      </c>
      <c r="O1990" s="144">
        <f>IF(AND(B1990="",C1990=""),"",IF(G1990&gt;=20000,0.05,IF(G1990&gt;=10000,0.1,IF(G1990&gt;=5000,0.2,IF(G1990&gt;=1000,0.3,IF(G1990&gt;=0,0.4,{0}))))))</f>
        <v/>
      </c>
      <c r="P1990" s="395">
        <f>IF(AND(B1990="",C1990=""),"",ROUND(H1990*O1990,2))</f>
        <v/>
      </c>
      <c r="Q1990" s="390" t="inlineStr">
        <is>
          <t>元件</t>
        </is>
      </c>
      <c r="R1990" s="164" t="inlineStr"/>
      <c r="S1990" s="164" t="inlineStr"/>
      <c r="T1990" s="164" t="inlineStr">
        <is>
          <t>0</t>
        </is>
      </c>
      <c r="U1990" s="164" t="inlineStr">
        <is>
          <t>710141426552500</t>
        </is>
      </c>
      <c r="V1990" s="391" t="n"/>
      <c r="W1990" s="391" t="n"/>
      <c r="X1990"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1600/5A→SD-0.66-160III-C 5000/5A→SD-0.66-130III-V 3000/5A→SD-0.66-100II-C 2000/5A→SD-0.66-80II-V 800/5A→SD-0.66-80II-V 1000/5A</t>
        </is>
      </c>
    </row>
    <row r="1991" customFormat="1" s="3">
      <c r="A1991" s="64">
        <f>ROW()-ROW(A$1987)</f>
        <v/>
      </c>
      <c r="B1991" s="27" t="inlineStr">
        <is>
          <t>后备保护器</t>
        </is>
      </c>
      <c r="C1991" s="22" t="inlineStr">
        <is>
          <t>iSCB2 40H2 4P</t>
        </is>
      </c>
      <c r="D1991" s="22" t="inlineStr">
        <is>
          <t>甲供/施耐德万高</t>
        </is>
      </c>
      <c r="E1991" s="110" t="inlineStr">
        <is>
          <t>只</t>
        </is>
      </c>
      <c r="F1991" s="23" t="n">
        <v>1</v>
      </c>
      <c r="G1991" s="349">
        <f>IF(AND(B1991="",C1991=""),"",ROUND(M1991*L1991*N1991,2))</f>
        <v/>
      </c>
      <c r="H1991" s="349">
        <f>IF(AND(B1991="",C1991=""),"",ROUND(F1991*G1991,2))</f>
        <v/>
      </c>
      <c r="I1991" s="45" t="inlineStr"/>
      <c r="J1991" s="392">
        <f>IF(AND(B1991="",C1991=""),"",ROUND(M1991*N1991,2))</f>
        <v/>
      </c>
      <c r="K1991" s="393">
        <f>IF(AND(B1991="",C1991=""),"",ROUND(J1991*F1991,2))</f>
        <v/>
      </c>
      <c r="L1991" s="141" t="n">
        <v>1</v>
      </c>
      <c r="M1991" s="394" t="n">
        <v>1e-07</v>
      </c>
      <c r="N1991" s="143" t="n">
        <v>1</v>
      </c>
      <c r="O1991" s="144">
        <f>IF(AND(B1991="",C1991=""),"",IF(G1991&gt;=20000,0.05,IF(G1991&gt;=10000,0.1,IF(G1991&gt;=5000,0.2,IF(G1991&gt;=1000,0.3,IF(G1991&gt;=0,0.4,{0}))))))</f>
        <v/>
      </c>
      <c r="P1991" s="395">
        <f>IF(AND(B1991="",C1991=""),"",ROUND(H1991*O1991,2))</f>
        <v/>
      </c>
      <c r="Q1991" s="390" t="inlineStr">
        <is>
          <t>元件</t>
        </is>
      </c>
      <c r="R1991" s="164" t="inlineStr"/>
      <c r="S1991" s="164" t="inlineStr"/>
      <c r="T1991" s="164" t="inlineStr">
        <is>
          <t>0</t>
        </is>
      </c>
      <c r="U1991" s="164" t="inlineStr">
        <is>
          <t>A9L102554</t>
        </is>
      </c>
      <c r="V1991" s="391" t="n"/>
      <c r="W1991" s="391" t="n"/>
      <c r="X1991" s="166" t="inlineStr">
        <is>
          <t>iSCB1 25L1 4P→iSCB2 40H2 4P</t>
        </is>
      </c>
    </row>
    <row r="1992" customFormat="1" s="3">
      <c r="A1992" s="64">
        <f>ROW()-ROW(A$1987)</f>
        <v/>
      </c>
      <c r="B1992" s="27" t="inlineStr">
        <is>
          <t>电涌保护器</t>
        </is>
      </c>
      <c r="C1992" s="22" t="inlineStr">
        <is>
          <t>iPRU 40r 3P+N</t>
        </is>
      </c>
      <c r="D1992" s="22" t="inlineStr">
        <is>
          <t>甲供/施耐德万高</t>
        </is>
      </c>
      <c r="E1992" s="110" t="inlineStr">
        <is>
          <t>只</t>
        </is>
      </c>
      <c r="F1992" s="23" t="n">
        <v>1</v>
      </c>
      <c r="G1992" s="349">
        <f>IF(AND(B1992="",C1992=""),"",ROUND(M1992*L1992*N1992,2))</f>
        <v/>
      </c>
      <c r="H1992" s="349">
        <f>IF(AND(B1992="",C1992=""),"",ROUND(F1992*G1992,2))</f>
        <v/>
      </c>
      <c r="I1992" s="45" t="inlineStr"/>
      <c r="J1992" s="392">
        <f>IF(AND(B1992="",C1992=""),"",ROUND(M1992*N1992,2))</f>
        <v/>
      </c>
      <c r="K1992" s="393">
        <f>IF(AND(B1992="",C1992=""),"",ROUND(J1992*F1992,2))</f>
        <v/>
      </c>
      <c r="L1992" s="141" t="n">
        <v>1</v>
      </c>
      <c r="M1992" s="394" t="n">
        <v>1e-07</v>
      </c>
      <c r="N1992" s="143" t="n">
        <v>1</v>
      </c>
      <c r="O1992" s="144">
        <f>IF(AND(B1992="",C1992=""),"",IF(G1992&gt;=20000,0.05,IF(G1992&gt;=10000,0.1,IF(G1992&gt;=5000,0.2,IF(G1992&gt;=1000,0.3,IF(G1992&gt;=0,0.4,{0}))))))</f>
        <v/>
      </c>
      <c r="P1992" s="395">
        <f>IF(AND(B1992="",C1992=""),"",ROUND(H1992*O1992,2))</f>
        <v/>
      </c>
      <c r="Q1992" s="390" t="inlineStr">
        <is>
          <t>元件</t>
        </is>
      </c>
      <c r="R1992" s="164" t="inlineStr"/>
      <c r="S1992" s="164" t="inlineStr"/>
      <c r="T1992" s="164" t="inlineStr">
        <is>
          <t>0</t>
        </is>
      </c>
      <c r="U1992" s="164" t="inlineStr">
        <is>
          <t>A9L620601</t>
        </is>
      </c>
      <c r="V1992" s="391" t="n"/>
      <c r="W1992" s="391" t="n"/>
      <c r="X1992" s="166" t="inlineStr">
        <is>
          <t>iPRF1 12.5r 3P+N→iPRU 40r 3P→iPRF1 12.5r 3P+N</t>
        </is>
      </c>
    </row>
    <row r="1993" customFormat="1" s="3">
      <c r="A1993" s="64">
        <f>ROW()-ROW(A$1987)</f>
        <v/>
      </c>
      <c r="B1993" s="27" t="inlineStr">
        <is>
          <t>微型断路器</t>
        </is>
      </c>
      <c r="C1993" s="22" t="inlineStr">
        <is>
          <t>iC65H 2P C16A</t>
        </is>
      </c>
      <c r="D1993" s="22" t="inlineStr">
        <is>
          <t>甲供/施耐德电气</t>
        </is>
      </c>
      <c r="E1993" s="110" t="inlineStr">
        <is>
          <t>只</t>
        </is>
      </c>
      <c r="F1993" s="23" t="n">
        <v>2</v>
      </c>
      <c r="G1993" s="349">
        <f>IF(AND(B1993="",C1993=""),"",ROUND(M1993*L1993*N1993,2))</f>
        <v/>
      </c>
      <c r="H1993" s="349">
        <f>IF(AND(B1993="",C1993=""),"",ROUND(F1993*G1993,2))</f>
        <v/>
      </c>
      <c r="I1993" s="45" t="inlineStr"/>
      <c r="J1993" s="392">
        <f>IF(AND(B1993="",C1993=""),"",ROUND(M1993*N1993,2))</f>
        <v/>
      </c>
      <c r="K1993" s="393">
        <f>IF(AND(B1993="",C1993=""),"",ROUND(J1993*F1993,2))</f>
        <v/>
      </c>
      <c r="L1993" s="141" t="n">
        <v>1</v>
      </c>
      <c r="M1993" s="394" t="n">
        <v>1e-07</v>
      </c>
      <c r="N1993" s="143" t="n">
        <v>1</v>
      </c>
      <c r="O1993" s="144">
        <f>IF(AND(B1993="",C1993=""),"",IF(G1993&gt;=20000,0.05,IF(G1993&gt;=10000,0.1,IF(G1993&gt;=5000,0.2,IF(G1993&gt;=1000,0.3,IF(G1993&gt;=0,0.4,{0}))))))</f>
        <v/>
      </c>
      <c r="P1993" s="395">
        <f>IF(AND(B1993="",C1993=""),"",ROUND(H1993*O1993,2))</f>
        <v/>
      </c>
      <c r="Q1993" s="390" t="inlineStr">
        <is>
          <t>元件</t>
        </is>
      </c>
      <c r="R1993" s="164" t="inlineStr"/>
      <c r="S1993" s="164" t="inlineStr"/>
      <c r="T1993" s="164" t="n">
        <v>0</v>
      </c>
      <c r="U1993" s="164" t="inlineStr"/>
      <c r="V1993" s="391" t="n"/>
      <c r="W1993" s="391" t="n"/>
      <c r="X1993" s="166" t="inlineStr"/>
    </row>
    <row r="1994" s="308">
      <c r="A1994" s="64">
        <f>ROW()-ROW(A$1987)</f>
        <v/>
      </c>
      <c r="B1994" s="112" t="inlineStr">
        <is>
          <t>温湿度控制器</t>
        </is>
      </c>
      <c r="C1994" s="112" t="inlineStr">
        <is>
          <t>ATH48G-11</t>
        </is>
      </c>
      <c r="D1994" s="22" t="inlineStr">
        <is>
          <t>杭州安廷</t>
        </is>
      </c>
      <c r="E1994" s="23" t="inlineStr">
        <is>
          <t>套</t>
        </is>
      </c>
      <c r="F1994" s="23" t="n">
        <v>1</v>
      </c>
      <c r="G1994" s="349">
        <f>IF(AND(B1994="",C1994=""),"",ROUND(M1994*L1994*N1994,2))</f>
        <v/>
      </c>
      <c r="H1994" s="396">
        <f>IF(AND(B1994="",C1994=""),"",ROUND(F1994*G1994,2))</f>
        <v/>
      </c>
      <c r="I1994" s="150" t="inlineStr"/>
      <c r="J1994" s="397">
        <f>IF(AND(B1994="",C1994=""),"",ROUND(M1994*N1994,2))</f>
        <v/>
      </c>
      <c r="K1994" s="398">
        <f>IF(AND(B1994="",C1994=""),"",ROUND(J1994*F1994,2))</f>
        <v/>
      </c>
      <c r="L1994" s="141" t="n">
        <v>1</v>
      </c>
      <c r="M1994" s="399" t="n">
        <v>450</v>
      </c>
      <c r="N1994" s="154" t="n">
        <v>1</v>
      </c>
      <c r="O1994" s="155">
        <f>IF(AND(B1994="",C1994=""),"",IF(G1994&gt;=20000,0.05,IF(G1994&gt;=10000,0.1,IF(G1994&gt;=5000,0.2,IF(G1994&gt;=1000,0.3,IF(G1994&gt;=0,0.4,{0}))))))</f>
        <v/>
      </c>
      <c r="P1994" s="400">
        <f>IF(AND(B1994="",C1994=""),"",ROUND(H1994*O1994,2))</f>
        <v/>
      </c>
      <c r="Q1994" s="401" t="inlineStr">
        <is>
          <t>元件</t>
        </is>
      </c>
      <c r="R1994" s="168" t="inlineStr"/>
      <c r="S1994" s="168" t="inlineStr"/>
      <c r="T1994" s="168" t="inlineStr">
        <is>
          <t>0</t>
        </is>
      </c>
      <c r="U1994" s="168" t="inlineStr"/>
      <c r="V1994" s="402" t="n"/>
      <c r="W1994" s="402" t="n"/>
      <c r="X1994" s="170" t="inlineStr"/>
    </row>
    <row r="1995" s="308">
      <c r="A1995" s="64">
        <f>ROW()-ROW(A$1987)</f>
        <v/>
      </c>
      <c r="B1995" s="112" t="inlineStr">
        <is>
          <t>指示灯</t>
        </is>
      </c>
      <c r="C1995" s="112" t="inlineStr">
        <is>
          <t>XB2BVM3LC</t>
        </is>
      </c>
      <c r="D1995" s="112" t="inlineStr">
        <is>
          <t>甲供/施耐德电气</t>
        </is>
      </c>
      <c r="E1995" s="114" t="inlineStr">
        <is>
          <t>只</t>
        </is>
      </c>
      <c r="F1995" s="114" t="n">
        <v>1</v>
      </c>
      <c r="G1995" s="396">
        <f>IF(AND(B1995="",C1995=""),"",ROUND(M1995*L1995*N1995,2))</f>
        <v/>
      </c>
      <c r="H1995" s="396">
        <f>IF(AND(B1995="",C1995=""),"",ROUND(F1995*G1995,2))</f>
        <v/>
      </c>
      <c r="I1995" s="150" t="inlineStr"/>
      <c r="J1995" s="397">
        <f>IF(AND(B1995="",C1995=""),"",ROUND(M1995*N1995,2))</f>
        <v/>
      </c>
      <c r="K1995" s="398">
        <f>IF(AND(B1995="",C1995=""),"",ROUND(J1995*F1995,2))</f>
        <v/>
      </c>
      <c r="L1995" s="141" t="n">
        <v>1</v>
      </c>
      <c r="M1995" s="399" t="n">
        <v>1e-07</v>
      </c>
      <c r="N1995" s="154" t="n">
        <v>1</v>
      </c>
      <c r="O1995" s="155">
        <f>IF(AND(B1995="",C1995=""),"",IF(G1995&gt;=20000,0.05,IF(G1995&gt;=10000,0.1,IF(G1995&gt;=5000,0.2,IF(G1995&gt;=1000,0.3,IF(G1995&gt;=0,0.4,{0}))))))</f>
        <v/>
      </c>
      <c r="P1995" s="400">
        <f>IF(AND(B1995="",C1995=""),"",ROUND(H1995*O1995,2))</f>
        <v/>
      </c>
      <c r="Q1995" s="401" t="inlineStr">
        <is>
          <t>元件</t>
        </is>
      </c>
      <c r="R1995" s="168" t="inlineStr"/>
      <c r="S1995" s="168" t="inlineStr"/>
      <c r="T1995" s="168" t="inlineStr">
        <is>
          <t>0</t>
        </is>
      </c>
      <c r="U1995" s="168" t="inlineStr">
        <is>
          <t>XA2EVM3LC</t>
        </is>
      </c>
      <c r="V1995" s="402" t="n"/>
      <c r="W1995" s="402" t="n"/>
      <c r="X1995" s="170" t="inlineStr"/>
    </row>
    <row r="1996" s="308">
      <c r="A1996" s="64">
        <f>ROW()-ROW(A$1987)</f>
        <v/>
      </c>
      <c r="B1996" s="112" t="inlineStr">
        <is>
          <t>指示灯</t>
        </is>
      </c>
      <c r="C1996" s="22" t="inlineStr">
        <is>
          <t>XB2BVM4LC</t>
        </is>
      </c>
      <c r="D1996" s="112" t="inlineStr">
        <is>
          <t>甲供/施耐德电气</t>
        </is>
      </c>
      <c r="E1996" s="114" t="inlineStr">
        <is>
          <t>只</t>
        </is>
      </c>
      <c r="F1996" s="114" t="n">
        <v>1</v>
      </c>
      <c r="G1996" s="396">
        <f>IF(AND(B1996="",C1996=""),"",ROUND(M1996*L1996*N1996,2))</f>
        <v/>
      </c>
      <c r="H1996" s="396">
        <f>IF(AND(B1996="",C1996=""),"",ROUND(F1996*G1996,2))</f>
        <v/>
      </c>
      <c r="I1996" s="150" t="inlineStr"/>
      <c r="J1996" s="397">
        <f>IF(AND(B1996="",C1996=""),"",ROUND(M1996*N1996,2))</f>
        <v/>
      </c>
      <c r="K1996" s="398">
        <f>IF(AND(B1996="",C1996=""),"",ROUND(J1996*F1996,2))</f>
        <v/>
      </c>
      <c r="L1996" s="141" t="n">
        <v>1</v>
      </c>
      <c r="M1996" s="399" t="n">
        <v>1e-07</v>
      </c>
      <c r="N1996" s="154" t="n">
        <v>1</v>
      </c>
      <c r="O1996" s="155">
        <f>IF(AND(B1996="",C1996=""),"",IF(G1996&gt;=20000,0.05,IF(G1996&gt;=10000,0.1,IF(G1996&gt;=5000,0.2,IF(G1996&gt;=1000,0.3,IF(G1996&gt;=0,0.4,{0}))))))</f>
        <v/>
      </c>
      <c r="P1996" s="400">
        <f>IF(AND(B1996="",C1996=""),"",ROUND(H1996*O1996,2))</f>
        <v/>
      </c>
      <c r="Q1996" s="401" t="inlineStr">
        <is>
          <t>元件</t>
        </is>
      </c>
      <c r="R1996" s="168" t="inlineStr"/>
      <c r="S1996" s="168" t="inlineStr"/>
      <c r="T1996" s="168" t="inlineStr">
        <is>
          <t>0</t>
        </is>
      </c>
      <c r="U1996" s="168" t="inlineStr">
        <is>
          <t>XA2EVM4LC</t>
        </is>
      </c>
      <c r="V1996" s="402" t="n"/>
      <c r="W1996" s="402" t="n"/>
      <c r="X1996" s="170" t="inlineStr"/>
    </row>
    <row r="1997" s="308">
      <c r="A1997" s="64">
        <f>ROW()-ROW(A$1987)</f>
        <v/>
      </c>
      <c r="B1997" s="112" t="inlineStr">
        <is>
          <t>指示灯</t>
        </is>
      </c>
      <c r="C1997" s="112" t="inlineStr">
        <is>
          <t>XB2BVM5LC</t>
        </is>
      </c>
      <c r="D1997" s="112" t="inlineStr">
        <is>
          <t>甲供/施耐德电气</t>
        </is>
      </c>
      <c r="E1997" s="114" t="inlineStr">
        <is>
          <t>只</t>
        </is>
      </c>
      <c r="F1997" s="114" t="n">
        <v>1</v>
      </c>
      <c r="G1997" s="396">
        <f>IF(AND(B1997="",C1997=""),"",ROUND(M1997*L1997*N1997,2))</f>
        <v/>
      </c>
      <c r="H1997" s="396">
        <f>IF(AND(B1997="",C1997=""),"",ROUND(F1997*G1997,2))</f>
        <v/>
      </c>
      <c r="I1997" s="150" t="inlineStr"/>
      <c r="J1997" s="397">
        <f>IF(AND(B1997="",C1997=""),"",ROUND(M1997*N1997,2))</f>
        <v/>
      </c>
      <c r="K1997" s="398">
        <f>IF(AND(B1997="",C1997=""),"",ROUND(J1997*F1997,2))</f>
        <v/>
      </c>
      <c r="L1997" s="141" t="n">
        <v>1</v>
      </c>
      <c r="M1997" s="399" t="n">
        <v>1e-07</v>
      </c>
      <c r="N1997" s="154" t="n">
        <v>1</v>
      </c>
      <c r="O1997" s="155">
        <f>IF(AND(B1997="",C1997=""),"",IF(G1997&gt;=20000,0.05,IF(G1997&gt;=10000,0.1,IF(G1997&gt;=5000,0.2,IF(G1997&gt;=1000,0.3,IF(G1997&gt;=0,0.4,{0}))))))</f>
        <v/>
      </c>
      <c r="P1997" s="400">
        <f>IF(AND(B1997="",C1997=""),"",ROUND(H1997*O1997,2))</f>
        <v/>
      </c>
      <c r="Q1997" s="401" t="inlineStr">
        <is>
          <t>元件</t>
        </is>
      </c>
      <c r="R1997" s="168" t="inlineStr"/>
      <c r="S1997" s="168" t="inlineStr"/>
      <c r="T1997" s="168" t="inlineStr">
        <is>
          <t>0</t>
        </is>
      </c>
      <c r="U1997" s="168" t="inlineStr">
        <is>
          <t>XA2EVM5LC</t>
        </is>
      </c>
      <c r="V1997" s="402" t="n"/>
      <c r="W1997" s="402" t="n"/>
      <c r="X1997" s="170" t="inlineStr"/>
    </row>
    <row r="1998" s="308">
      <c r="A1998" s="64">
        <f>ROW()-ROW(A$1987)</f>
        <v/>
      </c>
      <c r="B1998" s="112" t="inlineStr">
        <is>
          <t>按钮</t>
        </is>
      </c>
      <c r="C1998" s="112" t="inlineStr">
        <is>
          <t>XB2BA31C</t>
        </is>
      </c>
      <c r="D1998" s="112" t="inlineStr">
        <is>
          <t>甲供/施耐德电气</t>
        </is>
      </c>
      <c r="E1998" s="114" t="inlineStr">
        <is>
          <t>只</t>
        </is>
      </c>
      <c r="F1998" s="114" t="n">
        <v>1</v>
      </c>
      <c r="G1998" s="396">
        <f>IF(AND(B1998="",C1998=""),"",ROUND(M1998*L1998*N1998,2))</f>
        <v/>
      </c>
      <c r="H1998" s="396">
        <f>IF(AND(B1998="",C1998=""),"",ROUND(F1998*G1998,2))</f>
        <v/>
      </c>
      <c r="I1998" s="150" t="inlineStr"/>
      <c r="J1998" s="397">
        <f>IF(AND(B1998="",C1998=""),"",ROUND(M1998*N1998,2))</f>
        <v/>
      </c>
      <c r="K1998" s="398">
        <f>IF(AND(B1998="",C1998=""),"",ROUND(J1998*F1998,2))</f>
        <v/>
      </c>
      <c r="L1998" s="141" t="n">
        <v>1</v>
      </c>
      <c r="M1998" s="399" t="n">
        <v>1e-07</v>
      </c>
      <c r="N1998" s="154" t="n">
        <v>1</v>
      </c>
      <c r="O1998" s="155">
        <f>IF(AND(B1998="",C1998=""),"",IF(G1998&gt;=20000,0.05,IF(G1998&gt;=10000,0.1,IF(G1998&gt;=5000,0.2,IF(G1998&gt;=1000,0.3,IF(G1998&gt;=0,0.4,{0}))))))</f>
        <v/>
      </c>
      <c r="P1998" s="400">
        <f>IF(AND(B1998="",C1998=""),"",ROUND(H1998*O1998,2))</f>
        <v/>
      </c>
      <c r="Q1998" s="401" t="inlineStr">
        <is>
          <t>元件</t>
        </is>
      </c>
      <c r="R1998" s="168" t="inlineStr"/>
      <c r="S1998" s="168" t="inlineStr"/>
      <c r="T1998" s="168" t="inlineStr">
        <is>
          <t>0</t>
        </is>
      </c>
      <c r="U1998" s="168" t="inlineStr">
        <is>
          <t>XB2BA31C</t>
        </is>
      </c>
      <c r="V1998" s="402" t="n"/>
      <c r="W1998" s="402" t="n"/>
      <c r="X1998" s="170" t="inlineStr">
        <is>
          <t>XA2EA31</t>
        </is>
      </c>
    </row>
    <row r="1999" s="308">
      <c r="A1999" s="64">
        <f>ROW()-ROW(A$1987)</f>
        <v/>
      </c>
      <c r="B1999" s="22" t="inlineStr">
        <is>
          <t>按钮</t>
        </is>
      </c>
      <c r="C1999" s="22" t="inlineStr">
        <is>
          <t>XB2BA42C</t>
        </is>
      </c>
      <c r="D1999" s="22" t="inlineStr">
        <is>
          <t>甲供/施耐德电气</t>
        </is>
      </c>
      <c r="E1999" s="23" t="inlineStr">
        <is>
          <t>只</t>
        </is>
      </c>
      <c r="F1999" s="23" t="n">
        <v>1</v>
      </c>
      <c r="G1999" s="349">
        <f>IF(AND(B1999="",C1999=""),"",ROUND(M1999*L1999*N1999,2))</f>
        <v/>
      </c>
      <c r="H1999" s="396">
        <f>IF(AND(B1999="",C1999=""),"",ROUND(F1999*G1999,2))</f>
        <v/>
      </c>
      <c r="I1999" s="150" t="inlineStr"/>
      <c r="J1999" s="397">
        <f>IF(AND(B1999="",C1999=""),"",ROUND(M1999*N1999,2))</f>
        <v/>
      </c>
      <c r="K1999" s="398">
        <f>IF(AND(B1999="",C1999=""),"",ROUND(J1999*F1999,2))</f>
        <v/>
      </c>
      <c r="L1999" s="141" t="n">
        <v>1</v>
      </c>
      <c r="M1999" s="399" t="n">
        <v>1e-07</v>
      </c>
      <c r="N1999" s="154" t="n">
        <v>1</v>
      </c>
      <c r="O1999" s="155">
        <f>IF(AND(B1999="",C1999=""),"",IF(G1999&gt;=20000,0.05,IF(G1999&gt;=10000,0.1,IF(G1999&gt;=5000,0.2,IF(G1999&gt;=1000,0.3,IF(G1999&gt;=0,0.4,{0}))))))</f>
        <v/>
      </c>
      <c r="P1999" s="400">
        <f>IF(AND(B1999="",C1999=""),"",ROUND(H1999*O1999,2))</f>
        <v/>
      </c>
      <c r="Q1999" s="401" t="inlineStr">
        <is>
          <t>元件</t>
        </is>
      </c>
      <c r="R1999" s="168" t="inlineStr"/>
      <c r="S1999" s="168" t="inlineStr"/>
      <c r="T1999" s="168" t="inlineStr">
        <is>
          <t>0</t>
        </is>
      </c>
      <c r="U1999" s="168" t="inlineStr">
        <is>
          <t>XB2BA42C</t>
        </is>
      </c>
      <c r="V1999" s="402" t="n"/>
      <c r="W1999" s="402" t="n"/>
      <c r="X1999" s="170" t="inlineStr">
        <is>
          <t>XA2EA41</t>
        </is>
      </c>
    </row>
    <row r="2000" s="308">
      <c r="A2000" s="64">
        <f>ROW()-ROW(A$1987)</f>
        <v/>
      </c>
      <c r="B2000" s="22" t="inlineStr">
        <is>
          <t>中间继电器</t>
        </is>
      </c>
      <c r="C2000" s="22" t="inlineStr">
        <is>
          <t>RXM4AB2P7+RXZE2S114M+RXZ400</t>
        </is>
      </c>
      <c r="D2000" s="22" t="inlineStr">
        <is>
          <t>甲供/施耐德电气</t>
        </is>
      </c>
      <c r="E2000" s="23" t="inlineStr">
        <is>
          <t>只</t>
        </is>
      </c>
      <c r="F2000" s="23" t="n">
        <v>2</v>
      </c>
      <c r="G2000" s="349">
        <f>IF(AND(B2000="",C2000=""),"",ROUND(M2000*L2000*N2000,2))</f>
        <v/>
      </c>
      <c r="H2000" s="349">
        <f>IF(AND(B2000="",C2000=""),"",ROUND(F2000*G2000,2))</f>
        <v/>
      </c>
      <c r="I2000" s="45" t="inlineStr"/>
      <c r="J2000" s="397">
        <f>IF(AND(B2000="",C2000=""),"",ROUND(M2000*N2000,2))</f>
        <v/>
      </c>
      <c r="K2000" s="398">
        <f>IF(AND(B2000="",C2000=""),"",ROUND(J2000*F2000,2))</f>
        <v/>
      </c>
      <c r="L2000" s="141" t="n">
        <v>1</v>
      </c>
      <c r="M2000" s="399" t="n">
        <v>1e-07</v>
      </c>
      <c r="N2000" s="154" t="n">
        <v>1</v>
      </c>
      <c r="O2000" s="155">
        <f>IF(AND(B2000="",C2000=""),"",IF(G2000&gt;=20000,0.05,IF(G2000&gt;=10000,0.1,IF(G2000&gt;=5000,0.2,IF(G2000&gt;=1000,0.3,IF(G2000&gt;=0,0.4,{0}))))))</f>
        <v/>
      </c>
      <c r="P2000" s="400">
        <f>IF(AND(B2000="",C2000=""),"",ROUND(H2000*O2000,2))</f>
        <v/>
      </c>
      <c r="Q2000" s="401" t="inlineStr">
        <is>
          <t>元件</t>
        </is>
      </c>
      <c r="R2000" s="168" t="inlineStr"/>
      <c r="S2000" s="168" t="inlineStr"/>
      <c r="T2000" s="168" t="inlineStr">
        <is>
          <t>0</t>
        </is>
      </c>
      <c r="U2000" s="168" t="inlineStr">
        <is>
          <t>RXM4AB2P7+RXZE2S114M+RXZ400</t>
        </is>
      </c>
      <c r="V2000" s="402" t="n"/>
      <c r="W2000" s="402" t="n"/>
      <c r="X2000" s="170" t="inlineStr">
        <is>
          <t>REL-IR-BL/L-230AC/4X21，含底座→RXM4AB2P7+RXZE2S114M+RXZ400→REL-IR-BL/L-230AC/4X21，含底座</t>
        </is>
      </c>
    </row>
    <row r="2001" customFormat="1" s="3">
      <c r="A2001" s="64">
        <f>ROW()-ROW(A$1987)</f>
        <v/>
      </c>
      <c r="B2001" s="22" t="inlineStr">
        <is>
          <t>带熔丝端子</t>
        </is>
      </c>
      <c r="C2001" s="22" t="inlineStr">
        <is>
          <t>UK 5-HESI</t>
        </is>
      </c>
      <c r="D2001" s="22" t="inlineStr">
        <is>
          <t>菲尼克斯</t>
        </is>
      </c>
      <c r="E2001" s="23" t="inlineStr">
        <is>
          <t>只</t>
        </is>
      </c>
      <c r="F2001" s="23" t="n">
        <v>4</v>
      </c>
      <c r="G2001" s="349">
        <f>IF(AND(B2001="",C2001=""),"",ROUND(M2001*L2001*N2001,2))</f>
        <v/>
      </c>
      <c r="H2001" s="349">
        <f>IF(AND(B2001="",C2001=""),"",ROUND(F2001*G2001,2))</f>
        <v/>
      </c>
      <c r="I2001" s="45" t="inlineStr"/>
      <c r="J2001" s="392">
        <f>IF(AND(B2001="",C2001=""),"",ROUND(M2001*N2001,2))</f>
        <v/>
      </c>
      <c r="K2001" s="393">
        <f>IF(AND(B2001="",C2001=""),"",ROUND(J2001*F2001,2))</f>
        <v/>
      </c>
      <c r="L2001" s="141" t="n">
        <v>1</v>
      </c>
      <c r="M2001" s="394" t="n">
        <v>7</v>
      </c>
      <c r="N2001" s="220" t="n">
        <v>1</v>
      </c>
      <c r="O2001" s="221">
        <f>IF(AND(B2001="",C2001=""),"",IF(G2001&gt;=20000,0.05,IF(G2001&gt;=10000,0.1,IF(G2001&gt;=5000,0.2,IF(G2001&gt;=1000,0.3,IF(G2001&gt;=0,0.4,{0}))))))</f>
        <v/>
      </c>
      <c r="P2001" s="419">
        <f>IF(AND(B2001="",C2001=""),"",ROUND(H2001*O2001,2))</f>
        <v/>
      </c>
      <c r="Q2001" s="420" t="inlineStr">
        <is>
          <t>元件</t>
        </is>
      </c>
      <c r="R2001" s="231" t="inlineStr"/>
      <c r="S2001" s="231" t="inlineStr"/>
      <c r="T2001" s="231" t="inlineStr">
        <is>
          <t>0</t>
        </is>
      </c>
      <c r="U2001" s="231" t="inlineStr">
        <is>
          <t>True</t>
        </is>
      </c>
      <c r="V2001" s="421" t="n"/>
      <c r="W2001" s="421" t="n"/>
      <c r="X2001" s="166" t="inlineStr"/>
    </row>
    <row r="2002" s="308">
      <c r="A2002" s="64">
        <f>ROW()-ROW(A$1987)</f>
        <v/>
      </c>
      <c r="B2002" s="33" t="inlineStr">
        <is>
          <t>水平母排</t>
        </is>
      </c>
      <c r="C2002" s="22" t="inlineStr">
        <is>
          <t>TMY 4*(3*125*5)+2*50*5</t>
        </is>
      </c>
      <c r="D2002" s="22" t="inlineStr">
        <is>
          <t>国产优质</t>
        </is>
      </c>
      <c r="E2002" s="23" t="inlineStr">
        <is>
          <t>米</t>
        </is>
      </c>
      <c r="F2002" s="23" t="n">
        <v>0.5</v>
      </c>
      <c r="G2002" s="349">
        <f>IF(AND(B2002="",C2002=""),"",ROUND(M2002*L2002*N2002,2))</f>
        <v/>
      </c>
      <c r="H2002" s="349">
        <f>IF(AND(B2002="",C2002=""),"",ROUND(F2002*G2002,2))</f>
        <v/>
      </c>
      <c r="I2002" s="179" t="inlineStr"/>
      <c r="J2002" s="397">
        <f>IF(AND(B2002="",C2002=""),"",ROUND(M2002*N2002,2))</f>
        <v/>
      </c>
      <c r="K2002" s="398">
        <f>IF(AND(B2002="",C2002=""),"",ROUND(J2002*F2002,2))</f>
        <v/>
      </c>
      <c r="L2002" s="141" t="n">
        <v>1</v>
      </c>
      <c r="M2002" s="399" t="n">
        <v>7697.076</v>
      </c>
      <c r="N2002" s="154">
        <f>(6317.932*1*1+2684.8*1*1)/9002.732</f>
        <v/>
      </c>
      <c r="O2002" s="155">
        <f>IF(AND(B2002="",C2002=""),"",IF(G2002&gt;=20000,0.05,IF(G2002&gt;=10000,0.1,IF(G2002&gt;=5000,0.2,IF(G2002&gt;=1000,0.3,IF(G2002&gt;=0,0.4,{0}))))))</f>
        <v/>
      </c>
      <c r="P2002" s="400">
        <f>IF(AND(B2002="",C2002=""),"",ROUND(H2002*O2002,2))</f>
        <v/>
      </c>
      <c r="Q2002" s="401" t="inlineStr">
        <is>
          <t>母排</t>
        </is>
      </c>
      <c r="R2002" s="168" t="inlineStr"/>
      <c r="S2002" s="168" t="inlineStr"/>
      <c r="T2002" s="168" t="inlineStr">
        <is>
          <t>0</t>
        </is>
      </c>
      <c r="U2002" s="168" t="inlineStr"/>
      <c r="V2002" s="402" t="n"/>
      <c r="W2002" s="402" t="n"/>
      <c r="X2002" s="170" t="inlineStr"/>
    </row>
    <row r="2003" customFormat="1" s="5">
      <c r="A2003" s="64">
        <f>ROW()-ROW(A$1987)</f>
        <v/>
      </c>
      <c r="B2003" s="22" t="inlineStr">
        <is>
          <t>桩头排</t>
        </is>
      </c>
      <c r="C2003" s="22" t="inlineStr">
        <is>
          <t>TMY 3*2*60*5</t>
        </is>
      </c>
      <c r="D2003" s="22" t="inlineStr">
        <is>
          <t>国产优质</t>
        </is>
      </c>
      <c r="E2003" s="23" t="inlineStr">
        <is>
          <t>米</t>
        </is>
      </c>
      <c r="F2003" s="23" t="n">
        <v>1.5</v>
      </c>
      <c r="G2003" s="349">
        <f>IF(AND(B2003="",C2003=""),"",ROUND(M2003*L2003*N2003,2))</f>
        <v/>
      </c>
      <c r="H2003" s="349">
        <f>IF(AND(B2003="",C2003=""),"",ROUND(F2003*G2003,2))</f>
        <v/>
      </c>
      <c r="I2003" s="45" t="inlineStr"/>
      <c r="J2003" s="422">
        <f>IF(AND(B2003="",C2003=""),"",ROUND(M2003*N2003,2))</f>
        <v/>
      </c>
      <c r="K2003" s="423">
        <f>IF(AND(B2003="",C2003=""),"",ROUND(J2003*F2003,2))</f>
        <v/>
      </c>
      <c r="L2003" s="225" t="n">
        <v>1</v>
      </c>
      <c r="M2003" s="424" t="n">
        <v>1731.8421</v>
      </c>
      <c r="N2003" s="227" t="n">
        <v>1</v>
      </c>
      <c r="O2003" s="228">
        <f>IF(AND(B2003="",C2003=""),"",IF(G2003&gt;=20000,0.05,IF(G2003&gt;=10000,0.1,IF(G2003&gt;=5000,0.2,IF(G2003&gt;=1000,0.3,IF(G2003&gt;=0,0.4,{0}))))))</f>
        <v/>
      </c>
      <c r="P2003" s="425">
        <f>IF(AND(B2003="",C2003=""),"",ROUND(H2003*O2003,2))</f>
        <v/>
      </c>
      <c r="Q2003" s="426" t="inlineStr">
        <is>
          <t>母排</t>
        </is>
      </c>
      <c r="R2003" s="234" t="inlineStr"/>
      <c r="S2003" s="234" t="inlineStr"/>
      <c r="T2003" s="235" t="inlineStr">
        <is>
          <t>0</t>
        </is>
      </c>
      <c r="U2003" s="235" t="inlineStr"/>
      <c r="V2003" s="427" t="n"/>
      <c r="W2003" s="427" t="n"/>
      <c r="X2003" s="237" t="inlineStr">
        <is>
          <t>TMY 2*30*5→TMY 30*8</t>
        </is>
      </c>
    </row>
    <row r="2004" customFormat="1" s="5">
      <c r="A2004" s="64">
        <f>ROW()-ROW(A$1987)</f>
        <v/>
      </c>
      <c r="B2004" s="22" t="inlineStr">
        <is>
          <t>N排</t>
        </is>
      </c>
      <c r="C2004" s="22" t="inlineStr">
        <is>
          <t>TMY 80*10</t>
        </is>
      </c>
      <c r="D2004" s="22" t="inlineStr">
        <is>
          <t>国产优质</t>
        </is>
      </c>
      <c r="E2004" s="23" t="inlineStr">
        <is>
          <t>米</t>
        </is>
      </c>
      <c r="F2004" s="23" t="n">
        <v>1.8</v>
      </c>
      <c r="G2004" s="349">
        <f>IF(AND(B2004="",C2004=""),"",ROUND(M2004*L2004*N2004,2))</f>
        <v/>
      </c>
      <c r="H2004" s="349">
        <f>IF(AND(B2004="",C2004=""),"",ROUND(F2004*G2004,2))</f>
        <v/>
      </c>
      <c r="I2004" s="45" t="inlineStr"/>
      <c r="J2004" s="422">
        <f>IF(AND(B2004="",C2004=""),"",ROUND(M2004*N2004,2))</f>
        <v/>
      </c>
      <c r="K2004" s="423">
        <f>IF(AND(B2004="",C2004=""),"",ROUND(J2004*F2004,2))</f>
        <v/>
      </c>
      <c r="L2004" s="225" t="n">
        <v>1</v>
      </c>
      <c r="M2004" s="424" t="n">
        <v>769.7076</v>
      </c>
      <c r="N2004" s="227" t="n">
        <v>1</v>
      </c>
      <c r="O2004" s="228">
        <f>IF(AND(B2004="",C2004=""),"",IF(G2004&gt;=20000,0.05,IF(G2004&gt;=10000,0.1,IF(G2004&gt;=5000,0.2,IF(G2004&gt;=1000,0.3,IF(G2004&gt;=0,0.4,{0}))))))</f>
        <v/>
      </c>
      <c r="P2004" s="425">
        <f>IF(AND(B2004="",C2004=""),"",ROUND(H2004*O2004,2))</f>
        <v/>
      </c>
      <c r="Q2004" s="426" t="inlineStr">
        <is>
          <t>母排</t>
        </is>
      </c>
      <c r="R2004" s="234" t="inlineStr"/>
      <c r="S2004" s="234" t="inlineStr"/>
      <c r="T2004" s="235" t="inlineStr">
        <is>
          <t>0</t>
        </is>
      </c>
      <c r="U2004" s="235" t="inlineStr"/>
      <c r="V2004" s="427" t="n"/>
      <c r="W2004" s="427" t="n"/>
      <c r="X2004" s="237" t="inlineStr">
        <is>
          <t>TMY 2*30*5→TMY 30*8</t>
        </is>
      </c>
    </row>
    <row r="2005" customFormat="1" s="5">
      <c r="A2005" s="64">
        <f>ROW()-ROW(A$1987)</f>
        <v/>
      </c>
      <c r="B2005" s="22" t="inlineStr">
        <is>
          <t>PE排</t>
        </is>
      </c>
      <c r="C2005" s="22" t="inlineStr">
        <is>
          <t>TMY 2*50*5</t>
        </is>
      </c>
      <c r="D2005" s="22" t="inlineStr">
        <is>
          <t>国产优质</t>
        </is>
      </c>
      <c r="E2005" s="23" t="inlineStr">
        <is>
          <t>米</t>
        </is>
      </c>
      <c r="F2005" s="23" t="n">
        <v>2</v>
      </c>
      <c r="G2005" s="349">
        <f>IF(AND(B2005="",C2005=""),"",ROUND(M2005*L2005*N2005,2))</f>
        <v/>
      </c>
      <c r="H2005" s="349">
        <f>IF(AND(B2005="",C2005=""),"",ROUND(F2005*G2005,2))</f>
        <v/>
      </c>
      <c r="I2005" s="45" t="inlineStr"/>
      <c r="J2005" s="422">
        <f>IF(AND(B2005="",C2005=""),"",ROUND(M2005*N2005,2))</f>
        <v/>
      </c>
      <c r="K2005" s="423">
        <f>IF(AND(B2005="",C2005=""),"",ROUND(J2005*F2005,2))</f>
        <v/>
      </c>
      <c r="L2005" s="225" t="n">
        <v>1</v>
      </c>
      <c r="M2005" s="424" t="n">
        <v>481.06725</v>
      </c>
      <c r="N2005" s="227" t="n">
        <v>1</v>
      </c>
      <c r="O2005" s="228">
        <f>IF(AND(B2005="",C2005=""),"",IF(G2005&gt;=20000,0.05,IF(G2005&gt;=10000,0.1,IF(G2005&gt;=5000,0.2,IF(G2005&gt;=1000,0.3,IF(G2005&gt;=0,0.4,{0}))))))</f>
        <v/>
      </c>
      <c r="P2005" s="425">
        <f>IF(AND(B2005="",C2005=""),"",ROUND(H2005*O2005,2))</f>
        <v/>
      </c>
      <c r="Q2005" s="426" t="inlineStr">
        <is>
          <t>母排</t>
        </is>
      </c>
      <c r="R2005" s="234" t="inlineStr"/>
      <c r="S2005" s="234" t="inlineStr"/>
      <c r="T2005" s="235" t="inlineStr">
        <is>
          <t>0</t>
        </is>
      </c>
      <c r="U2005" s="235" t="inlineStr"/>
      <c r="V2005" s="427" t="n"/>
      <c r="W2005" s="427" t="n"/>
      <c r="X2005" s="237" t="inlineStr">
        <is>
          <t>TMY 2*30*5→TMY 30*8</t>
        </is>
      </c>
    </row>
    <row r="2006" s="308">
      <c r="A2006" s="64">
        <f>ROW()-ROW(A$1987)</f>
        <v/>
      </c>
      <c r="B2006" s="22" t="inlineStr">
        <is>
          <t>辅料</t>
        </is>
      </c>
      <c r="C2006" s="22" t="inlineStr"/>
      <c r="D2006" s="22" t="inlineStr"/>
      <c r="E2006" s="23" t="inlineStr">
        <is>
          <t>套</t>
        </is>
      </c>
      <c r="F2006" s="23" t="n">
        <v>1</v>
      </c>
      <c r="G2006" s="349">
        <f>IF(AND(B2006="",C2006=""),"",ROUND(M2006*L2006*N2006,2))</f>
        <v/>
      </c>
      <c r="H2006" s="349">
        <f>IF(AND(B2006="",C2006=""),"",ROUND(F2006*G2006,2))</f>
        <v/>
      </c>
      <c r="I2006" s="179" t="inlineStr"/>
      <c r="J2006" s="397">
        <f>IF(AND(B2006="",C2006=""),"",ROUND(M2006*N2006,2))</f>
        <v/>
      </c>
      <c r="K2006" s="398">
        <f>IF(AND(B2006="",C2006=""),"",ROUND(J2006*F2006,2))</f>
        <v/>
      </c>
      <c r="L2006" s="141" t="n">
        <v>1</v>
      </c>
      <c r="M2006" s="399" t="n">
        <v>550</v>
      </c>
      <c r="N2006" s="154" t="n">
        <v>1</v>
      </c>
      <c r="O2006" s="155">
        <f>IF(AND(B2006="",C2006=""),"",IF(G2006&gt;=20000,0.05,IF(G2006&gt;=10000,0.1,IF(G2006&gt;=5000,0.2,IF(G2006&gt;=1000,0.3,IF(G2006&gt;=0,0.4,{0}))))))</f>
        <v/>
      </c>
      <c r="P2006" s="400">
        <f>IF(AND(B2006="",C2006=""),"",ROUND(H2006*O2006,2))</f>
        <v/>
      </c>
      <c r="Q2006" s="401" t="inlineStr">
        <is>
          <t>辅料</t>
        </is>
      </c>
      <c r="R2006" s="168" t="inlineStr"/>
      <c r="S2006" s="168" t="inlineStr"/>
      <c r="T2006" s="168" t="inlineStr">
        <is>
          <t>0</t>
        </is>
      </c>
      <c r="U2006" s="168" t="inlineStr"/>
      <c r="V2006" s="402" t="n"/>
      <c r="W2006" s="402" t="n"/>
      <c r="X2006" s="170" t="inlineStr"/>
    </row>
    <row r="2007" s="308">
      <c r="A2007" s="64">
        <f>ROW()-ROW(A$1987)</f>
        <v/>
      </c>
      <c r="B2007" s="22" t="inlineStr">
        <is>
          <t>柜体Blokset</t>
        </is>
      </c>
      <c r="C2007" s="33" t="inlineStr">
        <is>
          <t>400W*1200D*2200H</t>
        </is>
      </c>
      <c r="D2007" s="22" t="inlineStr">
        <is>
          <t>清科</t>
        </is>
      </c>
      <c r="E2007" s="23" t="inlineStr">
        <is>
          <t>台</t>
        </is>
      </c>
      <c r="F2007" s="23" t="n">
        <v>1</v>
      </c>
      <c r="G2007" s="349">
        <f>IF(AND(B2007="",C2007=""),"",ROUND(M2007*L2007*N2007,2))</f>
        <v/>
      </c>
      <c r="H2007" s="349">
        <f>IF(AND(B2007="",C2007=""),"",ROUND(F2007*G2007,2))</f>
        <v/>
      </c>
      <c r="I2007" s="179" t="inlineStr"/>
      <c r="J2007" s="397">
        <f>IF(AND(B2007="",C2007=""),"",ROUND(M2007*N2007,2))</f>
        <v/>
      </c>
      <c r="K2007" s="398">
        <f>IF(AND(B2007="",C2007=""),"",ROUND(J2007*F2007,2))</f>
        <v/>
      </c>
      <c r="L2007" s="141" t="n">
        <v>1</v>
      </c>
      <c r="M2007" s="399" t="n">
        <v>4010</v>
      </c>
      <c r="N2007" s="154" t="n">
        <v>1</v>
      </c>
      <c r="O2007" s="155">
        <f>IF(AND(B2007="",C2007=""),"",IF(G2007&gt;=20000,0.05,IF(G2007&gt;=10000,0.1,IF(G2007&gt;=5000,0.2,IF(G2007&gt;=1000,0.3,IF(G2007&gt;=0,0.4,{0}))))))</f>
        <v/>
      </c>
      <c r="P2007" s="400">
        <f>IF(AND(B2007="",C2007=""),"",ROUND(H2007*O2007,2))</f>
        <v/>
      </c>
      <c r="Q2007" s="401" t="inlineStr">
        <is>
          <t>箱体</t>
        </is>
      </c>
      <c r="R2007" s="168" t="inlineStr"/>
      <c r="S2007" s="168" t="inlineStr"/>
      <c r="T2007" s="168" t="inlineStr">
        <is>
          <t>0</t>
        </is>
      </c>
      <c r="U2007" s="168" t="inlineStr"/>
      <c r="V2007" s="402" t="n"/>
      <c r="W2007" s="402" t="n"/>
      <c r="X2007" s="170" t="inlineStr"/>
    </row>
    <row r="2008" customFormat="1" s="3">
      <c r="A2008" s="64">
        <f>ROW()-ROW(A$1987)</f>
        <v/>
      </c>
      <c r="B2008" s="27" t="inlineStr"/>
      <c r="C2008" s="27" t="inlineStr"/>
      <c r="D2008" s="27" t="inlineStr"/>
      <c r="E2008" s="28" t="n"/>
      <c r="F2008" s="28">
        <f>IF(AND(B2008="",C2008=""),"",1)</f>
        <v/>
      </c>
      <c r="G2008" s="353" t="n"/>
      <c r="H2008" s="353">
        <f>IF(AND(B2008="",C2008=""),"",ROUND(F2008*G2008,2))</f>
        <v/>
      </c>
      <c r="I2008" s="180" t="inlineStr"/>
      <c r="J2008" s="392">
        <f>IF(AND(B2008="",C2008=""),"",ROUND(M2008*N2008,2))</f>
        <v/>
      </c>
      <c r="K2008" s="393">
        <f>IF(AND(B2008="",C2008=""),"",ROUND(J2008*F2008,2))</f>
        <v/>
      </c>
      <c r="L2008" s="141">
        <f>IF(AND(B2008="",C2008=""),"",1)</f>
        <v/>
      </c>
      <c r="M2008" s="394" t="n"/>
      <c r="N2008" s="143">
        <f>IF(AND(B2008="",C2008=""),"",1)</f>
        <v/>
      </c>
      <c r="O2008" s="144">
        <f>IF(AND(B2008="",C2008=""),"",IF(J2008&gt;=20000,0.05,IF(J2008&gt;=10000,0.1,IF(J2008&gt;=5000,0.2,IF(J2008&gt;=1000,0.3,IF(J2008&gt;=0,0.4,{0}))))))</f>
        <v/>
      </c>
      <c r="P2008" s="395">
        <f>IF(AND(B2008="",C2008=""),"",ROUND(H2008*O2008,2))</f>
        <v/>
      </c>
      <c r="Q2008" s="390">
        <f>IF(AND(B2008="",C2008=""),"","元件")</f>
        <v/>
      </c>
      <c r="R2008" s="164" t="inlineStr"/>
      <c r="S2008" s="164" t="inlineStr"/>
      <c r="T2008" s="164" t="inlineStr"/>
      <c r="U2008" s="164" t="inlineStr"/>
      <c r="V2008" s="391" t="n"/>
      <c r="W2008" s="391" t="n"/>
      <c r="X2008" s="166" t="inlineStr"/>
    </row>
    <row r="2009" customFormat="1" s="3">
      <c r="A2009" s="64">
        <f>ROW()-ROW(A$1987)</f>
        <v/>
      </c>
      <c r="B2009" s="27" t="inlineStr"/>
      <c r="C2009" s="27" t="inlineStr"/>
      <c r="D2009" s="27" t="inlineStr"/>
      <c r="E2009" s="28" t="n"/>
      <c r="F2009" s="28">
        <f>IF(AND(B2009="",C2009=""),"",1)</f>
        <v/>
      </c>
      <c r="G2009" s="353">
        <f>IF(AND(B2009="",C2009=""),"",ROUND(M2009*L2009*N2009,2))</f>
        <v/>
      </c>
      <c r="H2009" s="353">
        <f>IF(AND(B2009="",C2009=""),"",ROUND(F2009*G2009,2))</f>
        <v/>
      </c>
      <c r="I2009" s="180" t="inlineStr"/>
      <c r="J2009" s="392">
        <f>IF(AND(B2009="",C2009=""),"",ROUND(M2009*N2009,2))</f>
        <v/>
      </c>
      <c r="K2009" s="393">
        <f>IF(AND(B2009="",C2009=""),"",ROUND(J2009*F2009,2))</f>
        <v/>
      </c>
      <c r="L2009" s="141">
        <f>IF(AND(B2009="",C2009=""),"",1)</f>
        <v/>
      </c>
      <c r="M2009" s="394" t="n"/>
      <c r="N2009" s="143">
        <f>IF(AND(B2009="",C2009=""),"",1)</f>
        <v/>
      </c>
      <c r="O2009" s="144">
        <f>IF(AND(B2009="",C2009=""),"",IF(J2009&gt;=20000,0.05,IF(J2009&gt;=10000,0.1,IF(J2009&gt;=5000,0.2,IF(J2009&gt;=1000,0.3,IF(J2009&gt;=0,0.4,{0}))))))</f>
        <v/>
      </c>
      <c r="P2009" s="395">
        <f>IF(AND(B2009="",C2009=""),"",ROUND(H2009*O2009,2))</f>
        <v/>
      </c>
      <c r="Q2009" s="390">
        <f>IF(AND(B2009="",C2009=""),"","元件")</f>
        <v/>
      </c>
      <c r="R2009" s="164" t="inlineStr"/>
      <c r="S2009" s="164" t="inlineStr"/>
      <c r="T2009" s="164" t="inlineStr"/>
      <c r="U2009" s="164" t="inlineStr"/>
      <c r="V2009" s="391" t="n"/>
      <c r="W2009" s="391" t="n"/>
      <c r="X2009" s="166" t="inlineStr"/>
    </row>
    <row r="2010" customFormat="1" s="3">
      <c r="A2010" s="64">
        <f>ROW()-ROW(A$1987)</f>
        <v/>
      </c>
      <c r="B2010" s="171" t="inlineStr">
        <is>
          <t>小计</t>
        </is>
      </c>
      <c r="C2010" s="172" t="n"/>
      <c r="D2010" s="82" t="n"/>
      <c r="E2010" s="28" t="n"/>
      <c r="F2010" s="28" t="n"/>
      <c r="G2010" s="353" t="n"/>
      <c r="H2010" s="353">
        <f>ROUND(SUM(H1987:INDEX(H:H,ROW()-1)),2)</f>
        <v/>
      </c>
      <c r="I2010" s="45" t="inlineStr"/>
      <c r="J2010" s="392" t="n"/>
      <c r="K2010" s="393">
        <f>ROUND(SUM(K1987:INDEX(K:K,ROW()-1)),2)</f>
        <v/>
      </c>
      <c r="L2010" s="141" t="n"/>
      <c r="M2010" s="394" t="n"/>
      <c r="N2010" s="143" t="n"/>
      <c r="O2010" s="144" t="n"/>
      <c r="P2010" s="395" t="n"/>
      <c r="Q2010" s="390" t="n"/>
      <c r="R2010" s="164" t="inlineStr"/>
      <c r="S2010" s="164" t="inlineStr"/>
      <c r="T2010" s="164" t="inlineStr"/>
      <c r="U2010" s="164" t="inlineStr"/>
      <c r="V2010" s="391">
        <f>ROUND(SUMPRODUCT(F1987:INDEX(F:F,ROW()-1),V1987:INDEX(V:V,ROW()-1)),2)</f>
        <v/>
      </c>
      <c r="W2010" s="391">
        <f>ROUND(SUMPRODUCT(F1987:INDEX(F:F,ROW()-1),W1987:INDEX(W:W,ROW()-1)),2)</f>
        <v/>
      </c>
      <c r="X2010" s="166" t="inlineStr"/>
    </row>
    <row r="2011" customFormat="1" s="3">
      <c r="A2011" s="64">
        <f>ROW()-ROW(A$1987)</f>
        <v/>
      </c>
      <c r="B2011" s="171" t="inlineStr">
        <is>
          <t>综合费(人工、管理、税金、利润等)</t>
        </is>
      </c>
      <c r="C2011" s="172" t="n"/>
      <c r="D2011" s="82" t="n"/>
      <c r="E2011" s="28" t="n"/>
      <c r="F2011" s="28" t="n"/>
      <c r="G2011" s="353" t="n"/>
      <c r="H2011" s="353">
        <f>2500</f>
        <v/>
      </c>
      <c r="I2011" s="45" t="inlineStr"/>
      <c r="J2011" s="392" t="n"/>
      <c r="K2011" s="393" t="n"/>
      <c r="L2011" s="141" t="n"/>
      <c r="M2011" s="394" t="n"/>
      <c r="N2011" s="143" t="n"/>
      <c r="O2011" s="144" t="n"/>
      <c r="P2011" s="395" t="n"/>
      <c r="Q2011" s="390" t="inlineStr">
        <is>
          <t>费用</t>
        </is>
      </c>
      <c r="R2011" s="164" t="inlineStr"/>
      <c r="S2011" s="164" t="inlineStr"/>
      <c r="T2011" s="164" t="inlineStr"/>
      <c r="U2011" s="164" t="inlineStr"/>
      <c r="V2011" s="391" t="n"/>
      <c r="W2011" s="391" t="n"/>
      <c r="X2011" s="166" t="inlineStr"/>
    </row>
    <row r="2012" customFormat="1" s="3">
      <c r="A2012" s="64">
        <f>ROW()-ROW(A$1987)</f>
        <v/>
      </c>
      <c r="B2012" s="82" t="inlineStr">
        <is>
          <t>单台合计</t>
        </is>
      </c>
      <c r="C2012" s="172" t="n"/>
      <c r="D2012" s="82" t="n"/>
      <c r="E2012" s="28" t="n"/>
      <c r="F2012" s="28" t="n"/>
      <c r="G2012" s="353" t="n"/>
      <c r="H2012" s="353">
        <f>ROUND(SUM(H2010:H2011),2)</f>
        <v/>
      </c>
      <c r="I2012" s="181" t="n"/>
      <c r="J2012" s="392" t="n"/>
      <c r="K2012" s="393">
        <f>ROUND(SUM(K2010:K2011),2)</f>
        <v/>
      </c>
      <c r="L2012" s="182" t="n"/>
      <c r="M2012" s="394" t="n"/>
      <c r="N2012" s="183" t="n"/>
      <c r="O2012" s="184" t="n"/>
      <c r="P2012" s="395" t="n"/>
      <c r="Q2012" s="390" t="n"/>
      <c r="R2012" s="164" t="inlineStr"/>
      <c r="S2012" s="164" t="inlineStr"/>
      <c r="T2012" s="164" t="inlineStr"/>
      <c r="U2012" s="164" t="inlineStr"/>
      <c r="V2012" s="391" t="n"/>
      <c r="W2012" s="391" t="n"/>
      <c r="X2012" s="166" t="inlineStr"/>
    </row>
    <row r="2013" customFormat="1" s="3">
      <c r="A2013" s="173" t="inlineStr">
        <is>
          <t>总计</t>
        </is>
      </c>
      <c r="B2013" s="174" t="n"/>
      <c r="C2013" s="175" t="n"/>
      <c r="D2013" s="176" t="n"/>
      <c r="E2013" s="176" t="inlineStr">
        <is>
          <t>台</t>
        </is>
      </c>
      <c r="F2013" s="176" t="n">
        <v>2</v>
      </c>
      <c r="G2013" s="403">
        <f>ROUND(H2012,2)</f>
        <v/>
      </c>
      <c r="H2013" s="403">
        <f>ROUND(F2013*G2013,2)</f>
        <v/>
      </c>
      <c r="I2013" s="185" t="n"/>
      <c r="J2013" s="404" t="n"/>
      <c r="K2013" s="405">
        <f>ROUND(K2012*F2013,2)</f>
        <v/>
      </c>
      <c r="L2013" s="188" t="n"/>
      <c r="M2013" s="406" t="n"/>
      <c r="N2013" s="190" t="n"/>
      <c r="O2013" s="191" t="n"/>
      <c r="P2013" s="407" t="n"/>
      <c r="Q2013" s="390" t="n"/>
      <c r="R2013" s="164" t="inlineStr"/>
      <c r="S2013" s="164" t="inlineStr"/>
      <c r="T2013" s="164" t="inlineStr"/>
      <c r="U2013" s="164" t="inlineStr"/>
      <c r="V2013" s="391" t="n"/>
      <c r="W2013" s="391" t="n"/>
      <c r="X2013" s="166" t="inlineStr"/>
    </row>
    <row r="2014" customFormat="1" s="2">
      <c r="A2014" s="89" t="n"/>
      <c r="B2014" s="132" t="inlineStr"/>
      <c r="C2014" s="132" t="inlineStr"/>
      <c r="D2014" s="132" t="inlineStr"/>
      <c r="Q2014" s="160" t="n"/>
      <c r="R2014" s="160" t="n"/>
      <c r="S2014" s="160" t="n"/>
      <c r="T2014" s="160" t="n"/>
      <c r="U2014" s="160" t="n"/>
      <c r="X2014" s="132" t="inlineStr"/>
    </row>
    <row r="2015" customFormat="1" s="2">
      <c r="A2015" s="89" t="n"/>
      <c r="B2015" s="132" t="inlineStr"/>
      <c r="C2015" s="132" t="inlineStr"/>
      <c r="D2015" s="132" t="inlineStr"/>
      <c r="Q2015" s="160" t="n"/>
      <c r="R2015" s="160" t="n"/>
      <c r="S2015" s="160" t="n"/>
      <c r="T2015" s="160" t="n"/>
      <c r="U2015" s="160" t="n"/>
      <c r="X2015" s="132" t="inlineStr"/>
    </row>
    <row r="2016" customFormat="1" s="3">
      <c r="A2016" s="92">
        <f>CONCATENATE("报价人：",项目信息!$B$8)</f>
        <v/>
      </c>
      <c r="B2016" s="92" t="n"/>
      <c r="C2016" s="2" t="n"/>
      <c r="D2016" s="2" t="n"/>
      <c r="E2016" s="2" t="n"/>
      <c r="F2016" s="2" t="n"/>
      <c r="G2016" s="2" t="n"/>
      <c r="H2016" s="178">
        <f>项目信息!$B$9</f>
        <v/>
      </c>
      <c r="Q2016" s="160" t="n"/>
      <c r="R2016" s="160" t="n"/>
      <c r="S2016" s="160" t="n"/>
      <c r="T2016" s="160" t="n"/>
      <c r="U2016" s="160" t="n"/>
      <c r="X2016" s="162" t="inlineStr"/>
    </row>
    <row r="2017" s="308">
      <c r="A2017" s="8">
        <f>T(项目信息!$B$22)</f>
        <v/>
      </c>
      <c r="Q2017" s="159" t="n"/>
      <c r="R2017" s="159" t="n"/>
      <c r="S2017" s="159" t="n"/>
      <c r="T2017" s="159" t="n"/>
      <c r="U2017" s="159" t="n"/>
    </row>
    <row r="2018" s="308">
      <c r="A2018" s="9">
        <f>T(项目信息!$B$23)</f>
        <v/>
      </c>
      <c r="Q2018" s="159" t="n"/>
      <c r="R2018" s="159" t="n"/>
      <c r="S2018" s="159" t="n"/>
      <c r="T2018" s="159" t="n"/>
      <c r="U2018" s="159" t="n"/>
    </row>
    <row r="2019" s="308">
      <c r="A2019" s="97" t="inlineStr">
        <is>
          <t>成套产品报价明细表</t>
        </is>
      </c>
      <c r="B2019" s="378" t="n"/>
      <c r="C2019" s="378" t="n"/>
      <c r="D2019" s="378" t="n"/>
      <c r="E2019" s="378" t="n"/>
      <c r="F2019" s="378" t="n"/>
      <c r="G2019" s="378" t="n"/>
      <c r="H2019" s="378" t="n"/>
      <c r="I2019" s="378" t="n"/>
      <c r="Q2019" s="159" t="n"/>
      <c r="R2019" s="159" t="n"/>
      <c r="S2019" s="159" t="n"/>
      <c r="T2019" s="159" t="n"/>
      <c r="U2019" s="159" t="n"/>
    </row>
    <row r="2020" customFormat="1" s="4">
      <c r="A2020" s="98" t="inlineStr">
        <is>
          <t>柜号:</t>
        </is>
      </c>
      <c r="B2020" s="99" t="inlineStr">
        <is>
          <t>T7-AU13、T7-AU14、T8-BU13、T8-BU14</t>
        </is>
      </c>
      <c r="C2020" s="100" t="inlineStr">
        <is>
          <t>型号:</t>
        </is>
      </c>
      <c r="D2020" s="99" t="inlineStr">
        <is>
          <t>BlokSeT</t>
        </is>
      </c>
      <c r="E2020" s="379" t="n"/>
      <c r="F2020" s="101" t="inlineStr">
        <is>
          <t>名称:</t>
        </is>
      </c>
      <c r="G2020" s="99" t="inlineStr">
        <is>
          <t>馈线柜</t>
        </is>
      </c>
      <c r="H2020" s="379" t="n"/>
      <c r="I2020" s="408" t="inlineStr"/>
      <c r="J2020" s="194" t="inlineStr">
        <is>
          <t>箱柜尺寸:</t>
        </is>
      </c>
      <c r="K2020" s="195" t="inlineStr">
        <is>
          <t>600W*1200D*2200H</t>
        </is>
      </c>
      <c r="L2020" s="194" t="inlineStr">
        <is>
          <t>类别:</t>
        </is>
      </c>
      <c r="M2020" s="195" t="inlineStr">
        <is>
          <t>低压固定柜</t>
        </is>
      </c>
      <c r="N2020" s="409" t="inlineStr"/>
      <c r="Q2020" s="159" t="n"/>
      <c r="R2020" s="159" t="n"/>
      <c r="S2020" s="159" t="n"/>
      <c r="T2020" s="159" t="n"/>
      <c r="U2020" s="159" t="n"/>
    </row>
    <row r="2021" ht="20.1" customHeight="1" s="308">
      <c r="A2021" s="102" t="inlineStr">
        <is>
          <t>序号</t>
        </is>
      </c>
      <c r="B2021" s="103" t="inlineStr">
        <is>
          <t>元件名称</t>
        </is>
      </c>
      <c r="C2021" s="103" t="inlineStr">
        <is>
          <t>型号规格</t>
        </is>
      </c>
      <c r="D2021" s="104" t="inlineStr">
        <is>
          <t>生产厂家</t>
        </is>
      </c>
      <c r="E2021" s="105" t="inlineStr">
        <is>
          <t>单位</t>
        </is>
      </c>
      <c r="F2021" s="105" t="inlineStr">
        <is>
          <t>数量</t>
        </is>
      </c>
      <c r="G2021" s="382" t="inlineStr">
        <is>
          <t>单   价</t>
        </is>
      </c>
      <c r="H2021" s="383" t="inlineStr">
        <is>
          <t>总   价</t>
        </is>
      </c>
      <c r="I2021" s="134" t="inlineStr">
        <is>
          <t>备注</t>
        </is>
      </c>
      <c r="J2021" s="384" t="inlineStr">
        <is>
          <t>成本单价</t>
        </is>
      </c>
      <c r="K2021" s="384" t="inlineStr">
        <is>
          <t>成本总价</t>
        </is>
      </c>
      <c r="L2021" s="136" t="inlineStr">
        <is>
          <t>报出
系数</t>
        </is>
      </c>
      <c r="M2021" s="384" t="inlineStr">
        <is>
          <t>表价</t>
        </is>
      </c>
      <c r="N2021" s="136" t="inlineStr">
        <is>
          <t>折扣
系数</t>
        </is>
      </c>
      <c r="O2021" s="137" t="inlineStr">
        <is>
          <t>取费
系数</t>
        </is>
      </c>
      <c r="P2021" s="384" t="inlineStr">
        <is>
          <t>成套费</t>
        </is>
      </c>
      <c r="Q2021" s="161" t="inlineStr">
        <is>
          <t>类别</t>
        </is>
      </c>
      <c r="R2021" s="161" t="inlineStr">
        <is>
          <t>物料编码</t>
        </is>
      </c>
      <c r="S2021" s="161" t="inlineStr">
        <is>
          <t>产地</t>
        </is>
      </c>
      <c r="T2021" s="161" t="inlineStr">
        <is>
          <t>加工费</t>
        </is>
      </c>
      <c r="U2021" s="161" t="inlineStr">
        <is>
          <t>订货号</t>
        </is>
      </c>
      <c r="V2021" s="161" t="inlineStr">
        <is>
          <t>人工</t>
        </is>
      </c>
      <c r="W2021" s="161" t="inlineStr">
        <is>
          <t>辅料</t>
        </is>
      </c>
      <c r="X2021" s="203" t="inlineStr"/>
    </row>
    <row r="2022" s="308">
      <c r="A2022" s="64">
        <f>ROW()-ROW(A$2021)</f>
        <v/>
      </c>
      <c r="B2022" s="22" t="inlineStr">
        <is>
          <t>塑壳断路器</t>
        </is>
      </c>
      <c r="C2022" s="22" t="inlineStr">
        <is>
          <t>NSX400H Mic2.3 400A 3P3D P</t>
        </is>
      </c>
      <c r="D2022" s="22" t="inlineStr">
        <is>
          <t>甲供/施耐德电气</t>
        </is>
      </c>
      <c r="E2022" s="23" t="inlineStr">
        <is>
          <t>只</t>
        </is>
      </c>
      <c r="F2022" s="23" t="n">
        <v>7</v>
      </c>
      <c r="G2022" s="349">
        <f>IF(AND(B2022="",C2022=""),"",ROUND(M2022*L2022*N2022,2))</f>
        <v/>
      </c>
      <c r="H2022" s="349">
        <f>IF(AND(B2022="",C2022=""),"",ROUND(F2022*G2022,2))</f>
        <v/>
      </c>
      <c r="I2022" s="45" t="inlineStr"/>
      <c r="J2022" s="397">
        <f>IF(AND(B2022="",C2022=""),"",ROUND(M2022*N2022,2))</f>
        <v/>
      </c>
      <c r="K2022" s="398">
        <f>IF(AND(B2022="",C2022=""),"",ROUND(J2022*F2022,2))</f>
        <v/>
      </c>
      <c r="L2022" s="200" t="n">
        <v>1</v>
      </c>
      <c r="M2022" s="399" t="n">
        <v>1e-07</v>
      </c>
      <c r="N2022" s="154" t="n">
        <v>1</v>
      </c>
      <c r="O2022" s="155">
        <f>IF(AND(B2022="",C2022=""),"",IF(G2022&gt;=20000,0.05,IF(G2022&gt;=10000,0.1,IF(G2022&gt;=5000,0.2,IF(G2022&gt;=1000,0.3,IF(G2022&gt;=0,0.4,{0}))))))</f>
        <v/>
      </c>
      <c r="P2022" s="400">
        <f>IF(AND(B2022="",C2022=""),"",ROUND(H2022*O2022,2))</f>
        <v/>
      </c>
      <c r="Q2022" s="401" t="inlineStr">
        <is>
          <t>元件</t>
        </is>
      </c>
      <c r="R2022" s="168" t="inlineStr"/>
      <c r="S2022" s="168" t="inlineStr"/>
      <c r="T2022" s="168" t="inlineStr">
        <is>
          <t>0</t>
        </is>
      </c>
      <c r="U2022" s="168" t="inlineStr"/>
      <c r="V2022" s="402" t="n"/>
      <c r="W2022" s="402" t="n"/>
      <c r="X2022" s="170" t="inlineStr"/>
    </row>
    <row r="2023" s="308">
      <c r="A2023" s="64">
        <f>ROW()-ROW(A$2021)</f>
        <v/>
      </c>
      <c r="B2023" s="22" t="inlineStr">
        <is>
          <t>电流互感器</t>
        </is>
      </c>
      <c r="C2023" s="22" t="inlineStr">
        <is>
          <t>SD-0.66-40II-C 400/5A</t>
        </is>
      </c>
      <c r="D2023" s="22" t="inlineStr">
        <is>
          <t>桑迪</t>
        </is>
      </c>
      <c r="E2023" s="23" t="inlineStr">
        <is>
          <t>只</t>
        </is>
      </c>
      <c r="F2023" s="23" t="n">
        <v>21</v>
      </c>
      <c r="G2023" s="349">
        <f>IF(AND(B2023="",C2023=""),"",ROUND(M2023*L2023*N2023,2))</f>
        <v/>
      </c>
      <c r="H2023" s="396">
        <f>IF(AND(B2023="",C2023=""),"",ROUND(F2023*G2023,2))</f>
        <v/>
      </c>
      <c r="I2023" s="219" t="inlineStr"/>
      <c r="J2023" s="397">
        <f>IF(AND(B2023="",C2023=""),"",ROUND(M2023*N2023,2))</f>
        <v/>
      </c>
      <c r="K2023" s="398">
        <f>IF(AND(B2023="",C2023=""),"",ROUND(J2023*F2023,2))</f>
        <v/>
      </c>
      <c r="L2023" s="200" t="n">
        <v>1</v>
      </c>
      <c r="M2023" s="399" t="n">
        <v>52</v>
      </c>
      <c r="N2023" s="154" t="n">
        <v>1</v>
      </c>
      <c r="O2023" s="155">
        <f>IF(AND(B2023="",C2023=""),"",IF(G2023&gt;=20000,0.05,IF(G2023&gt;=10000,0.1,IF(G2023&gt;=5000,0.2,IF(G2023&gt;=1000,0.3,IF(G2023&gt;=0,0.4,{0}))))))</f>
        <v/>
      </c>
      <c r="P2023" s="400">
        <f>IF(AND(B2023="",C2023=""),"",ROUND(H2023*O2023,2))</f>
        <v/>
      </c>
      <c r="Q2023" s="401" t="inlineStr">
        <is>
          <t>元件</t>
        </is>
      </c>
      <c r="R2023" s="168" t="inlineStr"/>
      <c r="S2023" s="168" t="inlineStr"/>
      <c r="T2023" s="168" t="inlineStr">
        <is>
          <t>0</t>
        </is>
      </c>
      <c r="U2023" s="168" t="inlineStr">
        <is>
          <t>710140200000049</t>
        </is>
      </c>
      <c r="V2023" s="402" t="n"/>
      <c r="W2023" s="402" t="n"/>
      <c r="X2023" s="170" t="inlineStr">
        <is>
          <t>SD→SD-0.66-40II-C 400/5A→SD-0.66-30I 250/5A→SD-0.66-30I 150/5A→SD-0.66-60II-C 750/5A→SD-0.66-60II-C 600/5A→SD-0.66-30I 150/5A→SD-0.66-40II-C 400/5A→SD-0.66-100II-C 1600/5A→SD-0.66-80II-V 1000/5A</t>
        </is>
      </c>
    </row>
    <row r="2024" s="308">
      <c r="A2024" s="64">
        <f>ROW()-ROW(A$2021)</f>
        <v/>
      </c>
      <c r="B2024" s="112" t="inlineStr">
        <is>
          <t>多功能表</t>
        </is>
      </c>
      <c r="C2024" s="112" t="inlineStr">
        <is>
          <t>PM4101</t>
        </is>
      </c>
      <c r="D2024" s="112" t="inlineStr">
        <is>
          <t>甲供/施耐德电气</t>
        </is>
      </c>
      <c r="E2024" s="114" t="inlineStr">
        <is>
          <t>只</t>
        </is>
      </c>
      <c r="F2024" s="114" t="n">
        <v>7</v>
      </c>
      <c r="G2024" s="396">
        <f>IF(AND(B2024="",C2024=""),"",ROUND(M2024*L2024*N2024,2))</f>
        <v/>
      </c>
      <c r="H2024" s="349">
        <f>IF(AND(B2024="",C2024=""),"",ROUND(F2024*G2024,2))</f>
        <v/>
      </c>
      <c r="I2024" s="45" t="inlineStr"/>
      <c r="J2024" s="397">
        <f>IF(AND(B2024="",C2024=""),"",ROUND(M2024*N2024,2))</f>
        <v/>
      </c>
      <c r="K2024" s="398">
        <f>IF(AND(B2024="",C2024=""),"",ROUND(J2024*F2024,2))</f>
        <v/>
      </c>
      <c r="L2024" s="200" t="n">
        <v>1</v>
      </c>
      <c r="M2024" s="399" t="n">
        <v>1e-07</v>
      </c>
      <c r="N2024" s="154" t="n">
        <v>1</v>
      </c>
      <c r="O2024" s="155">
        <f>IF(AND(B2024="",C2024=""),"",IF(J2024&gt;=20000,0.05,IF(J2024&gt;=10000,0.1,IF(J2024&gt;=5000,0.2,IF(J2024&gt;=1000,0.3,IF(J2024&gt;=0,0.4,{0}))))))</f>
        <v/>
      </c>
      <c r="P2024" s="400">
        <f>IF(AND(B2024="",C2024=""),"",ROUND(H2024*O2024,2))</f>
        <v/>
      </c>
      <c r="Q2024" s="401" t="inlineStr">
        <is>
          <t>元件</t>
        </is>
      </c>
      <c r="R2024" s="168" t="inlineStr"/>
      <c r="S2024" s="168" t="inlineStr"/>
      <c r="T2024" s="168" t="inlineStr">
        <is>
          <t>0</t>
        </is>
      </c>
      <c r="U2024" s="168" t="inlineStr"/>
      <c r="V2024" s="402" t="n"/>
      <c r="W2024" s="402" t="n"/>
      <c r="X2024" s="170" t="inlineStr"/>
    </row>
    <row r="2025" customFormat="1" s="3">
      <c r="A2025" s="64">
        <f>ROW()-ROW(A$2021)</f>
        <v/>
      </c>
      <c r="B2025" s="22" t="inlineStr">
        <is>
          <t>指示灯</t>
        </is>
      </c>
      <c r="C2025" s="22" t="inlineStr">
        <is>
          <t>XB2BVM3LC</t>
        </is>
      </c>
      <c r="D2025" s="22" t="inlineStr">
        <is>
          <t>甲供/施耐德电气</t>
        </is>
      </c>
      <c r="E2025" s="23" t="inlineStr">
        <is>
          <t>只</t>
        </is>
      </c>
      <c r="F2025" s="23" t="n">
        <v>7</v>
      </c>
      <c r="G2025" s="349">
        <f>IF(AND(B2025="",C2025=""),"",ROUND(M2025*L2025*N2025,2))</f>
        <v/>
      </c>
      <c r="H2025" s="353">
        <f>IF(AND(B2025="",C2025=""),"",ROUND(F2025*G2025,2))</f>
        <v/>
      </c>
      <c r="I2025" s="180" t="inlineStr"/>
      <c r="J2025" s="392">
        <f>IF(AND(B2025="",C2025=""),"",ROUND(M2025*N2025,2))</f>
        <v/>
      </c>
      <c r="K2025" s="393">
        <f>IF(AND(B2025="",C2025=""),"",ROUND(J2025*F2025,2))</f>
        <v/>
      </c>
      <c r="L2025" s="141" t="n">
        <v>1</v>
      </c>
      <c r="M2025" s="394" t="n">
        <v>1e-07</v>
      </c>
      <c r="N2025" s="220" t="n">
        <v>1</v>
      </c>
      <c r="O2025" s="221">
        <f>IF(AND(B2025="",C2025=""),"",IF(G2025&gt;=20000,0.05,IF(G2025&gt;=10000,0.1,IF(G2025&gt;=5000,0.2,IF(G2025&gt;=1000,0.3,IF(G2025&gt;=0,0.4,{0}))))))</f>
        <v/>
      </c>
      <c r="P2025" s="419">
        <f>IF(AND(B2025="",C2025=""),"",ROUND(H2025*O2025,2))</f>
        <v/>
      </c>
      <c r="Q2025" s="420" t="inlineStr">
        <is>
          <t>元件</t>
        </is>
      </c>
      <c r="R2025" s="231" t="inlineStr"/>
      <c r="S2025" s="231" t="inlineStr"/>
      <c r="T2025" s="231" t="inlineStr">
        <is>
          <t>0</t>
        </is>
      </c>
      <c r="U2025" s="231" t="inlineStr">
        <is>
          <t>XB2BVM3LC</t>
        </is>
      </c>
      <c r="V2025" s="421" t="n"/>
      <c r="W2025" s="421" t="n"/>
      <c r="X2025" s="166" t="inlineStr">
        <is>
          <t>XA2EVM3LC</t>
        </is>
      </c>
    </row>
    <row r="2026" customFormat="1" s="3">
      <c r="A2026" s="64">
        <f>ROW()-ROW(A$2021)</f>
        <v/>
      </c>
      <c r="B2026" s="22" t="inlineStr">
        <is>
          <t>指示灯</t>
        </is>
      </c>
      <c r="C2026" s="22" t="inlineStr">
        <is>
          <t>XB2BVM4LC</t>
        </is>
      </c>
      <c r="D2026" s="22" t="inlineStr">
        <is>
          <t>甲供/施耐德电气</t>
        </is>
      </c>
      <c r="E2026" s="23" t="inlineStr">
        <is>
          <t>只</t>
        </is>
      </c>
      <c r="F2026" s="23" t="n">
        <v>7</v>
      </c>
      <c r="G2026" s="349">
        <f>IF(AND(B2026="",C2026=""),"",ROUND(M2026*L2026*N2026,2))</f>
        <v/>
      </c>
      <c r="H2026" s="353">
        <f>IF(AND(B2026="",C2026=""),"",ROUND(F2026*G2026,2))</f>
        <v/>
      </c>
      <c r="I2026" s="180" t="inlineStr"/>
      <c r="J2026" s="392">
        <f>IF(AND(B2026="",C2026=""),"",ROUND(M2026*N2026,2))</f>
        <v/>
      </c>
      <c r="K2026" s="393">
        <f>IF(AND(B2026="",C2026=""),"",ROUND(J2026*F2026,2))</f>
        <v/>
      </c>
      <c r="L2026" s="141" t="n">
        <v>1</v>
      </c>
      <c r="M2026" s="394" t="n">
        <v>1e-07</v>
      </c>
      <c r="N2026" s="220" t="n">
        <v>1</v>
      </c>
      <c r="O2026" s="221">
        <f>IF(AND(B2026="",C2026=""),"",IF(G2026&gt;=20000,0.05,IF(G2026&gt;=10000,0.1,IF(G2026&gt;=5000,0.2,IF(G2026&gt;=1000,0.3,IF(G2026&gt;=0,0.4,{0}))))))</f>
        <v/>
      </c>
      <c r="P2026" s="419">
        <f>IF(AND(B2026="",C2026=""),"",ROUND(H2026*O2026,2))</f>
        <v/>
      </c>
      <c r="Q2026" s="420" t="inlineStr">
        <is>
          <t>元件</t>
        </is>
      </c>
      <c r="R2026" s="231" t="inlineStr"/>
      <c r="S2026" s="231" t="inlineStr"/>
      <c r="T2026" s="231" t="inlineStr">
        <is>
          <t>0</t>
        </is>
      </c>
      <c r="U2026" s="231" t="inlineStr">
        <is>
          <t>XB2BVM4LC</t>
        </is>
      </c>
      <c r="V2026" s="421" t="n"/>
      <c r="W2026" s="421" t="n"/>
      <c r="X2026" s="166" t="inlineStr">
        <is>
          <t>XA2EVM4LC</t>
        </is>
      </c>
    </row>
    <row r="2027" s="308">
      <c r="A2027" s="64">
        <f>ROW()-ROW(A$2021)</f>
        <v/>
      </c>
      <c r="B2027" s="112" t="inlineStr">
        <is>
          <t>温湿度控制器</t>
        </is>
      </c>
      <c r="C2027" s="112" t="inlineStr">
        <is>
          <t>ATH48G-11</t>
        </is>
      </c>
      <c r="D2027" s="22" t="inlineStr">
        <is>
          <t>杭州安廷</t>
        </is>
      </c>
      <c r="E2027" s="23" t="inlineStr">
        <is>
          <t>套</t>
        </is>
      </c>
      <c r="F2027" s="23" t="n">
        <v>1</v>
      </c>
      <c r="G2027" s="349">
        <f>IF(AND(B2027="",C2027=""),"",ROUND(M2027*L2027*N2027,2))</f>
        <v/>
      </c>
      <c r="H2027" s="396">
        <f>IF(AND(B2027="",C2027=""),"",ROUND(F2027*G2027,2))</f>
        <v/>
      </c>
      <c r="I2027" s="150" t="inlineStr"/>
      <c r="J2027" s="397">
        <f>IF(AND(B2027="",C2027=""),"",ROUND(M2027*N2027,2))</f>
        <v/>
      </c>
      <c r="K2027" s="398">
        <f>IF(AND(B2027="",C2027=""),"",ROUND(J2027*F2027,2))</f>
        <v/>
      </c>
      <c r="L2027" s="141" t="n">
        <v>1</v>
      </c>
      <c r="M2027" s="399" t="n">
        <v>450</v>
      </c>
      <c r="N2027" s="154" t="n">
        <v>1</v>
      </c>
      <c r="O2027" s="155">
        <f>IF(AND(B2027="",C2027=""),"",IF(G2027&gt;=20000,0.05,IF(G2027&gt;=10000,0.1,IF(G2027&gt;=5000,0.2,IF(G2027&gt;=1000,0.3,IF(G2027&gt;=0,0.4,{0}))))))</f>
        <v/>
      </c>
      <c r="P2027" s="400">
        <f>IF(AND(B2027="",C2027=""),"",ROUND(H2027*O2027,2))</f>
        <v/>
      </c>
      <c r="Q2027" s="401" t="inlineStr">
        <is>
          <t>元件</t>
        </is>
      </c>
      <c r="R2027" s="168" t="inlineStr"/>
      <c r="S2027" s="168" t="inlineStr"/>
      <c r="T2027" s="168" t="inlineStr">
        <is>
          <t>0</t>
        </is>
      </c>
      <c r="U2027" s="168" t="inlineStr"/>
      <c r="V2027" s="402" t="n"/>
      <c r="W2027" s="402" t="n"/>
      <c r="X2027" s="170" t="inlineStr"/>
    </row>
    <row r="2028" s="308">
      <c r="A2028" s="64">
        <f>ROW()-ROW(A$2021)</f>
        <v/>
      </c>
      <c r="B2028" s="22" t="inlineStr">
        <is>
          <t>中间继电器</t>
        </is>
      </c>
      <c r="C2028" s="22" t="inlineStr">
        <is>
          <t>RXM4AB2P7+RXZE2S114M+RXZ400</t>
        </is>
      </c>
      <c r="D2028" s="22" t="inlineStr">
        <is>
          <t>甲供/施耐德电气</t>
        </is>
      </c>
      <c r="E2028" s="23" t="inlineStr">
        <is>
          <t>只</t>
        </is>
      </c>
      <c r="F2028" s="23" t="n">
        <v>14</v>
      </c>
      <c r="G2028" s="349">
        <f>IF(AND(B2028="",C2028=""),"",ROUND(M2028*L2028*N2028,2))</f>
        <v/>
      </c>
      <c r="H2028" s="349">
        <f>IF(AND(B2028="",C2028=""),"",ROUND(F2028*G2028,2))</f>
        <v/>
      </c>
      <c r="I2028" s="45" t="inlineStr"/>
      <c r="J2028" s="397">
        <f>IF(AND(B2028="",C2028=""),"",ROUND(M2028*N2028,2))</f>
        <v/>
      </c>
      <c r="K2028" s="398">
        <f>IF(AND(B2028="",C2028=""),"",ROUND(J2028*F2028,2))</f>
        <v/>
      </c>
      <c r="L2028" s="141" t="n">
        <v>1</v>
      </c>
      <c r="M2028" s="399" t="n">
        <v>1e-07</v>
      </c>
      <c r="N2028" s="154" t="n">
        <v>1</v>
      </c>
      <c r="O2028" s="155">
        <f>IF(AND(B2028="",C2028=""),"",IF(G2028&gt;=20000,0.05,IF(G2028&gt;=10000,0.1,IF(G2028&gt;=5000,0.2,IF(G2028&gt;=1000,0.3,IF(G2028&gt;=0,0.4,{0}))))))</f>
        <v/>
      </c>
      <c r="P2028" s="400">
        <f>IF(AND(B2028="",C2028=""),"",ROUND(H2028*O2028,2))</f>
        <v/>
      </c>
      <c r="Q2028" s="401" t="inlineStr">
        <is>
          <t>元件</t>
        </is>
      </c>
      <c r="R2028" s="168" t="inlineStr"/>
      <c r="S2028" s="168" t="inlineStr"/>
      <c r="T2028" s="168" t="inlineStr">
        <is>
          <t>0</t>
        </is>
      </c>
      <c r="U2028" s="168" t="inlineStr">
        <is>
          <t>RXM4AB2P7+RXZE2S114M+RXZ400</t>
        </is>
      </c>
      <c r="V2028" s="402" t="n"/>
      <c r="W2028" s="402" t="n"/>
      <c r="X2028" s="170" t="inlineStr">
        <is>
          <t>REL-IR-BL/L-230AC/4X21，含底座→RXM4AB2P7+RXZE2S114M+RXZ400→REL-IR-BL/L-230AC/4X21，含底座</t>
        </is>
      </c>
    </row>
    <row r="2029" customFormat="1" s="3">
      <c r="A2029" s="64">
        <f>ROW()-ROW(A$2021)</f>
        <v/>
      </c>
      <c r="B2029" s="22" t="inlineStr">
        <is>
          <t>带熔丝端子</t>
        </is>
      </c>
      <c r="C2029" s="22" t="inlineStr">
        <is>
          <t>UK 5-HESI</t>
        </is>
      </c>
      <c r="D2029" s="22" t="inlineStr">
        <is>
          <t>菲尼克斯</t>
        </is>
      </c>
      <c r="E2029" s="23" t="inlineStr">
        <is>
          <t>只</t>
        </is>
      </c>
      <c r="F2029" s="23" t="n">
        <v>28</v>
      </c>
      <c r="G2029" s="349">
        <f>IF(AND(B2029="",C2029=""),"",ROUND(M2029*L2029*N2029,2))</f>
        <v/>
      </c>
      <c r="H2029" s="349">
        <f>IF(AND(B2029="",C2029=""),"",ROUND(F2029*G2029,2))</f>
        <v/>
      </c>
      <c r="I2029" s="45" t="inlineStr"/>
      <c r="J2029" s="392">
        <f>IF(AND(B2029="",C2029=""),"",ROUND(M2029*N2029,2))</f>
        <v/>
      </c>
      <c r="K2029" s="393">
        <f>IF(AND(B2029="",C2029=""),"",ROUND(J2029*F2029,2))</f>
        <v/>
      </c>
      <c r="L2029" s="141" t="n">
        <v>1</v>
      </c>
      <c r="M2029" s="394" t="n">
        <v>7</v>
      </c>
      <c r="N2029" s="220" t="n">
        <v>1</v>
      </c>
      <c r="O2029" s="221">
        <f>IF(AND(B2029="",C2029=""),"",IF(G2029&gt;=20000,0.05,IF(G2029&gt;=10000,0.1,IF(G2029&gt;=5000,0.2,IF(G2029&gt;=1000,0.3,IF(G2029&gt;=0,0.4,{0}))))))</f>
        <v/>
      </c>
      <c r="P2029" s="419">
        <f>IF(AND(B2029="",C2029=""),"",ROUND(H2029*O2029,2))</f>
        <v/>
      </c>
      <c r="Q2029" s="420" t="inlineStr">
        <is>
          <t>元件</t>
        </is>
      </c>
      <c r="R2029" s="231" t="inlineStr"/>
      <c r="S2029" s="231" t="inlineStr"/>
      <c r="T2029" s="231" t="inlineStr">
        <is>
          <t>0</t>
        </is>
      </c>
      <c r="U2029" s="231" t="inlineStr">
        <is>
          <t>True</t>
        </is>
      </c>
      <c r="V2029" s="421" t="n"/>
      <c r="W2029" s="421" t="n"/>
      <c r="X2029" s="166" t="inlineStr"/>
    </row>
    <row r="2030" s="308">
      <c r="A2030" s="64">
        <f>ROW()-ROW(A$2021)</f>
        <v/>
      </c>
      <c r="B2030" s="22" t="inlineStr">
        <is>
          <t>水平母排</t>
        </is>
      </c>
      <c r="C2030" s="22" t="inlineStr">
        <is>
          <t>TMY 4*(3*125*5)+2*50*5</t>
        </is>
      </c>
      <c r="D2030" s="22" t="inlineStr">
        <is>
          <t>国产优质</t>
        </is>
      </c>
      <c r="E2030" s="23" t="inlineStr">
        <is>
          <t>米</t>
        </is>
      </c>
      <c r="F2030" s="23" t="n">
        <v>0.7</v>
      </c>
      <c r="G2030" s="349">
        <f>IF(AND(B2030="",C2030=""),"",ROUND(M2030*L2030*N2030,2))</f>
        <v/>
      </c>
      <c r="H2030" s="349">
        <f>IF(AND(B2030="",C2030=""),"",ROUND(F2030*G2030,2))</f>
        <v/>
      </c>
      <c r="I2030" s="45" t="inlineStr"/>
      <c r="J2030" s="397">
        <f>IF(AND(B2030="",C2030=""),"",ROUND(M2030*N2030,2))</f>
        <v/>
      </c>
      <c r="K2030" s="398">
        <f>IF(AND(B2030="",C2030=""),"",ROUND(J2030*F2030,2))</f>
        <v/>
      </c>
      <c r="L2030" s="200" t="n">
        <v>1</v>
      </c>
      <c r="M2030" s="399" t="n">
        <v>7697.076</v>
      </c>
      <c r="N2030" s="154">
        <f>(6317.932*1*1+2684.8*1*1)/9002.732</f>
        <v/>
      </c>
      <c r="O2030" s="155">
        <f>IF(AND(B2030="",C2030=""),"",IF(J2030&gt;=20000,0.05,IF(J2030&gt;=10000,0.1,IF(J2030&gt;=5000,0.2,IF(J2030&gt;=1000,0.3,IF(J2030&gt;=0,0.4,{0}))))))</f>
        <v/>
      </c>
      <c r="P2030" s="400">
        <f>IF(AND(B2030="",C2030=""),"",ROUND(H2030*O2030,2))</f>
        <v/>
      </c>
      <c r="Q2030" s="401" t="inlineStr">
        <is>
          <t>母排</t>
        </is>
      </c>
      <c r="R2030" s="168" t="inlineStr"/>
      <c r="S2030" s="168" t="inlineStr"/>
      <c r="T2030" s="168" t="inlineStr">
        <is>
          <t>0</t>
        </is>
      </c>
      <c r="U2030" s="168" t="inlineStr"/>
      <c r="V2030" s="402" t="n"/>
      <c r="W2030" s="402" t="n"/>
      <c r="X2030" s="170" t="inlineStr"/>
    </row>
    <row r="2031" customFormat="1" s="5">
      <c r="A2031" s="64">
        <f>ROW()-ROW(A$2021)</f>
        <v/>
      </c>
      <c r="B2031" s="22" t="inlineStr">
        <is>
          <t>垂直排</t>
        </is>
      </c>
      <c r="C2031" s="22" t="inlineStr">
        <is>
          <t>TMY 3*3*80*5</t>
        </is>
      </c>
      <c r="D2031" s="22" t="inlineStr">
        <is>
          <t>国产优质</t>
        </is>
      </c>
      <c r="E2031" s="23" t="inlineStr">
        <is>
          <t>米</t>
        </is>
      </c>
      <c r="F2031" s="23" t="n">
        <v>2</v>
      </c>
      <c r="G2031" s="349">
        <f>IF(AND(B2031="",C2031=""),"",ROUND(M2031*L2031*N2031,2))</f>
        <v/>
      </c>
      <c r="H2031" s="349">
        <f>IF(AND(B2031="",C2031=""),"",ROUND(F2031*G2031,2))</f>
        <v/>
      </c>
      <c r="I2031" s="45" t="inlineStr"/>
      <c r="J2031" s="422">
        <f>IF(AND(B2031="",C2031=""),"",ROUND(M2031*N2031,2))</f>
        <v/>
      </c>
      <c r="K2031" s="423">
        <f>IF(AND(B2031="",C2031=""),"",ROUND(J2031*F2031,2))</f>
        <v/>
      </c>
      <c r="L2031" s="225" t="n">
        <v>1</v>
      </c>
      <c r="M2031" s="424" t="n">
        <v>3463.6842</v>
      </c>
      <c r="N2031" s="227" t="n">
        <v>1</v>
      </c>
      <c r="O2031" s="228">
        <f>IF(AND(B2031="",C2031=""),"",IF(G2031&gt;=20000,0.05,IF(G2031&gt;=10000,0.1,IF(G2031&gt;=5000,0.2,IF(G2031&gt;=1000,0.3,IF(G2031&gt;=0,0.4,{0}))))))</f>
        <v/>
      </c>
      <c r="P2031" s="425">
        <f>IF(AND(B2031="",C2031=""),"",ROUND(H2031*O2031,2))</f>
        <v/>
      </c>
      <c r="Q2031" s="426" t="inlineStr">
        <is>
          <t>母排</t>
        </is>
      </c>
      <c r="R2031" s="234" t="inlineStr"/>
      <c r="S2031" s="234" t="inlineStr"/>
      <c r="T2031" s="235" t="inlineStr">
        <is>
          <t>0</t>
        </is>
      </c>
      <c r="U2031" s="235" t="inlineStr"/>
      <c r="V2031" s="427" t="n"/>
      <c r="W2031" s="427" t="n"/>
      <c r="X2031" s="237" t="inlineStr">
        <is>
          <t>TMY 2*30*5→TMY 30*8</t>
        </is>
      </c>
    </row>
    <row r="2032" customFormat="1" s="5">
      <c r="A2032" s="64">
        <f>ROW()-ROW(A$2021)</f>
        <v/>
      </c>
      <c r="B2032" s="22" t="inlineStr">
        <is>
          <t>N排</t>
        </is>
      </c>
      <c r="C2032" s="22" t="inlineStr">
        <is>
          <t>TMY 3*80*5</t>
        </is>
      </c>
      <c r="D2032" s="22" t="inlineStr">
        <is>
          <t>国产优质</t>
        </is>
      </c>
      <c r="E2032" s="23" t="inlineStr">
        <is>
          <t>米</t>
        </is>
      </c>
      <c r="F2032" s="23" t="n">
        <v>3</v>
      </c>
      <c r="G2032" s="349">
        <f>IF(AND(B2032="",C2032=""),"",ROUND(M2032*L2032*N2032,2))</f>
        <v/>
      </c>
      <c r="H2032" s="349">
        <f>IF(AND(B2032="",C2032=""),"",ROUND(F2032*G2032,2))</f>
        <v/>
      </c>
      <c r="I2032" s="45" t="inlineStr"/>
      <c r="J2032" s="422">
        <f>IF(AND(B2032="",C2032=""),"",ROUND(M2032*N2032,2))</f>
        <v/>
      </c>
      <c r="K2032" s="423">
        <f>IF(AND(B2032="",C2032=""),"",ROUND(J2032*F2032,2))</f>
        <v/>
      </c>
      <c r="L2032" s="225" t="n">
        <v>1</v>
      </c>
      <c r="M2032" s="424" t="n">
        <v>1154.5614</v>
      </c>
      <c r="N2032" s="227" t="n">
        <v>1</v>
      </c>
      <c r="O2032" s="228">
        <f>IF(AND(B2032="",C2032=""),"",IF(G2032&gt;=20000,0.05,IF(G2032&gt;=10000,0.1,IF(G2032&gt;=5000,0.2,IF(G2032&gt;=1000,0.3,IF(G2032&gt;=0,0.4,{0}))))))</f>
        <v/>
      </c>
      <c r="P2032" s="425">
        <f>IF(AND(B2032="",C2032=""),"",ROUND(H2032*O2032,2))</f>
        <v/>
      </c>
      <c r="Q2032" s="426" t="inlineStr">
        <is>
          <t>母排</t>
        </is>
      </c>
      <c r="R2032" s="234" t="inlineStr"/>
      <c r="S2032" s="234" t="inlineStr"/>
      <c r="T2032" s="235" t="inlineStr">
        <is>
          <t>0</t>
        </is>
      </c>
      <c r="U2032" s="235" t="inlineStr"/>
      <c r="V2032" s="427" t="n"/>
      <c r="W2032" s="427" t="n"/>
      <c r="X2032" s="237" t="inlineStr">
        <is>
          <t>TMY 2*30*5→TMY 30*8</t>
        </is>
      </c>
    </row>
    <row r="2033" customFormat="1" s="5">
      <c r="A2033" s="64">
        <f>ROW()-ROW(A$2021)</f>
        <v/>
      </c>
      <c r="B2033" s="22" t="inlineStr">
        <is>
          <t>PE排</t>
        </is>
      </c>
      <c r="C2033" s="22" t="inlineStr">
        <is>
          <t>TMY 2*50*5</t>
        </is>
      </c>
      <c r="D2033" s="22" t="inlineStr">
        <is>
          <t>国产优质</t>
        </is>
      </c>
      <c r="E2033" s="23" t="inlineStr">
        <is>
          <t>米</t>
        </is>
      </c>
      <c r="F2033" s="23" t="n">
        <v>2</v>
      </c>
      <c r="G2033" s="349">
        <f>IF(AND(B2033="",C2033=""),"",ROUND(M2033*L2033*N2033,2))</f>
        <v/>
      </c>
      <c r="H2033" s="349">
        <f>IF(AND(B2033="",C2033=""),"",ROUND(F2033*G2033,2))</f>
        <v/>
      </c>
      <c r="I2033" s="45" t="inlineStr"/>
      <c r="J2033" s="422">
        <f>IF(AND(B2033="",C2033=""),"",ROUND(M2033*N2033,2))</f>
        <v/>
      </c>
      <c r="K2033" s="423">
        <f>IF(AND(B2033="",C2033=""),"",ROUND(J2033*F2033,2))</f>
        <v/>
      </c>
      <c r="L2033" s="225" t="n">
        <v>1</v>
      </c>
      <c r="M2033" s="424" t="n">
        <v>481.06725</v>
      </c>
      <c r="N2033" s="227" t="n">
        <v>1</v>
      </c>
      <c r="O2033" s="228">
        <f>IF(AND(B2033="",C2033=""),"",IF(G2033&gt;=20000,0.05,IF(G2033&gt;=10000,0.1,IF(G2033&gt;=5000,0.2,IF(G2033&gt;=1000,0.3,IF(G2033&gt;=0,0.4,{0}))))))</f>
        <v/>
      </c>
      <c r="P2033" s="425">
        <f>IF(AND(B2033="",C2033=""),"",ROUND(H2033*O2033,2))</f>
        <v/>
      </c>
      <c r="Q2033" s="426" t="inlineStr">
        <is>
          <t>母排</t>
        </is>
      </c>
      <c r="R2033" s="234" t="inlineStr"/>
      <c r="S2033" s="234" t="inlineStr"/>
      <c r="T2033" s="235" t="inlineStr">
        <is>
          <t>0</t>
        </is>
      </c>
      <c r="U2033" s="235" t="inlineStr"/>
      <c r="V2033" s="427" t="n"/>
      <c r="W2033" s="427" t="n"/>
      <c r="X2033" s="237" t="inlineStr">
        <is>
          <t>TMY 2*30*5→TMY 30*8</t>
        </is>
      </c>
    </row>
    <row r="2034" customFormat="1" s="5">
      <c r="A2034" s="64">
        <f>ROW()-ROW(A$2021)</f>
        <v/>
      </c>
      <c r="B2034" s="22" t="inlineStr">
        <is>
          <t>400A铜排</t>
        </is>
      </c>
      <c r="C2034" s="22" t="inlineStr">
        <is>
          <t>TMY 30*5</t>
        </is>
      </c>
      <c r="D2034" s="22" t="inlineStr">
        <is>
          <t>国产优质</t>
        </is>
      </c>
      <c r="E2034" s="23" t="inlineStr">
        <is>
          <t>米</t>
        </is>
      </c>
      <c r="F2034" s="23" t="n">
        <v>22.4</v>
      </c>
      <c r="G2034" s="349">
        <f>IF(AND(B2034="",C2034=""),"",ROUND(M2034*L2034*N2034,2))</f>
        <v/>
      </c>
      <c r="H2034" s="349">
        <f>IF(AND(B2034="",C2034=""),"",ROUND(F2034*G2034,2))</f>
        <v/>
      </c>
      <c r="I2034" s="45" t="inlineStr"/>
      <c r="J2034" s="422">
        <f>IF(AND(B2034="",C2034=""),"",ROUND(M2034*N2034,2))</f>
        <v/>
      </c>
      <c r="K2034" s="423">
        <f>IF(AND(B2034="",C2034=""),"",ROUND(J2034*F2034,2))</f>
        <v/>
      </c>
      <c r="L2034" s="225" t="n">
        <v>1</v>
      </c>
      <c r="M2034" s="424" t="n">
        <v>144.320175</v>
      </c>
      <c r="N2034" s="227" t="n">
        <v>1</v>
      </c>
      <c r="O2034" s="228">
        <f>IF(AND(B2034="",C2034=""),"",IF(G2034&gt;=20000,0.05,IF(G2034&gt;=10000,0.1,IF(G2034&gt;=5000,0.2,IF(G2034&gt;=1000,0.3,IF(G2034&gt;=0,0.4,{0}))))))</f>
        <v/>
      </c>
      <c r="P2034" s="425">
        <f>IF(AND(B2034="",C2034=""),"",ROUND(H2034*O2034,2))</f>
        <v/>
      </c>
      <c r="Q2034" s="426" t="inlineStr">
        <is>
          <t>母排</t>
        </is>
      </c>
      <c r="R2034" s="234" t="inlineStr"/>
      <c r="S2034" s="234" t="inlineStr"/>
      <c r="T2034" s="235" t="inlineStr">
        <is>
          <t>0</t>
        </is>
      </c>
      <c r="U2034" s="235" t="inlineStr"/>
      <c r="V2034" s="427" t="n"/>
      <c r="W2034" s="427" t="n"/>
      <c r="X2034" s="237" t="inlineStr">
        <is>
          <t>TMY 2*30*5→TMY 30*8</t>
        </is>
      </c>
    </row>
    <row r="2035" s="308">
      <c r="A2035" s="64">
        <f>ROW()-ROW(A$2021)</f>
        <v/>
      </c>
      <c r="B2035" s="112" t="inlineStr">
        <is>
          <t>辅料</t>
        </is>
      </c>
      <c r="C2035" s="112" t="inlineStr"/>
      <c r="D2035" s="112" t="inlineStr"/>
      <c r="E2035" s="114" t="inlineStr">
        <is>
          <t>套</t>
        </is>
      </c>
      <c r="F2035" s="114" t="n">
        <v>1</v>
      </c>
      <c r="G2035" s="396">
        <f>IF(AND(B2035="",C2035=""),"",ROUND(M2035*L2035*N2035,2))</f>
        <v/>
      </c>
      <c r="H2035" s="396">
        <f>IF(AND(B2035="",C2035=""),"",ROUND(F2035*G2035,2))</f>
        <v/>
      </c>
      <c r="I2035" s="219" t="inlineStr"/>
      <c r="J2035" s="397">
        <f>IF(AND(B2035="",C2035=""),"",ROUND(M2035*N2035,2))</f>
        <v/>
      </c>
      <c r="K2035" s="398">
        <f>IF(AND(B2035="",C2035=""),"",ROUND(J2035*F2035,2))</f>
        <v/>
      </c>
      <c r="L2035" s="200" t="n">
        <v>1</v>
      </c>
      <c r="M2035" s="399" t="n">
        <v>778.02</v>
      </c>
      <c r="N2035" s="154" t="n">
        <v>1</v>
      </c>
      <c r="O2035" s="155">
        <f>IF(AND(B2035="",C2035=""),"",IF(G2035&gt;=20000,0.05,IF(G2035&gt;=10000,0.1,IF(G2035&gt;=5000,0.2,IF(G2035&gt;=1000,0.3,IF(G2035&gt;=0,0.4,{0}))))))</f>
        <v/>
      </c>
      <c r="P2035" s="400">
        <f>IF(AND(B2035="",C2035=""),"",ROUND(H2035*O2035,2))</f>
        <v/>
      </c>
      <c r="Q2035" s="401" t="inlineStr">
        <is>
          <t>辅料</t>
        </is>
      </c>
      <c r="R2035" s="168" t="inlineStr"/>
      <c r="S2035" s="168" t="inlineStr"/>
      <c r="T2035" s="168" t="inlineStr">
        <is>
          <t>0</t>
        </is>
      </c>
      <c r="U2035" s="168" t="inlineStr"/>
      <c r="V2035" s="402" t="n"/>
      <c r="W2035" s="402" t="n"/>
      <c r="X2035" s="170" t="inlineStr"/>
    </row>
    <row r="2036" s="308">
      <c r="A2036" s="64">
        <f>ROW()-ROW(A$2021)</f>
        <v/>
      </c>
      <c r="B2036" s="112" t="inlineStr">
        <is>
          <t>柜体Blokset</t>
        </is>
      </c>
      <c r="C2036" s="22" t="inlineStr">
        <is>
          <t>600W*1200D*2200H</t>
        </is>
      </c>
      <c r="D2036" s="112" t="inlineStr">
        <is>
          <t>清科</t>
        </is>
      </c>
      <c r="E2036" s="114" t="inlineStr">
        <is>
          <t>台</t>
        </is>
      </c>
      <c r="F2036" s="114" t="n">
        <v>1</v>
      </c>
      <c r="G2036" s="396">
        <f>IF(AND(B2036="",C2036=""),"",ROUND(M2036*L2036*N2036,2))</f>
        <v/>
      </c>
      <c r="H2036" s="396">
        <f>IF(AND(B2036="",C2036=""),"",ROUND(F2036*G2036,2))</f>
        <v/>
      </c>
      <c r="I2036" s="219" t="inlineStr"/>
      <c r="J2036" s="397">
        <f>IF(AND(B2036="",C2036=""),"",ROUND(M2036*N2036,2))</f>
        <v/>
      </c>
      <c r="K2036" s="398">
        <f>IF(AND(B2036="",C2036=""),"",ROUND(J2036*F2036,2))</f>
        <v/>
      </c>
      <c r="L2036" s="200" t="n">
        <v>1</v>
      </c>
      <c r="M2036" s="399" t="n">
        <v>5770</v>
      </c>
      <c r="N2036" s="154" t="n">
        <v>1</v>
      </c>
      <c r="O2036" s="155">
        <f>IF(AND(B2036="",C2036=""),"",IF(G2036&gt;=20000,0.05,IF(G2036&gt;=10000,0.1,IF(G2036&gt;=5000,0.2,IF(G2036&gt;=1000,0.3,IF(G2036&gt;=0,0.4,{0}))))))</f>
        <v/>
      </c>
      <c r="P2036" s="400">
        <f>IF(AND(B2036="",C2036=""),"",ROUND(H2036*O2036,2))</f>
        <v/>
      </c>
      <c r="Q2036" s="401" t="inlineStr">
        <is>
          <t>箱体</t>
        </is>
      </c>
      <c r="R2036" s="168" t="inlineStr"/>
      <c r="S2036" s="168" t="inlineStr"/>
      <c r="T2036" s="168" t="inlineStr">
        <is>
          <t>0</t>
        </is>
      </c>
      <c r="U2036" s="168" t="inlineStr"/>
      <c r="V2036" s="402" t="n"/>
      <c r="W2036" s="402" t="n"/>
      <c r="X2036" s="170" t="inlineStr">
        <is>
          <t>BlokSeT</t>
        </is>
      </c>
    </row>
    <row r="2037" s="308">
      <c r="A2037" s="64">
        <f>ROW()-ROW(A$2021)</f>
        <v/>
      </c>
      <c r="B2037" s="22" t="inlineStr"/>
      <c r="C2037" s="22" t="inlineStr"/>
      <c r="D2037" s="22" t="inlineStr"/>
      <c r="E2037" s="23" t="n"/>
      <c r="F2037" s="23">
        <f>IF(AND(B2037="",C2037=""),"",1)</f>
        <v/>
      </c>
      <c r="G2037" s="349">
        <f>IF(AND(B2037="",C2037=""),"",ROUND(M2037*L2037*N2037,2))</f>
        <v/>
      </c>
      <c r="H2037" s="349">
        <f>IF(AND(B2037="",C2037=""),"",ROUND(F2037*G2037,2))</f>
        <v/>
      </c>
      <c r="I2037" s="45" t="inlineStr"/>
      <c r="J2037" s="397">
        <f>IF(AND(B2037="",C2037=""),"",ROUND(M2037*N2037,2))</f>
        <v/>
      </c>
      <c r="K2037" s="398">
        <f>IF(AND(B2037="",C2037=""),"",ROUND(J2037*F2037,2))</f>
        <v/>
      </c>
      <c r="L2037" s="200">
        <f>IF(AND(B2037="",C2037=""),"",1)</f>
        <v/>
      </c>
      <c r="M2037" s="399" t="n"/>
      <c r="N2037" s="154">
        <f>IF(AND(B2037="",C2037=""),"",1)</f>
        <v/>
      </c>
      <c r="O2037" s="155">
        <f>IF(AND(B2037="",C2037=""),"",IF(J2037&gt;=20000,0.05,IF(J2037&gt;=10000,0.1,IF(J2037&gt;=5000,0.2,IF(J2037&gt;=1000,0.3,IF(J2037&gt;=0,0.4,{0}))))))</f>
        <v/>
      </c>
      <c r="P2037" s="400">
        <f>IF(AND(B2037="",C2037=""),"",ROUND(H2037*O2037,2))</f>
        <v/>
      </c>
      <c r="Q2037" s="401">
        <f>IF(AND(B2037="",C2037=""),"","元件")</f>
        <v/>
      </c>
      <c r="R2037" s="168" t="inlineStr"/>
      <c r="S2037" s="168" t="inlineStr"/>
      <c r="T2037" s="168" t="inlineStr"/>
      <c r="U2037" s="168" t="inlineStr"/>
      <c r="V2037" s="402" t="n"/>
      <c r="W2037" s="402" t="n"/>
      <c r="X2037" s="170" t="inlineStr"/>
    </row>
    <row r="2038" s="308">
      <c r="A2038" s="64">
        <f>ROW()-ROW(A$2021)</f>
        <v/>
      </c>
      <c r="B2038" s="171" t="inlineStr">
        <is>
          <t>小计</t>
        </is>
      </c>
      <c r="C2038" s="172" t="n"/>
      <c r="D2038" s="204" t="n"/>
      <c r="E2038" s="114" t="n"/>
      <c r="F2038" s="114" t="n"/>
      <c r="G2038" s="396" t="n"/>
      <c r="H2038" s="396">
        <f>ROUND(SUM(H2021:INDEX(H:H,ROW()-1)),2)</f>
        <v/>
      </c>
      <c r="I2038" s="45" t="inlineStr"/>
      <c r="J2038" s="397" t="n"/>
      <c r="K2038" s="398">
        <f>ROUND(SUM(K2021:INDEX(K:K,ROW()-1)),2)</f>
        <v/>
      </c>
      <c r="L2038" s="200" t="n"/>
      <c r="M2038" s="399" t="n"/>
      <c r="N2038" s="154" t="n"/>
      <c r="O2038" s="155" t="n"/>
      <c r="P2038" s="400" t="n"/>
      <c r="Q2038" s="401" t="n"/>
      <c r="R2038" s="168" t="inlineStr"/>
      <c r="S2038" s="168" t="inlineStr"/>
      <c r="T2038" s="168" t="inlineStr"/>
      <c r="U2038" s="168" t="inlineStr"/>
      <c r="V2038" s="402">
        <f>ROUND(SUMPRODUCT(F2021:INDEX(F:F,ROW()-1),V2021:INDEX(V:V,ROW()-1)),2)</f>
        <v/>
      </c>
      <c r="W2038" s="402">
        <f>ROUND(SUMPRODUCT(F2021:INDEX(F:F,ROW()-1),W2021:INDEX(W:W,ROW()-1)),2)</f>
        <v/>
      </c>
      <c r="X2038" s="170" t="inlineStr"/>
    </row>
    <row r="2039" s="308">
      <c r="A2039" s="64">
        <f>ROW()-ROW(A$2021)</f>
        <v/>
      </c>
      <c r="B2039" s="171" t="inlineStr">
        <is>
          <t>综合费(人工、管理、税金、利润等)</t>
        </is>
      </c>
      <c r="C2039" s="172" t="n"/>
      <c r="D2039" s="204" t="n"/>
      <c r="E2039" s="114" t="n"/>
      <c r="F2039" s="114" t="n"/>
      <c r="G2039" s="396" t="n"/>
      <c r="H2039" s="396">
        <f>2500</f>
        <v/>
      </c>
      <c r="I2039" s="45" t="inlineStr"/>
      <c r="J2039" s="397" t="n"/>
      <c r="K2039" s="398" t="n"/>
      <c r="L2039" s="200" t="n"/>
      <c r="M2039" s="399" t="n"/>
      <c r="N2039" s="154" t="n"/>
      <c r="O2039" s="155" t="n"/>
      <c r="P2039" s="400" t="n"/>
      <c r="Q2039" s="401" t="inlineStr">
        <is>
          <t>费用</t>
        </is>
      </c>
      <c r="R2039" s="168" t="inlineStr"/>
      <c r="S2039" s="168" t="inlineStr"/>
      <c r="T2039" s="168" t="inlineStr"/>
      <c r="U2039" s="168" t="inlineStr"/>
      <c r="V2039" s="402" t="n"/>
      <c r="W2039" s="402" t="n"/>
      <c r="X2039" s="170" t="inlineStr"/>
    </row>
    <row r="2040" s="308">
      <c r="A2040" s="64">
        <f>ROW()-ROW(A$2021)</f>
        <v/>
      </c>
      <c r="B2040" s="204" t="inlineStr">
        <is>
          <t>单台合计</t>
        </is>
      </c>
      <c r="C2040" s="172" t="n"/>
      <c r="D2040" s="204" t="n"/>
      <c r="E2040" s="114" t="n"/>
      <c r="F2040" s="114" t="n"/>
      <c r="G2040" s="396" t="n"/>
      <c r="H2040" s="396">
        <f>ROUND(SUM(H2038:H2039),2)</f>
        <v/>
      </c>
      <c r="I2040" s="181" t="n"/>
      <c r="J2040" s="397" t="n"/>
      <c r="K2040" s="398">
        <f>ROUND(SUM(K2038:K2039),2)</f>
        <v/>
      </c>
      <c r="L2040" s="209" t="n"/>
      <c r="M2040" s="399" t="n"/>
      <c r="N2040" s="210" t="n"/>
      <c r="O2040" s="211" t="n"/>
      <c r="P2040" s="400" t="n"/>
      <c r="Q2040" s="401" t="n"/>
      <c r="R2040" s="168" t="inlineStr"/>
      <c r="S2040" s="168" t="inlineStr"/>
      <c r="T2040" s="168" t="inlineStr"/>
      <c r="U2040" s="168" t="inlineStr"/>
      <c r="V2040" s="402" t="n"/>
      <c r="W2040" s="402" t="n"/>
      <c r="X2040" s="170" t="inlineStr"/>
    </row>
    <row r="2041" s="308">
      <c r="A2041" s="173" t="inlineStr">
        <is>
          <t>总计</t>
        </is>
      </c>
      <c r="B2041" s="205" t="n"/>
      <c r="C2041" s="175" t="n"/>
      <c r="D2041" s="206" t="n"/>
      <c r="E2041" s="206" t="inlineStr">
        <is>
          <t>台</t>
        </is>
      </c>
      <c r="F2041" s="206" t="n">
        <v>4</v>
      </c>
      <c r="G2041" s="414">
        <f>ROUND(H2040,2)</f>
        <v/>
      </c>
      <c r="H2041" s="414">
        <f>ROUND(F2041*G2041,2)</f>
        <v/>
      </c>
      <c r="I2041" s="185" t="n"/>
      <c r="J2041" s="415" t="n"/>
      <c r="K2041" s="416">
        <f>ROUND(K2040*F2041,2)</f>
        <v/>
      </c>
      <c r="L2041" s="214" t="n"/>
      <c r="M2041" s="417" t="n"/>
      <c r="N2041" s="216" t="n"/>
      <c r="O2041" s="217" t="n"/>
      <c r="P2041" s="418" t="n"/>
      <c r="Q2041" s="401" t="n"/>
      <c r="R2041" s="168" t="inlineStr"/>
      <c r="S2041" s="168" t="inlineStr"/>
      <c r="T2041" s="168" t="inlineStr"/>
      <c r="U2041" s="168" t="inlineStr"/>
      <c r="V2041" s="402" t="n"/>
      <c r="W2041" s="402" t="n"/>
      <c r="X2041" s="170" t="inlineStr"/>
    </row>
    <row r="2042" customFormat="1" s="4">
      <c r="A2042" s="6" t="n"/>
      <c r="B2042" s="195" t="inlineStr"/>
      <c r="C2042" s="195" t="inlineStr"/>
      <c r="D2042" s="195" t="inlineStr"/>
      <c r="Q2042" s="159" t="n"/>
      <c r="R2042" s="159" t="n"/>
      <c r="S2042" s="159" t="n"/>
      <c r="T2042" s="159" t="n"/>
      <c r="U2042" s="159" t="n"/>
      <c r="X2042" s="195" t="inlineStr"/>
    </row>
    <row r="2043" customFormat="1" s="4">
      <c r="A2043" s="6" t="n"/>
      <c r="B2043" s="195" t="inlineStr"/>
      <c r="C2043" s="195" t="inlineStr"/>
      <c r="D2043" s="195" t="inlineStr"/>
      <c r="Q2043" s="159" t="n"/>
      <c r="R2043" s="159" t="n"/>
      <c r="S2043" s="159" t="n"/>
      <c r="T2043" s="159" t="n"/>
      <c r="U2043" s="159" t="n"/>
      <c r="X2043" s="195" t="inlineStr"/>
    </row>
    <row r="2044" s="308">
      <c r="A2044" s="208">
        <f>CONCATENATE("报价人：",项目信息!$B$8)</f>
        <v/>
      </c>
      <c r="B2044" s="208" t="n"/>
      <c r="C2044" s="4" t="n"/>
      <c r="D2044" s="4" t="n"/>
      <c r="E2044" s="4" t="n"/>
      <c r="F2044" s="4" t="n"/>
      <c r="G2044" s="4" t="n"/>
      <c r="H2044" s="178">
        <f>项目信息!$B$9</f>
        <v/>
      </c>
      <c r="Q2044" s="159" t="n"/>
      <c r="R2044" s="159" t="n"/>
      <c r="S2044" s="159" t="n"/>
      <c r="T2044" s="159" t="n"/>
      <c r="U2044" s="159" t="n"/>
      <c r="X2044" s="203" t="inlineStr"/>
    </row>
    <row r="2045" s="308">
      <c r="A2045" s="8">
        <f>T(项目信息!$B$22)</f>
        <v/>
      </c>
      <c r="Q2045" s="159" t="n"/>
      <c r="R2045" s="159" t="n"/>
      <c r="S2045" s="159" t="n"/>
      <c r="T2045" s="159" t="n"/>
      <c r="U2045" s="159" t="n"/>
    </row>
    <row r="2046" s="308">
      <c r="A2046" s="9">
        <f>T(项目信息!$B$23)</f>
        <v/>
      </c>
      <c r="Q2046" s="159" t="n"/>
      <c r="R2046" s="159" t="n"/>
      <c r="S2046" s="159" t="n"/>
      <c r="T2046" s="159" t="n"/>
      <c r="U2046" s="159" t="n"/>
    </row>
    <row r="2047" s="308">
      <c r="A2047" s="97" t="inlineStr">
        <is>
          <t>成套产品报价明细表</t>
        </is>
      </c>
      <c r="B2047" s="378" t="n"/>
      <c r="C2047" s="378" t="n"/>
      <c r="D2047" s="378" t="n"/>
      <c r="E2047" s="378" t="n"/>
      <c r="F2047" s="378" t="n"/>
      <c r="G2047" s="378" t="n"/>
      <c r="H2047" s="378" t="n"/>
      <c r="I2047" s="378" t="n"/>
      <c r="Q2047" s="159" t="n"/>
      <c r="R2047" s="159" t="n"/>
      <c r="S2047" s="159" t="n"/>
      <c r="T2047" s="159" t="n"/>
      <c r="U2047" s="159" t="n"/>
    </row>
    <row r="2048" customFormat="1" s="4">
      <c r="A2048" s="98" t="inlineStr">
        <is>
          <t>柜号:</t>
        </is>
      </c>
      <c r="B2048" s="99" t="inlineStr">
        <is>
          <t>T7-AU21、T8-BU21</t>
        </is>
      </c>
      <c r="C2048" s="100" t="inlineStr">
        <is>
          <t>型号:</t>
        </is>
      </c>
      <c r="D2048" s="99" t="inlineStr">
        <is>
          <t>BlokSeT</t>
        </is>
      </c>
      <c r="E2048" s="379" t="n"/>
      <c r="F2048" s="101" t="inlineStr">
        <is>
          <t>名称:</t>
        </is>
      </c>
      <c r="G2048" s="99" t="inlineStr">
        <is>
          <t>进线柜</t>
        </is>
      </c>
      <c r="H2048" s="379" t="n"/>
      <c r="I2048" s="408" t="inlineStr"/>
      <c r="J2048" s="194" t="inlineStr">
        <is>
          <t>箱柜尺寸:</t>
        </is>
      </c>
      <c r="K2048" s="195" t="inlineStr">
        <is>
          <t>400W*1200D*2200H</t>
        </is>
      </c>
      <c r="L2048" s="194" t="inlineStr">
        <is>
          <t>类别:</t>
        </is>
      </c>
      <c r="M2048" s="195" t="inlineStr">
        <is>
          <t>低压固定柜</t>
        </is>
      </c>
      <c r="N2048" s="409" t="inlineStr"/>
      <c r="Q2048" s="159" t="n"/>
      <c r="R2048" s="159" t="n"/>
      <c r="S2048" s="159" t="n"/>
      <c r="T2048" s="159" t="n"/>
      <c r="U2048" s="159" t="n"/>
    </row>
    <row r="2049" ht="20.1" customHeight="1" s="308">
      <c r="A2049" s="102" t="inlineStr">
        <is>
          <t>序号</t>
        </is>
      </c>
      <c r="B2049" s="103" t="inlineStr">
        <is>
          <t>元件名称</t>
        </is>
      </c>
      <c r="C2049" s="103" t="inlineStr">
        <is>
          <t>型号规格</t>
        </is>
      </c>
      <c r="D2049" s="104" t="inlineStr">
        <is>
          <t>生产厂家</t>
        </is>
      </c>
      <c r="E2049" s="105" t="inlineStr">
        <is>
          <t>单位</t>
        </is>
      </c>
      <c r="F2049" s="105" t="inlineStr">
        <is>
          <t>数量</t>
        </is>
      </c>
      <c r="G2049" s="382" t="inlineStr">
        <is>
          <t>单   价</t>
        </is>
      </c>
      <c r="H2049" s="383" t="inlineStr">
        <is>
          <t>总   价</t>
        </is>
      </c>
      <c r="I2049" s="134" t="inlineStr">
        <is>
          <t>备注</t>
        </is>
      </c>
      <c r="J2049" s="384" t="inlineStr">
        <is>
          <t>成本单价</t>
        </is>
      </c>
      <c r="K2049" s="384" t="inlineStr">
        <is>
          <t>成本总价</t>
        </is>
      </c>
      <c r="L2049" s="136" t="inlineStr">
        <is>
          <t>报出
系数</t>
        </is>
      </c>
      <c r="M2049" s="384" t="inlineStr">
        <is>
          <t>表价</t>
        </is>
      </c>
      <c r="N2049" s="136" t="inlineStr">
        <is>
          <t>折扣
系数</t>
        </is>
      </c>
      <c r="O2049" s="137" t="inlineStr">
        <is>
          <t>取费
系数</t>
        </is>
      </c>
      <c r="P2049" s="384" t="inlineStr">
        <is>
          <t>成套费</t>
        </is>
      </c>
      <c r="Q2049" s="161" t="inlineStr">
        <is>
          <t>类别</t>
        </is>
      </c>
      <c r="R2049" s="161" t="inlineStr">
        <is>
          <t>物料编码</t>
        </is>
      </c>
      <c r="S2049" s="161" t="inlineStr">
        <is>
          <t>产地</t>
        </is>
      </c>
      <c r="T2049" s="161" t="inlineStr">
        <is>
          <t>加工费</t>
        </is>
      </c>
      <c r="U2049" s="161" t="inlineStr">
        <is>
          <t>订货号</t>
        </is>
      </c>
      <c r="V2049" s="161" t="inlineStr">
        <is>
          <t>人工</t>
        </is>
      </c>
      <c r="W2049" s="161" t="inlineStr">
        <is>
          <t>辅料</t>
        </is>
      </c>
      <c r="X2049" s="203" t="inlineStr"/>
    </row>
    <row r="2050" s="308">
      <c r="A2050" s="64">
        <f>ROW()-ROW(A$2049)</f>
        <v/>
      </c>
      <c r="B2050" s="22" t="inlineStr">
        <is>
          <t>框架断路器</t>
        </is>
      </c>
      <c r="C2050" s="22" t="inlineStr">
        <is>
          <t>MT12 N1b SG 3P MIC5.0 E</t>
        </is>
      </c>
      <c r="D2050" s="22" t="inlineStr">
        <is>
          <t>甲供/施耐德电气</t>
        </is>
      </c>
      <c r="E2050" s="23" t="inlineStr">
        <is>
          <t>只</t>
        </is>
      </c>
      <c r="F2050" s="23" t="n">
        <v>1</v>
      </c>
      <c r="G2050" s="349">
        <f>IF(AND(B2050="",C2050=""),"",ROUND(M2050*L2050*N2050,2))</f>
        <v/>
      </c>
      <c r="H2050" s="349">
        <f>IF(AND(B2050="",C2050=""),"",ROUND(F2050*G2050,2))</f>
        <v/>
      </c>
      <c r="I2050" s="45" t="inlineStr"/>
      <c r="J2050" s="397">
        <f>IF(AND(B2050="",C2050=""),"",ROUND(M2050*N2050,2))</f>
        <v/>
      </c>
      <c r="K2050" s="398">
        <f>IF(AND(B2050="",C2050=""),"",ROUND(J2050*F2050,2))</f>
        <v/>
      </c>
      <c r="L2050" s="200" t="n">
        <v>1</v>
      </c>
      <c r="M2050" s="399" t="n">
        <v>1e-07</v>
      </c>
      <c r="N2050" s="154" t="n">
        <v>1</v>
      </c>
      <c r="O2050" s="155">
        <f>IF(AND(B2050="",C2050=""),"",IF(G2050&gt;=20000,0.05,IF(G2050&gt;=10000,0.1,IF(G2050&gt;=5000,0.2,IF(G2050&gt;=1000,0.3,IF(G2050&gt;=0,0.4,{0}))))))</f>
        <v/>
      </c>
      <c r="P2050" s="400">
        <f>IF(AND(B2050="",C2050=""),"",ROUND(H2050*O2050,2))</f>
        <v/>
      </c>
      <c r="Q2050" s="401" t="inlineStr">
        <is>
          <t>元件</t>
        </is>
      </c>
      <c r="R2050" s="168" t="inlineStr"/>
      <c r="S2050" s="168" t="inlineStr"/>
      <c r="T2050" s="168" t="inlineStr">
        <is>
          <t>0</t>
        </is>
      </c>
      <c r="U2050" s="168" t="inlineStr">
        <is>
          <t>C16F32D160</t>
        </is>
      </c>
      <c r="V2050" s="402" t="n"/>
      <c r="W2050" s="402" t="n"/>
      <c r="X2050" s="170" t="inlineStr">
        <is>
          <t>NSX630N Mic2.3 630A 3P3D F→NSX630F MIC2.3 630 3P F→NSX630F MIC 2.3 630 3P F</t>
        </is>
      </c>
    </row>
    <row r="2051" s="308">
      <c r="A2051" s="64">
        <f>ROW()-ROW(A$2049)</f>
        <v/>
      </c>
      <c r="B2051" s="22" t="inlineStr">
        <is>
          <t>框架断路器</t>
        </is>
      </c>
      <c r="C2051" s="22" t="inlineStr">
        <is>
          <t>MT12 N1a SG 3P MIC5.0 E</t>
        </is>
      </c>
      <c r="D2051" s="22" t="inlineStr">
        <is>
          <t>甲供/施耐德电气</t>
        </is>
      </c>
      <c r="E2051" s="23" t="inlineStr">
        <is>
          <t>只</t>
        </is>
      </c>
      <c r="F2051" s="23" t="n">
        <v>1</v>
      </c>
      <c r="G2051" s="349">
        <f>IF(AND(B2051="",C2051=""),"",ROUND(M2051*L2051*N2051,2))</f>
        <v/>
      </c>
      <c r="H2051" s="349">
        <f>IF(AND(B2051="",C2051=""),"",ROUND(F2051*G2051,2))</f>
        <v/>
      </c>
      <c r="I2051" s="45" t="inlineStr"/>
      <c r="J2051" s="397">
        <f>IF(AND(B2051="",C2051=""),"",ROUND(M2051*N2051,2))</f>
        <v/>
      </c>
      <c r="K2051" s="398">
        <f>IF(AND(B2051="",C2051=""),"",ROUND(J2051*F2051,2))</f>
        <v/>
      </c>
      <c r="L2051" s="200" t="n">
        <v>1</v>
      </c>
      <c r="M2051" s="399" t="n">
        <v>1e-07</v>
      </c>
      <c r="N2051" s="154" t="n">
        <v>1</v>
      </c>
      <c r="O2051" s="155">
        <f>IF(AND(B2051="",C2051=""),"",IF(G2051&gt;=20000,0.05,IF(G2051&gt;=10000,0.1,IF(G2051&gt;=5000,0.2,IF(G2051&gt;=1000,0.3,IF(G2051&gt;=0,0.4,{0}))))))</f>
        <v/>
      </c>
      <c r="P2051" s="400">
        <f>IF(AND(B2051="",C2051=""),"",ROUND(H2051*O2051,2))</f>
        <v/>
      </c>
      <c r="Q2051" s="401" t="inlineStr">
        <is>
          <t>元件</t>
        </is>
      </c>
      <c r="R2051" s="168" t="inlineStr"/>
      <c r="S2051" s="168" t="inlineStr"/>
      <c r="T2051" s="168" t="inlineStr">
        <is>
          <t>0</t>
        </is>
      </c>
      <c r="U2051" s="168" t="inlineStr">
        <is>
          <t>C16F32D160</t>
        </is>
      </c>
      <c r="V2051" s="402" t="n"/>
      <c r="W2051" s="402" t="n"/>
      <c r="X2051" s="170" t="inlineStr">
        <is>
          <t>NSX630N Mic2.3 630A 3P3D F→NSX630F MIC2.3 630 3P F→NSX630F MIC 2.3 630 3P F</t>
        </is>
      </c>
    </row>
    <row r="2052" s="308">
      <c r="A2052" s="64">
        <f>ROW()-ROW(A$2049)</f>
        <v/>
      </c>
      <c r="B2052" s="22" t="inlineStr">
        <is>
          <t>电流互感器</t>
        </is>
      </c>
      <c r="C2052" s="22" t="inlineStr">
        <is>
          <t>SD-0.66-80II-V 1250/5A</t>
        </is>
      </c>
      <c r="D2052" s="22" t="inlineStr">
        <is>
          <t>桑迪</t>
        </is>
      </c>
      <c r="E2052" s="23" t="inlineStr">
        <is>
          <t>只</t>
        </is>
      </c>
      <c r="F2052" s="23" t="n">
        <v>6</v>
      </c>
      <c r="G2052" s="349">
        <f>IF(AND(B2052="",C2052=""),"",ROUND(M2052*L2052*N2052,2))</f>
        <v/>
      </c>
      <c r="H2052" s="396">
        <f>IF(AND(B2052="",C2052=""),"",ROUND(F2052*G2052,2))</f>
        <v/>
      </c>
      <c r="I2052" s="219" t="inlineStr"/>
      <c r="J2052" s="397">
        <f>IF(AND(B2052="",C2052=""),"",ROUND(M2052*N2052,2))</f>
        <v/>
      </c>
      <c r="K2052" s="398">
        <f>IF(AND(B2052="",C2052=""),"",ROUND(J2052*F2052,2))</f>
        <v/>
      </c>
      <c r="L2052" s="200" t="n">
        <v>1</v>
      </c>
      <c r="M2052" s="399" t="n">
        <v>115.7</v>
      </c>
      <c r="N2052" s="154" t="n">
        <v>1</v>
      </c>
      <c r="O2052" s="155">
        <f>IF(AND(B2052="",C2052=""),"",IF(G2052&gt;=20000,0.05,IF(G2052&gt;=10000,0.1,IF(G2052&gt;=5000,0.2,IF(G2052&gt;=1000,0.3,IF(G2052&gt;=0,0.4,{0}))))))</f>
        <v/>
      </c>
      <c r="P2052" s="400">
        <f>IF(AND(B2052="",C2052=""),"",ROUND(H2052*O2052,2))</f>
        <v/>
      </c>
      <c r="Q2052" s="401" t="inlineStr">
        <is>
          <t>元件</t>
        </is>
      </c>
      <c r="R2052" s="168" t="inlineStr"/>
      <c r="S2052" s="168" t="inlineStr"/>
      <c r="T2052" s="168" t="inlineStr">
        <is>
          <t>0</t>
        </is>
      </c>
      <c r="U2052" s="168" t="inlineStr">
        <is>
          <t>710141426552500</t>
        </is>
      </c>
      <c r="V2052" s="402" t="n"/>
      <c r="W2052" s="402" t="n"/>
      <c r="X2052" s="170" t="inlineStr">
        <is>
          <t>SD→SD-0.66-40II-C 400/5A→SD-0.66-30I 250/5A→SD-0.66-30I 150/5A→SD-0.66-60II-C 750/5A→SD-0.66-60II-C 600/5A→SD-0.66-30I 150/5A→SD-0.66-40II-C 400/5A→SD-0.66-100II-C 1600/5A→SD-0.66-80II-V 1000/5A→SD-0.66-80II-V 1250/5A→SD-0.66-80II-V 1000/5A</t>
        </is>
      </c>
    </row>
    <row r="2053" s="308">
      <c r="A2053" s="64">
        <f>ROW()-ROW(A$2049)</f>
        <v/>
      </c>
      <c r="B2053" s="112" t="inlineStr">
        <is>
          <t>多功能表</t>
        </is>
      </c>
      <c r="C2053" s="112" t="inlineStr">
        <is>
          <t>PM4101</t>
        </is>
      </c>
      <c r="D2053" s="112" t="inlineStr">
        <is>
          <t>甲供/施耐德电气</t>
        </is>
      </c>
      <c r="E2053" s="114" t="inlineStr">
        <is>
          <t>只</t>
        </is>
      </c>
      <c r="F2053" s="114" t="n">
        <v>2</v>
      </c>
      <c r="G2053" s="396">
        <f>IF(AND(B2053="",C2053=""),"",ROUND(M2053*L2053*N2053,2))</f>
        <v/>
      </c>
      <c r="H2053" s="349">
        <f>IF(AND(B2053="",C2053=""),"",ROUND(F2053*G2053,2))</f>
        <v/>
      </c>
      <c r="I2053" s="45" t="inlineStr"/>
      <c r="J2053" s="397">
        <f>IF(AND(B2053="",C2053=""),"",ROUND(M2053*N2053,2))</f>
        <v/>
      </c>
      <c r="K2053" s="398">
        <f>IF(AND(B2053="",C2053=""),"",ROUND(J2053*F2053,2))</f>
        <v/>
      </c>
      <c r="L2053" s="200" t="n">
        <v>1</v>
      </c>
      <c r="M2053" s="399" t="n">
        <v>1e-07</v>
      </c>
      <c r="N2053" s="154" t="n">
        <v>1</v>
      </c>
      <c r="O2053" s="155">
        <f>IF(AND(B2053="",C2053=""),"",IF(J2053&gt;=20000,0.05,IF(J2053&gt;=10000,0.1,IF(J2053&gt;=5000,0.2,IF(J2053&gt;=1000,0.3,IF(J2053&gt;=0,0.4,{0}))))))</f>
        <v/>
      </c>
      <c r="P2053" s="400">
        <f>IF(AND(B2053="",C2053=""),"",ROUND(H2053*O2053,2))</f>
        <v/>
      </c>
      <c r="Q2053" s="401" t="inlineStr">
        <is>
          <t>元件</t>
        </is>
      </c>
      <c r="R2053" s="168" t="inlineStr"/>
      <c r="S2053" s="168" t="inlineStr"/>
      <c r="T2053" s="168" t="inlineStr">
        <is>
          <t>0</t>
        </is>
      </c>
      <c r="U2053" s="168" t="inlineStr"/>
      <c r="V2053" s="402" t="n"/>
      <c r="W2053" s="402" t="n"/>
      <c r="X2053" s="170" t="inlineStr"/>
    </row>
    <row r="2054" customFormat="1" s="3">
      <c r="A2054" s="64">
        <f>ROW()-ROW(A$2049)</f>
        <v/>
      </c>
      <c r="B2054" s="27" t="inlineStr">
        <is>
          <t>后备保护器</t>
        </is>
      </c>
      <c r="C2054" s="22" t="inlineStr">
        <is>
          <t>iSCB2 40H2 4P</t>
        </is>
      </c>
      <c r="D2054" s="22" t="inlineStr">
        <is>
          <t>甲供/施耐德万高</t>
        </is>
      </c>
      <c r="E2054" s="110" t="inlineStr">
        <is>
          <t>只</t>
        </is>
      </c>
      <c r="F2054" s="23" t="n">
        <v>1</v>
      </c>
      <c r="G2054" s="349">
        <f>IF(AND(B2054="",C2054=""),"",ROUND(M2054*L2054*N2054,2))</f>
        <v/>
      </c>
      <c r="H2054" s="349">
        <f>IF(AND(B2054="",C2054=""),"",ROUND(F2054*G2054,2))</f>
        <v/>
      </c>
      <c r="I2054" s="45" t="inlineStr"/>
      <c r="J2054" s="392">
        <f>IF(AND(B2054="",C2054=""),"",ROUND(M2054*N2054,2))</f>
        <v/>
      </c>
      <c r="K2054" s="393">
        <f>IF(AND(B2054="",C2054=""),"",ROUND(J2054*F2054,2))</f>
        <v/>
      </c>
      <c r="L2054" s="141" t="n">
        <v>1</v>
      </c>
      <c r="M2054" s="394" t="n">
        <v>1e-07</v>
      </c>
      <c r="N2054" s="143" t="n">
        <v>1</v>
      </c>
      <c r="O2054" s="144">
        <f>IF(AND(B2054="",C2054=""),"",IF(G2054&gt;=20000,0.05,IF(G2054&gt;=10000,0.1,IF(G2054&gt;=5000,0.2,IF(G2054&gt;=1000,0.3,IF(G2054&gt;=0,0.4,{0}))))))</f>
        <v/>
      </c>
      <c r="P2054" s="395">
        <f>IF(AND(B2054="",C2054=""),"",ROUND(H2054*O2054,2))</f>
        <v/>
      </c>
      <c r="Q2054" s="390" t="inlineStr">
        <is>
          <t>元件</t>
        </is>
      </c>
      <c r="R2054" s="164" t="inlineStr"/>
      <c r="S2054" s="164" t="inlineStr"/>
      <c r="T2054" s="164" t="inlineStr">
        <is>
          <t>0</t>
        </is>
      </c>
      <c r="U2054" s="164" t="inlineStr">
        <is>
          <t>A9L102554</t>
        </is>
      </c>
      <c r="V2054" s="391" t="n"/>
      <c r="W2054" s="391" t="n"/>
      <c r="X2054" s="166" t="inlineStr">
        <is>
          <t>iSCB1 25L1 4P→iSCB2 40H2 4P</t>
        </is>
      </c>
    </row>
    <row r="2055" customFormat="1" s="3">
      <c r="A2055" s="64">
        <f>ROW()-ROW(A$2049)</f>
        <v/>
      </c>
      <c r="B2055" s="27" t="inlineStr">
        <is>
          <t>电涌保护器</t>
        </is>
      </c>
      <c r="C2055" s="22" t="inlineStr">
        <is>
          <t>iPRU 40r 3P+N</t>
        </is>
      </c>
      <c r="D2055" s="22" t="inlineStr">
        <is>
          <t>甲供/施耐德万高</t>
        </is>
      </c>
      <c r="E2055" s="110" t="inlineStr">
        <is>
          <t>只</t>
        </is>
      </c>
      <c r="F2055" s="23" t="n">
        <v>1</v>
      </c>
      <c r="G2055" s="349">
        <f>IF(AND(B2055="",C2055=""),"",ROUND(M2055*L2055*N2055,2))</f>
        <v/>
      </c>
      <c r="H2055" s="349">
        <f>IF(AND(B2055="",C2055=""),"",ROUND(F2055*G2055,2))</f>
        <v/>
      </c>
      <c r="I2055" s="45" t="inlineStr"/>
      <c r="J2055" s="392">
        <f>IF(AND(B2055="",C2055=""),"",ROUND(M2055*N2055,2))</f>
        <v/>
      </c>
      <c r="K2055" s="393">
        <f>IF(AND(B2055="",C2055=""),"",ROUND(J2055*F2055,2))</f>
        <v/>
      </c>
      <c r="L2055" s="141" t="n">
        <v>1</v>
      </c>
      <c r="M2055" s="394" t="n">
        <v>1e-07</v>
      </c>
      <c r="N2055" s="143" t="n">
        <v>1</v>
      </c>
      <c r="O2055" s="144">
        <f>IF(AND(B2055="",C2055=""),"",IF(G2055&gt;=20000,0.05,IF(G2055&gt;=10000,0.1,IF(G2055&gt;=5000,0.2,IF(G2055&gt;=1000,0.3,IF(G2055&gt;=0,0.4,{0}))))))</f>
        <v/>
      </c>
      <c r="P2055" s="395">
        <f>IF(AND(B2055="",C2055=""),"",ROUND(H2055*O2055,2))</f>
        <v/>
      </c>
      <c r="Q2055" s="390" t="inlineStr">
        <is>
          <t>元件</t>
        </is>
      </c>
      <c r="R2055" s="164" t="inlineStr"/>
      <c r="S2055" s="164" t="inlineStr"/>
      <c r="T2055" s="164" t="inlineStr">
        <is>
          <t>0</t>
        </is>
      </c>
      <c r="U2055" s="164" t="inlineStr">
        <is>
          <t>A9L620601</t>
        </is>
      </c>
      <c r="V2055" s="391" t="n"/>
      <c r="W2055" s="391" t="n"/>
      <c r="X2055" s="166" t="inlineStr">
        <is>
          <t>iPRF1 12.5r 3P+N→iPRU 40r 3P→iPRF1 12.5r 3P+N</t>
        </is>
      </c>
    </row>
    <row r="2056" customFormat="1" s="3">
      <c r="A2056" s="64">
        <f>ROW()-ROW(A$2049)</f>
        <v/>
      </c>
      <c r="B2056" s="27" t="inlineStr">
        <is>
          <t>微型断路器</t>
        </is>
      </c>
      <c r="C2056" s="22" t="inlineStr">
        <is>
          <t>iC65H 2P C16A</t>
        </is>
      </c>
      <c r="D2056" s="22" t="inlineStr">
        <is>
          <t>甲供/施耐德电气</t>
        </is>
      </c>
      <c r="E2056" s="110" t="inlineStr">
        <is>
          <t>只</t>
        </is>
      </c>
      <c r="F2056" s="23" t="n">
        <v>2</v>
      </c>
      <c r="G2056" s="349">
        <f>IF(AND(B2056="",C2056=""),"",ROUND(M2056*L2056*N2056,2))</f>
        <v/>
      </c>
      <c r="H2056" s="349">
        <f>IF(AND(B2056="",C2056=""),"",ROUND(F2056*G2056,2))</f>
        <v/>
      </c>
      <c r="I2056" s="45" t="inlineStr"/>
      <c r="J2056" s="392">
        <f>IF(AND(B2056="",C2056=""),"",ROUND(M2056*N2056,2))</f>
        <v/>
      </c>
      <c r="K2056" s="393">
        <f>IF(AND(B2056="",C2056=""),"",ROUND(J2056*F2056,2))</f>
        <v/>
      </c>
      <c r="L2056" s="141" t="n">
        <v>1</v>
      </c>
      <c r="M2056" s="394" t="n">
        <v>1e-07</v>
      </c>
      <c r="N2056" s="143" t="n">
        <v>1</v>
      </c>
      <c r="O2056" s="144">
        <f>IF(AND(B2056="",C2056=""),"",IF(G2056&gt;=20000,0.05,IF(G2056&gt;=10000,0.1,IF(G2056&gt;=5000,0.2,IF(G2056&gt;=1000,0.3,IF(G2056&gt;=0,0.4,{0}))))))</f>
        <v/>
      </c>
      <c r="P2056" s="395">
        <f>IF(AND(B2056="",C2056=""),"",ROUND(H2056*O2056,2))</f>
        <v/>
      </c>
      <c r="Q2056" s="390" t="inlineStr">
        <is>
          <t>元件</t>
        </is>
      </c>
      <c r="R2056" s="164" t="inlineStr"/>
      <c r="S2056" s="164" t="inlineStr"/>
      <c r="T2056" s="164" t="n">
        <v>0</v>
      </c>
      <c r="U2056" s="164" t="inlineStr"/>
      <c r="V2056" s="391" t="n"/>
      <c r="W2056" s="391" t="n"/>
      <c r="X2056" s="166" t="inlineStr"/>
    </row>
    <row r="2057" customFormat="1" s="3">
      <c r="A2057" s="64">
        <f>ROW()-ROW(A$2049)</f>
        <v/>
      </c>
      <c r="B2057" s="22" t="inlineStr">
        <is>
          <t>指示灯</t>
        </is>
      </c>
      <c r="C2057" s="22" t="inlineStr">
        <is>
          <t>XB2BVM3LC</t>
        </is>
      </c>
      <c r="D2057" s="22" t="inlineStr">
        <is>
          <t>甲供/施耐德电气</t>
        </is>
      </c>
      <c r="E2057" s="23" t="inlineStr">
        <is>
          <t>只</t>
        </is>
      </c>
      <c r="F2057" s="23" t="n">
        <v>2</v>
      </c>
      <c r="G2057" s="349">
        <f>IF(AND(B2057="",C2057=""),"",ROUND(M2057*L2057*N2057,2))</f>
        <v/>
      </c>
      <c r="H2057" s="353">
        <f>IF(AND(B2057="",C2057=""),"",ROUND(F2057*G2057,2))</f>
        <v/>
      </c>
      <c r="I2057" s="180" t="inlineStr"/>
      <c r="J2057" s="392">
        <f>IF(AND(B2057="",C2057=""),"",ROUND(M2057*N2057,2))</f>
        <v/>
      </c>
      <c r="K2057" s="393">
        <f>IF(AND(B2057="",C2057=""),"",ROUND(J2057*F2057,2))</f>
        <v/>
      </c>
      <c r="L2057" s="141" t="n">
        <v>1</v>
      </c>
      <c r="M2057" s="394" t="n">
        <v>1e-07</v>
      </c>
      <c r="N2057" s="220" t="n">
        <v>1</v>
      </c>
      <c r="O2057" s="221">
        <f>IF(AND(B2057="",C2057=""),"",IF(G2057&gt;=20000,0.05,IF(G2057&gt;=10000,0.1,IF(G2057&gt;=5000,0.2,IF(G2057&gt;=1000,0.3,IF(G2057&gt;=0,0.4,{0}))))))</f>
        <v/>
      </c>
      <c r="P2057" s="419">
        <f>IF(AND(B2057="",C2057=""),"",ROUND(H2057*O2057,2))</f>
        <v/>
      </c>
      <c r="Q2057" s="420" t="inlineStr">
        <is>
          <t>元件</t>
        </is>
      </c>
      <c r="R2057" s="231" t="inlineStr"/>
      <c r="S2057" s="231" t="inlineStr"/>
      <c r="T2057" s="231" t="inlineStr">
        <is>
          <t>0</t>
        </is>
      </c>
      <c r="U2057" s="231" t="inlineStr">
        <is>
          <t>XB2BVM3LC</t>
        </is>
      </c>
      <c r="V2057" s="421" t="n"/>
      <c r="W2057" s="421" t="n"/>
      <c r="X2057" s="166" t="inlineStr">
        <is>
          <t>XA2EVM3LC</t>
        </is>
      </c>
    </row>
    <row r="2058" customFormat="1" s="3">
      <c r="A2058" s="64">
        <f>ROW()-ROW(A$2049)</f>
        <v/>
      </c>
      <c r="B2058" s="22" t="inlineStr">
        <is>
          <t>指示灯</t>
        </is>
      </c>
      <c r="C2058" s="22" t="inlineStr">
        <is>
          <t>XB2BVM4LC</t>
        </is>
      </c>
      <c r="D2058" s="22" t="inlineStr">
        <is>
          <t>甲供/施耐德电气</t>
        </is>
      </c>
      <c r="E2058" s="23" t="inlineStr">
        <is>
          <t>只</t>
        </is>
      </c>
      <c r="F2058" s="23" t="n">
        <v>2</v>
      </c>
      <c r="G2058" s="349">
        <f>IF(AND(B2058="",C2058=""),"",ROUND(M2058*L2058*N2058,2))</f>
        <v/>
      </c>
      <c r="H2058" s="353">
        <f>IF(AND(B2058="",C2058=""),"",ROUND(F2058*G2058,2))</f>
        <v/>
      </c>
      <c r="I2058" s="180" t="inlineStr"/>
      <c r="J2058" s="392">
        <f>IF(AND(B2058="",C2058=""),"",ROUND(M2058*N2058,2))</f>
        <v/>
      </c>
      <c r="K2058" s="393">
        <f>IF(AND(B2058="",C2058=""),"",ROUND(J2058*F2058,2))</f>
        <v/>
      </c>
      <c r="L2058" s="141" t="n">
        <v>1</v>
      </c>
      <c r="M2058" s="394" t="n">
        <v>1e-07</v>
      </c>
      <c r="N2058" s="220" t="n">
        <v>1</v>
      </c>
      <c r="O2058" s="221">
        <f>IF(AND(B2058="",C2058=""),"",IF(G2058&gt;=20000,0.05,IF(G2058&gt;=10000,0.1,IF(G2058&gt;=5000,0.2,IF(G2058&gt;=1000,0.3,IF(G2058&gt;=0,0.4,{0}))))))</f>
        <v/>
      </c>
      <c r="P2058" s="419">
        <f>IF(AND(B2058="",C2058=""),"",ROUND(H2058*O2058,2))</f>
        <v/>
      </c>
      <c r="Q2058" s="420" t="inlineStr">
        <is>
          <t>元件</t>
        </is>
      </c>
      <c r="R2058" s="231" t="inlineStr"/>
      <c r="S2058" s="231" t="inlineStr"/>
      <c r="T2058" s="231" t="inlineStr">
        <is>
          <t>0</t>
        </is>
      </c>
      <c r="U2058" s="231" t="inlineStr">
        <is>
          <t>XB2BVM4LC</t>
        </is>
      </c>
      <c r="V2058" s="421" t="n"/>
      <c r="W2058" s="421" t="n"/>
      <c r="X2058" s="166" t="inlineStr">
        <is>
          <t>XA2EVM4LC</t>
        </is>
      </c>
    </row>
    <row r="2059" s="308">
      <c r="A2059" s="64">
        <f>ROW()-ROW(A$2049)</f>
        <v/>
      </c>
      <c r="B2059" s="112" t="inlineStr">
        <is>
          <t>指示灯</t>
        </is>
      </c>
      <c r="C2059" s="112" t="inlineStr">
        <is>
          <t>XB2BVM5LC</t>
        </is>
      </c>
      <c r="D2059" s="112" t="inlineStr">
        <is>
          <t>甲供/施耐德电气</t>
        </is>
      </c>
      <c r="E2059" s="114" t="inlineStr">
        <is>
          <t>只</t>
        </is>
      </c>
      <c r="F2059" s="114" t="n">
        <v>2</v>
      </c>
      <c r="G2059" s="396">
        <f>IF(AND(B2059="",C2059=""),"",ROUND(M2059*L2059*N2059,2))</f>
        <v/>
      </c>
      <c r="H2059" s="396">
        <f>IF(AND(B2059="",C2059=""),"",ROUND(F2059*G2059,2))</f>
        <v/>
      </c>
      <c r="I2059" s="150" t="inlineStr"/>
      <c r="J2059" s="397">
        <f>IF(AND(B2059="",C2059=""),"",ROUND(M2059*N2059,2))</f>
        <v/>
      </c>
      <c r="K2059" s="398">
        <f>IF(AND(B2059="",C2059=""),"",ROUND(J2059*F2059,2))</f>
        <v/>
      </c>
      <c r="L2059" s="141" t="n">
        <v>1</v>
      </c>
      <c r="M2059" s="399" t="n">
        <v>1e-07</v>
      </c>
      <c r="N2059" s="154" t="n">
        <v>1</v>
      </c>
      <c r="O2059" s="155">
        <f>IF(AND(B2059="",C2059=""),"",IF(G2059&gt;=20000,0.05,IF(G2059&gt;=10000,0.1,IF(G2059&gt;=5000,0.2,IF(G2059&gt;=1000,0.3,IF(G2059&gt;=0,0.4,{0}))))))</f>
        <v/>
      </c>
      <c r="P2059" s="400">
        <f>IF(AND(B2059="",C2059=""),"",ROUND(H2059*O2059,2))</f>
        <v/>
      </c>
      <c r="Q2059" s="401" t="inlineStr">
        <is>
          <t>元件</t>
        </is>
      </c>
      <c r="R2059" s="168" t="inlineStr"/>
      <c r="S2059" s="168" t="inlineStr"/>
      <c r="T2059" s="168" t="inlineStr">
        <is>
          <t>0</t>
        </is>
      </c>
      <c r="U2059" s="168" t="inlineStr">
        <is>
          <t>XA2EVM5LC</t>
        </is>
      </c>
      <c r="V2059" s="402" t="n"/>
      <c r="W2059" s="402" t="n"/>
      <c r="X2059" s="170" t="inlineStr"/>
    </row>
    <row r="2060" s="308">
      <c r="A2060" s="64">
        <f>ROW()-ROW(A$2049)</f>
        <v/>
      </c>
      <c r="B2060" s="112" t="inlineStr">
        <is>
          <t>按钮</t>
        </is>
      </c>
      <c r="C2060" s="112" t="inlineStr">
        <is>
          <t>XB2BA31C</t>
        </is>
      </c>
      <c r="D2060" s="112" t="inlineStr">
        <is>
          <t>甲供/施耐德电气</t>
        </is>
      </c>
      <c r="E2060" s="114" t="inlineStr">
        <is>
          <t>只</t>
        </is>
      </c>
      <c r="F2060" s="114" t="n">
        <v>2</v>
      </c>
      <c r="G2060" s="396">
        <f>IF(AND(B2060="",C2060=""),"",ROUND(M2060*L2060*N2060,2))</f>
        <v/>
      </c>
      <c r="H2060" s="396">
        <f>IF(AND(B2060="",C2060=""),"",ROUND(F2060*G2060,2))</f>
        <v/>
      </c>
      <c r="I2060" s="150" t="inlineStr"/>
      <c r="J2060" s="397">
        <f>IF(AND(B2060="",C2060=""),"",ROUND(M2060*N2060,2))</f>
        <v/>
      </c>
      <c r="K2060" s="398">
        <f>IF(AND(B2060="",C2060=""),"",ROUND(J2060*F2060,2))</f>
        <v/>
      </c>
      <c r="L2060" s="141" t="n">
        <v>1</v>
      </c>
      <c r="M2060" s="399" t="n">
        <v>1e-07</v>
      </c>
      <c r="N2060" s="154" t="n">
        <v>1</v>
      </c>
      <c r="O2060" s="155">
        <f>IF(AND(B2060="",C2060=""),"",IF(G2060&gt;=20000,0.05,IF(G2060&gt;=10000,0.1,IF(G2060&gt;=5000,0.2,IF(G2060&gt;=1000,0.3,IF(G2060&gt;=0,0.4,{0}))))))</f>
        <v/>
      </c>
      <c r="P2060" s="400">
        <f>IF(AND(B2060="",C2060=""),"",ROUND(H2060*O2060,2))</f>
        <v/>
      </c>
      <c r="Q2060" s="401" t="inlineStr">
        <is>
          <t>元件</t>
        </is>
      </c>
      <c r="R2060" s="168" t="inlineStr"/>
      <c r="S2060" s="168" t="inlineStr"/>
      <c r="T2060" s="168" t="inlineStr">
        <is>
          <t>0</t>
        </is>
      </c>
      <c r="U2060" s="168" t="inlineStr">
        <is>
          <t>XB2BA31C</t>
        </is>
      </c>
      <c r="V2060" s="402" t="n"/>
      <c r="W2060" s="402" t="n"/>
      <c r="X2060" s="170" t="inlineStr">
        <is>
          <t>XA2EA31</t>
        </is>
      </c>
    </row>
    <row r="2061" s="308">
      <c r="A2061" s="64">
        <f>ROW()-ROW(A$2049)</f>
        <v/>
      </c>
      <c r="B2061" s="22" t="inlineStr">
        <is>
          <t>按钮</t>
        </is>
      </c>
      <c r="C2061" s="22" t="inlineStr">
        <is>
          <t>XB2BA42C</t>
        </is>
      </c>
      <c r="D2061" s="22" t="inlineStr">
        <is>
          <t>甲供/施耐德电气</t>
        </is>
      </c>
      <c r="E2061" s="23" t="inlineStr">
        <is>
          <t>只</t>
        </is>
      </c>
      <c r="F2061" s="23" t="n">
        <v>2</v>
      </c>
      <c r="G2061" s="349">
        <f>IF(AND(B2061="",C2061=""),"",ROUND(M2061*L2061*N2061,2))</f>
        <v/>
      </c>
      <c r="H2061" s="396">
        <f>IF(AND(B2061="",C2061=""),"",ROUND(F2061*G2061,2))</f>
        <v/>
      </c>
      <c r="I2061" s="150" t="inlineStr"/>
      <c r="J2061" s="397">
        <f>IF(AND(B2061="",C2061=""),"",ROUND(M2061*N2061,2))</f>
        <v/>
      </c>
      <c r="K2061" s="398">
        <f>IF(AND(B2061="",C2061=""),"",ROUND(J2061*F2061,2))</f>
        <v/>
      </c>
      <c r="L2061" s="141" t="n">
        <v>1</v>
      </c>
      <c r="M2061" s="399" t="n">
        <v>1e-07</v>
      </c>
      <c r="N2061" s="154" t="n">
        <v>1</v>
      </c>
      <c r="O2061" s="155">
        <f>IF(AND(B2061="",C2061=""),"",IF(G2061&gt;=20000,0.05,IF(G2061&gt;=10000,0.1,IF(G2061&gt;=5000,0.2,IF(G2061&gt;=1000,0.3,IF(G2061&gt;=0,0.4,{0}))))))</f>
        <v/>
      </c>
      <c r="P2061" s="400">
        <f>IF(AND(B2061="",C2061=""),"",ROUND(H2061*O2061,2))</f>
        <v/>
      </c>
      <c r="Q2061" s="401" t="inlineStr">
        <is>
          <t>元件</t>
        </is>
      </c>
      <c r="R2061" s="168" t="inlineStr"/>
      <c r="S2061" s="168" t="inlineStr"/>
      <c r="T2061" s="168" t="inlineStr">
        <is>
          <t>0</t>
        </is>
      </c>
      <c r="U2061" s="168" t="inlineStr">
        <is>
          <t>XB2BA42C</t>
        </is>
      </c>
      <c r="V2061" s="402" t="n"/>
      <c r="W2061" s="402" t="n"/>
      <c r="X2061" s="170" t="inlineStr">
        <is>
          <t>XA2EA41</t>
        </is>
      </c>
    </row>
    <row r="2062" s="308">
      <c r="A2062" s="64">
        <f>ROW()-ROW(A$2049)</f>
        <v/>
      </c>
      <c r="B2062" s="112" t="inlineStr">
        <is>
          <t>温湿度控制器</t>
        </is>
      </c>
      <c r="C2062" s="112" t="inlineStr">
        <is>
          <t>ATH48G-11</t>
        </is>
      </c>
      <c r="D2062" s="22" t="inlineStr">
        <is>
          <t>杭州安廷</t>
        </is>
      </c>
      <c r="E2062" s="23" t="inlineStr">
        <is>
          <t>套</t>
        </is>
      </c>
      <c r="F2062" s="23" t="n">
        <v>1</v>
      </c>
      <c r="G2062" s="349">
        <f>IF(AND(B2062="",C2062=""),"",ROUND(M2062*L2062*N2062,2))</f>
        <v/>
      </c>
      <c r="H2062" s="396">
        <f>IF(AND(B2062="",C2062=""),"",ROUND(F2062*G2062,2))</f>
        <v/>
      </c>
      <c r="I2062" s="150" t="inlineStr"/>
      <c r="J2062" s="397">
        <f>IF(AND(B2062="",C2062=""),"",ROUND(M2062*N2062,2))</f>
        <v/>
      </c>
      <c r="K2062" s="398">
        <f>IF(AND(B2062="",C2062=""),"",ROUND(J2062*F2062,2))</f>
        <v/>
      </c>
      <c r="L2062" s="141" t="n">
        <v>1</v>
      </c>
      <c r="M2062" s="399" t="n">
        <v>450</v>
      </c>
      <c r="N2062" s="154" t="n">
        <v>1</v>
      </c>
      <c r="O2062" s="155">
        <f>IF(AND(B2062="",C2062=""),"",IF(G2062&gt;=20000,0.05,IF(G2062&gt;=10000,0.1,IF(G2062&gt;=5000,0.2,IF(G2062&gt;=1000,0.3,IF(G2062&gt;=0,0.4,{0}))))))</f>
        <v/>
      </c>
      <c r="P2062" s="400">
        <f>IF(AND(B2062="",C2062=""),"",ROUND(H2062*O2062,2))</f>
        <v/>
      </c>
      <c r="Q2062" s="401" t="inlineStr">
        <is>
          <t>元件</t>
        </is>
      </c>
      <c r="R2062" s="168" t="inlineStr"/>
      <c r="S2062" s="168" t="inlineStr"/>
      <c r="T2062" s="168" t="inlineStr">
        <is>
          <t>0</t>
        </is>
      </c>
      <c r="U2062" s="168" t="inlineStr"/>
      <c r="V2062" s="402" t="n"/>
      <c r="W2062" s="402" t="n"/>
      <c r="X2062" s="170" t="inlineStr"/>
    </row>
    <row r="2063" s="308">
      <c r="A2063" s="64">
        <f>ROW()-ROW(A$2049)</f>
        <v/>
      </c>
      <c r="B2063" s="22" t="inlineStr">
        <is>
          <t>中间继电器</t>
        </is>
      </c>
      <c r="C2063" s="22" t="inlineStr">
        <is>
          <t>RXM4AB2P7+RXZE2S114M+RXZ400</t>
        </is>
      </c>
      <c r="D2063" s="22" t="inlineStr">
        <is>
          <t>甲供/施耐德电气</t>
        </is>
      </c>
      <c r="E2063" s="23" t="inlineStr">
        <is>
          <t>只</t>
        </is>
      </c>
      <c r="F2063" s="23" t="n">
        <v>4</v>
      </c>
      <c r="G2063" s="349">
        <f>IF(AND(B2063="",C2063=""),"",ROUND(M2063*L2063*N2063,2))</f>
        <v/>
      </c>
      <c r="H2063" s="349">
        <f>IF(AND(B2063="",C2063=""),"",ROUND(F2063*G2063,2))</f>
        <v/>
      </c>
      <c r="I2063" s="45" t="inlineStr"/>
      <c r="J2063" s="397">
        <f>IF(AND(B2063="",C2063=""),"",ROUND(M2063*N2063,2))</f>
        <v/>
      </c>
      <c r="K2063" s="398">
        <f>IF(AND(B2063="",C2063=""),"",ROUND(J2063*F2063,2))</f>
        <v/>
      </c>
      <c r="L2063" s="141" t="n">
        <v>1</v>
      </c>
      <c r="M2063" s="399" t="n">
        <v>1e-07</v>
      </c>
      <c r="N2063" s="154" t="n">
        <v>1</v>
      </c>
      <c r="O2063" s="155">
        <f>IF(AND(B2063="",C2063=""),"",IF(G2063&gt;=20000,0.05,IF(G2063&gt;=10000,0.1,IF(G2063&gt;=5000,0.2,IF(G2063&gt;=1000,0.3,IF(G2063&gt;=0,0.4,{0}))))))</f>
        <v/>
      </c>
      <c r="P2063" s="400">
        <f>IF(AND(B2063="",C2063=""),"",ROUND(H2063*O2063,2))</f>
        <v/>
      </c>
      <c r="Q2063" s="401" t="inlineStr">
        <is>
          <t>元件</t>
        </is>
      </c>
      <c r="R2063" s="168" t="inlineStr"/>
      <c r="S2063" s="168" t="inlineStr"/>
      <c r="T2063" s="168" t="inlineStr">
        <is>
          <t>0</t>
        </is>
      </c>
      <c r="U2063" s="168" t="inlineStr">
        <is>
          <t>RXM4AB2P7+RXZE2S114M+RXZ400</t>
        </is>
      </c>
      <c r="V2063" s="402" t="n"/>
      <c r="W2063" s="402" t="n"/>
      <c r="X2063" s="170" t="inlineStr">
        <is>
          <t>REL-IR-BL/L-230AC/4X21，含底座→RXM4AB2P7+RXZE2S114M+RXZ400→REL-IR-BL/L-230AC/4X21，含底座</t>
        </is>
      </c>
    </row>
    <row r="2064" customFormat="1" s="3">
      <c r="A2064" s="64">
        <f>ROW()-ROW(A$2049)</f>
        <v/>
      </c>
      <c r="B2064" s="22" t="inlineStr">
        <is>
          <t>带熔丝端子</t>
        </is>
      </c>
      <c r="C2064" s="22" t="inlineStr">
        <is>
          <t>UK 5-HESI</t>
        </is>
      </c>
      <c r="D2064" s="22" t="inlineStr">
        <is>
          <t>菲尼克斯</t>
        </is>
      </c>
      <c r="E2064" s="23" t="inlineStr">
        <is>
          <t>只</t>
        </is>
      </c>
      <c r="F2064" s="23" t="n">
        <v>8</v>
      </c>
      <c r="G2064" s="349">
        <f>IF(AND(B2064="",C2064=""),"",ROUND(M2064*L2064*N2064,2))</f>
        <v/>
      </c>
      <c r="H2064" s="349">
        <f>IF(AND(B2064="",C2064=""),"",ROUND(F2064*G2064,2))</f>
        <v/>
      </c>
      <c r="I2064" s="45" t="inlineStr"/>
      <c r="J2064" s="392">
        <f>IF(AND(B2064="",C2064=""),"",ROUND(M2064*N2064,2))</f>
        <v/>
      </c>
      <c r="K2064" s="393">
        <f>IF(AND(B2064="",C2064=""),"",ROUND(J2064*F2064,2))</f>
        <v/>
      </c>
      <c r="L2064" s="141" t="n">
        <v>1</v>
      </c>
      <c r="M2064" s="394" t="n">
        <v>7</v>
      </c>
      <c r="N2064" s="220" t="n">
        <v>1</v>
      </c>
      <c r="O2064" s="221">
        <f>IF(AND(B2064="",C2064=""),"",IF(G2064&gt;=20000,0.05,IF(G2064&gt;=10000,0.1,IF(G2064&gt;=5000,0.2,IF(G2064&gt;=1000,0.3,IF(G2064&gt;=0,0.4,{0}))))))</f>
        <v/>
      </c>
      <c r="P2064" s="419">
        <f>IF(AND(B2064="",C2064=""),"",ROUND(H2064*O2064,2))</f>
        <v/>
      </c>
      <c r="Q2064" s="420" t="inlineStr">
        <is>
          <t>元件</t>
        </is>
      </c>
      <c r="R2064" s="231" t="inlineStr"/>
      <c r="S2064" s="231" t="inlineStr"/>
      <c r="T2064" s="231" t="inlineStr">
        <is>
          <t>0</t>
        </is>
      </c>
      <c r="U2064" s="231" t="inlineStr">
        <is>
          <t>True</t>
        </is>
      </c>
      <c r="V2064" s="421" t="n"/>
      <c r="W2064" s="421" t="n"/>
      <c r="X2064" s="166" t="inlineStr"/>
    </row>
    <row r="2065" s="308">
      <c r="A2065" s="64">
        <f>ROW()-ROW(A$2049)</f>
        <v/>
      </c>
      <c r="B2065" s="22" t="inlineStr">
        <is>
          <t>水平母排</t>
        </is>
      </c>
      <c r="C2065" s="22" t="inlineStr">
        <is>
          <t>TMY 4*(2*100*5)+2*50*5</t>
        </is>
      </c>
      <c r="D2065" s="22" t="inlineStr">
        <is>
          <t>国产优质</t>
        </is>
      </c>
      <c r="E2065" s="23" t="inlineStr">
        <is>
          <t>米</t>
        </is>
      </c>
      <c r="F2065" s="23" t="n">
        <v>0.4</v>
      </c>
      <c r="G2065" s="349">
        <f>IF(AND(B2065="",C2065=""),"",ROUND(M2065*L2065*N2065,2))</f>
        <v/>
      </c>
      <c r="H2065" s="349">
        <f>IF(AND(B2065="",C2065=""),"",ROUND(F2065*G2065,2))</f>
        <v/>
      </c>
      <c r="I2065" s="45" t="inlineStr"/>
      <c r="J2065" s="397">
        <f>IF(AND(B2065="",C2065=""),"",ROUND(M2065*N2065,2))</f>
        <v/>
      </c>
      <c r="K2065" s="398">
        <f>IF(AND(B2065="",C2065=""),"",ROUND(J2065*F2065,2))</f>
        <v/>
      </c>
      <c r="L2065" s="200" t="n">
        <v>1</v>
      </c>
      <c r="M2065" s="399" t="n">
        <v>4329.60525</v>
      </c>
      <c r="N2065" s="154">
        <f>(6317.932*1*1+2684.8*1*1)/9002.732</f>
        <v/>
      </c>
      <c r="O2065" s="155">
        <f>IF(AND(B2065="",C2065=""),"",IF(J2065&gt;=20000,0.05,IF(J2065&gt;=10000,0.1,IF(J2065&gt;=5000,0.2,IF(J2065&gt;=1000,0.3,IF(J2065&gt;=0,0.4,{0}))))))</f>
        <v/>
      </c>
      <c r="P2065" s="400">
        <f>IF(AND(B2065="",C2065=""),"",ROUND(H2065*O2065,2))</f>
        <v/>
      </c>
      <c r="Q2065" s="401" t="inlineStr">
        <is>
          <t>母排</t>
        </is>
      </c>
      <c r="R2065" s="168" t="inlineStr"/>
      <c r="S2065" s="168" t="inlineStr"/>
      <c r="T2065" s="168" t="inlineStr">
        <is>
          <t>0</t>
        </is>
      </c>
      <c r="U2065" s="168" t="inlineStr"/>
      <c r="V2065" s="402" t="n"/>
      <c r="W2065" s="402" t="n"/>
      <c r="X2065" s="170" t="inlineStr"/>
    </row>
    <row r="2066" customFormat="1" s="5">
      <c r="A2066" s="64">
        <f>ROW()-ROW(A$2049)</f>
        <v/>
      </c>
      <c r="B2066" s="22" t="inlineStr">
        <is>
          <t>桩头排</t>
        </is>
      </c>
      <c r="C2066" s="22" t="inlineStr">
        <is>
          <t>TMY 3*2*60*5</t>
        </is>
      </c>
      <c r="D2066" s="22" t="inlineStr">
        <is>
          <t>国产优质</t>
        </is>
      </c>
      <c r="E2066" s="23" t="inlineStr">
        <is>
          <t>米</t>
        </is>
      </c>
      <c r="F2066" s="23" t="n">
        <v>3</v>
      </c>
      <c r="G2066" s="349">
        <f>IF(AND(B2066="",C2066=""),"",ROUND(M2066*L2066*N2066,2))</f>
        <v/>
      </c>
      <c r="H2066" s="349">
        <f>IF(AND(B2066="",C2066=""),"",ROUND(F2066*G2066,2))</f>
        <v/>
      </c>
      <c r="I2066" s="45" t="inlineStr"/>
      <c r="J2066" s="422">
        <f>IF(AND(B2066="",C2066=""),"",ROUND(M2066*N2066,2))</f>
        <v/>
      </c>
      <c r="K2066" s="423">
        <f>IF(AND(B2066="",C2066=""),"",ROUND(J2066*F2066,2))</f>
        <v/>
      </c>
      <c r="L2066" s="225" t="n">
        <v>1</v>
      </c>
      <c r="M2066" s="424" t="n">
        <v>1731.8421</v>
      </c>
      <c r="N2066" s="227" t="n">
        <v>1</v>
      </c>
      <c r="O2066" s="228">
        <f>IF(AND(B2066="",C2066=""),"",IF(G2066&gt;=20000,0.05,IF(G2066&gt;=10000,0.1,IF(G2066&gt;=5000,0.2,IF(G2066&gt;=1000,0.3,IF(G2066&gt;=0,0.4,{0}))))))</f>
        <v/>
      </c>
      <c r="P2066" s="425">
        <f>IF(AND(B2066="",C2066=""),"",ROUND(H2066*O2066,2))</f>
        <v/>
      </c>
      <c r="Q2066" s="426" t="inlineStr">
        <is>
          <t>母排</t>
        </is>
      </c>
      <c r="R2066" s="234" t="inlineStr"/>
      <c r="S2066" s="234" t="inlineStr"/>
      <c r="T2066" s="235" t="inlineStr">
        <is>
          <t>0</t>
        </is>
      </c>
      <c r="U2066" s="235" t="inlineStr"/>
      <c r="V2066" s="427" t="n"/>
      <c r="W2066" s="427" t="n"/>
      <c r="X2066" s="237" t="inlineStr">
        <is>
          <t>TMY 2*30*5→TMY 30*8</t>
        </is>
      </c>
    </row>
    <row r="2067" customFormat="1" s="5">
      <c r="A2067" s="64">
        <f>ROW()-ROW(A$2049)</f>
        <v/>
      </c>
      <c r="B2067" s="22" t="inlineStr">
        <is>
          <t>垂直排</t>
        </is>
      </c>
      <c r="C2067" s="22" t="inlineStr">
        <is>
          <t>TMY 3*2*60*5</t>
        </is>
      </c>
      <c r="D2067" s="22" t="inlineStr">
        <is>
          <t>国产优质</t>
        </is>
      </c>
      <c r="E2067" s="23" t="inlineStr">
        <is>
          <t>米</t>
        </is>
      </c>
      <c r="F2067" s="23" t="n">
        <v>2</v>
      </c>
      <c r="G2067" s="349">
        <f>IF(AND(B2067="",C2067=""),"",ROUND(M2067*L2067*N2067,2))</f>
        <v/>
      </c>
      <c r="H2067" s="349">
        <f>IF(AND(B2067="",C2067=""),"",ROUND(F2067*G2067,2))</f>
        <v/>
      </c>
      <c r="I2067" s="45" t="inlineStr"/>
      <c r="J2067" s="422">
        <f>IF(AND(B2067="",C2067=""),"",ROUND(M2067*N2067,2))</f>
        <v/>
      </c>
      <c r="K2067" s="423">
        <f>IF(AND(B2067="",C2067=""),"",ROUND(J2067*F2067,2))</f>
        <v/>
      </c>
      <c r="L2067" s="225" t="n">
        <v>1</v>
      </c>
      <c r="M2067" s="424" t="n">
        <v>1731.8421</v>
      </c>
      <c r="N2067" s="227" t="n">
        <v>1</v>
      </c>
      <c r="O2067" s="228">
        <f>IF(AND(B2067="",C2067=""),"",IF(G2067&gt;=20000,0.05,IF(G2067&gt;=10000,0.1,IF(G2067&gt;=5000,0.2,IF(G2067&gt;=1000,0.3,IF(G2067&gt;=0,0.4,{0}))))))</f>
        <v/>
      </c>
      <c r="P2067" s="425">
        <f>IF(AND(B2067="",C2067=""),"",ROUND(H2067*O2067,2))</f>
        <v/>
      </c>
      <c r="Q2067" s="426" t="inlineStr">
        <is>
          <t>母排</t>
        </is>
      </c>
      <c r="R2067" s="234" t="inlineStr"/>
      <c r="S2067" s="234" t="inlineStr"/>
      <c r="T2067" s="235" t="inlineStr">
        <is>
          <t>0</t>
        </is>
      </c>
      <c r="U2067" s="235" t="inlineStr"/>
      <c r="V2067" s="427" t="n"/>
      <c r="W2067" s="427" t="n"/>
      <c r="X2067" s="237" t="inlineStr">
        <is>
          <t>TMY 2*30*5→TMY 30*8</t>
        </is>
      </c>
    </row>
    <row r="2068" customFormat="1" s="5">
      <c r="A2068" s="64">
        <f>ROW()-ROW(A$2049)</f>
        <v/>
      </c>
      <c r="B2068" s="22" t="inlineStr">
        <is>
          <t>N排</t>
        </is>
      </c>
      <c r="C2068" s="22" t="inlineStr">
        <is>
          <t>TMY 2*60*10</t>
        </is>
      </c>
      <c r="D2068" s="22" t="inlineStr">
        <is>
          <t>国产优质</t>
        </is>
      </c>
      <c r="E2068" s="23" t="inlineStr">
        <is>
          <t>米</t>
        </is>
      </c>
      <c r="F2068" s="23" t="n">
        <v>3</v>
      </c>
      <c r="G2068" s="349">
        <f>IF(AND(B2068="",C2068=""),"",ROUND(M2068*L2068*N2068,2))</f>
        <v/>
      </c>
      <c r="H2068" s="349">
        <f>IF(AND(B2068="",C2068=""),"",ROUND(F2068*G2068,2))</f>
        <v/>
      </c>
      <c r="I2068" s="45" t="inlineStr"/>
      <c r="J2068" s="422">
        <f>IF(AND(B2068="",C2068=""),"",ROUND(M2068*N2068,2))</f>
        <v/>
      </c>
      <c r="K2068" s="423">
        <f>IF(AND(B2068="",C2068=""),"",ROUND(J2068*F2068,2))</f>
        <v/>
      </c>
      <c r="L2068" s="225" t="n">
        <v>1</v>
      </c>
      <c r="M2068" s="424" t="n">
        <v>1154.5614</v>
      </c>
      <c r="N2068" s="227" t="n">
        <v>1</v>
      </c>
      <c r="O2068" s="228">
        <f>IF(AND(B2068="",C2068=""),"",IF(G2068&gt;=20000,0.05,IF(G2068&gt;=10000,0.1,IF(G2068&gt;=5000,0.2,IF(G2068&gt;=1000,0.3,IF(G2068&gt;=0,0.4,{0}))))))</f>
        <v/>
      </c>
      <c r="P2068" s="425">
        <f>IF(AND(B2068="",C2068=""),"",ROUND(H2068*O2068,2))</f>
        <v/>
      </c>
      <c r="Q2068" s="426" t="inlineStr">
        <is>
          <t>母排</t>
        </is>
      </c>
      <c r="R2068" s="234" t="inlineStr"/>
      <c r="S2068" s="234" t="inlineStr"/>
      <c r="T2068" s="235" t="inlineStr">
        <is>
          <t>0</t>
        </is>
      </c>
      <c r="U2068" s="235" t="inlineStr"/>
      <c r="V2068" s="427" t="n"/>
      <c r="W2068" s="427" t="n"/>
      <c r="X2068" s="237" t="inlineStr">
        <is>
          <t>TMY 2*30*5→TMY 30*8</t>
        </is>
      </c>
    </row>
    <row r="2069" customFormat="1" s="5">
      <c r="A2069" s="64">
        <f>ROW()-ROW(A$2049)</f>
        <v/>
      </c>
      <c r="B2069" s="22" t="inlineStr">
        <is>
          <t>PE排</t>
        </is>
      </c>
      <c r="C2069" s="22" t="inlineStr">
        <is>
          <t>TMY 2*50*5</t>
        </is>
      </c>
      <c r="D2069" s="22" t="inlineStr">
        <is>
          <t>国产优质</t>
        </is>
      </c>
      <c r="E2069" s="23" t="inlineStr">
        <is>
          <t>米</t>
        </is>
      </c>
      <c r="F2069" s="23" t="n">
        <v>2</v>
      </c>
      <c r="G2069" s="349">
        <f>IF(AND(B2069="",C2069=""),"",ROUND(M2069*L2069*N2069,2))</f>
        <v/>
      </c>
      <c r="H2069" s="349">
        <f>IF(AND(B2069="",C2069=""),"",ROUND(F2069*G2069,2))</f>
        <v/>
      </c>
      <c r="I2069" s="45" t="inlineStr"/>
      <c r="J2069" s="422">
        <f>IF(AND(B2069="",C2069=""),"",ROUND(M2069*N2069,2))</f>
        <v/>
      </c>
      <c r="K2069" s="423">
        <f>IF(AND(B2069="",C2069=""),"",ROUND(J2069*F2069,2))</f>
        <v/>
      </c>
      <c r="L2069" s="225" t="n">
        <v>1</v>
      </c>
      <c r="M2069" s="424" t="n">
        <v>481.06725</v>
      </c>
      <c r="N2069" s="227" t="n">
        <v>1</v>
      </c>
      <c r="O2069" s="228">
        <f>IF(AND(B2069="",C2069=""),"",IF(G2069&gt;=20000,0.05,IF(G2069&gt;=10000,0.1,IF(G2069&gt;=5000,0.2,IF(G2069&gt;=1000,0.3,IF(G2069&gt;=0,0.4,{0}))))))</f>
        <v/>
      </c>
      <c r="P2069" s="425">
        <f>IF(AND(B2069="",C2069=""),"",ROUND(H2069*O2069,2))</f>
        <v/>
      </c>
      <c r="Q2069" s="426" t="inlineStr">
        <is>
          <t>母排</t>
        </is>
      </c>
      <c r="R2069" s="234" t="inlineStr"/>
      <c r="S2069" s="234" t="inlineStr"/>
      <c r="T2069" s="235" t="inlineStr">
        <is>
          <t>0</t>
        </is>
      </c>
      <c r="U2069" s="235" t="inlineStr"/>
      <c r="V2069" s="427" t="n"/>
      <c r="W2069" s="427" t="n"/>
      <c r="X2069" s="237" t="inlineStr">
        <is>
          <t>TMY 2*30*5→TMY 30*8</t>
        </is>
      </c>
    </row>
    <row r="2070" s="308">
      <c r="A2070" s="64">
        <f>ROW()-ROW(A$2049)</f>
        <v/>
      </c>
      <c r="B2070" s="112" t="inlineStr">
        <is>
          <t>辅料</t>
        </is>
      </c>
      <c r="C2070" s="112" t="inlineStr"/>
      <c r="D2070" s="112" t="inlineStr"/>
      <c r="E2070" s="114" t="inlineStr">
        <is>
          <t>套</t>
        </is>
      </c>
      <c r="F2070" s="114" t="n">
        <v>1</v>
      </c>
      <c r="G2070" s="396">
        <f>IF(AND(B2070="",C2070=""),"",ROUND(M2070*L2070*N2070,2))</f>
        <v/>
      </c>
      <c r="H2070" s="396">
        <f>IF(AND(B2070="",C2070=""),"",ROUND(F2070*G2070,2))</f>
        <v/>
      </c>
      <c r="I2070" s="219" t="inlineStr"/>
      <c r="J2070" s="397">
        <f>IF(AND(B2070="",C2070=""),"",ROUND(M2070*N2070,2))</f>
        <v/>
      </c>
      <c r="K2070" s="398">
        <f>IF(AND(B2070="",C2070=""),"",ROUND(J2070*F2070,2))</f>
        <v/>
      </c>
      <c r="L2070" s="200" t="n">
        <v>1</v>
      </c>
      <c r="M2070" s="399" t="n">
        <v>800</v>
      </c>
      <c r="N2070" s="154" t="n">
        <v>1</v>
      </c>
      <c r="O2070" s="155">
        <f>IF(AND(B2070="",C2070=""),"",IF(G2070&gt;=20000,0.05,IF(G2070&gt;=10000,0.1,IF(G2070&gt;=5000,0.2,IF(G2070&gt;=1000,0.3,IF(G2070&gt;=0,0.4,{0}))))))</f>
        <v/>
      </c>
      <c r="P2070" s="400">
        <f>IF(AND(B2070="",C2070=""),"",ROUND(H2070*O2070,2))</f>
        <v/>
      </c>
      <c r="Q2070" s="401" t="inlineStr">
        <is>
          <t>辅料</t>
        </is>
      </c>
      <c r="R2070" s="168" t="inlineStr"/>
      <c r="S2070" s="168" t="inlineStr"/>
      <c r="T2070" s="168" t="inlineStr">
        <is>
          <t>0</t>
        </is>
      </c>
      <c r="U2070" s="168" t="inlineStr"/>
      <c r="V2070" s="402" t="n"/>
      <c r="W2070" s="402" t="n"/>
      <c r="X2070" s="170" t="inlineStr"/>
    </row>
    <row r="2071" s="308">
      <c r="A2071" s="64">
        <f>ROW()-ROW(A$2049)</f>
        <v/>
      </c>
      <c r="B2071" s="112" t="inlineStr">
        <is>
          <t>柜体Blokset</t>
        </is>
      </c>
      <c r="C2071" s="22" t="inlineStr">
        <is>
          <t>400W*1200D*2200H</t>
        </is>
      </c>
      <c r="D2071" s="112" t="inlineStr">
        <is>
          <t>清科</t>
        </is>
      </c>
      <c r="E2071" s="114" t="inlineStr">
        <is>
          <t>台</t>
        </is>
      </c>
      <c r="F2071" s="114" t="n">
        <v>1</v>
      </c>
      <c r="G2071" s="396">
        <f>IF(AND(B2071="",C2071=""),"",ROUND(M2071*L2071*N2071,2))</f>
        <v/>
      </c>
      <c r="H2071" s="396">
        <f>IF(AND(B2071="",C2071=""),"",ROUND(F2071*G2071,2))</f>
        <v/>
      </c>
      <c r="I2071" s="219" t="inlineStr"/>
      <c r="J2071" s="397">
        <f>IF(AND(B2071="",C2071=""),"",ROUND(M2071*N2071,2))</f>
        <v/>
      </c>
      <c r="K2071" s="398">
        <f>IF(AND(B2071="",C2071=""),"",ROUND(J2071*F2071,2))</f>
        <v/>
      </c>
      <c r="L2071" s="200" t="n">
        <v>1</v>
      </c>
      <c r="M2071" s="399" t="n">
        <v>4916</v>
      </c>
      <c r="N2071" s="154" t="n">
        <v>1</v>
      </c>
      <c r="O2071" s="155">
        <f>IF(AND(B2071="",C2071=""),"",IF(G2071&gt;=20000,0.05,IF(G2071&gt;=10000,0.1,IF(G2071&gt;=5000,0.2,IF(G2071&gt;=1000,0.3,IF(G2071&gt;=0,0.4,{0}))))))</f>
        <v/>
      </c>
      <c r="P2071" s="400">
        <f>IF(AND(B2071="",C2071=""),"",ROUND(H2071*O2071,2))</f>
        <v/>
      </c>
      <c r="Q2071" s="401" t="inlineStr">
        <is>
          <t>箱体</t>
        </is>
      </c>
      <c r="R2071" s="168" t="inlineStr"/>
      <c r="S2071" s="168" t="inlineStr"/>
      <c r="T2071" s="168" t="inlineStr">
        <is>
          <t>0</t>
        </is>
      </c>
      <c r="U2071" s="168" t="inlineStr"/>
      <c r="V2071" s="402" t="n"/>
      <c r="W2071" s="402" t="n"/>
      <c r="X2071" s="170" t="inlineStr">
        <is>
          <t>BlokSeT</t>
        </is>
      </c>
    </row>
    <row r="2072" s="308">
      <c r="A2072" s="64">
        <f>ROW()-ROW(A$2049)</f>
        <v/>
      </c>
      <c r="B2072" s="22" t="inlineStr"/>
      <c r="C2072" s="22" t="inlineStr"/>
      <c r="D2072" s="22" t="inlineStr"/>
      <c r="E2072" s="23" t="n"/>
      <c r="F2072" s="23">
        <f>IF(AND(B2072="",C2072=""),"",1)</f>
        <v/>
      </c>
      <c r="G2072" s="349">
        <f>IF(AND(B2072="",C2072=""),"",ROUND(M2072*L2072*N2072,2))</f>
        <v/>
      </c>
      <c r="H2072" s="349">
        <f>IF(AND(B2072="",C2072=""),"",ROUND(F2072*G2072,2))</f>
        <v/>
      </c>
      <c r="I2072" s="45" t="inlineStr"/>
      <c r="J2072" s="397">
        <f>IF(AND(B2072="",C2072=""),"",ROUND(M2072*N2072,2))</f>
        <v/>
      </c>
      <c r="K2072" s="398">
        <f>IF(AND(B2072="",C2072=""),"",ROUND(J2072*F2072,2))</f>
        <v/>
      </c>
      <c r="L2072" s="200">
        <f>IF(AND(B2072="",C2072=""),"",1)</f>
        <v/>
      </c>
      <c r="M2072" s="399" t="n"/>
      <c r="N2072" s="154">
        <f>IF(AND(B2072="",C2072=""),"",1)</f>
        <v/>
      </c>
      <c r="O2072" s="155">
        <f>IF(AND(B2072="",C2072=""),"",IF(J2072&gt;=20000,0.05,IF(J2072&gt;=10000,0.1,IF(J2072&gt;=5000,0.2,IF(J2072&gt;=1000,0.3,IF(J2072&gt;=0,0.4,{0}))))))</f>
        <v/>
      </c>
      <c r="P2072" s="400">
        <f>IF(AND(B2072="",C2072=""),"",ROUND(H2072*O2072,2))</f>
        <v/>
      </c>
      <c r="Q2072" s="401">
        <f>IF(AND(B2072="",C2072=""),"","元件")</f>
        <v/>
      </c>
      <c r="R2072" s="168" t="inlineStr"/>
      <c r="S2072" s="168" t="inlineStr"/>
      <c r="T2072" s="168" t="inlineStr"/>
      <c r="U2072" s="168" t="inlineStr"/>
      <c r="V2072" s="402" t="n"/>
      <c r="W2072" s="402" t="n"/>
      <c r="X2072" s="170" t="inlineStr"/>
    </row>
    <row r="2073" s="308">
      <c r="A2073" s="64">
        <f>ROW()-ROW(A$2049)</f>
        <v/>
      </c>
      <c r="B2073" s="171" t="inlineStr">
        <is>
          <t>小计</t>
        </is>
      </c>
      <c r="C2073" s="172" t="n"/>
      <c r="D2073" s="204" t="n"/>
      <c r="E2073" s="114" t="n"/>
      <c r="F2073" s="114" t="n"/>
      <c r="G2073" s="396" t="n"/>
      <c r="H2073" s="396">
        <f>ROUND(SUM(H2049:INDEX(H:H,ROW()-1)),2)</f>
        <v/>
      </c>
      <c r="I2073" s="45" t="inlineStr"/>
      <c r="J2073" s="397" t="n"/>
      <c r="K2073" s="398">
        <f>ROUND(SUM(K2049:INDEX(K:K,ROW()-1)),2)</f>
        <v/>
      </c>
      <c r="L2073" s="200" t="n"/>
      <c r="M2073" s="399" t="n"/>
      <c r="N2073" s="154" t="n"/>
      <c r="O2073" s="155" t="n"/>
      <c r="P2073" s="400" t="n"/>
      <c r="Q2073" s="401" t="n"/>
      <c r="R2073" s="168" t="inlineStr"/>
      <c r="S2073" s="168" t="inlineStr"/>
      <c r="T2073" s="168" t="inlineStr"/>
      <c r="U2073" s="168" t="inlineStr"/>
      <c r="V2073" s="402">
        <f>ROUND(SUMPRODUCT(F2049:INDEX(F:F,ROW()-1),V2049:INDEX(V:V,ROW()-1)),2)</f>
        <v/>
      </c>
      <c r="W2073" s="402">
        <f>ROUND(SUMPRODUCT(F2049:INDEX(F:F,ROW()-1),W2049:INDEX(W:W,ROW()-1)),2)</f>
        <v/>
      </c>
      <c r="X2073" s="170" t="inlineStr"/>
    </row>
    <row r="2074" s="308">
      <c r="A2074" s="64">
        <f>ROW()-ROW(A$2049)</f>
        <v/>
      </c>
      <c r="B2074" s="171" t="inlineStr">
        <is>
          <t>综合费(人工、管理、税金、利润等)</t>
        </is>
      </c>
      <c r="C2074" s="172" t="n"/>
      <c r="D2074" s="204" t="n"/>
      <c r="E2074" s="114" t="n"/>
      <c r="F2074" s="114" t="n"/>
      <c r="G2074" s="396" t="n"/>
      <c r="H2074" s="396">
        <f>2500</f>
        <v/>
      </c>
      <c r="I2074" s="45" t="inlineStr"/>
      <c r="J2074" s="397" t="n"/>
      <c r="K2074" s="398" t="n"/>
      <c r="L2074" s="200" t="n"/>
      <c r="M2074" s="399" t="n"/>
      <c r="N2074" s="154" t="n"/>
      <c r="O2074" s="155" t="n"/>
      <c r="P2074" s="400" t="n"/>
      <c r="Q2074" s="401" t="inlineStr">
        <is>
          <t>费用</t>
        </is>
      </c>
      <c r="R2074" s="168" t="inlineStr"/>
      <c r="S2074" s="168" t="inlineStr"/>
      <c r="T2074" s="168" t="inlineStr"/>
      <c r="U2074" s="168" t="inlineStr"/>
      <c r="V2074" s="402" t="n"/>
      <c r="W2074" s="402" t="n"/>
      <c r="X2074" s="170" t="inlineStr"/>
    </row>
    <row r="2075" s="308">
      <c r="A2075" s="64">
        <f>ROW()-ROW(A$2049)</f>
        <v/>
      </c>
      <c r="B2075" s="204" t="inlineStr">
        <is>
          <t>单台合计</t>
        </is>
      </c>
      <c r="C2075" s="172" t="n"/>
      <c r="D2075" s="204" t="n"/>
      <c r="E2075" s="114" t="n"/>
      <c r="F2075" s="114" t="n"/>
      <c r="G2075" s="396" t="n"/>
      <c r="H2075" s="396">
        <f>ROUND(SUM(H2073:H2074),2)</f>
        <v/>
      </c>
      <c r="I2075" s="181" t="n"/>
      <c r="J2075" s="397" t="n"/>
      <c r="K2075" s="398">
        <f>ROUND(SUM(K2073:K2074),2)</f>
        <v/>
      </c>
      <c r="L2075" s="209" t="n"/>
      <c r="M2075" s="399" t="n"/>
      <c r="N2075" s="210" t="n"/>
      <c r="O2075" s="211" t="n"/>
      <c r="P2075" s="400" t="n"/>
      <c r="Q2075" s="401" t="n"/>
      <c r="R2075" s="168" t="inlineStr"/>
      <c r="S2075" s="168" t="inlineStr"/>
      <c r="T2075" s="168" t="inlineStr"/>
      <c r="U2075" s="168" t="inlineStr"/>
      <c r="V2075" s="402" t="n"/>
      <c r="W2075" s="402" t="n"/>
      <c r="X2075" s="170" t="inlineStr"/>
    </row>
    <row r="2076" s="308">
      <c r="A2076" s="173" t="inlineStr">
        <is>
          <t>总计</t>
        </is>
      </c>
      <c r="B2076" s="205" t="n"/>
      <c r="C2076" s="175" t="n"/>
      <c r="D2076" s="206" t="n"/>
      <c r="E2076" s="206" t="inlineStr">
        <is>
          <t>台</t>
        </is>
      </c>
      <c r="F2076" s="206" t="n">
        <v>2</v>
      </c>
      <c r="G2076" s="414">
        <f>ROUND(H2075,2)</f>
        <v/>
      </c>
      <c r="H2076" s="414">
        <f>ROUND(F2076*G2076,2)</f>
        <v/>
      </c>
      <c r="I2076" s="185" t="n"/>
      <c r="J2076" s="415" t="n"/>
      <c r="K2076" s="416">
        <f>ROUND(K2075*F2076,2)</f>
        <v/>
      </c>
      <c r="L2076" s="214" t="n"/>
      <c r="M2076" s="417" t="n"/>
      <c r="N2076" s="216" t="n"/>
      <c r="O2076" s="217" t="n"/>
      <c r="P2076" s="418" t="n"/>
      <c r="Q2076" s="401" t="n"/>
      <c r="R2076" s="168" t="inlineStr"/>
      <c r="S2076" s="168" t="inlineStr"/>
      <c r="T2076" s="168" t="inlineStr"/>
      <c r="U2076" s="168" t="inlineStr"/>
      <c r="V2076" s="402" t="n"/>
      <c r="W2076" s="402" t="n"/>
      <c r="X2076" s="170" t="inlineStr"/>
    </row>
    <row r="2077" customFormat="1" s="4">
      <c r="A2077" s="6" t="n"/>
      <c r="B2077" s="195" t="inlineStr"/>
      <c r="C2077" s="195" t="inlineStr"/>
      <c r="D2077" s="195" t="inlineStr"/>
      <c r="Q2077" s="159" t="n"/>
      <c r="R2077" s="159" t="n"/>
      <c r="S2077" s="159" t="n"/>
      <c r="T2077" s="159" t="n"/>
      <c r="U2077" s="159" t="n"/>
      <c r="X2077" s="195" t="inlineStr"/>
    </row>
    <row r="2078" customFormat="1" s="4">
      <c r="A2078" s="6" t="n"/>
      <c r="B2078" s="195" t="inlineStr"/>
      <c r="C2078" s="195" t="inlineStr"/>
      <c r="D2078" s="195" t="inlineStr"/>
      <c r="Q2078" s="159" t="n"/>
      <c r="R2078" s="159" t="n"/>
      <c r="S2078" s="159" t="n"/>
      <c r="T2078" s="159" t="n"/>
      <c r="U2078" s="159" t="n"/>
      <c r="X2078" s="195" t="inlineStr"/>
    </row>
    <row r="2079" s="308">
      <c r="A2079" s="208">
        <f>CONCATENATE("报价人：",项目信息!$B$8)</f>
        <v/>
      </c>
      <c r="B2079" s="208" t="n"/>
      <c r="C2079" s="4" t="n"/>
      <c r="D2079" s="4" t="n"/>
      <c r="E2079" s="4" t="n"/>
      <c r="F2079" s="4" t="n"/>
      <c r="G2079" s="4" t="n"/>
      <c r="H2079" s="178">
        <f>项目信息!$B$9</f>
        <v/>
      </c>
      <c r="Q2079" s="159" t="n"/>
      <c r="R2079" s="159" t="n"/>
      <c r="S2079" s="159" t="n"/>
      <c r="T2079" s="159" t="n"/>
      <c r="U2079" s="159" t="n"/>
      <c r="X2079" s="203" t="inlineStr"/>
    </row>
    <row r="2080" s="308">
      <c r="A2080" s="8">
        <f>T(项目信息!$B$22)</f>
        <v/>
      </c>
      <c r="Q2080" s="159" t="n"/>
      <c r="R2080" s="159" t="n"/>
      <c r="S2080" s="159" t="n"/>
      <c r="T2080" s="159" t="n"/>
      <c r="U2080" s="159" t="n"/>
    </row>
    <row r="2081" s="308">
      <c r="A2081" s="9">
        <f>T(项目信息!$B$23)</f>
        <v/>
      </c>
      <c r="Q2081" s="159" t="n"/>
      <c r="R2081" s="159" t="n"/>
      <c r="S2081" s="159" t="n"/>
      <c r="T2081" s="159" t="n"/>
      <c r="U2081" s="159" t="n"/>
    </row>
    <row r="2082" s="308">
      <c r="A2082" s="97" t="inlineStr">
        <is>
          <t>成套产品报价明细表</t>
        </is>
      </c>
      <c r="B2082" s="378" t="n"/>
      <c r="C2082" s="378" t="n"/>
      <c r="D2082" s="378" t="n"/>
      <c r="E2082" s="378" t="n"/>
      <c r="F2082" s="378" t="n"/>
      <c r="G2082" s="378" t="n"/>
      <c r="H2082" s="378" t="n"/>
      <c r="I2082" s="378" t="n"/>
      <c r="Q2082" s="159" t="n"/>
      <c r="R2082" s="159" t="n"/>
      <c r="S2082" s="159" t="n"/>
      <c r="T2082" s="159" t="n"/>
      <c r="U2082" s="159" t="n"/>
    </row>
    <row r="2083" customFormat="1" s="4">
      <c r="A2083" s="98" t="inlineStr">
        <is>
          <t>柜号:</t>
        </is>
      </c>
      <c r="B2083" s="99" t="inlineStr">
        <is>
          <t>T7-AU22、T7-AU23、T8-BU22、T8-BU23</t>
        </is>
      </c>
      <c r="C2083" s="100" t="inlineStr">
        <is>
          <t>型号:</t>
        </is>
      </c>
      <c r="D2083" s="99" t="inlineStr">
        <is>
          <t>BlokSeT</t>
        </is>
      </c>
      <c r="E2083" s="379" t="n"/>
      <c r="F2083" s="101" t="inlineStr">
        <is>
          <t>名称:</t>
        </is>
      </c>
      <c r="G2083" s="99" t="inlineStr">
        <is>
          <t>馈线柜</t>
        </is>
      </c>
      <c r="H2083" s="379" t="n"/>
      <c r="I2083" s="408" t="inlineStr"/>
      <c r="J2083" s="194" t="inlineStr">
        <is>
          <t>箱柜尺寸:</t>
        </is>
      </c>
      <c r="K2083" s="195" t="inlineStr">
        <is>
          <t>600W*1200D*2200H</t>
        </is>
      </c>
      <c r="L2083" s="194" t="inlineStr">
        <is>
          <t>类别:</t>
        </is>
      </c>
      <c r="M2083" s="195" t="inlineStr">
        <is>
          <t>低压固定柜</t>
        </is>
      </c>
      <c r="N2083" s="409" t="inlineStr"/>
      <c r="Q2083" s="159" t="n"/>
      <c r="R2083" s="159" t="n"/>
      <c r="S2083" s="159" t="n"/>
      <c r="T2083" s="159" t="n"/>
      <c r="U2083" s="159" t="n"/>
    </row>
    <row r="2084" ht="20.1" customHeight="1" s="308">
      <c r="A2084" s="102" t="inlineStr">
        <is>
          <t>序号</t>
        </is>
      </c>
      <c r="B2084" s="103" t="inlineStr">
        <is>
          <t>元件名称</t>
        </is>
      </c>
      <c r="C2084" s="103" t="inlineStr">
        <is>
          <t>型号规格</t>
        </is>
      </c>
      <c r="D2084" s="104" t="inlineStr">
        <is>
          <t>生产厂家</t>
        </is>
      </c>
      <c r="E2084" s="105" t="inlineStr">
        <is>
          <t>单位</t>
        </is>
      </c>
      <c r="F2084" s="105" t="inlineStr">
        <is>
          <t>数量</t>
        </is>
      </c>
      <c r="G2084" s="382" t="inlineStr">
        <is>
          <t>单   价</t>
        </is>
      </c>
      <c r="H2084" s="383" t="inlineStr">
        <is>
          <t>总   价</t>
        </is>
      </c>
      <c r="I2084" s="134" t="inlineStr">
        <is>
          <t>备注</t>
        </is>
      </c>
      <c r="J2084" s="384" t="inlineStr">
        <is>
          <t>成本单价</t>
        </is>
      </c>
      <c r="K2084" s="384" t="inlineStr">
        <is>
          <t>成本总价</t>
        </is>
      </c>
      <c r="L2084" s="136" t="inlineStr">
        <is>
          <t>报出
系数</t>
        </is>
      </c>
      <c r="M2084" s="384" t="inlineStr">
        <is>
          <t>表价</t>
        </is>
      </c>
      <c r="N2084" s="136" t="inlineStr">
        <is>
          <t>折扣
系数</t>
        </is>
      </c>
      <c r="O2084" s="137" t="inlineStr">
        <is>
          <t>取费
系数</t>
        </is>
      </c>
      <c r="P2084" s="384" t="inlineStr">
        <is>
          <t>成套费</t>
        </is>
      </c>
      <c r="Q2084" s="161" t="inlineStr">
        <is>
          <t>类别</t>
        </is>
      </c>
      <c r="R2084" s="161" t="inlineStr">
        <is>
          <t>物料编码</t>
        </is>
      </c>
      <c r="S2084" s="161" t="inlineStr">
        <is>
          <t>产地</t>
        </is>
      </c>
      <c r="T2084" s="161" t="inlineStr">
        <is>
          <t>加工费</t>
        </is>
      </c>
      <c r="U2084" s="161" t="inlineStr">
        <is>
          <t>订货号</t>
        </is>
      </c>
      <c r="V2084" s="161" t="inlineStr">
        <is>
          <t>人工</t>
        </is>
      </c>
      <c r="W2084" s="161" t="inlineStr">
        <is>
          <t>辅料</t>
        </is>
      </c>
      <c r="X2084" s="203" t="inlineStr"/>
    </row>
    <row r="2085" s="308">
      <c r="A2085" s="64">
        <f>ROW()-ROW(A$2084)</f>
        <v/>
      </c>
      <c r="B2085" s="22" t="inlineStr">
        <is>
          <t>塑壳断路器</t>
        </is>
      </c>
      <c r="C2085" s="22" t="inlineStr">
        <is>
          <t>NSX400H Mic2.3 400A 3P3D P</t>
        </is>
      </c>
      <c r="D2085" s="22" t="inlineStr">
        <is>
          <t>甲供/施耐德电气</t>
        </is>
      </c>
      <c r="E2085" s="23" t="inlineStr">
        <is>
          <t>只</t>
        </is>
      </c>
      <c r="F2085" s="23" t="n">
        <v>6</v>
      </c>
      <c r="G2085" s="349">
        <f>IF(AND(B2085="",C2085=""),"",ROUND(M2085*L2085*N2085,2))</f>
        <v/>
      </c>
      <c r="H2085" s="349">
        <f>IF(AND(B2085="",C2085=""),"",ROUND(F2085*G2085,2))</f>
        <v/>
      </c>
      <c r="I2085" s="45" t="inlineStr"/>
      <c r="J2085" s="397">
        <f>IF(AND(B2085="",C2085=""),"",ROUND(M2085*N2085,2))</f>
        <v/>
      </c>
      <c r="K2085" s="398">
        <f>IF(AND(B2085="",C2085=""),"",ROUND(J2085*F2085,2))</f>
        <v/>
      </c>
      <c r="L2085" s="200" t="n">
        <v>1</v>
      </c>
      <c r="M2085" s="399" t="n">
        <v>1e-07</v>
      </c>
      <c r="N2085" s="154" t="n">
        <v>1</v>
      </c>
      <c r="O2085" s="155">
        <f>IF(AND(B2085="",C2085=""),"",IF(G2085&gt;=20000,0.05,IF(G2085&gt;=10000,0.1,IF(G2085&gt;=5000,0.2,IF(G2085&gt;=1000,0.3,IF(G2085&gt;=0,0.4,{0}))))))</f>
        <v/>
      </c>
      <c r="P2085" s="400">
        <f>IF(AND(B2085="",C2085=""),"",ROUND(H2085*O2085,2))</f>
        <v/>
      </c>
      <c r="Q2085" s="401" t="inlineStr">
        <is>
          <t>元件</t>
        </is>
      </c>
      <c r="R2085" s="168" t="inlineStr"/>
      <c r="S2085" s="168" t="inlineStr"/>
      <c r="T2085" s="168" t="inlineStr">
        <is>
          <t>0</t>
        </is>
      </c>
      <c r="U2085" s="168" t="inlineStr"/>
      <c r="V2085" s="402" t="n"/>
      <c r="W2085" s="402" t="n"/>
      <c r="X2085" s="170" t="inlineStr"/>
    </row>
    <row r="2086" s="308">
      <c r="A2086" s="64">
        <f>ROW()-ROW(A$2084)</f>
        <v/>
      </c>
      <c r="B2086" s="22" t="inlineStr">
        <is>
          <t>电流互感器</t>
        </is>
      </c>
      <c r="C2086" s="22" t="inlineStr">
        <is>
          <t>SD-0.66-40II-C 400/5A</t>
        </is>
      </c>
      <c r="D2086" s="22" t="inlineStr">
        <is>
          <t>桑迪</t>
        </is>
      </c>
      <c r="E2086" s="23" t="inlineStr">
        <is>
          <t>只</t>
        </is>
      </c>
      <c r="F2086" s="23" t="n">
        <v>18</v>
      </c>
      <c r="G2086" s="349">
        <f>IF(AND(B2086="",C2086=""),"",ROUND(M2086*L2086*N2086,2))</f>
        <v/>
      </c>
      <c r="H2086" s="396">
        <f>IF(AND(B2086="",C2086=""),"",ROUND(F2086*G2086,2))</f>
        <v/>
      </c>
      <c r="I2086" s="219" t="inlineStr"/>
      <c r="J2086" s="397">
        <f>IF(AND(B2086="",C2086=""),"",ROUND(M2086*N2086,2))</f>
        <v/>
      </c>
      <c r="K2086" s="398">
        <f>IF(AND(B2086="",C2086=""),"",ROUND(J2086*F2086,2))</f>
        <v/>
      </c>
      <c r="L2086" s="200" t="n">
        <v>1</v>
      </c>
      <c r="M2086" s="399" t="n">
        <v>52</v>
      </c>
      <c r="N2086" s="154" t="n">
        <v>1</v>
      </c>
      <c r="O2086" s="155">
        <f>IF(AND(B2086="",C2086=""),"",IF(G2086&gt;=20000,0.05,IF(G2086&gt;=10000,0.1,IF(G2086&gt;=5000,0.2,IF(G2086&gt;=1000,0.3,IF(G2086&gt;=0,0.4,{0}))))))</f>
        <v/>
      </c>
      <c r="P2086" s="400">
        <f>IF(AND(B2086="",C2086=""),"",ROUND(H2086*O2086,2))</f>
        <v/>
      </c>
      <c r="Q2086" s="401" t="inlineStr">
        <is>
          <t>元件</t>
        </is>
      </c>
      <c r="R2086" s="168" t="inlineStr"/>
      <c r="S2086" s="168" t="inlineStr"/>
      <c r="T2086" s="168" t="inlineStr">
        <is>
          <t>0</t>
        </is>
      </c>
      <c r="U2086" s="168" t="inlineStr">
        <is>
          <t>710140200000049</t>
        </is>
      </c>
      <c r="V2086" s="402" t="n"/>
      <c r="W2086" s="402" t="n"/>
      <c r="X2086" s="170" t="inlineStr">
        <is>
          <t>SD→SD-0.66-40II-C 400/5A→SD-0.66-30I 250/5A→SD-0.66-30I 150/5A→SD-0.66-60II-C 750/5A→SD-0.66-60II-C 600/5A→SD-0.66-30I 150/5A→SD-0.66-40II-C 400/5A→SD-0.66-100II-C 1600/5A→SD-0.66-80II-V 1000/5A</t>
        </is>
      </c>
    </row>
    <row r="2087" s="308">
      <c r="A2087" s="64">
        <f>ROW()-ROW(A$2084)</f>
        <v/>
      </c>
      <c r="B2087" s="112" t="inlineStr">
        <is>
          <t>多功能表</t>
        </is>
      </c>
      <c r="C2087" s="112" t="inlineStr">
        <is>
          <t>PM4101</t>
        </is>
      </c>
      <c r="D2087" s="112" t="inlineStr">
        <is>
          <t>甲供/施耐德电气</t>
        </is>
      </c>
      <c r="E2087" s="114" t="inlineStr">
        <is>
          <t>只</t>
        </is>
      </c>
      <c r="F2087" s="114" t="n">
        <v>6</v>
      </c>
      <c r="G2087" s="396">
        <f>IF(AND(B2087="",C2087=""),"",ROUND(M2087*L2087*N2087,2))</f>
        <v/>
      </c>
      <c r="H2087" s="349">
        <f>IF(AND(B2087="",C2087=""),"",ROUND(F2087*G2087,2))</f>
        <v/>
      </c>
      <c r="I2087" s="45" t="inlineStr"/>
      <c r="J2087" s="397">
        <f>IF(AND(B2087="",C2087=""),"",ROUND(M2087*N2087,2))</f>
        <v/>
      </c>
      <c r="K2087" s="398">
        <f>IF(AND(B2087="",C2087=""),"",ROUND(J2087*F2087,2))</f>
        <v/>
      </c>
      <c r="L2087" s="200" t="n">
        <v>1</v>
      </c>
      <c r="M2087" s="399" t="n">
        <v>1e-07</v>
      </c>
      <c r="N2087" s="154" t="n">
        <v>1</v>
      </c>
      <c r="O2087" s="155">
        <f>IF(AND(B2087="",C2087=""),"",IF(J2087&gt;=20000,0.05,IF(J2087&gt;=10000,0.1,IF(J2087&gt;=5000,0.2,IF(J2087&gt;=1000,0.3,IF(J2087&gt;=0,0.4,{0}))))))</f>
        <v/>
      </c>
      <c r="P2087" s="400">
        <f>IF(AND(B2087="",C2087=""),"",ROUND(H2087*O2087,2))</f>
        <v/>
      </c>
      <c r="Q2087" s="401" t="inlineStr">
        <is>
          <t>元件</t>
        </is>
      </c>
      <c r="R2087" s="168" t="inlineStr"/>
      <c r="S2087" s="168" t="inlineStr"/>
      <c r="T2087" s="168" t="inlineStr">
        <is>
          <t>0</t>
        </is>
      </c>
      <c r="U2087" s="168" t="inlineStr"/>
      <c r="V2087" s="402" t="n"/>
      <c r="W2087" s="402" t="n"/>
      <c r="X2087" s="170" t="inlineStr"/>
    </row>
    <row r="2088" customFormat="1" s="3">
      <c r="A2088" s="64">
        <f>ROW()-ROW(A$2084)</f>
        <v/>
      </c>
      <c r="B2088" s="22" t="inlineStr">
        <is>
          <t>指示灯</t>
        </is>
      </c>
      <c r="C2088" s="22" t="inlineStr">
        <is>
          <t>XB2BVM3LC</t>
        </is>
      </c>
      <c r="D2088" s="22" t="inlineStr">
        <is>
          <t>甲供/施耐德电气</t>
        </is>
      </c>
      <c r="E2088" s="23" t="inlineStr">
        <is>
          <t>只</t>
        </is>
      </c>
      <c r="F2088" s="23" t="n">
        <v>6</v>
      </c>
      <c r="G2088" s="349">
        <f>IF(AND(B2088="",C2088=""),"",ROUND(M2088*L2088*N2088,2))</f>
        <v/>
      </c>
      <c r="H2088" s="353">
        <f>IF(AND(B2088="",C2088=""),"",ROUND(F2088*G2088,2))</f>
        <v/>
      </c>
      <c r="I2088" s="180" t="inlineStr"/>
      <c r="J2088" s="392">
        <f>IF(AND(B2088="",C2088=""),"",ROUND(M2088*N2088,2))</f>
        <v/>
      </c>
      <c r="K2088" s="393">
        <f>IF(AND(B2088="",C2088=""),"",ROUND(J2088*F2088,2))</f>
        <v/>
      </c>
      <c r="L2088" s="141" t="n">
        <v>1</v>
      </c>
      <c r="M2088" s="394" t="n">
        <v>1e-07</v>
      </c>
      <c r="N2088" s="220" t="n">
        <v>1</v>
      </c>
      <c r="O2088" s="221">
        <f>IF(AND(B2088="",C2088=""),"",IF(G2088&gt;=20000,0.05,IF(G2088&gt;=10000,0.1,IF(G2088&gt;=5000,0.2,IF(G2088&gt;=1000,0.3,IF(G2088&gt;=0,0.4,{0}))))))</f>
        <v/>
      </c>
      <c r="P2088" s="419">
        <f>IF(AND(B2088="",C2088=""),"",ROUND(H2088*O2088,2))</f>
        <v/>
      </c>
      <c r="Q2088" s="420" t="inlineStr">
        <is>
          <t>元件</t>
        </is>
      </c>
      <c r="R2088" s="231" t="inlineStr"/>
      <c r="S2088" s="231" t="inlineStr"/>
      <c r="T2088" s="231" t="inlineStr">
        <is>
          <t>0</t>
        </is>
      </c>
      <c r="U2088" s="231" t="inlineStr">
        <is>
          <t>XB2BVM3LC</t>
        </is>
      </c>
      <c r="V2088" s="421" t="n"/>
      <c r="W2088" s="421" t="n"/>
      <c r="X2088" s="166" t="inlineStr">
        <is>
          <t>XA2EVM3LC</t>
        </is>
      </c>
    </row>
    <row r="2089" customFormat="1" s="3">
      <c r="A2089" s="64">
        <f>ROW()-ROW(A$2084)</f>
        <v/>
      </c>
      <c r="B2089" s="22" t="inlineStr">
        <is>
          <t>指示灯</t>
        </is>
      </c>
      <c r="C2089" s="22" t="inlineStr">
        <is>
          <t>XB2BVM4LC</t>
        </is>
      </c>
      <c r="D2089" s="22" t="inlineStr">
        <is>
          <t>甲供/施耐德电气</t>
        </is>
      </c>
      <c r="E2089" s="23" t="inlineStr">
        <is>
          <t>只</t>
        </is>
      </c>
      <c r="F2089" s="23" t="n">
        <v>6</v>
      </c>
      <c r="G2089" s="349">
        <f>IF(AND(B2089="",C2089=""),"",ROUND(M2089*L2089*N2089,2))</f>
        <v/>
      </c>
      <c r="H2089" s="353">
        <f>IF(AND(B2089="",C2089=""),"",ROUND(F2089*G2089,2))</f>
        <v/>
      </c>
      <c r="I2089" s="180" t="inlineStr"/>
      <c r="J2089" s="392">
        <f>IF(AND(B2089="",C2089=""),"",ROUND(M2089*N2089,2))</f>
        <v/>
      </c>
      <c r="K2089" s="393">
        <f>IF(AND(B2089="",C2089=""),"",ROUND(J2089*F2089,2))</f>
        <v/>
      </c>
      <c r="L2089" s="141" t="n">
        <v>1</v>
      </c>
      <c r="M2089" s="394" t="n">
        <v>1e-07</v>
      </c>
      <c r="N2089" s="220" t="n">
        <v>1</v>
      </c>
      <c r="O2089" s="221">
        <f>IF(AND(B2089="",C2089=""),"",IF(G2089&gt;=20000,0.05,IF(G2089&gt;=10000,0.1,IF(G2089&gt;=5000,0.2,IF(G2089&gt;=1000,0.3,IF(G2089&gt;=0,0.4,{0}))))))</f>
        <v/>
      </c>
      <c r="P2089" s="419">
        <f>IF(AND(B2089="",C2089=""),"",ROUND(H2089*O2089,2))</f>
        <v/>
      </c>
      <c r="Q2089" s="420" t="inlineStr">
        <is>
          <t>元件</t>
        </is>
      </c>
      <c r="R2089" s="231" t="inlineStr"/>
      <c r="S2089" s="231" t="inlineStr"/>
      <c r="T2089" s="231" t="inlineStr">
        <is>
          <t>0</t>
        </is>
      </c>
      <c r="U2089" s="231" t="inlineStr">
        <is>
          <t>XB2BVM4LC</t>
        </is>
      </c>
      <c r="V2089" s="421" t="n"/>
      <c r="W2089" s="421" t="n"/>
      <c r="X2089" s="166" t="inlineStr">
        <is>
          <t>XA2EVM4LC</t>
        </is>
      </c>
    </row>
    <row r="2090" s="308">
      <c r="A2090" s="64">
        <f>ROW()-ROW(A$2084)</f>
        <v/>
      </c>
      <c r="B2090" s="112" t="inlineStr">
        <is>
          <t>温湿度控制器</t>
        </is>
      </c>
      <c r="C2090" s="112" t="inlineStr">
        <is>
          <t>ATH48G-11</t>
        </is>
      </c>
      <c r="D2090" s="22" t="inlineStr">
        <is>
          <t>杭州安廷</t>
        </is>
      </c>
      <c r="E2090" s="23" t="inlineStr">
        <is>
          <t>套</t>
        </is>
      </c>
      <c r="F2090" s="23" t="n">
        <v>1</v>
      </c>
      <c r="G2090" s="349">
        <f>IF(AND(B2090="",C2090=""),"",ROUND(M2090*L2090*N2090,2))</f>
        <v/>
      </c>
      <c r="H2090" s="396">
        <f>IF(AND(B2090="",C2090=""),"",ROUND(F2090*G2090,2))</f>
        <v/>
      </c>
      <c r="I2090" s="150" t="inlineStr"/>
      <c r="J2090" s="397">
        <f>IF(AND(B2090="",C2090=""),"",ROUND(M2090*N2090,2))</f>
        <v/>
      </c>
      <c r="K2090" s="398">
        <f>IF(AND(B2090="",C2090=""),"",ROUND(J2090*F2090,2))</f>
        <v/>
      </c>
      <c r="L2090" s="141" t="n">
        <v>1</v>
      </c>
      <c r="M2090" s="399" t="n">
        <v>450</v>
      </c>
      <c r="N2090" s="154" t="n">
        <v>1</v>
      </c>
      <c r="O2090" s="155">
        <f>IF(AND(B2090="",C2090=""),"",IF(G2090&gt;=20000,0.05,IF(G2090&gt;=10000,0.1,IF(G2090&gt;=5000,0.2,IF(G2090&gt;=1000,0.3,IF(G2090&gt;=0,0.4,{0}))))))</f>
        <v/>
      </c>
      <c r="P2090" s="400">
        <f>IF(AND(B2090="",C2090=""),"",ROUND(H2090*O2090,2))</f>
        <v/>
      </c>
      <c r="Q2090" s="401" t="inlineStr">
        <is>
          <t>元件</t>
        </is>
      </c>
      <c r="R2090" s="168" t="inlineStr"/>
      <c r="S2090" s="168" t="inlineStr"/>
      <c r="T2090" s="168" t="inlineStr">
        <is>
          <t>0</t>
        </is>
      </c>
      <c r="U2090" s="168" t="inlineStr"/>
      <c r="V2090" s="402" t="n"/>
      <c r="W2090" s="402" t="n"/>
      <c r="X2090" s="170" t="inlineStr"/>
    </row>
    <row r="2091" s="308">
      <c r="A2091" s="64">
        <f>ROW()-ROW(A$2084)</f>
        <v/>
      </c>
      <c r="B2091" s="22" t="inlineStr">
        <is>
          <t>中间继电器</t>
        </is>
      </c>
      <c r="C2091" s="22" t="inlineStr">
        <is>
          <t>RXM4AB2P7+RXZE2S114M+RXZ400</t>
        </is>
      </c>
      <c r="D2091" s="22" t="inlineStr">
        <is>
          <t>甲供/施耐德电气</t>
        </is>
      </c>
      <c r="E2091" s="23" t="inlineStr">
        <is>
          <t>只</t>
        </is>
      </c>
      <c r="F2091" s="23" t="n">
        <v>12</v>
      </c>
      <c r="G2091" s="349">
        <f>IF(AND(B2091="",C2091=""),"",ROUND(M2091*L2091*N2091,2))</f>
        <v/>
      </c>
      <c r="H2091" s="349">
        <f>IF(AND(B2091="",C2091=""),"",ROUND(F2091*G2091,2))</f>
        <v/>
      </c>
      <c r="I2091" s="45" t="inlineStr"/>
      <c r="J2091" s="397">
        <f>IF(AND(B2091="",C2091=""),"",ROUND(M2091*N2091,2))</f>
        <v/>
      </c>
      <c r="K2091" s="398">
        <f>IF(AND(B2091="",C2091=""),"",ROUND(J2091*F2091,2))</f>
        <v/>
      </c>
      <c r="L2091" s="141" t="n">
        <v>1</v>
      </c>
      <c r="M2091" s="399" t="n">
        <v>1e-07</v>
      </c>
      <c r="N2091" s="154" t="n">
        <v>1</v>
      </c>
      <c r="O2091" s="155">
        <f>IF(AND(B2091="",C2091=""),"",IF(G2091&gt;=20000,0.05,IF(G2091&gt;=10000,0.1,IF(G2091&gt;=5000,0.2,IF(G2091&gt;=1000,0.3,IF(G2091&gt;=0,0.4,{0}))))))</f>
        <v/>
      </c>
      <c r="P2091" s="400">
        <f>IF(AND(B2091="",C2091=""),"",ROUND(H2091*O2091,2))</f>
        <v/>
      </c>
      <c r="Q2091" s="401" t="inlineStr">
        <is>
          <t>元件</t>
        </is>
      </c>
      <c r="R2091" s="168" t="inlineStr"/>
      <c r="S2091" s="168" t="inlineStr"/>
      <c r="T2091" s="168" t="inlineStr">
        <is>
          <t>0</t>
        </is>
      </c>
      <c r="U2091" s="168" t="inlineStr">
        <is>
          <t>RXM4AB2P7+RXZE2S114M+RXZ400</t>
        </is>
      </c>
      <c r="V2091" s="402" t="n"/>
      <c r="W2091" s="402" t="n"/>
      <c r="X2091" s="170" t="inlineStr">
        <is>
          <t>REL-IR-BL/L-230AC/4X21，含底座→RXM4AB2P7+RXZE2S114M+RXZ400→REL-IR-BL/L-230AC/4X21，含底座</t>
        </is>
      </c>
    </row>
    <row r="2092" customFormat="1" s="3">
      <c r="A2092" s="64">
        <f>ROW()-ROW(A$2084)</f>
        <v/>
      </c>
      <c r="B2092" s="22" t="inlineStr">
        <is>
          <t>带熔丝端子</t>
        </is>
      </c>
      <c r="C2092" s="22" t="inlineStr">
        <is>
          <t>UK 5-HESI</t>
        </is>
      </c>
      <c r="D2092" s="22" t="inlineStr">
        <is>
          <t>菲尼克斯</t>
        </is>
      </c>
      <c r="E2092" s="23" t="inlineStr">
        <is>
          <t>只</t>
        </is>
      </c>
      <c r="F2092" s="23" t="n">
        <v>24</v>
      </c>
      <c r="G2092" s="349">
        <f>IF(AND(B2092="",C2092=""),"",ROUND(M2092*L2092*N2092,2))</f>
        <v/>
      </c>
      <c r="H2092" s="349">
        <f>IF(AND(B2092="",C2092=""),"",ROUND(F2092*G2092,2))</f>
        <v/>
      </c>
      <c r="I2092" s="45" t="inlineStr"/>
      <c r="J2092" s="392">
        <f>IF(AND(B2092="",C2092=""),"",ROUND(M2092*N2092,2))</f>
        <v/>
      </c>
      <c r="K2092" s="393">
        <f>IF(AND(B2092="",C2092=""),"",ROUND(J2092*F2092,2))</f>
        <v/>
      </c>
      <c r="L2092" s="141" t="n">
        <v>1</v>
      </c>
      <c r="M2092" s="394" t="n">
        <v>7</v>
      </c>
      <c r="N2092" s="220" t="n">
        <v>1</v>
      </c>
      <c r="O2092" s="221">
        <f>IF(AND(B2092="",C2092=""),"",IF(G2092&gt;=20000,0.05,IF(G2092&gt;=10000,0.1,IF(G2092&gt;=5000,0.2,IF(G2092&gt;=1000,0.3,IF(G2092&gt;=0,0.4,{0}))))))</f>
        <v/>
      </c>
      <c r="P2092" s="419">
        <f>IF(AND(B2092="",C2092=""),"",ROUND(H2092*O2092,2))</f>
        <v/>
      </c>
      <c r="Q2092" s="420" t="inlineStr">
        <is>
          <t>元件</t>
        </is>
      </c>
      <c r="R2092" s="231" t="inlineStr"/>
      <c r="S2092" s="231" t="inlineStr"/>
      <c r="T2092" s="231" t="inlineStr">
        <is>
          <t>0</t>
        </is>
      </c>
      <c r="U2092" s="231" t="inlineStr">
        <is>
          <t>True</t>
        </is>
      </c>
      <c r="V2092" s="421" t="n"/>
      <c r="W2092" s="421" t="n"/>
      <c r="X2092" s="166" t="inlineStr"/>
    </row>
    <row r="2093" s="308">
      <c r="A2093" s="64">
        <f>ROW()-ROW(A$2084)</f>
        <v/>
      </c>
      <c r="B2093" s="22" t="inlineStr">
        <is>
          <t>水平母排</t>
        </is>
      </c>
      <c r="C2093" s="22" t="inlineStr">
        <is>
          <t>TMY 4*(2*100*5)+2*50*5</t>
        </is>
      </c>
      <c r="D2093" s="22" t="inlineStr">
        <is>
          <t>国产优质</t>
        </is>
      </c>
      <c r="E2093" s="23" t="inlineStr">
        <is>
          <t>米</t>
        </is>
      </c>
      <c r="F2093" s="23" t="n">
        <v>0.7</v>
      </c>
      <c r="G2093" s="349">
        <f>IF(AND(B2093="",C2093=""),"",ROUND(M2093*L2093*N2093,2))</f>
        <v/>
      </c>
      <c r="H2093" s="349">
        <f>IF(AND(B2093="",C2093=""),"",ROUND(F2093*G2093,2))</f>
        <v/>
      </c>
      <c r="I2093" s="45" t="inlineStr"/>
      <c r="J2093" s="397">
        <f>IF(AND(B2093="",C2093=""),"",ROUND(M2093*N2093,2))</f>
        <v/>
      </c>
      <c r="K2093" s="398">
        <f>IF(AND(B2093="",C2093=""),"",ROUND(J2093*F2093,2))</f>
        <v/>
      </c>
      <c r="L2093" s="200" t="n">
        <v>1</v>
      </c>
      <c r="M2093" s="399" t="n">
        <v>4329.60525</v>
      </c>
      <c r="N2093" s="154">
        <f>(6317.932*1*1+2684.8*1*1)/9002.732</f>
        <v/>
      </c>
      <c r="O2093" s="155">
        <f>IF(AND(B2093="",C2093=""),"",IF(J2093&gt;=20000,0.05,IF(J2093&gt;=10000,0.1,IF(J2093&gt;=5000,0.2,IF(J2093&gt;=1000,0.3,IF(J2093&gt;=0,0.4,{0}))))))</f>
        <v/>
      </c>
      <c r="P2093" s="400">
        <f>IF(AND(B2093="",C2093=""),"",ROUND(H2093*O2093,2))</f>
        <v/>
      </c>
      <c r="Q2093" s="401" t="inlineStr">
        <is>
          <t>母排</t>
        </is>
      </c>
      <c r="R2093" s="168" t="inlineStr"/>
      <c r="S2093" s="168" t="inlineStr"/>
      <c r="T2093" s="168" t="inlineStr">
        <is>
          <t>0</t>
        </is>
      </c>
      <c r="U2093" s="168" t="inlineStr"/>
      <c r="V2093" s="402" t="n"/>
      <c r="W2093" s="402" t="n"/>
      <c r="X2093" s="170" t="inlineStr"/>
    </row>
    <row r="2094" customFormat="1" s="5">
      <c r="A2094" s="64">
        <f>ROW()-ROW(A$2084)</f>
        <v/>
      </c>
      <c r="B2094" s="22" t="inlineStr">
        <is>
          <t>垂直排</t>
        </is>
      </c>
      <c r="C2094" s="22" t="inlineStr">
        <is>
          <t>TMY 3*2*80*5</t>
        </is>
      </c>
      <c r="D2094" s="22" t="inlineStr">
        <is>
          <t>国产优质</t>
        </is>
      </c>
      <c r="E2094" s="23" t="inlineStr">
        <is>
          <t>米</t>
        </is>
      </c>
      <c r="F2094" s="23" t="n">
        <v>2</v>
      </c>
      <c r="G2094" s="349">
        <f>IF(AND(B2094="",C2094=""),"",ROUND(M2094*L2094*N2094,2))</f>
        <v/>
      </c>
      <c r="H2094" s="349">
        <f>IF(AND(B2094="",C2094=""),"",ROUND(F2094*G2094,2))</f>
        <v/>
      </c>
      <c r="I2094" s="45" t="inlineStr"/>
      <c r="J2094" s="422">
        <f>IF(AND(B2094="",C2094=""),"",ROUND(M2094*N2094,2))</f>
        <v/>
      </c>
      <c r="K2094" s="423">
        <f>IF(AND(B2094="",C2094=""),"",ROUND(J2094*F2094,2))</f>
        <v/>
      </c>
      <c r="L2094" s="225" t="n">
        <v>1</v>
      </c>
      <c r="M2094" s="424" t="n">
        <v>2309.1228</v>
      </c>
      <c r="N2094" s="227" t="n">
        <v>1</v>
      </c>
      <c r="O2094" s="228">
        <f>IF(AND(B2094="",C2094=""),"",IF(G2094&gt;=20000,0.05,IF(G2094&gt;=10000,0.1,IF(G2094&gt;=5000,0.2,IF(G2094&gt;=1000,0.3,IF(G2094&gt;=0,0.4,{0}))))))</f>
        <v/>
      </c>
      <c r="P2094" s="425">
        <f>IF(AND(B2094="",C2094=""),"",ROUND(H2094*O2094,2))</f>
        <v/>
      </c>
      <c r="Q2094" s="426" t="inlineStr">
        <is>
          <t>母排</t>
        </is>
      </c>
      <c r="R2094" s="234" t="inlineStr"/>
      <c r="S2094" s="234" t="inlineStr"/>
      <c r="T2094" s="235" t="inlineStr">
        <is>
          <t>0</t>
        </is>
      </c>
      <c r="U2094" s="235" t="inlineStr"/>
      <c r="V2094" s="427" t="n"/>
      <c r="W2094" s="427" t="n"/>
      <c r="X2094" s="237" t="inlineStr">
        <is>
          <t>TMY 2*30*5→TMY 30*8</t>
        </is>
      </c>
    </row>
    <row r="2095" customFormat="1" s="5">
      <c r="A2095" s="64">
        <f>ROW()-ROW(A$2084)</f>
        <v/>
      </c>
      <c r="B2095" s="22" t="inlineStr">
        <is>
          <t>N排</t>
        </is>
      </c>
      <c r="C2095" s="22" t="inlineStr">
        <is>
          <t>TMY 80*10</t>
        </is>
      </c>
      <c r="D2095" s="22" t="inlineStr">
        <is>
          <t>国产优质</t>
        </is>
      </c>
      <c r="E2095" s="23" t="inlineStr">
        <is>
          <t>米</t>
        </is>
      </c>
      <c r="F2095" s="23" t="n">
        <v>3</v>
      </c>
      <c r="G2095" s="349">
        <f>IF(AND(B2095="",C2095=""),"",ROUND(M2095*L2095*N2095,2))</f>
        <v/>
      </c>
      <c r="H2095" s="349">
        <f>IF(AND(B2095="",C2095=""),"",ROUND(F2095*G2095,2))</f>
        <v/>
      </c>
      <c r="I2095" s="45" t="inlineStr"/>
      <c r="J2095" s="422">
        <f>IF(AND(B2095="",C2095=""),"",ROUND(M2095*N2095,2))</f>
        <v/>
      </c>
      <c r="K2095" s="423">
        <f>IF(AND(B2095="",C2095=""),"",ROUND(J2095*F2095,2))</f>
        <v/>
      </c>
      <c r="L2095" s="225" t="n">
        <v>1</v>
      </c>
      <c r="M2095" s="424" t="n">
        <v>769.7076</v>
      </c>
      <c r="N2095" s="227" t="n">
        <v>1</v>
      </c>
      <c r="O2095" s="228">
        <f>IF(AND(B2095="",C2095=""),"",IF(G2095&gt;=20000,0.05,IF(G2095&gt;=10000,0.1,IF(G2095&gt;=5000,0.2,IF(G2095&gt;=1000,0.3,IF(G2095&gt;=0,0.4,{0}))))))</f>
        <v/>
      </c>
      <c r="P2095" s="425">
        <f>IF(AND(B2095="",C2095=""),"",ROUND(H2095*O2095,2))</f>
        <v/>
      </c>
      <c r="Q2095" s="426" t="inlineStr">
        <is>
          <t>母排</t>
        </is>
      </c>
      <c r="R2095" s="234" t="inlineStr"/>
      <c r="S2095" s="234" t="inlineStr"/>
      <c r="T2095" s="235" t="inlineStr">
        <is>
          <t>0</t>
        </is>
      </c>
      <c r="U2095" s="235" t="inlineStr"/>
      <c r="V2095" s="427" t="n"/>
      <c r="W2095" s="427" t="n"/>
      <c r="X2095" s="237" t="inlineStr">
        <is>
          <t>TMY 2*30*5→TMY 30*8</t>
        </is>
      </c>
    </row>
    <row r="2096" customFormat="1" s="5">
      <c r="A2096" s="64">
        <f>ROW()-ROW(A$2084)</f>
        <v/>
      </c>
      <c r="B2096" s="22" t="inlineStr">
        <is>
          <t>PE排</t>
        </is>
      </c>
      <c r="C2096" s="22" t="inlineStr">
        <is>
          <t>TMY 2*50*5</t>
        </is>
      </c>
      <c r="D2096" s="22" t="inlineStr">
        <is>
          <t>国产优质</t>
        </is>
      </c>
      <c r="E2096" s="23" t="inlineStr">
        <is>
          <t>米</t>
        </is>
      </c>
      <c r="F2096" s="23" t="n">
        <v>2</v>
      </c>
      <c r="G2096" s="349">
        <f>IF(AND(B2096="",C2096=""),"",ROUND(M2096*L2096*N2096,2))</f>
        <v/>
      </c>
      <c r="H2096" s="349">
        <f>IF(AND(B2096="",C2096=""),"",ROUND(F2096*G2096,2))</f>
        <v/>
      </c>
      <c r="I2096" s="45" t="inlineStr"/>
      <c r="J2096" s="422">
        <f>IF(AND(B2096="",C2096=""),"",ROUND(M2096*N2096,2))</f>
        <v/>
      </c>
      <c r="K2096" s="423">
        <f>IF(AND(B2096="",C2096=""),"",ROUND(J2096*F2096,2))</f>
        <v/>
      </c>
      <c r="L2096" s="225" t="n">
        <v>1</v>
      </c>
      <c r="M2096" s="424" t="n">
        <v>481.06725</v>
      </c>
      <c r="N2096" s="227" t="n">
        <v>1</v>
      </c>
      <c r="O2096" s="228">
        <f>IF(AND(B2096="",C2096=""),"",IF(G2096&gt;=20000,0.05,IF(G2096&gt;=10000,0.1,IF(G2096&gt;=5000,0.2,IF(G2096&gt;=1000,0.3,IF(G2096&gt;=0,0.4,{0}))))))</f>
        <v/>
      </c>
      <c r="P2096" s="425">
        <f>IF(AND(B2096="",C2096=""),"",ROUND(H2096*O2096,2))</f>
        <v/>
      </c>
      <c r="Q2096" s="426" t="inlineStr">
        <is>
          <t>母排</t>
        </is>
      </c>
      <c r="R2096" s="234" t="inlineStr"/>
      <c r="S2096" s="234" t="inlineStr"/>
      <c r="T2096" s="235" t="inlineStr">
        <is>
          <t>0</t>
        </is>
      </c>
      <c r="U2096" s="235" t="inlineStr"/>
      <c r="V2096" s="427" t="n"/>
      <c r="W2096" s="427" t="n"/>
      <c r="X2096" s="237" t="inlineStr">
        <is>
          <t>TMY 2*30*5→TMY 30*8</t>
        </is>
      </c>
    </row>
    <row r="2097" customFormat="1" s="5">
      <c r="A2097" s="64">
        <f>ROW()-ROW(A$2084)</f>
        <v/>
      </c>
      <c r="B2097" s="22" t="inlineStr">
        <is>
          <t>400A铜排</t>
        </is>
      </c>
      <c r="C2097" s="22" t="inlineStr">
        <is>
          <t>TMY 30*5</t>
        </is>
      </c>
      <c r="D2097" s="22" t="inlineStr">
        <is>
          <t>国产优质</t>
        </is>
      </c>
      <c r="E2097" s="23" t="inlineStr">
        <is>
          <t>米</t>
        </is>
      </c>
      <c r="F2097" s="23" t="n">
        <v>19.2</v>
      </c>
      <c r="G2097" s="349">
        <f>IF(AND(B2097="",C2097=""),"",ROUND(M2097*L2097*N2097,2))</f>
        <v/>
      </c>
      <c r="H2097" s="349">
        <f>IF(AND(B2097="",C2097=""),"",ROUND(F2097*G2097,2))</f>
        <v/>
      </c>
      <c r="I2097" s="45" t="inlineStr"/>
      <c r="J2097" s="422">
        <f>IF(AND(B2097="",C2097=""),"",ROUND(M2097*N2097,2))</f>
        <v/>
      </c>
      <c r="K2097" s="423">
        <f>IF(AND(B2097="",C2097=""),"",ROUND(J2097*F2097,2))</f>
        <v/>
      </c>
      <c r="L2097" s="225" t="n">
        <v>1</v>
      </c>
      <c r="M2097" s="424" t="n">
        <v>144.320175</v>
      </c>
      <c r="N2097" s="227" t="n">
        <v>1</v>
      </c>
      <c r="O2097" s="228">
        <f>IF(AND(B2097="",C2097=""),"",IF(G2097&gt;=20000,0.05,IF(G2097&gt;=10000,0.1,IF(G2097&gt;=5000,0.2,IF(G2097&gt;=1000,0.3,IF(G2097&gt;=0,0.4,{0}))))))</f>
        <v/>
      </c>
      <c r="P2097" s="425">
        <f>IF(AND(B2097="",C2097=""),"",ROUND(H2097*O2097,2))</f>
        <v/>
      </c>
      <c r="Q2097" s="426" t="inlineStr">
        <is>
          <t>母排</t>
        </is>
      </c>
      <c r="R2097" s="234" t="inlineStr"/>
      <c r="S2097" s="234" t="inlineStr"/>
      <c r="T2097" s="235" t="inlineStr">
        <is>
          <t>0</t>
        </is>
      </c>
      <c r="U2097" s="235" t="inlineStr"/>
      <c r="V2097" s="427" t="n"/>
      <c r="W2097" s="427" t="n"/>
      <c r="X2097" s="237" t="inlineStr">
        <is>
          <t>TMY 2*30*5→TMY 30*8</t>
        </is>
      </c>
    </row>
    <row r="2098" s="308">
      <c r="A2098" s="64">
        <f>ROW()-ROW(A$2084)</f>
        <v/>
      </c>
      <c r="B2098" s="112" t="inlineStr">
        <is>
          <t>辅料</t>
        </is>
      </c>
      <c r="C2098" s="112" t="inlineStr"/>
      <c r="D2098" s="112" t="inlineStr"/>
      <c r="E2098" s="114" t="inlineStr">
        <is>
          <t>套</t>
        </is>
      </c>
      <c r="F2098" s="114" t="n">
        <v>1</v>
      </c>
      <c r="G2098" s="396">
        <f>IF(AND(B2098="",C2098=""),"",ROUND(M2098*L2098*N2098,2))</f>
        <v/>
      </c>
      <c r="H2098" s="396">
        <f>IF(AND(B2098="",C2098=""),"",ROUND(F2098*G2098,2))</f>
        <v/>
      </c>
      <c r="I2098" s="219" t="inlineStr"/>
      <c r="J2098" s="397">
        <f>IF(AND(B2098="",C2098=""),"",ROUND(M2098*N2098,2))</f>
        <v/>
      </c>
      <c r="K2098" s="398">
        <f>IF(AND(B2098="",C2098=""),"",ROUND(J2098*F2098,2))</f>
        <v/>
      </c>
      <c r="L2098" s="200" t="n">
        <v>1</v>
      </c>
      <c r="M2098" s="399" t="n">
        <v>681.16</v>
      </c>
      <c r="N2098" s="154" t="n">
        <v>1</v>
      </c>
      <c r="O2098" s="155">
        <f>IF(AND(B2098="",C2098=""),"",IF(G2098&gt;=20000,0.05,IF(G2098&gt;=10000,0.1,IF(G2098&gt;=5000,0.2,IF(G2098&gt;=1000,0.3,IF(G2098&gt;=0,0.4,{0}))))))</f>
        <v/>
      </c>
      <c r="P2098" s="400">
        <f>IF(AND(B2098="",C2098=""),"",ROUND(H2098*O2098,2))</f>
        <v/>
      </c>
      <c r="Q2098" s="401" t="inlineStr">
        <is>
          <t>辅料</t>
        </is>
      </c>
      <c r="R2098" s="168" t="inlineStr"/>
      <c r="S2098" s="168" t="inlineStr"/>
      <c r="T2098" s="168" t="inlineStr">
        <is>
          <t>0</t>
        </is>
      </c>
      <c r="U2098" s="168" t="inlineStr"/>
      <c r="V2098" s="402" t="n"/>
      <c r="W2098" s="402" t="n"/>
      <c r="X2098" s="170" t="inlineStr"/>
    </row>
    <row r="2099" s="308">
      <c r="A2099" s="64">
        <f>ROW()-ROW(A$2084)</f>
        <v/>
      </c>
      <c r="B2099" s="112" t="inlineStr">
        <is>
          <t>柜体Blokset</t>
        </is>
      </c>
      <c r="C2099" s="22" t="inlineStr">
        <is>
          <t>600W*1200D*2200H</t>
        </is>
      </c>
      <c r="D2099" s="112" t="inlineStr">
        <is>
          <t>清科</t>
        </is>
      </c>
      <c r="E2099" s="114" t="inlineStr">
        <is>
          <t>台</t>
        </is>
      </c>
      <c r="F2099" s="114" t="n">
        <v>1</v>
      </c>
      <c r="G2099" s="396">
        <f>IF(AND(B2099="",C2099=""),"",ROUND(M2099*L2099*N2099,2))</f>
        <v/>
      </c>
      <c r="H2099" s="396">
        <f>IF(AND(B2099="",C2099=""),"",ROUND(F2099*G2099,2))</f>
        <v/>
      </c>
      <c r="I2099" s="219" t="inlineStr"/>
      <c r="J2099" s="397">
        <f>IF(AND(B2099="",C2099=""),"",ROUND(M2099*N2099,2))</f>
        <v/>
      </c>
      <c r="K2099" s="398">
        <f>IF(AND(B2099="",C2099=""),"",ROUND(J2099*F2099,2))</f>
        <v/>
      </c>
      <c r="L2099" s="200" t="n">
        <v>1</v>
      </c>
      <c r="M2099" s="399" t="n">
        <v>5521</v>
      </c>
      <c r="N2099" s="154" t="n">
        <v>1</v>
      </c>
      <c r="O2099" s="155">
        <f>IF(AND(B2099="",C2099=""),"",IF(G2099&gt;=20000,0.05,IF(G2099&gt;=10000,0.1,IF(G2099&gt;=5000,0.2,IF(G2099&gt;=1000,0.3,IF(G2099&gt;=0,0.4,{0}))))))</f>
        <v/>
      </c>
      <c r="P2099" s="400">
        <f>IF(AND(B2099="",C2099=""),"",ROUND(H2099*O2099,2))</f>
        <v/>
      </c>
      <c r="Q2099" s="401" t="inlineStr">
        <is>
          <t>箱体</t>
        </is>
      </c>
      <c r="R2099" s="168" t="inlineStr"/>
      <c r="S2099" s="168" t="inlineStr"/>
      <c r="T2099" s="168" t="inlineStr">
        <is>
          <t>0</t>
        </is>
      </c>
      <c r="U2099" s="168" t="inlineStr"/>
      <c r="V2099" s="402" t="n"/>
      <c r="W2099" s="402" t="n"/>
      <c r="X2099" s="170" t="inlineStr">
        <is>
          <t>BlokSeT</t>
        </is>
      </c>
    </row>
    <row r="2100" s="308">
      <c r="A2100" s="64">
        <f>ROW()-ROW(A$2084)</f>
        <v/>
      </c>
      <c r="B2100" s="22" t="inlineStr"/>
      <c r="C2100" s="22" t="inlineStr"/>
      <c r="D2100" s="22" t="inlineStr"/>
      <c r="E2100" s="23" t="n"/>
      <c r="F2100" s="23">
        <f>IF(AND(B2100="",C2100=""),"",1)</f>
        <v/>
      </c>
      <c r="G2100" s="349">
        <f>IF(AND(B2100="",C2100=""),"",ROUND(M2100*L2100*N2100,2))</f>
        <v/>
      </c>
      <c r="H2100" s="349">
        <f>IF(AND(B2100="",C2100=""),"",ROUND(F2100*G2100,2))</f>
        <v/>
      </c>
      <c r="I2100" s="45" t="inlineStr"/>
      <c r="J2100" s="397">
        <f>IF(AND(B2100="",C2100=""),"",ROUND(M2100*N2100,2))</f>
        <v/>
      </c>
      <c r="K2100" s="398">
        <f>IF(AND(B2100="",C2100=""),"",ROUND(J2100*F2100,2))</f>
        <v/>
      </c>
      <c r="L2100" s="200">
        <f>IF(AND(B2100="",C2100=""),"",1)</f>
        <v/>
      </c>
      <c r="M2100" s="399" t="n"/>
      <c r="N2100" s="154">
        <f>IF(AND(B2100="",C2100=""),"",1)</f>
        <v/>
      </c>
      <c r="O2100" s="155">
        <f>IF(AND(B2100="",C2100=""),"",IF(J2100&gt;=20000,0.05,IF(J2100&gt;=10000,0.1,IF(J2100&gt;=5000,0.2,IF(J2100&gt;=1000,0.3,IF(J2100&gt;=0,0.4,{0}))))))</f>
        <v/>
      </c>
      <c r="P2100" s="400">
        <f>IF(AND(B2100="",C2100=""),"",ROUND(H2100*O2100,2))</f>
        <v/>
      </c>
      <c r="Q2100" s="401">
        <f>IF(AND(B2100="",C2100=""),"","元件")</f>
        <v/>
      </c>
      <c r="R2100" s="168" t="inlineStr"/>
      <c r="S2100" s="168" t="inlineStr"/>
      <c r="T2100" s="168" t="inlineStr"/>
      <c r="U2100" s="168" t="inlineStr"/>
      <c r="V2100" s="402" t="n"/>
      <c r="W2100" s="402" t="n"/>
      <c r="X2100" s="170" t="inlineStr"/>
    </row>
    <row r="2101" s="308">
      <c r="A2101" s="64">
        <f>ROW()-ROW(A$2084)</f>
        <v/>
      </c>
      <c r="B2101" s="171" t="inlineStr">
        <is>
          <t>小计</t>
        </is>
      </c>
      <c r="C2101" s="172" t="n"/>
      <c r="D2101" s="204" t="n"/>
      <c r="E2101" s="114" t="n"/>
      <c r="F2101" s="114" t="n"/>
      <c r="G2101" s="396" t="n"/>
      <c r="H2101" s="396">
        <f>ROUND(SUM(H2084:INDEX(H:H,ROW()-1)),2)</f>
        <v/>
      </c>
      <c r="I2101" s="45" t="inlineStr"/>
      <c r="J2101" s="397" t="n"/>
      <c r="K2101" s="398">
        <f>ROUND(SUM(K2084:INDEX(K:K,ROW()-1)),2)</f>
        <v/>
      </c>
      <c r="L2101" s="200" t="n"/>
      <c r="M2101" s="399" t="n"/>
      <c r="N2101" s="154" t="n"/>
      <c r="O2101" s="155" t="n"/>
      <c r="P2101" s="400" t="n"/>
      <c r="Q2101" s="401" t="n"/>
      <c r="R2101" s="168" t="inlineStr"/>
      <c r="S2101" s="168" t="inlineStr"/>
      <c r="T2101" s="168" t="inlineStr"/>
      <c r="U2101" s="168" t="inlineStr"/>
      <c r="V2101" s="402">
        <f>ROUND(SUMPRODUCT(F2084:INDEX(F:F,ROW()-1),V2084:INDEX(V:V,ROW()-1)),2)</f>
        <v/>
      </c>
      <c r="W2101" s="402">
        <f>ROUND(SUMPRODUCT(F2084:INDEX(F:F,ROW()-1),W2084:INDEX(W:W,ROW()-1)),2)</f>
        <v/>
      </c>
      <c r="X2101" s="170" t="inlineStr"/>
    </row>
    <row r="2102" s="308">
      <c r="A2102" s="64">
        <f>ROW()-ROW(A$2084)</f>
        <v/>
      </c>
      <c r="B2102" s="171" t="inlineStr">
        <is>
          <t>综合费(人工、管理、税金、利润等)</t>
        </is>
      </c>
      <c r="C2102" s="172" t="n"/>
      <c r="D2102" s="204" t="n"/>
      <c r="E2102" s="114" t="n"/>
      <c r="F2102" s="114" t="n"/>
      <c r="G2102" s="396" t="n"/>
      <c r="H2102" s="396">
        <f>2500</f>
        <v/>
      </c>
      <c r="I2102" s="45" t="inlineStr"/>
      <c r="J2102" s="397" t="n"/>
      <c r="K2102" s="398" t="n"/>
      <c r="L2102" s="200" t="n"/>
      <c r="M2102" s="399" t="n"/>
      <c r="N2102" s="154" t="n"/>
      <c r="O2102" s="155" t="n"/>
      <c r="P2102" s="400" t="n"/>
      <c r="Q2102" s="401" t="inlineStr">
        <is>
          <t>费用</t>
        </is>
      </c>
      <c r="R2102" s="168" t="inlineStr"/>
      <c r="S2102" s="168" t="inlineStr"/>
      <c r="T2102" s="168" t="inlineStr"/>
      <c r="U2102" s="168" t="inlineStr"/>
      <c r="V2102" s="402" t="n"/>
      <c r="W2102" s="402" t="n"/>
      <c r="X2102" s="170" t="inlineStr"/>
    </row>
    <row r="2103" s="308">
      <c r="A2103" s="64">
        <f>ROW()-ROW(A$2084)</f>
        <v/>
      </c>
      <c r="B2103" s="204" t="inlineStr">
        <is>
          <t>单台合计</t>
        </is>
      </c>
      <c r="C2103" s="172" t="n"/>
      <c r="D2103" s="204" t="n"/>
      <c r="E2103" s="114" t="n"/>
      <c r="F2103" s="114" t="n"/>
      <c r="G2103" s="396" t="n"/>
      <c r="H2103" s="396">
        <f>ROUND(SUM(H2101:H2102),2)</f>
        <v/>
      </c>
      <c r="I2103" s="181" t="n"/>
      <c r="J2103" s="397" t="n"/>
      <c r="K2103" s="398">
        <f>ROUND(SUM(K2101:K2102),2)</f>
        <v/>
      </c>
      <c r="L2103" s="209" t="n"/>
      <c r="M2103" s="399" t="n"/>
      <c r="N2103" s="210" t="n"/>
      <c r="O2103" s="211" t="n"/>
      <c r="P2103" s="400" t="n"/>
      <c r="Q2103" s="401" t="n"/>
      <c r="R2103" s="168" t="inlineStr"/>
      <c r="S2103" s="168" t="inlineStr"/>
      <c r="T2103" s="168" t="inlineStr"/>
      <c r="U2103" s="168" t="inlineStr"/>
      <c r="V2103" s="402" t="n"/>
      <c r="W2103" s="402" t="n"/>
      <c r="X2103" s="170" t="inlineStr"/>
    </row>
    <row r="2104" s="308">
      <c r="A2104" s="173" t="inlineStr">
        <is>
          <t>总计</t>
        </is>
      </c>
      <c r="B2104" s="205" t="n"/>
      <c r="C2104" s="175" t="n"/>
      <c r="D2104" s="206" t="n"/>
      <c r="E2104" s="206" t="inlineStr">
        <is>
          <t>台</t>
        </is>
      </c>
      <c r="F2104" s="206" t="n">
        <v>4</v>
      </c>
      <c r="G2104" s="414">
        <f>ROUND(H2103,2)</f>
        <v/>
      </c>
      <c r="H2104" s="414">
        <f>ROUND(F2104*G2104,2)</f>
        <v/>
      </c>
      <c r="I2104" s="185" t="n"/>
      <c r="J2104" s="415" t="n"/>
      <c r="K2104" s="416">
        <f>ROUND(K2103*F2104,2)</f>
        <v/>
      </c>
      <c r="L2104" s="214" t="n"/>
      <c r="M2104" s="417" t="n"/>
      <c r="N2104" s="216" t="n"/>
      <c r="O2104" s="217" t="n"/>
      <c r="P2104" s="418" t="n"/>
      <c r="Q2104" s="401" t="n"/>
      <c r="R2104" s="168" t="inlineStr"/>
      <c r="S2104" s="168" t="inlineStr"/>
      <c r="T2104" s="168" t="inlineStr"/>
      <c r="U2104" s="168" t="inlineStr"/>
      <c r="V2104" s="402" t="n"/>
      <c r="W2104" s="402" t="n"/>
      <c r="X2104" s="170" t="inlineStr"/>
    </row>
    <row r="2105" customFormat="1" s="4">
      <c r="A2105" s="6" t="n"/>
      <c r="B2105" s="195" t="inlineStr"/>
      <c r="C2105" s="195" t="inlineStr"/>
      <c r="D2105" s="195" t="inlineStr"/>
      <c r="Q2105" s="159" t="n"/>
      <c r="R2105" s="159" t="n"/>
      <c r="S2105" s="159" t="n"/>
      <c r="T2105" s="159" t="n"/>
      <c r="U2105" s="159" t="n"/>
      <c r="X2105" s="195" t="inlineStr"/>
    </row>
    <row r="2106" customFormat="1" s="4">
      <c r="A2106" s="6" t="n"/>
      <c r="B2106" s="195" t="inlineStr"/>
      <c r="C2106" s="195" t="inlineStr"/>
      <c r="D2106" s="195" t="inlineStr"/>
      <c r="Q2106" s="159" t="n"/>
      <c r="R2106" s="159" t="n"/>
      <c r="S2106" s="159" t="n"/>
      <c r="T2106" s="159" t="n"/>
      <c r="U2106" s="159" t="n"/>
      <c r="X2106" s="195" t="inlineStr"/>
    </row>
    <row r="2107" s="308">
      <c r="A2107" s="208">
        <f>CONCATENATE("报价人：",项目信息!$B$8)</f>
        <v/>
      </c>
      <c r="B2107" s="208" t="n"/>
      <c r="C2107" s="4" t="n"/>
      <c r="D2107" s="4" t="n"/>
      <c r="E2107" s="4" t="n"/>
      <c r="F2107" s="4" t="n"/>
      <c r="G2107" s="4" t="n"/>
      <c r="H2107" s="178">
        <f>项目信息!$B$9</f>
        <v/>
      </c>
      <c r="Q2107" s="159" t="n"/>
      <c r="R2107" s="159" t="n"/>
      <c r="S2107" s="159" t="n"/>
      <c r="T2107" s="159" t="n"/>
      <c r="U2107" s="159" t="n"/>
      <c r="X2107" s="203" t="inlineStr"/>
    </row>
    <row r="2108" s="308">
      <c r="A2108" s="8">
        <f>T(项目信息!$B$22)</f>
        <v/>
      </c>
      <c r="Q2108" s="159" t="n"/>
      <c r="R2108" s="159" t="n"/>
      <c r="S2108" s="159" t="n"/>
      <c r="T2108" s="159" t="n"/>
      <c r="U2108" s="159" t="n"/>
    </row>
    <row r="2109" s="308">
      <c r="A2109" s="9">
        <f>T(项目信息!$B$23)</f>
        <v/>
      </c>
      <c r="Q2109" s="159" t="n"/>
      <c r="R2109" s="159" t="n"/>
      <c r="S2109" s="159" t="n"/>
      <c r="T2109" s="159" t="n"/>
      <c r="U2109" s="159" t="n"/>
    </row>
    <row r="2110" s="308">
      <c r="A2110" s="97" t="inlineStr">
        <is>
          <t>成套产品报价明细表</t>
        </is>
      </c>
      <c r="B2110" s="378" t="n"/>
      <c r="C2110" s="378" t="n"/>
      <c r="D2110" s="378" t="n"/>
      <c r="E2110" s="378" t="n"/>
      <c r="F2110" s="378" t="n"/>
      <c r="G2110" s="378" t="n"/>
      <c r="H2110" s="378" t="n"/>
      <c r="I2110" s="378" t="n"/>
      <c r="Q2110" s="159" t="n"/>
      <c r="R2110" s="159" t="n"/>
      <c r="S2110" s="159" t="n"/>
      <c r="T2110" s="159" t="n"/>
      <c r="U2110" s="159" t="n"/>
    </row>
    <row r="2111" customFormat="1" s="4">
      <c r="A2111" s="98" t="inlineStr">
        <is>
          <t>柜号:</t>
        </is>
      </c>
      <c r="B2111" s="99" t="inlineStr">
        <is>
          <t>T9-AU11、T10-BU11</t>
        </is>
      </c>
      <c r="C2111" s="100" t="inlineStr">
        <is>
          <t>型号:</t>
        </is>
      </c>
      <c r="D2111" s="99" t="inlineStr">
        <is>
          <t>BlokSeT</t>
        </is>
      </c>
      <c r="E2111" s="379" t="n"/>
      <c r="F2111" s="101" t="inlineStr">
        <is>
          <t>名称:</t>
        </is>
      </c>
      <c r="G2111" s="99" t="inlineStr">
        <is>
          <t>进线柜</t>
        </is>
      </c>
      <c r="H2111" s="379" t="n"/>
      <c r="I2111" s="408" t="inlineStr"/>
      <c r="J2111" s="194" t="inlineStr">
        <is>
          <t>箱柜尺寸:</t>
        </is>
      </c>
      <c r="K2111" s="195" t="inlineStr">
        <is>
          <t>400W*1200D*2200H</t>
        </is>
      </c>
      <c r="L2111" s="194" t="inlineStr">
        <is>
          <t>类别:</t>
        </is>
      </c>
      <c r="M2111" s="195" t="inlineStr">
        <is>
          <t>低压固定柜</t>
        </is>
      </c>
      <c r="N2111" s="409" t="inlineStr"/>
      <c r="Q2111" s="159" t="n"/>
      <c r="R2111" s="159" t="n"/>
      <c r="S2111" s="159" t="n"/>
      <c r="T2111" s="159" t="n"/>
      <c r="U2111" s="159" t="n"/>
    </row>
    <row r="2112" ht="20.1" customHeight="1" s="308">
      <c r="A2112" s="102" t="inlineStr">
        <is>
          <t>序号</t>
        </is>
      </c>
      <c r="B2112" s="103" t="inlineStr">
        <is>
          <t>元件名称</t>
        </is>
      </c>
      <c r="C2112" s="103" t="inlineStr">
        <is>
          <t>型号规格</t>
        </is>
      </c>
      <c r="D2112" s="104" t="inlineStr">
        <is>
          <t>生产厂家</t>
        </is>
      </c>
      <c r="E2112" s="105" t="inlineStr">
        <is>
          <t>单位</t>
        </is>
      </c>
      <c r="F2112" s="105" t="inlineStr">
        <is>
          <t>数量</t>
        </is>
      </c>
      <c r="G2112" s="382" t="inlineStr">
        <is>
          <t>单   价</t>
        </is>
      </c>
      <c r="H2112" s="383" t="inlineStr">
        <is>
          <t>总   价</t>
        </is>
      </c>
      <c r="I2112" s="134" t="inlineStr">
        <is>
          <t>备注</t>
        </is>
      </c>
      <c r="J2112" s="384" t="inlineStr">
        <is>
          <t>成本单价</t>
        </is>
      </c>
      <c r="K2112" s="384" t="inlineStr">
        <is>
          <t>成本总价</t>
        </is>
      </c>
      <c r="L2112" s="136" t="inlineStr">
        <is>
          <t>报出
系数</t>
        </is>
      </c>
      <c r="M2112" s="384" t="inlineStr">
        <is>
          <t>表价</t>
        </is>
      </c>
      <c r="N2112" s="136" t="inlineStr">
        <is>
          <t>折扣
系数</t>
        </is>
      </c>
      <c r="O2112" s="137" t="inlineStr">
        <is>
          <t>取费
系数</t>
        </is>
      </c>
      <c r="P2112" s="384" t="inlineStr">
        <is>
          <t>成套费</t>
        </is>
      </c>
      <c r="Q2112" s="161" t="inlineStr">
        <is>
          <t>类别</t>
        </is>
      </c>
      <c r="R2112" s="161" t="inlineStr">
        <is>
          <t>物料编码</t>
        </is>
      </c>
      <c r="S2112" s="161" t="inlineStr">
        <is>
          <t>产地</t>
        </is>
      </c>
      <c r="T2112" s="161" t="inlineStr">
        <is>
          <t>加工费</t>
        </is>
      </c>
      <c r="U2112" s="161" t="inlineStr">
        <is>
          <t>订货号</t>
        </is>
      </c>
      <c r="V2112" s="161" t="inlineStr">
        <is>
          <t>人工</t>
        </is>
      </c>
      <c r="W2112" s="161" t="inlineStr">
        <is>
          <t>辅料</t>
        </is>
      </c>
      <c r="X2112" s="203" t="inlineStr"/>
    </row>
    <row r="2113" s="308">
      <c r="A2113" s="64">
        <f>ROW()-ROW(A$2112)</f>
        <v/>
      </c>
      <c r="B2113" s="22" t="inlineStr">
        <is>
          <t>框架断路器</t>
        </is>
      </c>
      <c r="C2113" s="22" t="inlineStr">
        <is>
          <t>MT12 N1a SG 3P MIC5.0 E</t>
        </is>
      </c>
      <c r="D2113" s="22" t="inlineStr">
        <is>
          <t>甲供/施耐德电气</t>
        </is>
      </c>
      <c r="E2113" s="23" t="inlineStr">
        <is>
          <t>只</t>
        </is>
      </c>
      <c r="F2113" s="23" t="n">
        <v>2</v>
      </c>
      <c r="G2113" s="349">
        <f>IF(AND(B2113="",C2113=""),"",ROUND(M2113*L2113*N2113,2))</f>
        <v/>
      </c>
      <c r="H2113" s="349">
        <f>IF(AND(B2113="",C2113=""),"",ROUND(F2113*G2113,2))</f>
        <v/>
      </c>
      <c r="I2113" s="45" t="inlineStr"/>
      <c r="J2113" s="397">
        <f>IF(AND(B2113="",C2113=""),"",ROUND(M2113*N2113,2))</f>
        <v/>
      </c>
      <c r="K2113" s="398">
        <f>IF(AND(B2113="",C2113=""),"",ROUND(J2113*F2113,2))</f>
        <v/>
      </c>
      <c r="L2113" s="200" t="n">
        <v>1</v>
      </c>
      <c r="M2113" s="399" t="n">
        <v>1e-07</v>
      </c>
      <c r="N2113" s="154" t="n">
        <v>1</v>
      </c>
      <c r="O2113" s="155">
        <f>IF(AND(B2113="",C2113=""),"",IF(G2113&gt;=20000,0.05,IF(G2113&gt;=10000,0.1,IF(G2113&gt;=5000,0.2,IF(G2113&gt;=1000,0.3,IF(G2113&gt;=0,0.4,{0}))))))</f>
        <v/>
      </c>
      <c r="P2113" s="400">
        <f>IF(AND(B2113="",C2113=""),"",ROUND(H2113*O2113,2))</f>
        <v/>
      </c>
      <c r="Q2113" s="401" t="inlineStr">
        <is>
          <t>元件</t>
        </is>
      </c>
      <c r="R2113" s="168" t="inlineStr"/>
      <c r="S2113" s="168" t="inlineStr"/>
      <c r="T2113" s="168" t="inlineStr">
        <is>
          <t>0</t>
        </is>
      </c>
      <c r="U2113" s="168" t="inlineStr">
        <is>
          <t>C16F32D160</t>
        </is>
      </c>
      <c r="V2113" s="402" t="n"/>
      <c r="W2113" s="402" t="n"/>
      <c r="X2113" s="170" t="inlineStr">
        <is>
          <t>NSX630N Mic2.3 630A 3P3D F→NSX630F MIC2.3 630 3P F→NSX630F MIC 2.3 630 3P F</t>
        </is>
      </c>
    </row>
    <row r="2114" s="308">
      <c r="A2114" s="64">
        <f>ROW()-ROW(A$2112)</f>
        <v/>
      </c>
      <c r="B2114" s="22" t="inlineStr">
        <is>
          <t>电流互感器</t>
        </is>
      </c>
      <c r="C2114" s="22" t="inlineStr">
        <is>
          <t>SD-0.66-80II-V 1250/5A</t>
        </is>
      </c>
      <c r="D2114" s="22" t="inlineStr">
        <is>
          <t>桑迪</t>
        </is>
      </c>
      <c r="E2114" s="23" t="inlineStr">
        <is>
          <t>只</t>
        </is>
      </c>
      <c r="F2114" s="23" t="n">
        <v>6</v>
      </c>
      <c r="G2114" s="349">
        <f>IF(AND(B2114="",C2114=""),"",ROUND(M2114*L2114*N2114,2))</f>
        <v/>
      </c>
      <c r="H2114" s="396">
        <f>IF(AND(B2114="",C2114=""),"",ROUND(F2114*G2114,2))</f>
        <v/>
      </c>
      <c r="I2114" s="219" t="inlineStr"/>
      <c r="J2114" s="397">
        <f>IF(AND(B2114="",C2114=""),"",ROUND(M2114*N2114,2))</f>
        <v/>
      </c>
      <c r="K2114" s="398">
        <f>IF(AND(B2114="",C2114=""),"",ROUND(J2114*F2114,2))</f>
        <v/>
      </c>
      <c r="L2114" s="200" t="n">
        <v>1</v>
      </c>
      <c r="M2114" s="399" t="n">
        <v>115.7</v>
      </c>
      <c r="N2114" s="154" t="n">
        <v>1</v>
      </c>
      <c r="O2114" s="155">
        <f>IF(AND(B2114="",C2114=""),"",IF(G2114&gt;=20000,0.05,IF(G2114&gt;=10000,0.1,IF(G2114&gt;=5000,0.2,IF(G2114&gt;=1000,0.3,IF(G2114&gt;=0,0.4,{0}))))))</f>
        <v/>
      </c>
      <c r="P2114" s="400">
        <f>IF(AND(B2114="",C2114=""),"",ROUND(H2114*O2114,2))</f>
        <v/>
      </c>
      <c r="Q2114" s="401" t="inlineStr">
        <is>
          <t>元件</t>
        </is>
      </c>
      <c r="R2114" s="168" t="inlineStr"/>
      <c r="S2114" s="168" t="inlineStr"/>
      <c r="T2114" s="168" t="inlineStr">
        <is>
          <t>0</t>
        </is>
      </c>
      <c r="U2114" s="168" t="inlineStr">
        <is>
          <t>710141426552500</t>
        </is>
      </c>
      <c r="V2114" s="402" t="n"/>
      <c r="W2114" s="402" t="n"/>
      <c r="X2114" s="170" t="inlineStr">
        <is>
          <t>SD→SD-0.66-40II-C 400/5A→SD-0.66-30I 250/5A→SD-0.66-30I 150/5A→SD-0.66-60II-C 750/5A→SD-0.66-60II-C 600/5A→SD-0.66-30I 150/5A→SD-0.66-40II-C 400/5A→SD-0.66-100II-C 1600/5A→SD-0.66-80II-V 1000/5A→SD-0.66-80II-V 1250/5A→SD-0.66-80II-V 1000/5A</t>
        </is>
      </c>
    </row>
    <row r="2115" s="308">
      <c r="A2115" s="64">
        <f>ROW()-ROW(A$2112)</f>
        <v/>
      </c>
      <c r="B2115" s="112" t="inlineStr">
        <is>
          <t>多功能表</t>
        </is>
      </c>
      <c r="C2115" s="112" t="inlineStr">
        <is>
          <t>PM4101</t>
        </is>
      </c>
      <c r="D2115" s="112" t="inlineStr">
        <is>
          <t>甲供/施耐德电气</t>
        </is>
      </c>
      <c r="E2115" s="114" t="inlineStr">
        <is>
          <t>只</t>
        </is>
      </c>
      <c r="F2115" s="114" t="n">
        <v>2</v>
      </c>
      <c r="G2115" s="396">
        <f>IF(AND(B2115="",C2115=""),"",ROUND(M2115*L2115*N2115,2))</f>
        <v/>
      </c>
      <c r="H2115" s="349">
        <f>IF(AND(B2115="",C2115=""),"",ROUND(F2115*G2115,2))</f>
        <v/>
      </c>
      <c r="I2115" s="45" t="inlineStr"/>
      <c r="J2115" s="397">
        <f>IF(AND(B2115="",C2115=""),"",ROUND(M2115*N2115,2))</f>
        <v/>
      </c>
      <c r="K2115" s="398">
        <f>IF(AND(B2115="",C2115=""),"",ROUND(J2115*F2115,2))</f>
        <v/>
      </c>
      <c r="L2115" s="200" t="n">
        <v>1</v>
      </c>
      <c r="M2115" s="399" t="n">
        <v>1e-07</v>
      </c>
      <c r="N2115" s="154" t="n">
        <v>1</v>
      </c>
      <c r="O2115" s="155">
        <f>IF(AND(B2115="",C2115=""),"",IF(J2115&gt;=20000,0.05,IF(J2115&gt;=10000,0.1,IF(J2115&gt;=5000,0.2,IF(J2115&gt;=1000,0.3,IF(J2115&gt;=0,0.4,{0}))))))</f>
        <v/>
      </c>
      <c r="P2115" s="400">
        <f>IF(AND(B2115="",C2115=""),"",ROUND(H2115*O2115,2))</f>
        <v/>
      </c>
      <c r="Q2115" s="401" t="inlineStr">
        <is>
          <t>元件</t>
        </is>
      </c>
      <c r="R2115" s="168" t="inlineStr"/>
      <c r="S2115" s="168" t="inlineStr"/>
      <c r="T2115" s="168" t="inlineStr">
        <is>
          <t>0</t>
        </is>
      </c>
      <c r="U2115" s="168" t="inlineStr"/>
      <c r="V2115" s="402" t="n"/>
      <c r="W2115" s="402" t="n"/>
      <c r="X2115" s="170" t="inlineStr"/>
    </row>
    <row r="2116" customFormat="1" s="3">
      <c r="A2116" s="64">
        <f>ROW()-ROW(A$2112)</f>
        <v/>
      </c>
      <c r="B2116" s="22" t="inlineStr">
        <is>
          <t>指示灯</t>
        </is>
      </c>
      <c r="C2116" s="22" t="inlineStr">
        <is>
          <t>XB2BVM3LC</t>
        </is>
      </c>
      <c r="D2116" s="22" t="inlineStr">
        <is>
          <t>甲供/施耐德电气</t>
        </is>
      </c>
      <c r="E2116" s="23" t="inlineStr">
        <is>
          <t>只</t>
        </is>
      </c>
      <c r="F2116" s="23" t="n">
        <v>2</v>
      </c>
      <c r="G2116" s="349">
        <f>IF(AND(B2116="",C2116=""),"",ROUND(M2116*L2116*N2116,2))</f>
        <v/>
      </c>
      <c r="H2116" s="353">
        <f>IF(AND(B2116="",C2116=""),"",ROUND(F2116*G2116,2))</f>
        <v/>
      </c>
      <c r="I2116" s="180" t="inlineStr"/>
      <c r="J2116" s="392">
        <f>IF(AND(B2116="",C2116=""),"",ROUND(M2116*N2116,2))</f>
        <v/>
      </c>
      <c r="K2116" s="393">
        <f>IF(AND(B2116="",C2116=""),"",ROUND(J2116*F2116,2))</f>
        <v/>
      </c>
      <c r="L2116" s="141" t="n">
        <v>1</v>
      </c>
      <c r="M2116" s="394" t="n">
        <v>1e-07</v>
      </c>
      <c r="N2116" s="220" t="n">
        <v>1</v>
      </c>
      <c r="O2116" s="221">
        <f>IF(AND(B2116="",C2116=""),"",IF(G2116&gt;=20000,0.05,IF(G2116&gt;=10000,0.1,IF(G2116&gt;=5000,0.2,IF(G2116&gt;=1000,0.3,IF(G2116&gt;=0,0.4,{0}))))))</f>
        <v/>
      </c>
      <c r="P2116" s="419">
        <f>IF(AND(B2116="",C2116=""),"",ROUND(H2116*O2116,2))</f>
        <v/>
      </c>
      <c r="Q2116" s="420" t="inlineStr">
        <is>
          <t>元件</t>
        </is>
      </c>
      <c r="R2116" s="231" t="inlineStr"/>
      <c r="S2116" s="231" t="inlineStr"/>
      <c r="T2116" s="231" t="inlineStr">
        <is>
          <t>0</t>
        </is>
      </c>
      <c r="U2116" s="231" t="inlineStr">
        <is>
          <t>XB2BVM3LC</t>
        </is>
      </c>
      <c r="V2116" s="421" t="n"/>
      <c r="W2116" s="421" t="n"/>
      <c r="X2116" s="166" t="inlineStr">
        <is>
          <t>XA2EVM3LC</t>
        </is>
      </c>
    </row>
    <row r="2117" customFormat="1" s="3">
      <c r="A2117" s="64">
        <f>ROW()-ROW(A$2112)</f>
        <v/>
      </c>
      <c r="B2117" s="22" t="inlineStr">
        <is>
          <t>指示灯</t>
        </is>
      </c>
      <c r="C2117" s="22" t="inlineStr">
        <is>
          <t>XB2BVM4LC</t>
        </is>
      </c>
      <c r="D2117" s="22" t="inlineStr">
        <is>
          <t>甲供/施耐德电气</t>
        </is>
      </c>
      <c r="E2117" s="23" t="inlineStr">
        <is>
          <t>只</t>
        </is>
      </c>
      <c r="F2117" s="23" t="n">
        <v>2</v>
      </c>
      <c r="G2117" s="349">
        <f>IF(AND(B2117="",C2117=""),"",ROUND(M2117*L2117*N2117,2))</f>
        <v/>
      </c>
      <c r="H2117" s="353">
        <f>IF(AND(B2117="",C2117=""),"",ROUND(F2117*G2117,2))</f>
        <v/>
      </c>
      <c r="I2117" s="180" t="inlineStr"/>
      <c r="J2117" s="392">
        <f>IF(AND(B2117="",C2117=""),"",ROUND(M2117*N2117,2))</f>
        <v/>
      </c>
      <c r="K2117" s="393">
        <f>IF(AND(B2117="",C2117=""),"",ROUND(J2117*F2117,2))</f>
        <v/>
      </c>
      <c r="L2117" s="141" t="n">
        <v>1</v>
      </c>
      <c r="M2117" s="394" t="n">
        <v>1e-07</v>
      </c>
      <c r="N2117" s="220" t="n">
        <v>1</v>
      </c>
      <c r="O2117" s="221">
        <f>IF(AND(B2117="",C2117=""),"",IF(G2117&gt;=20000,0.05,IF(G2117&gt;=10000,0.1,IF(G2117&gt;=5000,0.2,IF(G2117&gt;=1000,0.3,IF(G2117&gt;=0,0.4,{0}))))))</f>
        <v/>
      </c>
      <c r="P2117" s="419">
        <f>IF(AND(B2117="",C2117=""),"",ROUND(H2117*O2117,2))</f>
        <v/>
      </c>
      <c r="Q2117" s="420" t="inlineStr">
        <is>
          <t>元件</t>
        </is>
      </c>
      <c r="R2117" s="231" t="inlineStr"/>
      <c r="S2117" s="231" t="inlineStr"/>
      <c r="T2117" s="231" t="inlineStr">
        <is>
          <t>0</t>
        </is>
      </c>
      <c r="U2117" s="231" t="inlineStr">
        <is>
          <t>XB2BVM4LC</t>
        </is>
      </c>
      <c r="V2117" s="421" t="n"/>
      <c r="W2117" s="421" t="n"/>
      <c r="X2117" s="166" t="inlineStr">
        <is>
          <t>XA2EVM4LC</t>
        </is>
      </c>
    </row>
    <row r="2118" s="308">
      <c r="A2118" s="64">
        <f>ROW()-ROW(A$2112)</f>
        <v/>
      </c>
      <c r="B2118" s="112" t="inlineStr">
        <is>
          <t>指示灯</t>
        </is>
      </c>
      <c r="C2118" s="112" t="inlineStr">
        <is>
          <t>XB2BVM5LC</t>
        </is>
      </c>
      <c r="D2118" s="112" t="inlineStr">
        <is>
          <t>甲供/施耐德电气</t>
        </is>
      </c>
      <c r="E2118" s="114" t="inlineStr">
        <is>
          <t>只</t>
        </is>
      </c>
      <c r="F2118" s="114" t="n">
        <v>2</v>
      </c>
      <c r="G2118" s="396">
        <f>IF(AND(B2118="",C2118=""),"",ROUND(M2118*L2118*N2118,2))</f>
        <v/>
      </c>
      <c r="H2118" s="396">
        <f>IF(AND(B2118="",C2118=""),"",ROUND(F2118*G2118,2))</f>
        <v/>
      </c>
      <c r="I2118" s="150" t="inlineStr"/>
      <c r="J2118" s="397">
        <f>IF(AND(B2118="",C2118=""),"",ROUND(M2118*N2118,2))</f>
        <v/>
      </c>
      <c r="K2118" s="398">
        <f>IF(AND(B2118="",C2118=""),"",ROUND(J2118*F2118,2))</f>
        <v/>
      </c>
      <c r="L2118" s="141" t="n">
        <v>1</v>
      </c>
      <c r="M2118" s="399" t="n">
        <v>1e-07</v>
      </c>
      <c r="N2118" s="154" t="n">
        <v>1</v>
      </c>
      <c r="O2118" s="155">
        <f>IF(AND(B2118="",C2118=""),"",IF(G2118&gt;=20000,0.05,IF(G2118&gt;=10000,0.1,IF(G2118&gt;=5000,0.2,IF(G2118&gt;=1000,0.3,IF(G2118&gt;=0,0.4,{0}))))))</f>
        <v/>
      </c>
      <c r="P2118" s="400">
        <f>IF(AND(B2118="",C2118=""),"",ROUND(H2118*O2118,2))</f>
        <v/>
      </c>
      <c r="Q2118" s="401" t="inlineStr">
        <is>
          <t>元件</t>
        </is>
      </c>
      <c r="R2118" s="168" t="inlineStr"/>
      <c r="S2118" s="168" t="inlineStr"/>
      <c r="T2118" s="168" t="inlineStr">
        <is>
          <t>0</t>
        </is>
      </c>
      <c r="U2118" s="168" t="inlineStr">
        <is>
          <t>XA2EVM5LC</t>
        </is>
      </c>
      <c r="V2118" s="402" t="n"/>
      <c r="W2118" s="402" t="n"/>
      <c r="X2118" s="170" t="inlineStr"/>
    </row>
    <row r="2119" s="308">
      <c r="A2119" s="64">
        <f>ROW()-ROW(A$2112)</f>
        <v/>
      </c>
      <c r="B2119" s="112" t="inlineStr">
        <is>
          <t>按钮</t>
        </is>
      </c>
      <c r="C2119" s="112" t="inlineStr">
        <is>
          <t>XB2BA31C</t>
        </is>
      </c>
      <c r="D2119" s="112" t="inlineStr">
        <is>
          <t>甲供/施耐德电气</t>
        </is>
      </c>
      <c r="E2119" s="114" t="inlineStr">
        <is>
          <t>只</t>
        </is>
      </c>
      <c r="F2119" s="114" t="n">
        <v>2</v>
      </c>
      <c r="G2119" s="396">
        <f>IF(AND(B2119="",C2119=""),"",ROUND(M2119*L2119*N2119,2))</f>
        <v/>
      </c>
      <c r="H2119" s="396">
        <f>IF(AND(B2119="",C2119=""),"",ROUND(F2119*G2119,2))</f>
        <v/>
      </c>
      <c r="I2119" s="150" t="inlineStr"/>
      <c r="J2119" s="397">
        <f>IF(AND(B2119="",C2119=""),"",ROUND(M2119*N2119,2))</f>
        <v/>
      </c>
      <c r="K2119" s="398">
        <f>IF(AND(B2119="",C2119=""),"",ROUND(J2119*F2119,2))</f>
        <v/>
      </c>
      <c r="L2119" s="141" t="n">
        <v>1</v>
      </c>
      <c r="M2119" s="399" t="n">
        <v>1e-07</v>
      </c>
      <c r="N2119" s="154" t="n">
        <v>1</v>
      </c>
      <c r="O2119" s="155">
        <f>IF(AND(B2119="",C2119=""),"",IF(G2119&gt;=20000,0.05,IF(G2119&gt;=10000,0.1,IF(G2119&gt;=5000,0.2,IF(G2119&gt;=1000,0.3,IF(G2119&gt;=0,0.4,{0}))))))</f>
        <v/>
      </c>
      <c r="P2119" s="400">
        <f>IF(AND(B2119="",C2119=""),"",ROUND(H2119*O2119,2))</f>
        <v/>
      </c>
      <c r="Q2119" s="401" t="inlineStr">
        <is>
          <t>元件</t>
        </is>
      </c>
      <c r="R2119" s="168" t="inlineStr"/>
      <c r="S2119" s="168" t="inlineStr"/>
      <c r="T2119" s="168" t="inlineStr">
        <is>
          <t>0</t>
        </is>
      </c>
      <c r="U2119" s="168" t="inlineStr">
        <is>
          <t>XB2BA31C</t>
        </is>
      </c>
      <c r="V2119" s="402" t="n"/>
      <c r="W2119" s="402" t="n"/>
      <c r="X2119" s="170" t="inlineStr">
        <is>
          <t>XA2EA31</t>
        </is>
      </c>
    </row>
    <row r="2120" s="308">
      <c r="A2120" s="64">
        <f>ROW()-ROW(A$2112)</f>
        <v/>
      </c>
      <c r="B2120" s="22" t="inlineStr">
        <is>
          <t>按钮</t>
        </is>
      </c>
      <c r="C2120" s="22" t="inlineStr">
        <is>
          <t>XB2BA42C</t>
        </is>
      </c>
      <c r="D2120" s="22" t="inlineStr">
        <is>
          <t>甲供/施耐德电气</t>
        </is>
      </c>
      <c r="E2120" s="23" t="inlineStr">
        <is>
          <t>只</t>
        </is>
      </c>
      <c r="F2120" s="23" t="n">
        <v>2</v>
      </c>
      <c r="G2120" s="349">
        <f>IF(AND(B2120="",C2120=""),"",ROUND(M2120*L2120*N2120,2))</f>
        <v/>
      </c>
      <c r="H2120" s="396">
        <f>IF(AND(B2120="",C2120=""),"",ROUND(F2120*G2120,2))</f>
        <v/>
      </c>
      <c r="I2120" s="150" t="inlineStr"/>
      <c r="J2120" s="397">
        <f>IF(AND(B2120="",C2120=""),"",ROUND(M2120*N2120,2))</f>
        <v/>
      </c>
      <c r="K2120" s="398">
        <f>IF(AND(B2120="",C2120=""),"",ROUND(J2120*F2120,2))</f>
        <v/>
      </c>
      <c r="L2120" s="141" t="n">
        <v>1</v>
      </c>
      <c r="M2120" s="399" t="n">
        <v>1e-07</v>
      </c>
      <c r="N2120" s="154" t="n">
        <v>1</v>
      </c>
      <c r="O2120" s="155">
        <f>IF(AND(B2120="",C2120=""),"",IF(G2120&gt;=20000,0.05,IF(G2120&gt;=10000,0.1,IF(G2120&gt;=5000,0.2,IF(G2120&gt;=1000,0.3,IF(G2120&gt;=0,0.4,{0}))))))</f>
        <v/>
      </c>
      <c r="P2120" s="400">
        <f>IF(AND(B2120="",C2120=""),"",ROUND(H2120*O2120,2))</f>
        <v/>
      </c>
      <c r="Q2120" s="401" t="inlineStr">
        <is>
          <t>元件</t>
        </is>
      </c>
      <c r="R2120" s="168" t="inlineStr"/>
      <c r="S2120" s="168" t="inlineStr"/>
      <c r="T2120" s="168" t="inlineStr">
        <is>
          <t>0</t>
        </is>
      </c>
      <c r="U2120" s="168" t="inlineStr">
        <is>
          <t>XB2BA42C</t>
        </is>
      </c>
      <c r="V2120" s="402" t="n"/>
      <c r="W2120" s="402" t="n"/>
      <c r="X2120" s="170" t="inlineStr">
        <is>
          <t>XA2EA41</t>
        </is>
      </c>
    </row>
    <row r="2121" s="308">
      <c r="A2121" s="64">
        <f>ROW()-ROW(A$2112)</f>
        <v/>
      </c>
      <c r="B2121" s="112" t="inlineStr">
        <is>
          <t>温湿度控制器</t>
        </is>
      </c>
      <c r="C2121" s="112" t="inlineStr">
        <is>
          <t>ATH48G-11</t>
        </is>
      </c>
      <c r="D2121" s="22" t="inlineStr">
        <is>
          <t>杭州安廷</t>
        </is>
      </c>
      <c r="E2121" s="23" t="inlineStr">
        <is>
          <t>套</t>
        </is>
      </c>
      <c r="F2121" s="23" t="n">
        <v>1</v>
      </c>
      <c r="G2121" s="349">
        <f>IF(AND(B2121="",C2121=""),"",ROUND(M2121*L2121*N2121,2))</f>
        <v/>
      </c>
      <c r="H2121" s="396">
        <f>IF(AND(B2121="",C2121=""),"",ROUND(F2121*G2121,2))</f>
        <v/>
      </c>
      <c r="I2121" s="150" t="inlineStr"/>
      <c r="J2121" s="397">
        <f>IF(AND(B2121="",C2121=""),"",ROUND(M2121*N2121,2))</f>
        <v/>
      </c>
      <c r="K2121" s="398">
        <f>IF(AND(B2121="",C2121=""),"",ROUND(J2121*F2121,2))</f>
        <v/>
      </c>
      <c r="L2121" s="141" t="n">
        <v>1</v>
      </c>
      <c r="M2121" s="399" t="n">
        <v>450</v>
      </c>
      <c r="N2121" s="154" t="n">
        <v>1</v>
      </c>
      <c r="O2121" s="155">
        <f>IF(AND(B2121="",C2121=""),"",IF(G2121&gt;=20000,0.05,IF(G2121&gt;=10000,0.1,IF(G2121&gt;=5000,0.2,IF(G2121&gt;=1000,0.3,IF(G2121&gt;=0,0.4,{0}))))))</f>
        <v/>
      </c>
      <c r="P2121" s="400">
        <f>IF(AND(B2121="",C2121=""),"",ROUND(H2121*O2121,2))</f>
        <v/>
      </c>
      <c r="Q2121" s="401" t="inlineStr">
        <is>
          <t>元件</t>
        </is>
      </c>
      <c r="R2121" s="168" t="inlineStr"/>
      <c r="S2121" s="168" t="inlineStr"/>
      <c r="T2121" s="168" t="inlineStr">
        <is>
          <t>0</t>
        </is>
      </c>
      <c r="U2121" s="168" t="inlineStr"/>
      <c r="V2121" s="402" t="n"/>
      <c r="W2121" s="402" t="n"/>
      <c r="X2121" s="170" t="inlineStr"/>
    </row>
    <row r="2122" s="308">
      <c r="A2122" s="64">
        <f>ROW()-ROW(A$2112)</f>
        <v/>
      </c>
      <c r="B2122" s="22" t="inlineStr">
        <is>
          <t>中间继电器</t>
        </is>
      </c>
      <c r="C2122" s="22" t="inlineStr">
        <is>
          <t>RXM4AB2P7+RXZE2S114M+RXZ400</t>
        </is>
      </c>
      <c r="D2122" s="22" t="inlineStr">
        <is>
          <t>甲供/施耐德电气</t>
        </is>
      </c>
      <c r="E2122" s="23" t="inlineStr">
        <is>
          <t>只</t>
        </is>
      </c>
      <c r="F2122" s="23" t="n">
        <v>4</v>
      </c>
      <c r="G2122" s="349">
        <f>IF(AND(B2122="",C2122=""),"",ROUND(M2122*L2122*N2122,2))</f>
        <v/>
      </c>
      <c r="H2122" s="349">
        <f>IF(AND(B2122="",C2122=""),"",ROUND(F2122*G2122,2))</f>
        <v/>
      </c>
      <c r="I2122" s="45" t="inlineStr"/>
      <c r="J2122" s="397">
        <f>IF(AND(B2122="",C2122=""),"",ROUND(M2122*N2122,2))</f>
        <v/>
      </c>
      <c r="K2122" s="398">
        <f>IF(AND(B2122="",C2122=""),"",ROUND(J2122*F2122,2))</f>
        <v/>
      </c>
      <c r="L2122" s="141" t="n">
        <v>1</v>
      </c>
      <c r="M2122" s="399" t="n">
        <v>1e-07</v>
      </c>
      <c r="N2122" s="154" t="n">
        <v>1</v>
      </c>
      <c r="O2122" s="155">
        <f>IF(AND(B2122="",C2122=""),"",IF(G2122&gt;=20000,0.05,IF(G2122&gt;=10000,0.1,IF(G2122&gt;=5000,0.2,IF(G2122&gt;=1000,0.3,IF(G2122&gt;=0,0.4,{0}))))))</f>
        <v/>
      </c>
      <c r="P2122" s="400">
        <f>IF(AND(B2122="",C2122=""),"",ROUND(H2122*O2122,2))</f>
        <v/>
      </c>
      <c r="Q2122" s="401" t="inlineStr">
        <is>
          <t>元件</t>
        </is>
      </c>
      <c r="R2122" s="168" t="inlineStr"/>
      <c r="S2122" s="168" t="inlineStr"/>
      <c r="T2122" s="168" t="inlineStr">
        <is>
          <t>0</t>
        </is>
      </c>
      <c r="U2122" s="168" t="inlineStr">
        <is>
          <t>RXM4AB2P7+RXZE2S114M+RXZ400</t>
        </is>
      </c>
      <c r="V2122" s="402" t="n"/>
      <c r="W2122" s="402" t="n"/>
      <c r="X2122" s="170" t="inlineStr">
        <is>
          <t>REL-IR-BL/L-230AC/4X21，含底座→RXM4AB2P7+RXZE2S114M+RXZ400→REL-IR-BL/L-230AC/4X21，含底座</t>
        </is>
      </c>
    </row>
    <row r="2123" customFormat="1" s="3">
      <c r="A2123" s="64">
        <f>ROW()-ROW(A$2112)</f>
        <v/>
      </c>
      <c r="B2123" s="22" t="inlineStr">
        <is>
          <t>带熔丝端子</t>
        </is>
      </c>
      <c r="C2123" s="22" t="inlineStr">
        <is>
          <t>UK 5-HESI</t>
        </is>
      </c>
      <c r="D2123" s="22" t="inlineStr">
        <is>
          <t>菲尼克斯</t>
        </is>
      </c>
      <c r="E2123" s="23" t="inlineStr">
        <is>
          <t>只</t>
        </is>
      </c>
      <c r="F2123" s="23" t="n">
        <v>8</v>
      </c>
      <c r="G2123" s="349">
        <f>IF(AND(B2123="",C2123=""),"",ROUND(M2123*L2123*N2123,2))</f>
        <v/>
      </c>
      <c r="H2123" s="349">
        <f>IF(AND(B2123="",C2123=""),"",ROUND(F2123*G2123,2))</f>
        <v/>
      </c>
      <c r="I2123" s="45" t="inlineStr"/>
      <c r="J2123" s="392">
        <f>IF(AND(B2123="",C2123=""),"",ROUND(M2123*N2123,2))</f>
        <v/>
      </c>
      <c r="K2123" s="393">
        <f>IF(AND(B2123="",C2123=""),"",ROUND(J2123*F2123,2))</f>
        <v/>
      </c>
      <c r="L2123" s="141" t="n">
        <v>1</v>
      </c>
      <c r="M2123" s="394" t="n">
        <v>7</v>
      </c>
      <c r="N2123" s="220" t="n">
        <v>1</v>
      </c>
      <c r="O2123" s="221">
        <f>IF(AND(B2123="",C2123=""),"",IF(G2123&gt;=20000,0.05,IF(G2123&gt;=10000,0.1,IF(G2123&gt;=5000,0.2,IF(G2123&gt;=1000,0.3,IF(G2123&gt;=0,0.4,{0}))))))</f>
        <v/>
      </c>
      <c r="P2123" s="419">
        <f>IF(AND(B2123="",C2123=""),"",ROUND(H2123*O2123,2))</f>
        <v/>
      </c>
      <c r="Q2123" s="420" t="inlineStr">
        <is>
          <t>元件</t>
        </is>
      </c>
      <c r="R2123" s="231" t="inlineStr"/>
      <c r="S2123" s="231" t="inlineStr"/>
      <c r="T2123" s="231" t="inlineStr">
        <is>
          <t>0</t>
        </is>
      </c>
      <c r="U2123" s="231" t="inlineStr">
        <is>
          <t>True</t>
        </is>
      </c>
      <c r="V2123" s="421" t="n"/>
      <c r="W2123" s="421" t="n"/>
      <c r="X2123" s="166" t="inlineStr"/>
    </row>
    <row r="2124" s="308">
      <c r="A2124" s="64">
        <f>ROW()-ROW(A$2112)</f>
        <v/>
      </c>
      <c r="B2124" s="22" t="inlineStr">
        <is>
          <t>水平母排</t>
        </is>
      </c>
      <c r="C2124" s="22" t="inlineStr">
        <is>
          <t>TMY 4*(3*125*5)+2*50*5</t>
        </is>
      </c>
      <c r="D2124" s="22" t="inlineStr">
        <is>
          <t>国产优质</t>
        </is>
      </c>
      <c r="E2124" s="23" t="inlineStr">
        <is>
          <t>米</t>
        </is>
      </c>
      <c r="F2124" s="23" t="n">
        <v>0.4</v>
      </c>
      <c r="G2124" s="349">
        <f>IF(AND(B2124="",C2124=""),"",ROUND(M2124*L2124*N2124,2))</f>
        <v/>
      </c>
      <c r="H2124" s="349">
        <f>IF(AND(B2124="",C2124=""),"",ROUND(F2124*G2124,2))</f>
        <v/>
      </c>
      <c r="I2124" s="45" t="inlineStr"/>
      <c r="J2124" s="397">
        <f>IF(AND(B2124="",C2124=""),"",ROUND(M2124*N2124,2))</f>
        <v/>
      </c>
      <c r="K2124" s="398">
        <f>IF(AND(B2124="",C2124=""),"",ROUND(J2124*F2124,2))</f>
        <v/>
      </c>
      <c r="L2124" s="200" t="n">
        <v>1</v>
      </c>
      <c r="M2124" s="399" t="n">
        <v>7697.076</v>
      </c>
      <c r="N2124" s="154">
        <f>(6317.932*1*1+2684.8*1*1)/9002.732</f>
        <v/>
      </c>
      <c r="O2124" s="155">
        <f>IF(AND(B2124="",C2124=""),"",IF(J2124&gt;=20000,0.05,IF(J2124&gt;=10000,0.1,IF(J2124&gt;=5000,0.2,IF(J2124&gt;=1000,0.3,IF(J2124&gt;=0,0.4,{0}))))))</f>
        <v/>
      </c>
      <c r="P2124" s="400">
        <f>IF(AND(B2124="",C2124=""),"",ROUND(H2124*O2124,2))</f>
        <v/>
      </c>
      <c r="Q2124" s="401" t="inlineStr">
        <is>
          <t>母排</t>
        </is>
      </c>
      <c r="R2124" s="168" t="inlineStr"/>
      <c r="S2124" s="168" t="inlineStr"/>
      <c r="T2124" s="168" t="inlineStr">
        <is>
          <t>0</t>
        </is>
      </c>
      <c r="U2124" s="168" t="inlineStr"/>
      <c r="V2124" s="402" t="n"/>
      <c r="W2124" s="402" t="n"/>
      <c r="X2124" s="170" t="inlineStr"/>
    </row>
    <row r="2125" customFormat="1" s="5">
      <c r="A2125" s="64">
        <f>ROW()-ROW(A$2112)</f>
        <v/>
      </c>
      <c r="B2125" s="22" t="inlineStr">
        <is>
          <t>桩头排</t>
        </is>
      </c>
      <c r="C2125" s="22" t="inlineStr">
        <is>
          <t>TMY 3*2*60*5</t>
        </is>
      </c>
      <c r="D2125" s="22" t="inlineStr">
        <is>
          <t>国产优质</t>
        </is>
      </c>
      <c r="E2125" s="23" t="inlineStr">
        <is>
          <t>米</t>
        </is>
      </c>
      <c r="F2125" s="23" t="n">
        <v>3</v>
      </c>
      <c r="G2125" s="349">
        <f>IF(AND(B2125="",C2125=""),"",ROUND(M2125*L2125*N2125,2))</f>
        <v/>
      </c>
      <c r="H2125" s="349">
        <f>IF(AND(B2125="",C2125=""),"",ROUND(F2125*G2125,2))</f>
        <v/>
      </c>
      <c r="I2125" s="45" t="inlineStr"/>
      <c r="J2125" s="422">
        <f>IF(AND(B2125="",C2125=""),"",ROUND(M2125*N2125,2))</f>
        <v/>
      </c>
      <c r="K2125" s="423">
        <f>IF(AND(B2125="",C2125=""),"",ROUND(J2125*F2125,2))</f>
        <v/>
      </c>
      <c r="L2125" s="225" t="n">
        <v>1</v>
      </c>
      <c r="M2125" s="424" t="n">
        <v>1731.8421</v>
      </c>
      <c r="N2125" s="227" t="n">
        <v>1</v>
      </c>
      <c r="O2125" s="228">
        <f>IF(AND(B2125="",C2125=""),"",IF(G2125&gt;=20000,0.05,IF(G2125&gt;=10000,0.1,IF(G2125&gt;=5000,0.2,IF(G2125&gt;=1000,0.3,IF(G2125&gt;=0,0.4,{0}))))))</f>
        <v/>
      </c>
      <c r="P2125" s="425">
        <f>IF(AND(B2125="",C2125=""),"",ROUND(H2125*O2125,2))</f>
        <v/>
      </c>
      <c r="Q2125" s="426" t="inlineStr">
        <is>
          <t>母排</t>
        </is>
      </c>
      <c r="R2125" s="234" t="inlineStr"/>
      <c r="S2125" s="234" t="inlineStr"/>
      <c r="T2125" s="235" t="inlineStr">
        <is>
          <t>0</t>
        </is>
      </c>
      <c r="U2125" s="235" t="inlineStr"/>
      <c r="V2125" s="427" t="n"/>
      <c r="W2125" s="427" t="n"/>
      <c r="X2125" s="237" t="inlineStr">
        <is>
          <t>TMY 2*30*5→TMY 30*8</t>
        </is>
      </c>
    </row>
    <row r="2126" customFormat="1" s="5">
      <c r="A2126" s="64">
        <f>ROW()-ROW(A$2112)</f>
        <v/>
      </c>
      <c r="B2126" s="22" t="inlineStr">
        <is>
          <t>垂直排</t>
        </is>
      </c>
      <c r="C2126" s="22" t="inlineStr">
        <is>
          <t>TMY 3*2*60*5</t>
        </is>
      </c>
      <c r="D2126" s="22" t="inlineStr">
        <is>
          <t>国产优质</t>
        </is>
      </c>
      <c r="E2126" s="23" t="inlineStr">
        <is>
          <t>米</t>
        </is>
      </c>
      <c r="F2126" s="23" t="n">
        <v>2</v>
      </c>
      <c r="G2126" s="349">
        <f>IF(AND(B2126="",C2126=""),"",ROUND(M2126*L2126*N2126,2))</f>
        <v/>
      </c>
      <c r="H2126" s="349">
        <f>IF(AND(B2126="",C2126=""),"",ROUND(F2126*G2126,2))</f>
        <v/>
      </c>
      <c r="I2126" s="45" t="inlineStr"/>
      <c r="J2126" s="422">
        <f>IF(AND(B2126="",C2126=""),"",ROUND(M2126*N2126,2))</f>
        <v/>
      </c>
      <c r="K2126" s="423">
        <f>IF(AND(B2126="",C2126=""),"",ROUND(J2126*F2126,2))</f>
        <v/>
      </c>
      <c r="L2126" s="225" t="n">
        <v>1</v>
      </c>
      <c r="M2126" s="424" t="n">
        <v>1731.8421</v>
      </c>
      <c r="N2126" s="227" t="n">
        <v>1</v>
      </c>
      <c r="O2126" s="228">
        <f>IF(AND(B2126="",C2126=""),"",IF(G2126&gt;=20000,0.05,IF(G2126&gt;=10000,0.1,IF(G2126&gt;=5000,0.2,IF(G2126&gt;=1000,0.3,IF(G2126&gt;=0,0.4,{0}))))))</f>
        <v/>
      </c>
      <c r="P2126" s="425">
        <f>IF(AND(B2126="",C2126=""),"",ROUND(H2126*O2126,2))</f>
        <v/>
      </c>
      <c r="Q2126" s="426" t="inlineStr">
        <is>
          <t>母排</t>
        </is>
      </c>
      <c r="R2126" s="234" t="inlineStr"/>
      <c r="S2126" s="234" t="inlineStr"/>
      <c r="T2126" s="235" t="inlineStr">
        <is>
          <t>0</t>
        </is>
      </c>
      <c r="U2126" s="235" t="inlineStr"/>
      <c r="V2126" s="427" t="n"/>
      <c r="W2126" s="427" t="n"/>
      <c r="X2126" s="237" t="inlineStr">
        <is>
          <t>TMY 2*30*5→TMY 30*8</t>
        </is>
      </c>
    </row>
    <row r="2127" customFormat="1" s="5">
      <c r="A2127" s="64">
        <f>ROW()-ROW(A$2112)</f>
        <v/>
      </c>
      <c r="B2127" s="22" t="inlineStr">
        <is>
          <t>N排</t>
        </is>
      </c>
      <c r="C2127" s="22" t="inlineStr">
        <is>
          <t>TMY 2*60*10</t>
        </is>
      </c>
      <c r="D2127" s="22" t="inlineStr">
        <is>
          <t>国产优质</t>
        </is>
      </c>
      <c r="E2127" s="23" t="inlineStr">
        <is>
          <t>米</t>
        </is>
      </c>
      <c r="F2127" s="23" t="n">
        <v>3</v>
      </c>
      <c r="G2127" s="349">
        <f>IF(AND(B2127="",C2127=""),"",ROUND(M2127*L2127*N2127,2))</f>
        <v/>
      </c>
      <c r="H2127" s="349">
        <f>IF(AND(B2127="",C2127=""),"",ROUND(F2127*G2127,2))</f>
        <v/>
      </c>
      <c r="I2127" s="45" t="inlineStr"/>
      <c r="J2127" s="422">
        <f>IF(AND(B2127="",C2127=""),"",ROUND(M2127*N2127,2))</f>
        <v/>
      </c>
      <c r="K2127" s="423">
        <f>IF(AND(B2127="",C2127=""),"",ROUND(J2127*F2127,2))</f>
        <v/>
      </c>
      <c r="L2127" s="225" t="n">
        <v>1</v>
      </c>
      <c r="M2127" s="424" t="n">
        <v>1154.5614</v>
      </c>
      <c r="N2127" s="227" t="n">
        <v>1</v>
      </c>
      <c r="O2127" s="228">
        <f>IF(AND(B2127="",C2127=""),"",IF(G2127&gt;=20000,0.05,IF(G2127&gt;=10000,0.1,IF(G2127&gt;=5000,0.2,IF(G2127&gt;=1000,0.3,IF(G2127&gt;=0,0.4,{0}))))))</f>
        <v/>
      </c>
      <c r="P2127" s="425">
        <f>IF(AND(B2127="",C2127=""),"",ROUND(H2127*O2127,2))</f>
        <v/>
      </c>
      <c r="Q2127" s="426" t="inlineStr">
        <is>
          <t>母排</t>
        </is>
      </c>
      <c r="R2127" s="234" t="inlineStr"/>
      <c r="S2127" s="234" t="inlineStr"/>
      <c r="T2127" s="235" t="inlineStr">
        <is>
          <t>0</t>
        </is>
      </c>
      <c r="U2127" s="235" t="inlineStr"/>
      <c r="V2127" s="427" t="n"/>
      <c r="W2127" s="427" t="n"/>
      <c r="X2127" s="237" t="inlineStr">
        <is>
          <t>TMY 2*30*5→TMY 30*8</t>
        </is>
      </c>
    </row>
    <row r="2128" customFormat="1" s="5">
      <c r="A2128" s="64">
        <f>ROW()-ROW(A$2112)</f>
        <v/>
      </c>
      <c r="B2128" s="22" t="inlineStr">
        <is>
          <t>PE排</t>
        </is>
      </c>
      <c r="C2128" s="22" t="inlineStr">
        <is>
          <t>TMY 2*50*5</t>
        </is>
      </c>
      <c r="D2128" s="22" t="inlineStr">
        <is>
          <t>国产优质</t>
        </is>
      </c>
      <c r="E2128" s="23" t="inlineStr">
        <is>
          <t>米</t>
        </is>
      </c>
      <c r="F2128" s="23" t="n">
        <v>2</v>
      </c>
      <c r="G2128" s="349">
        <f>IF(AND(B2128="",C2128=""),"",ROUND(M2128*L2128*N2128,2))</f>
        <v/>
      </c>
      <c r="H2128" s="349">
        <f>IF(AND(B2128="",C2128=""),"",ROUND(F2128*G2128,2))</f>
        <v/>
      </c>
      <c r="I2128" s="45" t="inlineStr"/>
      <c r="J2128" s="422">
        <f>IF(AND(B2128="",C2128=""),"",ROUND(M2128*N2128,2))</f>
        <v/>
      </c>
      <c r="K2128" s="423">
        <f>IF(AND(B2128="",C2128=""),"",ROUND(J2128*F2128,2))</f>
        <v/>
      </c>
      <c r="L2128" s="225" t="n">
        <v>1</v>
      </c>
      <c r="M2128" s="424" t="n">
        <v>481.06725</v>
      </c>
      <c r="N2128" s="227" t="n">
        <v>1</v>
      </c>
      <c r="O2128" s="228">
        <f>IF(AND(B2128="",C2128=""),"",IF(G2128&gt;=20000,0.05,IF(G2128&gt;=10000,0.1,IF(G2128&gt;=5000,0.2,IF(G2128&gt;=1000,0.3,IF(G2128&gt;=0,0.4,{0}))))))</f>
        <v/>
      </c>
      <c r="P2128" s="425">
        <f>IF(AND(B2128="",C2128=""),"",ROUND(H2128*O2128,2))</f>
        <v/>
      </c>
      <c r="Q2128" s="426" t="inlineStr">
        <is>
          <t>母排</t>
        </is>
      </c>
      <c r="R2128" s="234" t="inlineStr"/>
      <c r="S2128" s="234" t="inlineStr"/>
      <c r="T2128" s="235" t="inlineStr">
        <is>
          <t>0</t>
        </is>
      </c>
      <c r="U2128" s="235" t="inlineStr"/>
      <c r="V2128" s="427" t="n"/>
      <c r="W2128" s="427" t="n"/>
      <c r="X2128" s="237" t="inlineStr">
        <is>
          <t>TMY 2*30*5→TMY 30*8</t>
        </is>
      </c>
    </row>
    <row r="2129" s="308">
      <c r="A2129" s="64">
        <f>ROW()-ROW(A$2112)</f>
        <v/>
      </c>
      <c r="B2129" s="112" t="inlineStr">
        <is>
          <t>辅料</t>
        </is>
      </c>
      <c r="C2129" s="112" t="inlineStr"/>
      <c r="D2129" s="112" t="inlineStr"/>
      <c r="E2129" s="114" t="inlineStr">
        <is>
          <t>套</t>
        </is>
      </c>
      <c r="F2129" s="114" t="n">
        <v>1</v>
      </c>
      <c r="G2129" s="396">
        <f>IF(AND(B2129="",C2129=""),"",ROUND(M2129*L2129*N2129,2))</f>
        <v/>
      </c>
      <c r="H2129" s="396">
        <f>IF(AND(B2129="",C2129=""),"",ROUND(F2129*G2129,2))</f>
        <v/>
      </c>
      <c r="I2129" s="219" t="inlineStr"/>
      <c r="J2129" s="397">
        <f>IF(AND(B2129="",C2129=""),"",ROUND(M2129*N2129,2))</f>
        <v/>
      </c>
      <c r="K2129" s="398">
        <f>IF(AND(B2129="",C2129=""),"",ROUND(J2129*F2129,2))</f>
        <v/>
      </c>
      <c r="L2129" s="200" t="n">
        <v>1</v>
      </c>
      <c r="M2129" s="399" t="n">
        <v>800</v>
      </c>
      <c r="N2129" s="154" t="n">
        <v>1</v>
      </c>
      <c r="O2129" s="155">
        <f>IF(AND(B2129="",C2129=""),"",IF(G2129&gt;=20000,0.05,IF(G2129&gt;=10000,0.1,IF(G2129&gt;=5000,0.2,IF(G2129&gt;=1000,0.3,IF(G2129&gt;=0,0.4,{0}))))))</f>
        <v/>
      </c>
      <c r="P2129" s="400">
        <f>IF(AND(B2129="",C2129=""),"",ROUND(H2129*O2129,2))</f>
        <v/>
      </c>
      <c r="Q2129" s="401" t="inlineStr">
        <is>
          <t>辅料</t>
        </is>
      </c>
      <c r="R2129" s="168" t="inlineStr"/>
      <c r="S2129" s="168" t="inlineStr"/>
      <c r="T2129" s="168" t="inlineStr">
        <is>
          <t>0</t>
        </is>
      </c>
      <c r="U2129" s="168" t="inlineStr"/>
      <c r="V2129" s="402" t="n"/>
      <c r="W2129" s="402" t="n"/>
      <c r="X2129" s="170" t="inlineStr"/>
    </row>
    <row r="2130" s="308">
      <c r="A2130" s="64">
        <f>ROW()-ROW(A$2112)</f>
        <v/>
      </c>
      <c r="B2130" s="112" t="inlineStr">
        <is>
          <t>柜体Blokset</t>
        </is>
      </c>
      <c r="C2130" s="22" t="inlineStr">
        <is>
          <t>400W*1200D*2200H</t>
        </is>
      </c>
      <c r="D2130" s="112" t="inlineStr">
        <is>
          <t>清科</t>
        </is>
      </c>
      <c r="E2130" s="114" t="inlineStr">
        <is>
          <t>台</t>
        </is>
      </c>
      <c r="F2130" s="114" t="n">
        <v>1</v>
      </c>
      <c r="G2130" s="396">
        <f>IF(AND(B2130="",C2130=""),"",ROUND(M2130*L2130*N2130,2))</f>
        <v/>
      </c>
      <c r="H2130" s="396">
        <f>IF(AND(B2130="",C2130=""),"",ROUND(F2130*G2130,2))</f>
        <v/>
      </c>
      <c r="I2130" s="219" t="inlineStr"/>
      <c r="J2130" s="397">
        <f>IF(AND(B2130="",C2130=""),"",ROUND(M2130*N2130,2))</f>
        <v/>
      </c>
      <c r="K2130" s="398">
        <f>IF(AND(B2130="",C2130=""),"",ROUND(J2130*F2130,2))</f>
        <v/>
      </c>
      <c r="L2130" s="200" t="n">
        <v>1</v>
      </c>
      <c r="M2130" s="399" t="n">
        <v>4916</v>
      </c>
      <c r="N2130" s="154" t="n">
        <v>1</v>
      </c>
      <c r="O2130" s="155">
        <f>IF(AND(B2130="",C2130=""),"",IF(G2130&gt;=20000,0.05,IF(G2130&gt;=10000,0.1,IF(G2130&gt;=5000,0.2,IF(G2130&gt;=1000,0.3,IF(G2130&gt;=0,0.4,{0}))))))</f>
        <v/>
      </c>
      <c r="P2130" s="400">
        <f>IF(AND(B2130="",C2130=""),"",ROUND(H2130*O2130,2))</f>
        <v/>
      </c>
      <c r="Q2130" s="401" t="inlineStr">
        <is>
          <t>箱体</t>
        </is>
      </c>
      <c r="R2130" s="168" t="inlineStr"/>
      <c r="S2130" s="168" t="inlineStr"/>
      <c r="T2130" s="168" t="inlineStr">
        <is>
          <t>0</t>
        </is>
      </c>
      <c r="U2130" s="168" t="inlineStr"/>
      <c r="V2130" s="402" t="n"/>
      <c r="W2130" s="402" t="n"/>
      <c r="X2130" s="170" t="inlineStr">
        <is>
          <t>BlokSeT</t>
        </is>
      </c>
    </row>
    <row r="2131" s="308">
      <c r="A2131" s="64">
        <f>ROW()-ROW(A$2112)</f>
        <v/>
      </c>
      <c r="B2131" s="22" t="inlineStr"/>
      <c r="C2131" s="22" t="inlineStr"/>
      <c r="D2131" s="22" t="inlineStr"/>
      <c r="E2131" s="23" t="n"/>
      <c r="F2131" s="23">
        <f>IF(AND(B2131="",C2131=""),"",1)</f>
        <v/>
      </c>
      <c r="G2131" s="349">
        <f>IF(AND(B2131="",C2131=""),"",ROUND(M2131*L2131*N2131,2))</f>
        <v/>
      </c>
      <c r="H2131" s="349">
        <f>IF(AND(B2131="",C2131=""),"",ROUND(F2131*G2131,2))</f>
        <v/>
      </c>
      <c r="I2131" s="45" t="inlineStr"/>
      <c r="J2131" s="397">
        <f>IF(AND(B2131="",C2131=""),"",ROUND(M2131*N2131,2))</f>
        <v/>
      </c>
      <c r="K2131" s="398">
        <f>IF(AND(B2131="",C2131=""),"",ROUND(J2131*F2131,2))</f>
        <v/>
      </c>
      <c r="L2131" s="200">
        <f>IF(AND(B2131="",C2131=""),"",1)</f>
        <v/>
      </c>
      <c r="M2131" s="399" t="n"/>
      <c r="N2131" s="154">
        <f>IF(AND(B2131="",C2131=""),"",1)</f>
        <v/>
      </c>
      <c r="O2131" s="155">
        <f>IF(AND(B2131="",C2131=""),"",IF(J2131&gt;=20000,0.05,IF(J2131&gt;=10000,0.1,IF(J2131&gt;=5000,0.2,IF(J2131&gt;=1000,0.3,IF(J2131&gt;=0,0.4,{0}))))))</f>
        <v/>
      </c>
      <c r="P2131" s="400">
        <f>IF(AND(B2131="",C2131=""),"",ROUND(H2131*O2131,2))</f>
        <v/>
      </c>
      <c r="Q2131" s="401">
        <f>IF(AND(B2131="",C2131=""),"","元件")</f>
        <v/>
      </c>
      <c r="R2131" s="168" t="inlineStr"/>
      <c r="S2131" s="168" t="inlineStr"/>
      <c r="T2131" s="168" t="inlineStr"/>
      <c r="U2131" s="168" t="inlineStr"/>
      <c r="V2131" s="402" t="n"/>
      <c r="W2131" s="402" t="n"/>
      <c r="X2131" s="170" t="inlineStr"/>
    </row>
    <row r="2132" s="308">
      <c r="A2132" s="64">
        <f>ROW()-ROW(A$2112)</f>
        <v/>
      </c>
      <c r="B2132" s="171" t="inlineStr">
        <is>
          <t>小计</t>
        </is>
      </c>
      <c r="C2132" s="172" t="n"/>
      <c r="D2132" s="204" t="n"/>
      <c r="E2132" s="114" t="n"/>
      <c r="F2132" s="114" t="n"/>
      <c r="G2132" s="396" t="n"/>
      <c r="H2132" s="396">
        <f>ROUND(SUM(H2112:INDEX(H:H,ROW()-1)),2)</f>
        <v/>
      </c>
      <c r="I2132" s="45" t="inlineStr"/>
      <c r="J2132" s="397" t="n"/>
      <c r="K2132" s="398">
        <f>ROUND(SUM(K2112:INDEX(K:K,ROW()-1)),2)</f>
        <v/>
      </c>
      <c r="L2132" s="200" t="n"/>
      <c r="M2132" s="399" t="n"/>
      <c r="N2132" s="154" t="n"/>
      <c r="O2132" s="155" t="n"/>
      <c r="P2132" s="400" t="n"/>
      <c r="Q2132" s="401" t="n"/>
      <c r="R2132" s="168" t="inlineStr"/>
      <c r="S2132" s="168" t="inlineStr"/>
      <c r="T2132" s="168" t="inlineStr"/>
      <c r="U2132" s="168" t="inlineStr"/>
      <c r="V2132" s="402">
        <f>ROUND(SUMPRODUCT(F2112:INDEX(F:F,ROW()-1),V2112:INDEX(V:V,ROW()-1)),2)</f>
        <v/>
      </c>
      <c r="W2132" s="402">
        <f>ROUND(SUMPRODUCT(F2112:INDEX(F:F,ROW()-1),W2112:INDEX(W:W,ROW()-1)),2)</f>
        <v/>
      </c>
      <c r="X2132" s="170" t="inlineStr"/>
    </row>
    <row r="2133" s="308">
      <c r="A2133" s="64">
        <f>ROW()-ROW(A$2112)</f>
        <v/>
      </c>
      <c r="B2133" s="171" t="inlineStr">
        <is>
          <t>综合费(人工、管理、税金、利润等)</t>
        </is>
      </c>
      <c r="C2133" s="172" t="n"/>
      <c r="D2133" s="204" t="n"/>
      <c r="E2133" s="114" t="n"/>
      <c r="F2133" s="114" t="n"/>
      <c r="G2133" s="396" t="n"/>
      <c r="H2133" s="396">
        <f>2500</f>
        <v/>
      </c>
      <c r="I2133" s="45" t="inlineStr"/>
      <c r="J2133" s="397" t="n"/>
      <c r="K2133" s="398" t="n"/>
      <c r="L2133" s="200" t="n"/>
      <c r="M2133" s="399" t="n"/>
      <c r="N2133" s="154" t="n"/>
      <c r="O2133" s="155" t="n"/>
      <c r="P2133" s="400" t="n"/>
      <c r="Q2133" s="401" t="inlineStr">
        <is>
          <t>费用</t>
        </is>
      </c>
      <c r="R2133" s="168" t="inlineStr"/>
      <c r="S2133" s="168" t="inlineStr"/>
      <c r="T2133" s="168" t="inlineStr"/>
      <c r="U2133" s="168" t="inlineStr"/>
      <c r="V2133" s="402" t="n"/>
      <c r="W2133" s="402" t="n"/>
      <c r="X2133" s="170" t="inlineStr"/>
    </row>
    <row r="2134" s="308">
      <c r="A2134" s="64">
        <f>ROW()-ROW(A$2112)</f>
        <v/>
      </c>
      <c r="B2134" s="204" t="inlineStr">
        <is>
          <t>单台合计</t>
        </is>
      </c>
      <c r="C2134" s="172" t="n"/>
      <c r="D2134" s="204" t="n"/>
      <c r="E2134" s="114" t="n"/>
      <c r="F2134" s="114" t="n"/>
      <c r="G2134" s="396" t="n"/>
      <c r="H2134" s="396">
        <f>ROUND(SUM(H2132:H2133),2)</f>
        <v/>
      </c>
      <c r="I2134" s="181" t="n"/>
      <c r="J2134" s="397" t="n"/>
      <c r="K2134" s="398">
        <f>ROUND(SUM(K2132:K2133),2)</f>
        <v/>
      </c>
      <c r="L2134" s="209" t="n"/>
      <c r="M2134" s="399" t="n"/>
      <c r="N2134" s="210" t="n"/>
      <c r="O2134" s="211" t="n"/>
      <c r="P2134" s="400" t="n"/>
      <c r="Q2134" s="401" t="n"/>
      <c r="R2134" s="168" t="inlineStr"/>
      <c r="S2134" s="168" t="inlineStr"/>
      <c r="T2134" s="168" t="inlineStr"/>
      <c r="U2134" s="168" t="inlineStr"/>
      <c r="V2134" s="402" t="n"/>
      <c r="W2134" s="402" t="n"/>
      <c r="X2134" s="170" t="inlineStr"/>
    </row>
    <row r="2135" s="308">
      <c r="A2135" s="173" t="inlineStr">
        <is>
          <t>总计</t>
        </is>
      </c>
      <c r="B2135" s="205" t="n"/>
      <c r="C2135" s="175" t="n"/>
      <c r="D2135" s="206" t="n"/>
      <c r="E2135" s="206" t="inlineStr">
        <is>
          <t>台</t>
        </is>
      </c>
      <c r="F2135" s="206" t="n">
        <v>2</v>
      </c>
      <c r="G2135" s="414">
        <f>ROUND(H2134,2)</f>
        <v/>
      </c>
      <c r="H2135" s="414">
        <f>ROUND(F2135*G2135,2)</f>
        <v/>
      </c>
      <c r="I2135" s="185" t="n"/>
      <c r="J2135" s="415" t="n"/>
      <c r="K2135" s="416">
        <f>ROUND(K2134*F2135,2)</f>
        <v/>
      </c>
      <c r="L2135" s="214" t="n"/>
      <c r="M2135" s="417" t="n"/>
      <c r="N2135" s="216" t="n"/>
      <c r="O2135" s="217" t="n"/>
      <c r="P2135" s="418" t="n"/>
      <c r="Q2135" s="401" t="n"/>
      <c r="R2135" s="168" t="inlineStr"/>
      <c r="S2135" s="168" t="inlineStr"/>
      <c r="T2135" s="168" t="inlineStr"/>
      <c r="U2135" s="168" t="inlineStr"/>
      <c r="V2135" s="402" t="n"/>
      <c r="W2135" s="402" t="n"/>
      <c r="X2135" s="170" t="inlineStr"/>
    </row>
    <row r="2136" customFormat="1" s="4">
      <c r="A2136" s="6" t="n"/>
      <c r="B2136" s="195" t="inlineStr"/>
      <c r="C2136" s="195" t="inlineStr"/>
      <c r="D2136" s="195" t="inlineStr"/>
      <c r="Q2136" s="159" t="n"/>
      <c r="R2136" s="159" t="n"/>
      <c r="S2136" s="159" t="n"/>
      <c r="T2136" s="159" t="n"/>
      <c r="U2136" s="159" t="n"/>
      <c r="X2136" s="195" t="inlineStr"/>
    </row>
    <row r="2137" customFormat="1" s="4">
      <c r="A2137" s="6" t="n"/>
      <c r="B2137" s="195" t="inlineStr"/>
      <c r="C2137" s="195" t="inlineStr"/>
      <c r="D2137" s="195" t="inlineStr"/>
      <c r="Q2137" s="159" t="n"/>
      <c r="R2137" s="159" t="n"/>
      <c r="S2137" s="159" t="n"/>
      <c r="T2137" s="159" t="n"/>
      <c r="U2137" s="159" t="n"/>
      <c r="X2137" s="195" t="inlineStr"/>
    </row>
    <row r="2138" s="308">
      <c r="A2138" s="208">
        <f>CONCATENATE("报价人：",项目信息!$B$8)</f>
        <v/>
      </c>
      <c r="B2138" s="208" t="n"/>
      <c r="C2138" s="4" t="n"/>
      <c r="D2138" s="4" t="n"/>
      <c r="E2138" s="4" t="n"/>
      <c r="F2138" s="4" t="n"/>
      <c r="G2138" s="4" t="n"/>
      <c r="H2138" s="178">
        <f>项目信息!$B$9</f>
        <v/>
      </c>
      <c r="Q2138" s="159" t="n"/>
      <c r="R2138" s="159" t="n"/>
      <c r="S2138" s="159" t="n"/>
      <c r="T2138" s="159" t="n"/>
      <c r="U2138" s="159" t="n"/>
      <c r="X2138" s="203" t="inlineStr"/>
    </row>
    <row r="2139" s="308">
      <c r="A2139" s="8">
        <f>T(项目信息!$B$22)</f>
        <v/>
      </c>
      <c r="Q2139" s="159" t="n"/>
      <c r="R2139" s="159" t="n"/>
      <c r="S2139" s="159" t="n"/>
      <c r="T2139" s="159" t="n"/>
      <c r="U2139" s="159" t="n"/>
    </row>
    <row r="2140" s="308">
      <c r="A2140" s="9">
        <f>T(项目信息!$B$23)</f>
        <v/>
      </c>
      <c r="Q2140" s="159" t="n"/>
      <c r="R2140" s="159" t="n"/>
      <c r="S2140" s="159" t="n"/>
      <c r="T2140" s="159" t="n"/>
      <c r="U2140" s="159" t="n"/>
    </row>
    <row r="2141" s="308">
      <c r="A2141" s="97" t="inlineStr">
        <is>
          <t>成套产品报价明细表</t>
        </is>
      </c>
      <c r="B2141" s="378" t="n"/>
      <c r="C2141" s="378" t="n"/>
      <c r="D2141" s="378" t="n"/>
      <c r="E2141" s="378" t="n"/>
      <c r="F2141" s="378" t="n"/>
      <c r="G2141" s="378" t="n"/>
      <c r="H2141" s="378" t="n"/>
      <c r="I2141" s="378" t="n"/>
      <c r="Q2141" s="159" t="n"/>
      <c r="R2141" s="159" t="n"/>
      <c r="S2141" s="159" t="n"/>
      <c r="T2141" s="159" t="n"/>
      <c r="U2141" s="159" t="n"/>
    </row>
    <row r="2142" customFormat="1" s="2">
      <c r="A2142" s="98" t="inlineStr">
        <is>
          <t>柜号:</t>
        </is>
      </c>
      <c r="B2142" s="99" t="inlineStr">
        <is>
          <t>T9-AU12、T10-BU12</t>
        </is>
      </c>
      <c r="C2142" s="100" t="inlineStr">
        <is>
          <t>型号:</t>
        </is>
      </c>
      <c r="D2142" s="99" t="inlineStr">
        <is>
          <t>BlokSeT</t>
        </is>
      </c>
      <c r="E2142" s="379" t="n"/>
      <c r="F2142" s="101" t="inlineStr">
        <is>
          <t>名称:</t>
        </is>
      </c>
      <c r="G2142" s="99" t="inlineStr">
        <is>
          <t>进线柜</t>
        </is>
      </c>
      <c r="H2142" s="379" t="n"/>
      <c r="I2142" s="380" t="inlineStr"/>
      <c r="J2142" s="131" t="inlineStr">
        <is>
          <t>箱柜尺寸:</t>
        </is>
      </c>
      <c r="K2142" s="132" t="inlineStr">
        <is>
          <t>400W*1200D*2200H</t>
        </is>
      </c>
      <c r="L2142" s="131" t="inlineStr">
        <is>
          <t>类别:</t>
        </is>
      </c>
      <c r="M2142" s="132" t="inlineStr">
        <is>
          <t>低压固定柜</t>
        </is>
      </c>
      <c r="N2142" s="381" t="inlineStr"/>
      <c r="Q2142" s="160" t="n"/>
      <c r="R2142" s="160" t="n"/>
      <c r="S2142" s="160" t="n"/>
      <c r="T2142" s="160" t="n"/>
      <c r="U2142" s="160" t="n"/>
    </row>
    <row r="2143" ht="20.1" customFormat="1" customHeight="1" s="3">
      <c r="A2143" s="102" t="inlineStr">
        <is>
          <t>序号</t>
        </is>
      </c>
      <c r="B2143" s="103" t="inlineStr">
        <is>
          <t>元件名称</t>
        </is>
      </c>
      <c r="C2143" s="103" t="inlineStr">
        <is>
          <t>型号规格</t>
        </is>
      </c>
      <c r="D2143" s="104" t="inlineStr">
        <is>
          <t>生产厂家</t>
        </is>
      </c>
      <c r="E2143" s="105" t="inlineStr">
        <is>
          <t>单位</t>
        </is>
      </c>
      <c r="F2143" s="105" t="inlineStr">
        <is>
          <t>数量</t>
        </is>
      </c>
      <c r="G2143" s="382" t="inlineStr">
        <is>
          <t>单   价</t>
        </is>
      </c>
      <c r="H2143" s="383" t="inlineStr">
        <is>
          <t>总   价</t>
        </is>
      </c>
      <c r="I2143" s="134" t="inlineStr">
        <is>
          <t>备注</t>
        </is>
      </c>
      <c r="J2143" s="384" t="inlineStr">
        <is>
          <t>成本单价</t>
        </is>
      </c>
      <c r="K2143" s="384" t="inlineStr">
        <is>
          <t>成本总价</t>
        </is>
      </c>
      <c r="L2143" s="136" t="inlineStr">
        <is>
          <t>报出
系数</t>
        </is>
      </c>
      <c r="M2143" s="384" t="inlineStr">
        <is>
          <t>表价</t>
        </is>
      </c>
      <c r="N2143" s="136" t="inlineStr">
        <is>
          <t>折扣
系数</t>
        </is>
      </c>
      <c r="O2143" s="137" t="inlineStr">
        <is>
          <t>取费
系数</t>
        </is>
      </c>
      <c r="P2143" s="384" t="inlineStr">
        <is>
          <t>成套费</t>
        </is>
      </c>
      <c r="Q2143" s="161" t="inlineStr">
        <is>
          <t>类别</t>
        </is>
      </c>
      <c r="R2143" s="161" t="inlineStr">
        <is>
          <t>物料编码</t>
        </is>
      </c>
      <c r="S2143" s="161" t="inlineStr">
        <is>
          <t>产地</t>
        </is>
      </c>
      <c r="T2143" s="161" t="inlineStr">
        <is>
          <t>加工费</t>
        </is>
      </c>
      <c r="U2143" s="161" t="inlineStr">
        <is>
          <t>订货号</t>
        </is>
      </c>
      <c r="V2143" s="161" t="inlineStr">
        <is>
          <t>人工</t>
        </is>
      </c>
      <c r="W2143" s="161" t="inlineStr">
        <is>
          <t>辅料</t>
        </is>
      </c>
      <c r="X2143" s="162" t="inlineStr"/>
    </row>
    <row r="2144" customFormat="1" s="3">
      <c r="A2144" s="108">
        <f>ROW()-ROW(A$2143)</f>
        <v/>
      </c>
      <c r="B2144" s="109" t="inlineStr">
        <is>
          <t>双电源</t>
        </is>
      </c>
      <c r="C2144" s="22" t="inlineStr">
        <is>
          <t>MT12 N1a SG 3P MIC5.0 E</t>
        </is>
      </c>
      <c r="D2144" s="22" t="inlineStr">
        <is>
          <t>甲供/施耐德电气</t>
        </is>
      </c>
      <c r="E2144" s="110" t="inlineStr">
        <is>
          <t>只</t>
        </is>
      </c>
      <c r="F2144" s="110" t="n">
        <v>1</v>
      </c>
      <c r="G2144" s="385">
        <f>IF(AND(B2144="",C2144=""),"",ROUND(M2144*L2144*N2144,2))</f>
        <v/>
      </c>
      <c r="H2144" s="385">
        <f>IF(AND(B2144="",C2144=""),"",ROUND(F2144*G2144,2))</f>
        <v/>
      </c>
      <c r="I2144" s="138" t="inlineStr"/>
      <c r="J2144" s="386">
        <f>IF(AND(B2144="",C2144=""),"",ROUND(M2144*N2144,2))</f>
        <v/>
      </c>
      <c r="K2144" s="387">
        <f>IF(AND(B2144="",C2144=""),"",ROUND(J2144*F2144,2))</f>
        <v/>
      </c>
      <c r="L2144" s="141" t="n">
        <v>1</v>
      </c>
      <c r="M2144" s="388" t="n">
        <v>1e-07</v>
      </c>
      <c r="N2144" s="143" t="n">
        <v>1</v>
      </c>
      <c r="O2144" s="144">
        <f>IF(AND(B2144="",C2144=""),"",IF(G2144&gt;=20000,0.05,IF(G2144&gt;=10000,0.1,IF(G2144&gt;=5000,0.2,IF(G2144&gt;=1000,0.3,IF(G2144&gt;=0,0.4,{0}))))))</f>
        <v/>
      </c>
      <c r="P2144" s="389">
        <f>IF(AND(B2144="",C2144=""),"",ROUND(H2144*O2144,2))</f>
        <v/>
      </c>
      <c r="Q2144" s="390" t="inlineStr">
        <is>
          <t>元件</t>
        </is>
      </c>
      <c r="R2144" s="164" t="inlineStr"/>
      <c r="S2144" s="164" t="inlineStr"/>
      <c r="T2144" s="164" t="inlineStr">
        <is>
          <t>0</t>
        </is>
      </c>
      <c r="U2144" s="164" t="inlineStr">
        <is>
          <t>48327+48500+33542+48527+48494+48484+48408+48603+48170+48175+48384</t>
        </is>
      </c>
      <c r="V2144" s="391" t="n"/>
      <c r="W2144" s="391" t="n"/>
      <c r="X2144"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2145" customFormat="1" s="3">
      <c r="A2145" s="64">
        <f>ROW()-ROW(A$2143)</f>
        <v/>
      </c>
      <c r="B2145" s="27" t="inlineStr">
        <is>
          <t>多功能表</t>
        </is>
      </c>
      <c r="C2145" s="22" t="inlineStr">
        <is>
          <t>PM4101</t>
        </is>
      </c>
      <c r="D2145" s="22" t="inlineStr">
        <is>
          <t>甲供/施耐德电气</t>
        </is>
      </c>
      <c r="E2145" s="110" t="inlineStr">
        <is>
          <t>只</t>
        </is>
      </c>
      <c r="F2145" s="23" t="n">
        <v>1</v>
      </c>
      <c r="G2145" s="353">
        <f>IF(AND(B2145="",C2145=""),"",ROUND(M2145*L2145*N2145,2))</f>
        <v/>
      </c>
      <c r="H2145" s="349">
        <f>IF(AND(B2145="",C2145=""),"",ROUND(F2145*G2145,2))</f>
        <v/>
      </c>
      <c r="I2145" s="45" t="inlineStr"/>
      <c r="J2145" s="392">
        <f>IF(AND(B2145="",C2145=""),"",ROUND(M2145*N2145,2))</f>
        <v/>
      </c>
      <c r="K2145" s="393">
        <f>IF(AND(B2145="",C2145=""),"",ROUND(J2145*F2145,2))</f>
        <v/>
      </c>
      <c r="L2145" s="141" t="n">
        <v>1</v>
      </c>
      <c r="M2145" s="394" t="n">
        <v>1e-07</v>
      </c>
      <c r="N2145" s="143" t="n">
        <v>1</v>
      </c>
      <c r="O2145" s="144">
        <f>IF(AND(B2145="",C2145=""),"",IF(G2145&gt;=20000,0.05,IF(G2145&gt;=10000,0.1,IF(G2145&gt;=5000,0.2,IF(G2145&gt;=1000,0.3,IF(G2145&gt;=0,0.4,{0}))))))</f>
        <v/>
      </c>
      <c r="P2145" s="395">
        <f>IF(AND(B2145="",C2145=""),"",ROUND(H2145*O2145,2))</f>
        <v/>
      </c>
      <c r="Q2145" s="390" t="inlineStr">
        <is>
          <t>元件</t>
        </is>
      </c>
      <c r="R2145" s="164" t="inlineStr"/>
      <c r="S2145" s="164" t="inlineStr"/>
      <c r="T2145" s="164" t="inlineStr">
        <is>
          <t>0</t>
        </is>
      </c>
      <c r="U2145" s="164" t="inlineStr">
        <is>
          <t>True</t>
        </is>
      </c>
      <c r="V2145" s="391" t="n"/>
      <c r="W2145" s="391" t="n"/>
      <c r="X2145" s="166" t="inlineStr">
        <is>
          <t>PM→PM4633→PM4201</t>
        </is>
      </c>
    </row>
    <row r="2146" customFormat="1" s="3">
      <c r="A2146" s="64">
        <f>ROW()-ROW(A$2143)</f>
        <v/>
      </c>
      <c r="B2146" s="27" t="inlineStr">
        <is>
          <t>电流互感器</t>
        </is>
      </c>
      <c r="C2146" s="22" t="inlineStr">
        <is>
          <t>SD-0.66-80II-V 1250/5A</t>
        </is>
      </c>
      <c r="D2146" s="27" t="inlineStr">
        <is>
          <t>桑迪</t>
        </is>
      </c>
      <c r="E2146" s="110" t="inlineStr">
        <is>
          <t>只</t>
        </is>
      </c>
      <c r="F2146" s="23" t="n">
        <v>3</v>
      </c>
      <c r="G2146" s="349">
        <f>IF(AND(B2146="",C2146=""),"",ROUND(M2146*L2146*N2146,2))</f>
        <v/>
      </c>
      <c r="H2146" s="349">
        <f>IF(AND(B2146="",C2146=""),"",ROUND(F2146*G2146,2))</f>
        <v/>
      </c>
      <c r="I2146" s="45" t="inlineStr"/>
      <c r="J2146" s="392">
        <f>IF(AND(B2146="",C2146=""),"",ROUND(M2146*N2146,2))</f>
        <v/>
      </c>
      <c r="K2146" s="393">
        <f>IF(AND(B2146="",C2146=""),"",ROUND(J2146*F2146,2))</f>
        <v/>
      </c>
      <c r="L2146" s="141" t="n">
        <v>1</v>
      </c>
      <c r="M2146" s="394" t="n">
        <v>115.7</v>
      </c>
      <c r="N2146" s="143" t="n">
        <v>1</v>
      </c>
      <c r="O2146" s="144">
        <f>IF(AND(B2146="",C2146=""),"",IF(G2146&gt;=20000,0.05,IF(G2146&gt;=10000,0.1,IF(G2146&gt;=5000,0.2,IF(G2146&gt;=1000,0.3,IF(G2146&gt;=0,0.4,{0}))))))</f>
        <v/>
      </c>
      <c r="P2146" s="395">
        <f>IF(AND(B2146="",C2146=""),"",ROUND(H2146*O2146,2))</f>
        <v/>
      </c>
      <c r="Q2146" s="390" t="inlineStr">
        <is>
          <t>元件</t>
        </is>
      </c>
      <c r="R2146" s="164" t="inlineStr"/>
      <c r="S2146" s="164" t="inlineStr"/>
      <c r="T2146" s="164" t="inlineStr">
        <is>
          <t>0</t>
        </is>
      </c>
      <c r="U2146" s="164" t="inlineStr">
        <is>
          <t>710141426552500</t>
        </is>
      </c>
      <c r="V2146" s="391" t="n"/>
      <c r="W2146" s="391" t="n"/>
      <c r="X2146"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1600/5A→SD-0.66-160III-C 5000/5A→SD-0.66-130III-V 3000/5A→SD-0.66-100II-C 2000/5A→SD-0.66-80II-V 800/5A→SD-0.66-80II-V 1000/5A</t>
        </is>
      </c>
    </row>
    <row r="2147" customFormat="1" s="3">
      <c r="A2147" s="64">
        <f>ROW()-ROW(A$2143)</f>
        <v/>
      </c>
      <c r="B2147" s="27" t="inlineStr">
        <is>
          <t>后备保护器</t>
        </is>
      </c>
      <c r="C2147" s="22" t="inlineStr">
        <is>
          <t>iSCB2 40H2 4P</t>
        </is>
      </c>
      <c r="D2147" s="22" t="inlineStr">
        <is>
          <t>甲供/施耐德万高</t>
        </is>
      </c>
      <c r="E2147" s="110" t="inlineStr">
        <is>
          <t>只</t>
        </is>
      </c>
      <c r="F2147" s="23" t="n">
        <v>1</v>
      </c>
      <c r="G2147" s="349">
        <f>IF(AND(B2147="",C2147=""),"",ROUND(M2147*L2147*N2147,2))</f>
        <v/>
      </c>
      <c r="H2147" s="349">
        <f>IF(AND(B2147="",C2147=""),"",ROUND(F2147*G2147,2))</f>
        <v/>
      </c>
      <c r="I2147" s="45" t="inlineStr"/>
      <c r="J2147" s="392">
        <f>IF(AND(B2147="",C2147=""),"",ROUND(M2147*N2147,2))</f>
        <v/>
      </c>
      <c r="K2147" s="393">
        <f>IF(AND(B2147="",C2147=""),"",ROUND(J2147*F2147,2))</f>
        <v/>
      </c>
      <c r="L2147" s="141" t="n">
        <v>1</v>
      </c>
      <c r="M2147" s="394" t="n">
        <v>1e-07</v>
      </c>
      <c r="N2147" s="143" t="n">
        <v>1</v>
      </c>
      <c r="O2147" s="144">
        <f>IF(AND(B2147="",C2147=""),"",IF(G2147&gt;=20000,0.05,IF(G2147&gt;=10000,0.1,IF(G2147&gt;=5000,0.2,IF(G2147&gt;=1000,0.3,IF(G2147&gt;=0,0.4,{0}))))))</f>
        <v/>
      </c>
      <c r="P2147" s="395">
        <f>IF(AND(B2147="",C2147=""),"",ROUND(H2147*O2147,2))</f>
        <v/>
      </c>
      <c r="Q2147" s="390" t="inlineStr">
        <is>
          <t>元件</t>
        </is>
      </c>
      <c r="R2147" s="164" t="inlineStr"/>
      <c r="S2147" s="164" t="inlineStr"/>
      <c r="T2147" s="164" t="inlineStr">
        <is>
          <t>0</t>
        </is>
      </c>
      <c r="U2147" s="164" t="inlineStr">
        <is>
          <t>A9L102554</t>
        </is>
      </c>
      <c r="V2147" s="391" t="n"/>
      <c r="W2147" s="391" t="n"/>
      <c r="X2147" s="166" t="inlineStr">
        <is>
          <t>iSCB1 25L1 4P→iSCB2 40H2 4P</t>
        </is>
      </c>
    </row>
    <row r="2148" customFormat="1" s="3">
      <c r="A2148" s="64">
        <f>ROW()-ROW(A$2143)</f>
        <v/>
      </c>
      <c r="B2148" s="27" t="inlineStr">
        <is>
          <t>电涌保护器</t>
        </is>
      </c>
      <c r="C2148" s="22" t="inlineStr">
        <is>
          <t>iPRU 40r 3P+N</t>
        </is>
      </c>
      <c r="D2148" s="22" t="inlineStr">
        <is>
          <t>甲供/施耐德万高</t>
        </is>
      </c>
      <c r="E2148" s="110" t="inlineStr">
        <is>
          <t>只</t>
        </is>
      </c>
      <c r="F2148" s="23" t="n">
        <v>1</v>
      </c>
      <c r="G2148" s="349">
        <f>IF(AND(B2148="",C2148=""),"",ROUND(M2148*L2148*N2148,2))</f>
        <v/>
      </c>
      <c r="H2148" s="349">
        <f>IF(AND(B2148="",C2148=""),"",ROUND(F2148*G2148,2))</f>
        <v/>
      </c>
      <c r="I2148" s="45" t="inlineStr"/>
      <c r="J2148" s="392">
        <f>IF(AND(B2148="",C2148=""),"",ROUND(M2148*N2148,2))</f>
        <v/>
      </c>
      <c r="K2148" s="393">
        <f>IF(AND(B2148="",C2148=""),"",ROUND(J2148*F2148,2))</f>
        <v/>
      </c>
      <c r="L2148" s="141" t="n">
        <v>1</v>
      </c>
      <c r="M2148" s="394" t="n">
        <v>1e-07</v>
      </c>
      <c r="N2148" s="143" t="n">
        <v>1</v>
      </c>
      <c r="O2148" s="144">
        <f>IF(AND(B2148="",C2148=""),"",IF(G2148&gt;=20000,0.05,IF(G2148&gt;=10000,0.1,IF(G2148&gt;=5000,0.2,IF(G2148&gt;=1000,0.3,IF(G2148&gt;=0,0.4,{0}))))))</f>
        <v/>
      </c>
      <c r="P2148" s="395">
        <f>IF(AND(B2148="",C2148=""),"",ROUND(H2148*O2148,2))</f>
        <v/>
      </c>
      <c r="Q2148" s="390" t="inlineStr">
        <is>
          <t>元件</t>
        </is>
      </c>
      <c r="R2148" s="164" t="inlineStr"/>
      <c r="S2148" s="164" t="inlineStr"/>
      <c r="T2148" s="164" t="inlineStr">
        <is>
          <t>0</t>
        </is>
      </c>
      <c r="U2148" s="164" t="inlineStr">
        <is>
          <t>A9L620601</t>
        </is>
      </c>
      <c r="V2148" s="391" t="n"/>
      <c r="W2148" s="391" t="n"/>
      <c r="X2148" s="166" t="inlineStr">
        <is>
          <t>iPRF1 12.5r 3P+N→iPRU 40r 3P→iPRF1 12.5r 3P+N</t>
        </is>
      </c>
    </row>
    <row r="2149" customFormat="1" s="3">
      <c r="A2149" s="64">
        <f>ROW()-ROW(A$2143)</f>
        <v/>
      </c>
      <c r="B2149" s="27" t="inlineStr">
        <is>
          <t>微型断路器</t>
        </is>
      </c>
      <c r="C2149" s="22" t="inlineStr">
        <is>
          <t>iC65H 2P C16A</t>
        </is>
      </c>
      <c r="D2149" s="22" t="inlineStr">
        <is>
          <t>甲供/施耐德电气</t>
        </is>
      </c>
      <c r="E2149" s="110" t="inlineStr">
        <is>
          <t>只</t>
        </is>
      </c>
      <c r="F2149" s="23" t="n">
        <v>2</v>
      </c>
      <c r="G2149" s="349">
        <f>IF(AND(B2149="",C2149=""),"",ROUND(M2149*L2149*N2149,2))</f>
        <v/>
      </c>
      <c r="H2149" s="349">
        <f>IF(AND(B2149="",C2149=""),"",ROUND(F2149*G2149,2))</f>
        <v/>
      </c>
      <c r="I2149" s="45" t="inlineStr"/>
      <c r="J2149" s="392">
        <f>IF(AND(B2149="",C2149=""),"",ROUND(M2149*N2149,2))</f>
        <v/>
      </c>
      <c r="K2149" s="393">
        <f>IF(AND(B2149="",C2149=""),"",ROUND(J2149*F2149,2))</f>
        <v/>
      </c>
      <c r="L2149" s="141" t="n">
        <v>1</v>
      </c>
      <c r="M2149" s="394" t="n">
        <v>1e-07</v>
      </c>
      <c r="N2149" s="143" t="n">
        <v>1</v>
      </c>
      <c r="O2149" s="144">
        <f>IF(AND(B2149="",C2149=""),"",IF(G2149&gt;=20000,0.05,IF(G2149&gt;=10000,0.1,IF(G2149&gt;=5000,0.2,IF(G2149&gt;=1000,0.3,IF(G2149&gt;=0,0.4,{0}))))))</f>
        <v/>
      </c>
      <c r="P2149" s="395">
        <f>IF(AND(B2149="",C2149=""),"",ROUND(H2149*O2149,2))</f>
        <v/>
      </c>
      <c r="Q2149" s="390" t="inlineStr">
        <is>
          <t>元件</t>
        </is>
      </c>
      <c r="R2149" s="164" t="inlineStr"/>
      <c r="S2149" s="164" t="inlineStr"/>
      <c r="T2149" s="164" t="n">
        <v>0</v>
      </c>
      <c r="U2149" s="164" t="inlineStr"/>
      <c r="V2149" s="391" t="n"/>
      <c r="W2149" s="391" t="n"/>
      <c r="X2149" s="166" t="inlineStr"/>
    </row>
    <row r="2150" s="308">
      <c r="A2150" s="64">
        <f>ROW()-ROW(A$2143)</f>
        <v/>
      </c>
      <c r="B2150" s="112" t="inlineStr">
        <is>
          <t>温湿度控制器</t>
        </is>
      </c>
      <c r="C2150" s="112" t="inlineStr">
        <is>
          <t>ATH48G-11</t>
        </is>
      </c>
      <c r="D2150" s="22" t="inlineStr">
        <is>
          <t>杭州安廷</t>
        </is>
      </c>
      <c r="E2150" s="23" t="inlineStr">
        <is>
          <t>套</t>
        </is>
      </c>
      <c r="F2150" s="23" t="n">
        <v>1</v>
      </c>
      <c r="G2150" s="349">
        <f>IF(AND(B2150="",C2150=""),"",ROUND(M2150*L2150*N2150,2))</f>
        <v/>
      </c>
      <c r="H2150" s="396">
        <f>IF(AND(B2150="",C2150=""),"",ROUND(F2150*G2150,2))</f>
        <v/>
      </c>
      <c r="I2150" s="150" t="inlineStr"/>
      <c r="J2150" s="397">
        <f>IF(AND(B2150="",C2150=""),"",ROUND(M2150*N2150,2))</f>
        <v/>
      </c>
      <c r="K2150" s="398">
        <f>IF(AND(B2150="",C2150=""),"",ROUND(J2150*F2150,2))</f>
        <v/>
      </c>
      <c r="L2150" s="141" t="n">
        <v>1</v>
      </c>
      <c r="M2150" s="399" t="n">
        <v>450</v>
      </c>
      <c r="N2150" s="154" t="n">
        <v>1</v>
      </c>
      <c r="O2150" s="155">
        <f>IF(AND(B2150="",C2150=""),"",IF(G2150&gt;=20000,0.05,IF(G2150&gt;=10000,0.1,IF(G2150&gt;=5000,0.2,IF(G2150&gt;=1000,0.3,IF(G2150&gt;=0,0.4,{0}))))))</f>
        <v/>
      </c>
      <c r="P2150" s="400">
        <f>IF(AND(B2150="",C2150=""),"",ROUND(H2150*O2150,2))</f>
        <v/>
      </c>
      <c r="Q2150" s="401" t="inlineStr">
        <is>
          <t>元件</t>
        </is>
      </c>
      <c r="R2150" s="168" t="inlineStr"/>
      <c r="S2150" s="168" t="inlineStr"/>
      <c r="T2150" s="168" t="inlineStr">
        <is>
          <t>0</t>
        </is>
      </c>
      <c r="U2150" s="168" t="inlineStr"/>
      <c r="V2150" s="402" t="n"/>
      <c r="W2150" s="402" t="n"/>
      <c r="X2150" s="170" t="inlineStr"/>
    </row>
    <row r="2151" s="308">
      <c r="A2151" s="64">
        <f>ROW()-ROW(A$2143)</f>
        <v/>
      </c>
      <c r="B2151" s="112" t="inlineStr">
        <is>
          <t>指示灯</t>
        </is>
      </c>
      <c r="C2151" s="112" t="inlineStr">
        <is>
          <t>XB2BVM3LC</t>
        </is>
      </c>
      <c r="D2151" s="112" t="inlineStr">
        <is>
          <t>甲供/施耐德电气</t>
        </is>
      </c>
      <c r="E2151" s="114" t="inlineStr">
        <is>
          <t>只</t>
        </is>
      </c>
      <c r="F2151" s="114" t="n">
        <v>1</v>
      </c>
      <c r="G2151" s="396">
        <f>IF(AND(B2151="",C2151=""),"",ROUND(M2151*L2151*N2151,2))</f>
        <v/>
      </c>
      <c r="H2151" s="396">
        <f>IF(AND(B2151="",C2151=""),"",ROUND(F2151*G2151,2))</f>
        <v/>
      </c>
      <c r="I2151" s="150" t="inlineStr"/>
      <c r="J2151" s="397">
        <f>IF(AND(B2151="",C2151=""),"",ROUND(M2151*N2151,2))</f>
        <v/>
      </c>
      <c r="K2151" s="398">
        <f>IF(AND(B2151="",C2151=""),"",ROUND(J2151*F2151,2))</f>
        <v/>
      </c>
      <c r="L2151" s="141" t="n">
        <v>1</v>
      </c>
      <c r="M2151" s="399" t="n">
        <v>1e-07</v>
      </c>
      <c r="N2151" s="154" t="n">
        <v>1</v>
      </c>
      <c r="O2151" s="155">
        <f>IF(AND(B2151="",C2151=""),"",IF(G2151&gt;=20000,0.05,IF(G2151&gt;=10000,0.1,IF(G2151&gt;=5000,0.2,IF(G2151&gt;=1000,0.3,IF(G2151&gt;=0,0.4,{0}))))))</f>
        <v/>
      </c>
      <c r="P2151" s="400">
        <f>IF(AND(B2151="",C2151=""),"",ROUND(H2151*O2151,2))</f>
        <v/>
      </c>
      <c r="Q2151" s="401" t="inlineStr">
        <is>
          <t>元件</t>
        </is>
      </c>
      <c r="R2151" s="168" t="inlineStr"/>
      <c r="S2151" s="168" t="inlineStr"/>
      <c r="T2151" s="168" t="inlineStr">
        <is>
          <t>0</t>
        </is>
      </c>
      <c r="U2151" s="168" t="inlineStr">
        <is>
          <t>XA2EVM3LC</t>
        </is>
      </c>
      <c r="V2151" s="402" t="n"/>
      <c r="W2151" s="402" t="n"/>
      <c r="X2151" s="170" t="inlineStr"/>
    </row>
    <row r="2152" s="308">
      <c r="A2152" s="64">
        <f>ROW()-ROW(A$2143)</f>
        <v/>
      </c>
      <c r="B2152" s="112" t="inlineStr">
        <is>
          <t>指示灯</t>
        </is>
      </c>
      <c r="C2152" s="22" t="inlineStr">
        <is>
          <t>XB2BVM4LC</t>
        </is>
      </c>
      <c r="D2152" s="112" t="inlineStr">
        <is>
          <t>甲供/施耐德电气</t>
        </is>
      </c>
      <c r="E2152" s="114" t="inlineStr">
        <is>
          <t>只</t>
        </is>
      </c>
      <c r="F2152" s="114" t="n">
        <v>1</v>
      </c>
      <c r="G2152" s="396">
        <f>IF(AND(B2152="",C2152=""),"",ROUND(M2152*L2152*N2152,2))</f>
        <v/>
      </c>
      <c r="H2152" s="396">
        <f>IF(AND(B2152="",C2152=""),"",ROUND(F2152*G2152,2))</f>
        <v/>
      </c>
      <c r="I2152" s="150" t="inlineStr"/>
      <c r="J2152" s="397">
        <f>IF(AND(B2152="",C2152=""),"",ROUND(M2152*N2152,2))</f>
        <v/>
      </c>
      <c r="K2152" s="398">
        <f>IF(AND(B2152="",C2152=""),"",ROUND(J2152*F2152,2))</f>
        <v/>
      </c>
      <c r="L2152" s="141" t="n">
        <v>1</v>
      </c>
      <c r="M2152" s="399" t="n">
        <v>1e-07</v>
      </c>
      <c r="N2152" s="154" t="n">
        <v>1</v>
      </c>
      <c r="O2152" s="155">
        <f>IF(AND(B2152="",C2152=""),"",IF(G2152&gt;=20000,0.05,IF(G2152&gt;=10000,0.1,IF(G2152&gt;=5000,0.2,IF(G2152&gt;=1000,0.3,IF(G2152&gt;=0,0.4,{0}))))))</f>
        <v/>
      </c>
      <c r="P2152" s="400">
        <f>IF(AND(B2152="",C2152=""),"",ROUND(H2152*O2152,2))</f>
        <v/>
      </c>
      <c r="Q2152" s="401" t="inlineStr">
        <is>
          <t>元件</t>
        </is>
      </c>
      <c r="R2152" s="168" t="inlineStr"/>
      <c r="S2152" s="168" t="inlineStr"/>
      <c r="T2152" s="168" t="inlineStr">
        <is>
          <t>0</t>
        </is>
      </c>
      <c r="U2152" s="168" t="inlineStr">
        <is>
          <t>XA2EVM4LC</t>
        </is>
      </c>
      <c r="V2152" s="402" t="n"/>
      <c r="W2152" s="402" t="n"/>
      <c r="X2152" s="170" t="inlineStr"/>
    </row>
    <row r="2153" s="308">
      <c r="A2153" s="64">
        <f>ROW()-ROW(A$2143)</f>
        <v/>
      </c>
      <c r="B2153" s="112" t="inlineStr">
        <is>
          <t>指示灯</t>
        </is>
      </c>
      <c r="C2153" s="112" t="inlineStr">
        <is>
          <t>XB2BVM5LC</t>
        </is>
      </c>
      <c r="D2153" s="112" t="inlineStr">
        <is>
          <t>甲供/施耐德电气</t>
        </is>
      </c>
      <c r="E2153" s="114" t="inlineStr">
        <is>
          <t>只</t>
        </is>
      </c>
      <c r="F2153" s="114" t="n">
        <v>1</v>
      </c>
      <c r="G2153" s="396">
        <f>IF(AND(B2153="",C2153=""),"",ROUND(M2153*L2153*N2153,2))</f>
        <v/>
      </c>
      <c r="H2153" s="396">
        <f>IF(AND(B2153="",C2153=""),"",ROUND(F2153*G2153,2))</f>
        <v/>
      </c>
      <c r="I2153" s="150" t="inlineStr"/>
      <c r="J2153" s="397">
        <f>IF(AND(B2153="",C2153=""),"",ROUND(M2153*N2153,2))</f>
        <v/>
      </c>
      <c r="K2153" s="398">
        <f>IF(AND(B2153="",C2153=""),"",ROUND(J2153*F2153,2))</f>
        <v/>
      </c>
      <c r="L2153" s="141" t="n">
        <v>1</v>
      </c>
      <c r="M2153" s="399" t="n">
        <v>1e-07</v>
      </c>
      <c r="N2153" s="154" t="n">
        <v>1</v>
      </c>
      <c r="O2153" s="155">
        <f>IF(AND(B2153="",C2153=""),"",IF(G2153&gt;=20000,0.05,IF(G2153&gt;=10000,0.1,IF(G2153&gt;=5000,0.2,IF(G2153&gt;=1000,0.3,IF(G2153&gt;=0,0.4,{0}))))))</f>
        <v/>
      </c>
      <c r="P2153" s="400">
        <f>IF(AND(B2153="",C2153=""),"",ROUND(H2153*O2153,2))</f>
        <v/>
      </c>
      <c r="Q2153" s="401" t="inlineStr">
        <is>
          <t>元件</t>
        </is>
      </c>
      <c r="R2153" s="168" t="inlineStr"/>
      <c r="S2153" s="168" t="inlineStr"/>
      <c r="T2153" s="168" t="inlineStr">
        <is>
          <t>0</t>
        </is>
      </c>
      <c r="U2153" s="168" t="inlineStr">
        <is>
          <t>XA2EVM5LC</t>
        </is>
      </c>
      <c r="V2153" s="402" t="n"/>
      <c r="W2153" s="402" t="n"/>
      <c r="X2153" s="170" t="inlineStr"/>
    </row>
    <row r="2154" s="308">
      <c r="A2154" s="64">
        <f>ROW()-ROW(A$2143)</f>
        <v/>
      </c>
      <c r="B2154" s="112" t="inlineStr">
        <is>
          <t>按钮</t>
        </is>
      </c>
      <c r="C2154" s="112" t="inlineStr">
        <is>
          <t>XB2BA31C</t>
        </is>
      </c>
      <c r="D2154" s="112" t="inlineStr">
        <is>
          <t>甲供/施耐德电气</t>
        </is>
      </c>
      <c r="E2154" s="114" t="inlineStr">
        <is>
          <t>只</t>
        </is>
      </c>
      <c r="F2154" s="114" t="n">
        <v>1</v>
      </c>
      <c r="G2154" s="396">
        <f>IF(AND(B2154="",C2154=""),"",ROUND(M2154*L2154*N2154,2))</f>
        <v/>
      </c>
      <c r="H2154" s="396">
        <f>IF(AND(B2154="",C2154=""),"",ROUND(F2154*G2154,2))</f>
        <v/>
      </c>
      <c r="I2154" s="150" t="inlineStr"/>
      <c r="J2154" s="397">
        <f>IF(AND(B2154="",C2154=""),"",ROUND(M2154*N2154,2))</f>
        <v/>
      </c>
      <c r="K2154" s="398">
        <f>IF(AND(B2154="",C2154=""),"",ROUND(J2154*F2154,2))</f>
        <v/>
      </c>
      <c r="L2154" s="141" t="n">
        <v>1</v>
      </c>
      <c r="M2154" s="399" t="n">
        <v>1e-07</v>
      </c>
      <c r="N2154" s="154" t="n">
        <v>1</v>
      </c>
      <c r="O2154" s="155">
        <f>IF(AND(B2154="",C2154=""),"",IF(G2154&gt;=20000,0.05,IF(G2154&gt;=10000,0.1,IF(G2154&gt;=5000,0.2,IF(G2154&gt;=1000,0.3,IF(G2154&gt;=0,0.4,{0}))))))</f>
        <v/>
      </c>
      <c r="P2154" s="400">
        <f>IF(AND(B2154="",C2154=""),"",ROUND(H2154*O2154,2))</f>
        <v/>
      </c>
      <c r="Q2154" s="401" t="inlineStr">
        <is>
          <t>元件</t>
        </is>
      </c>
      <c r="R2154" s="168" t="inlineStr"/>
      <c r="S2154" s="168" t="inlineStr"/>
      <c r="T2154" s="168" t="inlineStr">
        <is>
          <t>0</t>
        </is>
      </c>
      <c r="U2154" s="168" t="inlineStr">
        <is>
          <t>XB2BA31C</t>
        </is>
      </c>
      <c r="V2154" s="402" t="n"/>
      <c r="W2154" s="402" t="n"/>
      <c r="X2154" s="170" t="inlineStr">
        <is>
          <t>XA2EA31</t>
        </is>
      </c>
    </row>
    <row r="2155" s="308">
      <c r="A2155" s="64">
        <f>ROW()-ROW(A$2143)</f>
        <v/>
      </c>
      <c r="B2155" s="22" t="inlineStr">
        <is>
          <t>按钮</t>
        </is>
      </c>
      <c r="C2155" s="22" t="inlineStr">
        <is>
          <t>XB2BA42C</t>
        </is>
      </c>
      <c r="D2155" s="22" t="inlineStr">
        <is>
          <t>甲供/施耐德电气</t>
        </is>
      </c>
      <c r="E2155" s="23" t="inlineStr">
        <is>
          <t>只</t>
        </is>
      </c>
      <c r="F2155" s="23" t="n">
        <v>1</v>
      </c>
      <c r="G2155" s="349">
        <f>IF(AND(B2155="",C2155=""),"",ROUND(M2155*L2155*N2155,2))</f>
        <v/>
      </c>
      <c r="H2155" s="396">
        <f>IF(AND(B2155="",C2155=""),"",ROUND(F2155*G2155,2))</f>
        <v/>
      </c>
      <c r="I2155" s="150" t="inlineStr"/>
      <c r="J2155" s="397">
        <f>IF(AND(B2155="",C2155=""),"",ROUND(M2155*N2155,2))</f>
        <v/>
      </c>
      <c r="K2155" s="398">
        <f>IF(AND(B2155="",C2155=""),"",ROUND(J2155*F2155,2))</f>
        <v/>
      </c>
      <c r="L2155" s="141" t="n">
        <v>1</v>
      </c>
      <c r="M2155" s="399" t="n">
        <v>1e-07</v>
      </c>
      <c r="N2155" s="154" t="n">
        <v>1</v>
      </c>
      <c r="O2155" s="155">
        <f>IF(AND(B2155="",C2155=""),"",IF(G2155&gt;=20000,0.05,IF(G2155&gt;=10000,0.1,IF(G2155&gt;=5000,0.2,IF(G2155&gt;=1000,0.3,IF(G2155&gt;=0,0.4,{0}))))))</f>
        <v/>
      </c>
      <c r="P2155" s="400">
        <f>IF(AND(B2155="",C2155=""),"",ROUND(H2155*O2155,2))</f>
        <v/>
      </c>
      <c r="Q2155" s="401" t="inlineStr">
        <is>
          <t>元件</t>
        </is>
      </c>
      <c r="R2155" s="168" t="inlineStr"/>
      <c r="S2155" s="168" t="inlineStr"/>
      <c r="T2155" s="168" t="inlineStr">
        <is>
          <t>0</t>
        </is>
      </c>
      <c r="U2155" s="168" t="inlineStr">
        <is>
          <t>XB2BA42C</t>
        </is>
      </c>
      <c r="V2155" s="402" t="n"/>
      <c r="W2155" s="402" t="n"/>
      <c r="X2155" s="170" t="inlineStr">
        <is>
          <t>XA2EA41</t>
        </is>
      </c>
    </row>
    <row r="2156" s="308">
      <c r="A2156" s="64">
        <f>ROW()-ROW(A$2143)</f>
        <v/>
      </c>
      <c r="B2156" s="22" t="inlineStr">
        <is>
          <t>中间继电器</t>
        </is>
      </c>
      <c r="C2156" s="22" t="inlineStr">
        <is>
          <t>RXM4AB2P7+RXZE2S114M+RXZ400</t>
        </is>
      </c>
      <c r="D2156" s="22" t="inlineStr">
        <is>
          <t>甲供/施耐德电气</t>
        </is>
      </c>
      <c r="E2156" s="23" t="inlineStr">
        <is>
          <t>只</t>
        </is>
      </c>
      <c r="F2156" s="23" t="n">
        <v>2</v>
      </c>
      <c r="G2156" s="349">
        <f>IF(AND(B2156="",C2156=""),"",ROUND(M2156*L2156*N2156,2))</f>
        <v/>
      </c>
      <c r="H2156" s="349">
        <f>IF(AND(B2156="",C2156=""),"",ROUND(F2156*G2156,2))</f>
        <v/>
      </c>
      <c r="I2156" s="45" t="inlineStr"/>
      <c r="J2156" s="397">
        <f>IF(AND(B2156="",C2156=""),"",ROUND(M2156*N2156,2))</f>
        <v/>
      </c>
      <c r="K2156" s="398">
        <f>IF(AND(B2156="",C2156=""),"",ROUND(J2156*F2156,2))</f>
        <v/>
      </c>
      <c r="L2156" s="141" t="n">
        <v>1</v>
      </c>
      <c r="M2156" s="399" t="n">
        <v>1e-07</v>
      </c>
      <c r="N2156" s="154" t="n">
        <v>1</v>
      </c>
      <c r="O2156" s="155">
        <f>IF(AND(B2156="",C2156=""),"",IF(G2156&gt;=20000,0.05,IF(G2156&gt;=10000,0.1,IF(G2156&gt;=5000,0.2,IF(G2156&gt;=1000,0.3,IF(G2156&gt;=0,0.4,{0}))))))</f>
        <v/>
      </c>
      <c r="P2156" s="400">
        <f>IF(AND(B2156="",C2156=""),"",ROUND(H2156*O2156,2))</f>
        <v/>
      </c>
      <c r="Q2156" s="401" t="inlineStr">
        <is>
          <t>元件</t>
        </is>
      </c>
      <c r="R2156" s="168" t="inlineStr"/>
      <c r="S2156" s="168" t="inlineStr"/>
      <c r="T2156" s="168" t="inlineStr">
        <is>
          <t>0</t>
        </is>
      </c>
      <c r="U2156" s="168" t="inlineStr">
        <is>
          <t>RXM4AB2P7+RXZE2S114M+RXZ400</t>
        </is>
      </c>
      <c r="V2156" s="402" t="n"/>
      <c r="W2156" s="402" t="n"/>
      <c r="X2156" s="170" t="inlineStr">
        <is>
          <t>REL-IR-BL/L-230AC/4X21，含底座→RXM4AB2P7+RXZE2S114M+RXZ400→REL-IR-BL/L-230AC/4X21，含底座</t>
        </is>
      </c>
    </row>
    <row r="2157" customFormat="1" s="3">
      <c r="A2157" s="64">
        <f>ROW()-ROW(A$2143)</f>
        <v/>
      </c>
      <c r="B2157" s="22" t="inlineStr">
        <is>
          <t>带熔丝端子</t>
        </is>
      </c>
      <c r="C2157" s="22" t="inlineStr">
        <is>
          <t>UK 5-HESI</t>
        </is>
      </c>
      <c r="D2157" s="22" t="inlineStr">
        <is>
          <t>菲尼克斯</t>
        </is>
      </c>
      <c r="E2157" s="23" t="inlineStr">
        <is>
          <t>只</t>
        </is>
      </c>
      <c r="F2157" s="23" t="n">
        <v>4</v>
      </c>
      <c r="G2157" s="349">
        <f>IF(AND(B2157="",C2157=""),"",ROUND(M2157*L2157*N2157,2))</f>
        <v/>
      </c>
      <c r="H2157" s="349">
        <f>IF(AND(B2157="",C2157=""),"",ROUND(F2157*G2157,2))</f>
        <v/>
      </c>
      <c r="I2157" s="45" t="inlineStr"/>
      <c r="J2157" s="392">
        <f>IF(AND(B2157="",C2157=""),"",ROUND(M2157*N2157,2))</f>
        <v/>
      </c>
      <c r="K2157" s="393">
        <f>IF(AND(B2157="",C2157=""),"",ROUND(J2157*F2157,2))</f>
        <v/>
      </c>
      <c r="L2157" s="141" t="n">
        <v>1</v>
      </c>
      <c r="M2157" s="394" t="n">
        <v>7</v>
      </c>
      <c r="N2157" s="220" t="n">
        <v>1</v>
      </c>
      <c r="O2157" s="221">
        <f>IF(AND(B2157="",C2157=""),"",IF(G2157&gt;=20000,0.05,IF(G2157&gt;=10000,0.1,IF(G2157&gt;=5000,0.2,IF(G2157&gt;=1000,0.3,IF(G2157&gt;=0,0.4,{0}))))))</f>
        <v/>
      </c>
      <c r="P2157" s="419">
        <f>IF(AND(B2157="",C2157=""),"",ROUND(H2157*O2157,2))</f>
        <v/>
      </c>
      <c r="Q2157" s="420" t="inlineStr">
        <is>
          <t>元件</t>
        </is>
      </c>
      <c r="R2157" s="231" t="inlineStr"/>
      <c r="S2157" s="231" t="inlineStr"/>
      <c r="T2157" s="231" t="inlineStr">
        <is>
          <t>0</t>
        </is>
      </c>
      <c r="U2157" s="231" t="inlineStr">
        <is>
          <t>True</t>
        </is>
      </c>
      <c r="V2157" s="421" t="n"/>
      <c r="W2157" s="421" t="n"/>
      <c r="X2157" s="166" t="inlineStr"/>
    </row>
    <row r="2158" s="308">
      <c r="A2158" s="64">
        <f>ROW()-ROW(A$2143)</f>
        <v/>
      </c>
      <c r="B2158" s="33" t="inlineStr">
        <is>
          <t>水平母排</t>
        </is>
      </c>
      <c r="C2158" s="22" t="inlineStr">
        <is>
          <t>TMY 4*(3*125*5)+2*50*5</t>
        </is>
      </c>
      <c r="D2158" s="22" t="inlineStr">
        <is>
          <t>国产优质</t>
        </is>
      </c>
      <c r="E2158" s="23" t="inlineStr">
        <is>
          <t>米</t>
        </is>
      </c>
      <c r="F2158" s="23" t="n">
        <v>0.5</v>
      </c>
      <c r="G2158" s="349">
        <f>IF(AND(B2158="",C2158=""),"",ROUND(M2158*L2158*N2158,2))</f>
        <v/>
      </c>
      <c r="H2158" s="349">
        <f>IF(AND(B2158="",C2158=""),"",ROUND(F2158*G2158,2))</f>
        <v/>
      </c>
      <c r="I2158" s="179" t="inlineStr"/>
      <c r="J2158" s="397">
        <f>IF(AND(B2158="",C2158=""),"",ROUND(M2158*N2158,2))</f>
        <v/>
      </c>
      <c r="K2158" s="398">
        <f>IF(AND(B2158="",C2158=""),"",ROUND(J2158*F2158,2))</f>
        <v/>
      </c>
      <c r="L2158" s="141" t="n">
        <v>1</v>
      </c>
      <c r="M2158" s="399" t="n">
        <v>7697.076</v>
      </c>
      <c r="N2158" s="154">
        <f>(6317.932*1*1+2684.8*1*1)/9002.732</f>
        <v/>
      </c>
      <c r="O2158" s="155">
        <f>IF(AND(B2158="",C2158=""),"",IF(G2158&gt;=20000,0.05,IF(G2158&gt;=10000,0.1,IF(G2158&gt;=5000,0.2,IF(G2158&gt;=1000,0.3,IF(G2158&gt;=0,0.4,{0}))))))</f>
        <v/>
      </c>
      <c r="P2158" s="400">
        <f>IF(AND(B2158="",C2158=""),"",ROUND(H2158*O2158,2))</f>
        <v/>
      </c>
      <c r="Q2158" s="401" t="inlineStr">
        <is>
          <t>母排</t>
        </is>
      </c>
      <c r="R2158" s="168" t="inlineStr"/>
      <c r="S2158" s="168" t="inlineStr"/>
      <c r="T2158" s="168" t="inlineStr">
        <is>
          <t>0</t>
        </is>
      </c>
      <c r="U2158" s="168" t="inlineStr"/>
      <c r="V2158" s="402" t="n"/>
      <c r="W2158" s="402" t="n"/>
      <c r="X2158" s="170" t="inlineStr"/>
    </row>
    <row r="2159" customFormat="1" s="5">
      <c r="A2159" s="64">
        <f>ROW()-ROW(A$2143)</f>
        <v/>
      </c>
      <c r="B2159" s="22" t="inlineStr">
        <is>
          <t>桩头排</t>
        </is>
      </c>
      <c r="C2159" s="22" t="inlineStr">
        <is>
          <t>TMY 3*2*60*5</t>
        </is>
      </c>
      <c r="D2159" s="22" t="inlineStr">
        <is>
          <t>国产优质</t>
        </is>
      </c>
      <c r="E2159" s="23" t="inlineStr">
        <is>
          <t>米</t>
        </is>
      </c>
      <c r="F2159" s="23" t="n">
        <v>1.5</v>
      </c>
      <c r="G2159" s="349">
        <f>IF(AND(B2159="",C2159=""),"",ROUND(M2159*L2159*N2159,2))</f>
        <v/>
      </c>
      <c r="H2159" s="349">
        <f>IF(AND(B2159="",C2159=""),"",ROUND(F2159*G2159,2))</f>
        <v/>
      </c>
      <c r="I2159" s="45" t="inlineStr"/>
      <c r="J2159" s="422">
        <f>IF(AND(B2159="",C2159=""),"",ROUND(M2159*N2159,2))</f>
        <v/>
      </c>
      <c r="K2159" s="423">
        <f>IF(AND(B2159="",C2159=""),"",ROUND(J2159*F2159,2))</f>
        <v/>
      </c>
      <c r="L2159" s="225" t="n">
        <v>1</v>
      </c>
      <c r="M2159" s="424" t="n">
        <v>1731.8421</v>
      </c>
      <c r="N2159" s="227" t="n">
        <v>1</v>
      </c>
      <c r="O2159" s="228">
        <f>IF(AND(B2159="",C2159=""),"",IF(G2159&gt;=20000,0.05,IF(G2159&gt;=10000,0.1,IF(G2159&gt;=5000,0.2,IF(G2159&gt;=1000,0.3,IF(G2159&gt;=0,0.4,{0}))))))</f>
        <v/>
      </c>
      <c r="P2159" s="425">
        <f>IF(AND(B2159="",C2159=""),"",ROUND(H2159*O2159,2))</f>
        <v/>
      </c>
      <c r="Q2159" s="426" t="inlineStr">
        <is>
          <t>母排</t>
        </is>
      </c>
      <c r="R2159" s="234" t="inlineStr"/>
      <c r="S2159" s="234" t="inlineStr"/>
      <c r="T2159" s="235" t="inlineStr">
        <is>
          <t>0</t>
        </is>
      </c>
      <c r="U2159" s="235" t="inlineStr"/>
      <c r="V2159" s="427" t="n"/>
      <c r="W2159" s="427" t="n"/>
      <c r="X2159" s="237" t="inlineStr">
        <is>
          <t>TMY 2*30*5→TMY 30*8</t>
        </is>
      </c>
    </row>
    <row r="2160" customFormat="1" s="5">
      <c r="A2160" s="64">
        <f>ROW()-ROW(A$2143)</f>
        <v/>
      </c>
      <c r="B2160" s="22" t="inlineStr">
        <is>
          <t>N排</t>
        </is>
      </c>
      <c r="C2160" s="22" t="inlineStr">
        <is>
          <t>TMY 80*10</t>
        </is>
      </c>
      <c r="D2160" s="22" t="inlineStr">
        <is>
          <t>国产优质</t>
        </is>
      </c>
      <c r="E2160" s="23" t="inlineStr">
        <is>
          <t>米</t>
        </is>
      </c>
      <c r="F2160" s="23" t="n">
        <v>1.8</v>
      </c>
      <c r="G2160" s="349">
        <f>IF(AND(B2160="",C2160=""),"",ROUND(M2160*L2160*N2160,2))</f>
        <v/>
      </c>
      <c r="H2160" s="349">
        <f>IF(AND(B2160="",C2160=""),"",ROUND(F2160*G2160,2))</f>
        <v/>
      </c>
      <c r="I2160" s="45" t="inlineStr"/>
      <c r="J2160" s="422">
        <f>IF(AND(B2160="",C2160=""),"",ROUND(M2160*N2160,2))</f>
        <v/>
      </c>
      <c r="K2160" s="423">
        <f>IF(AND(B2160="",C2160=""),"",ROUND(J2160*F2160,2))</f>
        <v/>
      </c>
      <c r="L2160" s="225" t="n">
        <v>1</v>
      </c>
      <c r="M2160" s="424" t="n">
        <v>769.7076</v>
      </c>
      <c r="N2160" s="227" t="n">
        <v>1</v>
      </c>
      <c r="O2160" s="228">
        <f>IF(AND(B2160="",C2160=""),"",IF(G2160&gt;=20000,0.05,IF(G2160&gt;=10000,0.1,IF(G2160&gt;=5000,0.2,IF(G2160&gt;=1000,0.3,IF(G2160&gt;=0,0.4,{0}))))))</f>
        <v/>
      </c>
      <c r="P2160" s="425">
        <f>IF(AND(B2160="",C2160=""),"",ROUND(H2160*O2160,2))</f>
        <v/>
      </c>
      <c r="Q2160" s="426" t="inlineStr">
        <is>
          <t>母排</t>
        </is>
      </c>
      <c r="R2160" s="234" t="inlineStr"/>
      <c r="S2160" s="234" t="inlineStr"/>
      <c r="T2160" s="235" t="inlineStr">
        <is>
          <t>0</t>
        </is>
      </c>
      <c r="U2160" s="235" t="inlineStr"/>
      <c r="V2160" s="427" t="n"/>
      <c r="W2160" s="427" t="n"/>
      <c r="X2160" s="237" t="inlineStr">
        <is>
          <t>TMY 2*30*5→TMY 30*8</t>
        </is>
      </c>
    </row>
    <row r="2161" customFormat="1" s="5">
      <c r="A2161" s="64">
        <f>ROW()-ROW(A$2143)</f>
        <v/>
      </c>
      <c r="B2161" s="22" t="inlineStr">
        <is>
          <t>PE排</t>
        </is>
      </c>
      <c r="C2161" s="22" t="inlineStr">
        <is>
          <t>TMY 2*50*5</t>
        </is>
      </c>
      <c r="D2161" s="22" t="inlineStr">
        <is>
          <t>国产优质</t>
        </is>
      </c>
      <c r="E2161" s="23" t="inlineStr">
        <is>
          <t>米</t>
        </is>
      </c>
      <c r="F2161" s="23" t="n">
        <v>2</v>
      </c>
      <c r="G2161" s="349">
        <f>IF(AND(B2161="",C2161=""),"",ROUND(M2161*L2161*N2161,2))</f>
        <v/>
      </c>
      <c r="H2161" s="349">
        <f>IF(AND(B2161="",C2161=""),"",ROUND(F2161*G2161,2))</f>
        <v/>
      </c>
      <c r="I2161" s="45" t="inlineStr"/>
      <c r="J2161" s="422">
        <f>IF(AND(B2161="",C2161=""),"",ROUND(M2161*N2161,2))</f>
        <v/>
      </c>
      <c r="K2161" s="423">
        <f>IF(AND(B2161="",C2161=""),"",ROUND(J2161*F2161,2))</f>
        <v/>
      </c>
      <c r="L2161" s="225" t="n">
        <v>1</v>
      </c>
      <c r="M2161" s="424" t="n">
        <v>481.06725</v>
      </c>
      <c r="N2161" s="227" t="n">
        <v>1</v>
      </c>
      <c r="O2161" s="228">
        <f>IF(AND(B2161="",C2161=""),"",IF(G2161&gt;=20000,0.05,IF(G2161&gt;=10000,0.1,IF(G2161&gt;=5000,0.2,IF(G2161&gt;=1000,0.3,IF(G2161&gt;=0,0.4,{0}))))))</f>
        <v/>
      </c>
      <c r="P2161" s="425">
        <f>IF(AND(B2161="",C2161=""),"",ROUND(H2161*O2161,2))</f>
        <v/>
      </c>
      <c r="Q2161" s="426" t="inlineStr">
        <is>
          <t>母排</t>
        </is>
      </c>
      <c r="R2161" s="234" t="inlineStr"/>
      <c r="S2161" s="234" t="inlineStr"/>
      <c r="T2161" s="235" t="inlineStr">
        <is>
          <t>0</t>
        </is>
      </c>
      <c r="U2161" s="235" t="inlineStr"/>
      <c r="V2161" s="427" t="n"/>
      <c r="W2161" s="427" t="n"/>
      <c r="X2161" s="237" t="inlineStr">
        <is>
          <t>TMY 2*30*5→TMY 30*8</t>
        </is>
      </c>
    </row>
    <row r="2162" s="308">
      <c r="A2162" s="64">
        <f>ROW()-ROW(A$2143)</f>
        <v/>
      </c>
      <c r="B2162" s="22" t="inlineStr">
        <is>
          <t>辅料</t>
        </is>
      </c>
      <c r="C2162" s="22" t="inlineStr"/>
      <c r="D2162" s="22" t="inlineStr"/>
      <c r="E2162" s="23" t="inlineStr">
        <is>
          <t>套</t>
        </is>
      </c>
      <c r="F2162" s="23" t="n">
        <v>1</v>
      </c>
      <c r="G2162" s="349">
        <f>IF(AND(B2162="",C2162=""),"",ROUND(M2162*L2162*N2162,2))</f>
        <v/>
      </c>
      <c r="H2162" s="349">
        <f>IF(AND(B2162="",C2162=""),"",ROUND(F2162*G2162,2))</f>
        <v/>
      </c>
      <c r="I2162" s="179" t="inlineStr"/>
      <c r="J2162" s="397">
        <f>IF(AND(B2162="",C2162=""),"",ROUND(M2162*N2162,2))</f>
        <v/>
      </c>
      <c r="K2162" s="398">
        <f>IF(AND(B2162="",C2162=""),"",ROUND(J2162*F2162,2))</f>
        <v/>
      </c>
      <c r="L2162" s="141" t="n">
        <v>1</v>
      </c>
      <c r="M2162" s="399" t="n">
        <v>550</v>
      </c>
      <c r="N2162" s="154" t="n">
        <v>1</v>
      </c>
      <c r="O2162" s="155">
        <f>IF(AND(B2162="",C2162=""),"",IF(G2162&gt;=20000,0.05,IF(G2162&gt;=10000,0.1,IF(G2162&gt;=5000,0.2,IF(G2162&gt;=1000,0.3,IF(G2162&gt;=0,0.4,{0}))))))</f>
        <v/>
      </c>
      <c r="P2162" s="400">
        <f>IF(AND(B2162="",C2162=""),"",ROUND(H2162*O2162,2))</f>
        <v/>
      </c>
      <c r="Q2162" s="401" t="inlineStr">
        <is>
          <t>辅料</t>
        </is>
      </c>
      <c r="R2162" s="168" t="inlineStr"/>
      <c r="S2162" s="168" t="inlineStr"/>
      <c r="T2162" s="168" t="inlineStr">
        <is>
          <t>0</t>
        </is>
      </c>
      <c r="U2162" s="168" t="inlineStr"/>
      <c r="V2162" s="402" t="n"/>
      <c r="W2162" s="402" t="n"/>
      <c r="X2162" s="170" t="inlineStr"/>
    </row>
    <row r="2163" s="308">
      <c r="A2163" s="64">
        <f>ROW()-ROW(A$2143)</f>
        <v/>
      </c>
      <c r="B2163" s="22" t="inlineStr">
        <is>
          <t>柜体Blokset</t>
        </is>
      </c>
      <c r="C2163" s="33" t="inlineStr">
        <is>
          <t>400W*1200D*2200H</t>
        </is>
      </c>
      <c r="D2163" s="22" t="inlineStr">
        <is>
          <t>清科</t>
        </is>
      </c>
      <c r="E2163" s="23" t="inlineStr">
        <is>
          <t>台</t>
        </is>
      </c>
      <c r="F2163" s="23" t="n">
        <v>1</v>
      </c>
      <c r="G2163" s="349">
        <f>IF(AND(B2163="",C2163=""),"",ROUND(M2163*L2163*N2163,2))</f>
        <v/>
      </c>
      <c r="H2163" s="349">
        <f>IF(AND(B2163="",C2163=""),"",ROUND(F2163*G2163,2))</f>
        <v/>
      </c>
      <c r="I2163" s="179" t="inlineStr"/>
      <c r="J2163" s="397">
        <f>IF(AND(B2163="",C2163=""),"",ROUND(M2163*N2163,2))</f>
        <v/>
      </c>
      <c r="K2163" s="398">
        <f>IF(AND(B2163="",C2163=""),"",ROUND(J2163*F2163,2))</f>
        <v/>
      </c>
      <c r="L2163" s="141" t="n">
        <v>1</v>
      </c>
      <c r="M2163" s="399" t="n">
        <v>4010</v>
      </c>
      <c r="N2163" s="154" t="n">
        <v>1</v>
      </c>
      <c r="O2163" s="155">
        <f>IF(AND(B2163="",C2163=""),"",IF(G2163&gt;=20000,0.05,IF(G2163&gt;=10000,0.1,IF(G2163&gt;=5000,0.2,IF(G2163&gt;=1000,0.3,IF(G2163&gt;=0,0.4,{0}))))))</f>
        <v/>
      </c>
      <c r="P2163" s="400">
        <f>IF(AND(B2163="",C2163=""),"",ROUND(H2163*O2163,2))</f>
        <v/>
      </c>
      <c r="Q2163" s="401" t="inlineStr">
        <is>
          <t>箱体</t>
        </is>
      </c>
      <c r="R2163" s="168" t="inlineStr"/>
      <c r="S2163" s="168" t="inlineStr"/>
      <c r="T2163" s="168" t="inlineStr">
        <is>
          <t>0</t>
        </is>
      </c>
      <c r="U2163" s="168" t="inlineStr"/>
      <c r="V2163" s="402" t="n"/>
      <c r="W2163" s="402" t="n"/>
      <c r="X2163" s="170" t="inlineStr"/>
    </row>
    <row r="2164" customFormat="1" s="3">
      <c r="A2164" s="64">
        <f>ROW()-ROW(A$2143)</f>
        <v/>
      </c>
      <c r="B2164" s="27" t="inlineStr"/>
      <c r="C2164" s="27" t="inlineStr"/>
      <c r="D2164" s="27" t="inlineStr"/>
      <c r="E2164" s="28" t="n"/>
      <c r="F2164" s="28">
        <f>IF(AND(B2164="",C2164=""),"",1)</f>
        <v/>
      </c>
      <c r="G2164" s="353" t="n"/>
      <c r="H2164" s="353">
        <f>IF(AND(B2164="",C2164=""),"",ROUND(F2164*G2164,2))</f>
        <v/>
      </c>
      <c r="I2164" s="180" t="inlineStr"/>
      <c r="J2164" s="392">
        <f>IF(AND(B2164="",C2164=""),"",ROUND(M2164*N2164,2))</f>
        <v/>
      </c>
      <c r="K2164" s="393">
        <f>IF(AND(B2164="",C2164=""),"",ROUND(J2164*F2164,2))</f>
        <v/>
      </c>
      <c r="L2164" s="141">
        <f>IF(AND(B2164="",C2164=""),"",1)</f>
        <v/>
      </c>
      <c r="M2164" s="394" t="n"/>
      <c r="N2164" s="143">
        <f>IF(AND(B2164="",C2164=""),"",1)</f>
        <v/>
      </c>
      <c r="O2164" s="144">
        <f>IF(AND(B2164="",C2164=""),"",IF(J2164&gt;=20000,0.05,IF(J2164&gt;=10000,0.1,IF(J2164&gt;=5000,0.2,IF(J2164&gt;=1000,0.3,IF(J2164&gt;=0,0.4,{0}))))))</f>
        <v/>
      </c>
      <c r="P2164" s="395">
        <f>IF(AND(B2164="",C2164=""),"",ROUND(H2164*O2164,2))</f>
        <v/>
      </c>
      <c r="Q2164" s="390">
        <f>IF(AND(B2164="",C2164=""),"","元件")</f>
        <v/>
      </c>
      <c r="R2164" s="164" t="inlineStr"/>
      <c r="S2164" s="164" t="inlineStr"/>
      <c r="T2164" s="164" t="inlineStr"/>
      <c r="U2164" s="164" t="inlineStr"/>
      <c r="V2164" s="391" t="n"/>
      <c r="W2164" s="391" t="n"/>
      <c r="X2164" s="166" t="inlineStr"/>
    </row>
    <row r="2165" customFormat="1" s="3">
      <c r="A2165" s="64">
        <f>ROW()-ROW(A$2143)</f>
        <v/>
      </c>
      <c r="B2165" s="27" t="inlineStr"/>
      <c r="C2165" s="27" t="inlineStr"/>
      <c r="D2165" s="27" t="inlineStr"/>
      <c r="E2165" s="28" t="n"/>
      <c r="F2165" s="28">
        <f>IF(AND(B2165="",C2165=""),"",1)</f>
        <v/>
      </c>
      <c r="G2165" s="353">
        <f>IF(AND(B2165="",C2165=""),"",ROUND(M2165*L2165*N2165,2))</f>
        <v/>
      </c>
      <c r="H2165" s="353">
        <f>IF(AND(B2165="",C2165=""),"",ROUND(F2165*G2165,2))</f>
        <v/>
      </c>
      <c r="I2165" s="180" t="inlineStr"/>
      <c r="J2165" s="392">
        <f>IF(AND(B2165="",C2165=""),"",ROUND(M2165*N2165,2))</f>
        <v/>
      </c>
      <c r="K2165" s="393">
        <f>IF(AND(B2165="",C2165=""),"",ROUND(J2165*F2165,2))</f>
        <v/>
      </c>
      <c r="L2165" s="141">
        <f>IF(AND(B2165="",C2165=""),"",1)</f>
        <v/>
      </c>
      <c r="M2165" s="394" t="n"/>
      <c r="N2165" s="143">
        <f>IF(AND(B2165="",C2165=""),"",1)</f>
        <v/>
      </c>
      <c r="O2165" s="144">
        <f>IF(AND(B2165="",C2165=""),"",IF(J2165&gt;=20000,0.05,IF(J2165&gt;=10000,0.1,IF(J2165&gt;=5000,0.2,IF(J2165&gt;=1000,0.3,IF(J2165&gt;=0,0.4,{0}))))))</f>
        <v/>
      </c>
      <c r="P2165" s="395">
        <f>IF(AND(B2165="",C2165=""),"",ROUND(H2165*O2165,2))</f>
        <v/>
      </c>
      <c r="Q2165" s="390">
        <f>IF(AND(B2165="",C2165=""),"","元件")</f>
        <v/>
      </c>
      <c r="R2165" s="164" t="inlineStr"/>
      <c r="S2165" s="164" t="inlineStr"/>
      <c r="T2165" s="164" t="inlineStr"/>
      <c r="U2165" s="164" t="inlineStr"/>
      <c r="V2165" s="391" t="n"/>
      <c r="W2165" s="391" t="n"/>
      <c r="X2165" s="166" t="inlineStr"/>
    </row>
    <row r="2166" customFormat="1" s="3">
      <c r="A2166" s="64">
        <f>ROW()-ROW(A$2143)</f>
        <v/>
      </c>
      <c r="B2166" s="171" t="inlineStr">
        <is>
          <t>小计</t>
        </is>
      </c>
      <c r="C2166" s="172" t="n"/>
      <c r="D2166" s="82" t="n"/>
      <c r="E2166" s="28" t="n"/>
      <c r="F2166" s="28" t="n"/>
      <c r="G2166" s="353" t="n"/>
      <c r="H2166" s="353">
        <f>ROUND(SUM(H2143:INDEX(H:H,ROW()-1)),2)</f>
        <v/>
      </c>
      <c r="I2166" s="45" t="inlineStr"/>
      <c r="J2166" s="392" t="n"/>
      <c r="K2166" s="393">
        <f>ROUND(SUM(K2143:INDEX(K:K,ROW()-1)),2)</f>
        <v/>
      </c>
      <c r="L2166" s="141" t="n"/>
      <c r="M2166" s="394" t="n"/>
      <c r="N2166" s="143" t="n"/>
      <c r="O2166" s="144" t="n"/>
      <c r="P2166" s="395" t="n"/>
      <c r="Q2166" s="390" t="n"/>
      <c r="R2166" s="164" t="inlineStr"/>
      <c r="S2166" s="164" t="inlineStr"/>
      <c r="T2166" s="164" t="inlineStr"/>
      <c r="U2166" s="164" t="inlineStr"/>
      <c r="V2166" s="391">
        <f>ROUND(SUMPRODUCT(F2143:INDEX(F:F,ROW()-1),V2143:INDEX(V:V,ROW()-1)),2)</f>
        <v/>
      </c>
      <c r="W2166" s="391">
        <f>ROUND(SUMPRODUCT(F2143:INDEX(F:F,ROW()-1),W2143:INDEX(W:W,ROW()-1)),2)</f>
        <v/>
      </c>
      <c r="X2166" s="166" t="inlineStr"/>
    </row>
    <row r="2167" customFormat="1" s="3">
      <c r="A2167" s="64">
        <f>ROW()-ROW(A$2143)</f>
        <v/>
      </c>
      <c r="B2167" s="171" t="inlineStr">
        <is>
          <t>综合费(人工、管理、税金、利润等)</t>
        </is>
      </c>
      <c r="C2167" s="172" t="n"/>
      <c r="D2167" s="82" t="n"/>
      <c r="E2167" s="28" t="n"/>
      <c r="F2167" s="28" t="n"/>
      <c r="G2167" s="353" t="n"/>
      <c r="H2167" s="353">
        <f>2500</f>
        <v/>
      </c>
      <c r="I2167" s="45" t="inlineStr"/>
      <c r="J2167" s="392" t="n"/>
      <c r="K2167" s="393" t="n"/>
      <c r="L2167" s="141" t="n"/>
      <c r="M2167" s="394" t="n"/>
      <c r="N2167" s="143" t="n"/>
      <c r="O2167" s="144" t="n"/>
      <c r="P2167" s="395" t="n"/>
      <c r="Q2167" s="390" t="inlineStr">
        <is>
          <t>费用</t>
        </is>
      </c>
      <c r="R2167" s="164" t="inlineStr"/>
      <c r="S2167" s="164" t="inlineStr"/>
      <c r="T2167" s="164" t="inlineStr"/>
      <c r="U2167" s="164" t="inlineStr"/>
      <c r="V2167" s="391" t="n"/>
      <c r="W2167" s="391" t="n"/>
      <c r="X2167" s="166" t="inlineStr"/>
    </row>
    <row r="2168" customFormat="1" s="3">
      <c r="A2168" s="64">
        <f>ROW()-ROW(A$2143)</f>
        <v/>
      </c>
      <c r="B2168" s="82" t="inlineStr">
        <is>
          <t>单台合计</t>
        </is>
      </c>
      <c r="C2168" s="172" t="n"/>
      <c r="D2168" s="82" t="n"/>
      <c r="E2168" s="28" t="n"/>
      <c r="F2168" s="28" t="n"/>
      <c r="G2168" s="353" t="n"/>
      <c r="H2168" s="353">
        <f>ROUND(SUM(H2166:H2167),2)</f>
        <v/>
      </c>
      <c r="I2168" s="181" t="n"/>
      <c r="J2168" s="392" t="n"/>
      <c r="K2168" s="393">
        <f>ROUND(SUM(K2166:K2167),2)</f>
        <v/>
      </c>
      <c r="L2168" s="182" t="n"/>
      <c r="M2168" s="394" t="n"/>
      <c r="N2168" s="183" t="n"/>
      <c r="O2168" s="184" t="n"/>
      <c r="P2168" s="395" t="n"/>
      <c r="Q2168" s="390" t="n"/>
      <c r="R2168" s="164" t="inlineStr"/>
      <c r="S2168" s="164" t="inlineStr"/>
      <c r="T2168" s="164" t="inlineStr"/>
      <c r="U2168" s="164" t="inlineStr"/>
      <c r="V2168" s="391" t="n"/>
      <c r="W2168" s="391" t="n"/>
      <c r="X2168" s="166" t="inlineStr"/>
    </row>
    <row r="2169" customFormat="1" s="3">
      <c r="A2169" s="173" t="inlineStr">
        <is>
          <t>总计</t>
        </is>
      </c>
      <c r="B2169" s="174" t="n"/>
      <c r="C2169" s="175" t="n"/>
      <c r="D2169" s="176" t="n"/>
      <c r="E2169" s="176" t="inlineStr">
        <is>
          <t>台</t>
        </is>
      </c>
      <c r="F2169" s="176" t="n">
        <v>2</v>
      </c>
      <c r="G2169" s="403">
        <f>ROUND(H2168,2)</f>
        <v/>
      </c>
      <c r="H2169" s="403">
        <f>ROUND(F2169*G2169,2)</f>
        <v/>
      </c>
      <c r="I2169" s="185" t="n"/>
      <c r="J2169" s="404" t="n"/>
      <c r="K2169" s="405">
        <f>ROUND(K2168*F2169,2)</f>
        <v/>
      </c>
      <c r="L2169" s="188" t="n"/>
      <c r="M2169" s="406" t="n"/>
      <c r="N2169" s="190" t="n"/>
      <c r="O2169" s="191" t="n"/>
      <c r="P2169" s="407" t="n"/>
      <c r="Q2169" s="390" t="n"/>
      <c r="R2169" s="164" t="inlineStr"/>
      <c r="S2169" s="164" t="inlineStr"/>
      <c r="T2169" s="164" t="inlineStr"/>
      <c r="U2169" s="164" t="inlineStr"/>
      <c r="V2169" s="391" t="n"/>
      <c r="W2169" s="391" t="n"/>
      <c r="X2169" s="166" t="inlineStr"/>
    </row>
    <row r="2170" customFormat="1" s="2">
      <c r="A2170" s="89" t="n"/>
      <c r="B2170" s="132" t="inlineStr"/>
      <c r="C2170" s="132" t="inlineStr"/>
      <c r="D2170" s="132" t="inlineStr"/>
      <c r="Q2170" s="160" t="n"/>
      <c r="R2170" s="160" t="n"/>
      <c r="S2170" s="160" t="n"/>
      <c r="T2170" s="160" t="n"/>
      <c r="U2170" s="160" t="n"/>
      <c r="X2170" s="132" t="inlineStr"/>
    </row>
    <row r="2171" customFormat="1" s="2">
      <c r="A2171" s="89" t="n"/>
      <c r="B2171" s="132" t="inlineStr"/>
      <c r="C2171" s="132" t="inlineStr"/>
      <c r="D2171" s="132" t="inlineStr"/>
      <c r="Q2171" s="160" t="n"/>
      <c r="R2171" s="160" t="n"/>
      <c r="S2171" s="160" t="n"/>
      <c r="T2171" s="160" t="n"/>
      <c r="U2171" s="160" t="n"/>
      <c r="X2171" s="132" t="inlineStr"/>
    </row>
    <row r="2172" customFormat="1" s="3">
      <c r="A2172" s="92">
        <f>CONCATENATE("报价人：",项目信息!$B$8)</f>
        <v/>
      </c>
      <c r="B2172" s="92" t="n"/>
      <c r="C2172" s="2" t="n"/>
      <c r="D2172" s="2" t="n"/>
      <c r="E2172" s="2" t="n"/>
      <c r="F2172" s="2" t="n"/>
      <c r="G2172" s="2" t="n"/>
      <c r="H2172" s="178">
        <f>项目信息!$B$9</f>
        <v/>
      </c>
      <c r="Q2172" s="160" t="n"/>
      <c r="R2172" s="160" t="n"/>
      <c r="S2172" s="160" t="n"/>
      <c r="T2172" s="160" t="n"/>
      <c r="U2172" s="160" t="n"/>
      <c r="X2172" s="162" t="inlineStr"/>
    </row>
    <row r="2173" s="308">
      <c r="A2173" s="8">
        <f>T(项目信息!$B$22)</f>
        <v/>
      </c>
      <c r="Q2173" s="159" t="n"/>
      <c r="R2173" s="159" t="n"/>
      <c r="S2173" s="159" t="n"/>
      <c r="T2173" s="159" t="n"/>
      <c r="U2173" s="159" t="n"/>
    </row>
    <row r="2174" s="308">
      <c r="A2174" s="9">
        <f>T(项目信息!$B$23)</f>
        <v/>
      </c>
      <c r="Q2174" s="159" t="n"/>
      <c r="R2174" s="159" t="n"/>
      <c r="S2174" s="159" t="n"/>
      <c r="T2174" s="159" t="n"/>
      <c r="U2174" s="159" t="n"/>
    </row>
    <row r="2175" s="308">
      <c r="A2175" s="97" t="inlineStr">
        <is>
          <t>成套产品报价明细表</t>
        </is>
      </c>
      <c r="B2175" s="378" t="n"/>
      <c r="C2175" s="378" t="n"/>
      <c r="D2175" s="378" t="n"/>
      <c r="E2175" s="378" t="n"/>
      <c r="F2175" s="378" t="n"/>
      <c r="G2175" s="378" t="n"/>
      <c r="H2175" s="378" t="n"/>
      <c r="I2175" s="378" t="n"/>
      <c r="Q2175" s="159" t="n"/>
      <c r="R2175" s="159" t="n"/>
      <c r="S2175" s="159" t="n"/>
      <c r="T2175" s="159" t="n"/>
      <c r="U2175" s="159" t="n"/>
    </row>
    <row r="2176" customFormat="1" s="4">
      <c r="A2176" s="98" t="inlineStr">
        <is>
          <t>柜号:</t>
        </is>
      </c>
      <c r="B2176" s="99" t="inlineStr">
        <is>
          <t>T9-AU13、T9-AU14、T10-BU13、T10-BU14</t>
        </is>
      </c>
      <c r="C2176" s="100" t="inlineStr">
        <is>
          <t>型号:</t>
        </is>
      </c>
      <c r="D2176" s="99" t="inlineStr">
        <is>
          <t>BlokSeT</t>
        </is>
      </c>
      <c r="E2176" s="379" t="n"/>
      <c r="F2176" s="101" t="inlineStr">
        <is>
          <t>名称:</t>
        </is>
      </c>
      <c r="G2176" s="99" t="inlineStr">
        <is>
          <t>馈线柜</t>
        </is>
      </c>
      <c r="H2176" s="379" t="n"/>
      <c r="I2176" s="408" t="inlineStr"/>
      <c r="J2176" s="194" t="inlineStr">
        <is>
          <t>箱柜尺寸:</t>
        </is>
      </c>
      <c r="K2176" s="195" t="inlineStr">
        <is>
          <t>600W*1200D*2200H</t>
        </is>
      </c>
      <c r="L2176" s="194" t="inlineStr">
        <is>
          <t>类别:</t>
        </is>
      </c>
      <c r="M2176" s="195" t="inlineStr">
        <is>
          <t>低压固定柜</t>
        </is>
      </c>
      <c r="N2176" s="409" t="inlineStr"/>
      <c r="Q2176" s="159" t="n"/>
      <c r="R2176" s="159" t="n"/>
      <c r="S2176" s="159" t="n"/>
      <c r="T2176" s="159" t="n"/>
      <c r="U2176" s="159" t="n"/>
    </row>
    <row r="2177" ht="20.1" customHeight="1" s="308">
      <c r="A2177" s="102" t="inlineStr">
        <is>
          <t>序号</t>
        </is>
      </c>
      <c r="B2177" s="103" t="inlineStr">
        <is>
          <t>元件名称</t>
        </is>
      </c>
      <c r="C2177" s="103" t="inlineStr">
        <is>
          <t>型号规格</t>
        </is>
      </c>
      <c r="D2177" s="104" t="inlineStr">
        <is>
          <t>生产厂家</t>
        </is>
      </c>
      <c r="E2177" s="105" t="inlineStr">
        <is>
          <t>单位</t>
        </is>
      </c>
      <c r="F2177" s="105" t="inlineStr">
        <is>
          <t>数量</t>
        </is>
      </c>
      <c r="G2177" s="382" t="inlineStr">
        <is>
          <t>单   价</t>
        </is>
      </c>
      <c r="H2177" s="383" t="inlineStr">
        <is>
          <t>总   价</t>
        </is>
      </c>
      <c r="I2177" s="134" t="inlineStr">
        <is>
          <t>备注</t>
        </is>
      </c>
      <c r="J2177" s="384" t="inlineStr">
        <is>
          <t>成本单价</t>
        </is>
      </c>
      <c r="K2177" s="384" t="inlineStr">
        <is>
          <t>成本总价</t>
        </is>
      </c>
      <c r="L2177" s="136" t="inlineStr">
        <is>
          <t>报出
系数</t>
        </is>
      </c>
      <c r="M2177" s="384" t="inlineStr">
        <is>
          <t>表价</t>
        </is>
      </c>
      <c r="N2177" s="136" t="inlineStr">
        <is>
          <t>折扣
系数</t>
        </is>
      </c>
      <c r="O2177" s="137" t="inlineStr">
        <is>
          <t>取费
系数</t>
        </is>
      </c>
      <c r="P2177" s="384" t="inlineStr">
        <is>
          <t>成套费</t>
        </is>
      </c>
      <c r="Q2177" s="161" t="inlineStr">
        <is>
          <t>类别</t>
        </is>
      </c>
      <c r="R2177" s="161" t="inlineStr">
        <is>
          <t>物料编码</t>
        </is>
      </c>
      <c r="S2177" s="161" t="inlineStr">
        <is>
          <t>产地</t>
        </is>
      </c>
      <c r="T2177" s="161" t="inlineStr">
        <is>
          <t>加工费</t>
        </is>
      </c>
      <c r="U2177" s="161" t="inlineStr">
        <is>
          <t>订货号</t>
        </is>
      </c>
      <c r="V2177" s="161" t="inlineStr">
        <is>
          <t>人工</t>
        </is>
      </c>
      <c r="W2177" s="161" t="inlineStr">
        <is>
          <t>辅料</t>
        </is>
      </c>
      <c r="X2177" s="203" t="inlineStr"/>
    </row>
    <row r="2178" s="308">
      <c r="A2178" s="64">
        <f>ROW()-ROW(A$2177)</f>
        <v/>
      </c>
      <c r="B2178" s="22" t="inlineStr">
        <is>
          <t>塑壳断路器</t>
        </is>
      </c>
      <c r="C2178" s="22" t="inlineStr">
        <is>
          <t>NSX400H Mic2.3 400A 3P3D P</t>
        </is>
      </c>
      <c r="D2178" s="22" t="inlineStr">
        <is>
          <t>甲供/施耐德电气</t>
        </is>
      </c>
      <c r="E2178" s="23" t="inlineStr">
        <is>
          <t>只</t>
        </is>
      </c>
      <c r="F2178" s="23" t="n">
        <v>7</v>
      </c>
      <c r="G2178" s="349">
        <f>IF(AND(B2178="",C2178=""),"",ROUND(M2178*L2178*N2178,2))</f>
        <v/>
      </c>
      <c r="H2178" s="349">
        <f>IF(AND(B2178="",C2178=""),"",ROUND(F2178*G2178,2))</f>
        <v/>
      </c>
      <c r="I2178" s="45" t="inlineStr"/>
      <c r="J2178" s="397">
        <f>IF(AND(B2178="",C2178=""),"",ROUND(M2178*N2178,2))</f>
        <v/>
      </c>
      <c r="K2178" s="398">
        <f>IF(AND(B2178="",C2178=""),"",ROUND(J2178*F2178,2))</f>
        <v/>
      </c>
      <c r="L2178" s="200" t="n">
        <v>1</v>
      </c>
      <c r="M2178" s="399" t="n">
        <v>1e-07</v>
      </c>
      <c r="N2178" s="154" t="n">
        <v>1</v>
      </c>
      <c r="O2178" s="155">
        <f>IF(AND(B2178="",C2178=""),"",IF(G2178&gt;=20000,0.05,IF(G2178&gt;=10000,0.1,IF(G2178&gt;=5000,0.2,IF(G2178&gt;=1000,0.3,IF(G2178&gt;=0,0.4,{0}))))))</f>
        <v/>
      </c>
      <c r="P2178" s="400">
        <f>IF(AND(B2178="",C2178=""),"",ROUND(H2178*O2178,2))</f>
        <v/>
      </c>
      <c r="Q2178" s="401" t="inlineStr">
        <is>
          <t>元件</t>
        </is>
      </c>
      <c r="R2178" s="168" t="inlineStr"/>
      <c r="S2178" s="168" t="inlineStr"/>
      <c r="T2178" s="168" t="inlineStr">
        <is>
          <t>0</t>
        </is>
      </c>
      <c r="U2178" s="168" t="inlineStr"/>
      <c r="V2178" s="402" t="n"/>
      <c r="W2178" s="402" t="n"/>
      <c r="X2178" s="170" t="inlineStr"/>
    </row>
    <row r="2179" s="308">
      <c r="A2179" s="64">
        <f>ROW()-ROW(A$2177)</f>
        <v/>
      </c>
      <c r="B2179" s="22" t="inlineStr">
        <is>
          <t>电流互感器</t>
        </is>
      </c>
      <c r="C2179" s="22" t="inlineStr">
        <is>
          <t>SD-0.66-40II-C 400/5A</t>
        </is>
      </c>
      <c r="D2179" s="22" t="inlineStr">
        <is>
          <t>桑迪</t>
        </is>
      </c>
      <c r="E2179" s="23" t="inlineStr">
        <is>
          <t>只</t>
        </is>
      </c>
      <c r="F2179" s="23" t="n">
        <v>21</v>
      </c>
      <c r="G2179" s="349">
        <f>IF(AND(B2179="",C2179=""),"",ROUND(M2179*L2179*N2179,2))</f>
        <v/>
      </c>
      <c r="H2179" s="396">
        <f>IF(AND(B2179="",C2179=""),"",ROUND(F2179*G2179,2))</f>
        <v/>
      </c>
      <c r="I2179" s="219" t="inlineStr"/>
      <c r="J2179" s="397">
        <f>IF(AND(B2179="",C2179=""),"",ROUND(M2179*N2179,2))</f>
        <v/>
      </c>
      <c r="K2179" s="398">
        <f>IF(AND(B2179="",C2179=""),"",ROUND(J2179*F2179,2))</f>
        <v/>
      </c>
      <c r="L2179" s="200" t="n">
        <v>1</v>
      </c>
      <c r="M2179" s="399" t="n">
        <v>52</v>
      </c>
      <c r="N2179" s="154" t="n">
        <v>1</v>
      </c>
      <c r="O2179" s="155">
        <f>IF(AND(B2179="",C2179=""),"",IF(G2179&gt;=20000,0.05,IF(G2179&gt;=10000,0.1,IF(G2179&gt;=5000,0.2,IF(G2179&gt;=1000,0.3,IF(G2179&gt;=0,0.4,{0}))))))</f>
        <v/>
      </c>
      <c r="P2179" s="400">
        <f>IF(AND(B2179="",C2179=""),"",ROUND(H2179*O2179,2))</f>
        <v/>
      </c>
      <c r="Q2179" s="401" t="inlineStr">
        <is>
          <t>元件</t>
        </is>
      </c>
      <c r="R2179" s="168" t="inlineStr"/>
      <c r="S2179" s="168" t="inlineStr"/>
      <c r="T2179" s="168" t="inlineStr">
        <is>
          <t>0</t>
        </is>
      </c>
      <c r="U2179" s="168" t="inlineStr">
        <is>
          <t>710140200000049</t>
        </is>
      </c>
      <c r="V2179" s="402" t="n"/>
      <c r="W2179" s="402" t="n"/>
      <c r="X2179" s="170" t="inlineStr">
        <is>
          <t>SD→SD-0.66-40II-C 400/5A→SD-0.66-30I 250/5A→SD-0.66-30I 150/5A→SD-0.66-60II-C 750/5A→SD-0.66-60II-C 600/5A→SD-0.66-30I 150/5A→SD-0.66-40II-C 400/5A→SD-0.66-100II-C 1600/5A→SD-0.66-80II-V 1000/5A</t>
        </is>
      </c>
    </row>
    <row r="2180" s="308">
      <c r="A2180" s="64">
        <f>ROW()-ROW(A$2177)</f>
        <v/>
      </c>
      <c r="B2180" s="112" t="inlineStr">
        <is>
          <t>多功能表</t>
        </is>
      </c>
      <c r="C2180" s="112" t="inlineStr">
        <is>
          <t>PM4101</t>
        </is>
      </c>
      <c r="D2180" s="112" t="inlineStr">
        <is>
          <t>甲供/施耐德电气</t>
        </is>
      </c>
      <c r="E2180" s="114" t="inlineStr">
        <is>
          <t>只</t>
        </is>
      </c>
      <c r="F2180" s="114" t="n">
        <v>7</v>
      </c>
      <c r="G2180" s="396">
        <f>IF(AND(B2180="",C2180=""),"",ROUND(M2180*L2180*N2180,2))</f>
        <v/>
      </c>
      <c r="H2180" s="349">
        <f>IF(AND(B2180="",C2180=""),"",ROUND(F2180*G2180,2))</f>
        <v/>
      </c>
      <c r="I2180" s="45" t="inlineStr"/>
      <c r="J2180" s="397">
        <f>IF(AND(B2180="",C2180=""),"",ROUND(M2180*N2180,2))</f>
        <v/>
      </c>
      <c r="K2180" s="398">
        <f>IF(AND(B2180="",C2180=""),"",ROUND(J2180*F2180,2))</f>
        <v/>
      </c>
      <c r="L2180" s="200" t="n">
        <v>1</v>
      </c>
      <c r="M2180" s="399" t="n">
        <v>1e-07</v>
      </c>
      <c r="N2180" s="154" t="n">
        <v>1</v>
      </c>
      <c r="O2180" s="155">
        <f>IF(AND(B2180="",C2180=""),"",IF(J2180&gt;=20000,0.05,IF(J2180&gt;=10000,0.1,IF(J2180&gt;=5000,0.2,IF(J2180&gt;=1000,0.3,IF(J2180&gt;=0,0.4,{0}))))))</f>
        <v/>
      </c>
      <c r="P2180" s="400">
        <f>IF(AND(B2180="",C2180=""),"",ROUND(H2180*O2180,2))</f>
        <v/>
      </c>
      <c r="Q2180" s="401" t="inlineStr">
        <is>
          <t>元件</t>
        </is>
      </c>
      <c r="R2180" s="168" t="inlineStr"/>
      <c r="S2180" s="168" t="inlineStr"/>
      <c r="T2180" s="168" t="inlineStr">
        <is>
          <t>0</t>
        </is>
      </c>
      <c r="U2180" s="168" t="inlineStr"/>
      <c r="V2180" s="402" t="n"/>
      <c r="W2180" s="402" t="n"/>
      <c r="X2180" s="170" t="inlineStr"/>
    </row>
    <row r="2181" customFormat="1" s="3">
      <c r="A2181" s="64">
        <f>ROW()-ROW(A$2177)</f>
        <v/>
      </c>
      <c r="B2181" s="22" t="inlineStr">
        <is>
          <t>指示灯</t>
        </is>
      </c>
      <c r="C2181" s="22" t="inlineStr">
        <is>
          <t>XB2BVM3LC</t>
        </is>
      </c>
      <c r="D2181" s="22" t="inlineStr">
        <is>
          <t>甲供/施耐德电气</t>
        </is>
      </c>
      <c r="E2181" s="23" t="inlineStr">
        <is>
          <t>只</t>
        </is>
      </c>
      <c r="F2181" s="23" t="n">
        <v>7</v>
      </c>
      <c r="G2181" s="349">
        <f>IF(AND(B2181="",C2181=""),"",ROUND(M2181*L2181*N2181,2))</f>
        <v/>
      </c>
      <c r="H2181" s="353">
        <f>IF(AND(B2181="",C2181=""),"",ROUND(F2181*G2181,2))</f>
        <v/>
      </c>
      <c r="I2181" s="180" t="inlineStr"/>
      <c r="J2181" s="392">
        <f>IF(AND(B2181="",C2181=""),"",ROUND(M2181*N2181,2))</f>
        <v/>
      </c>
      <c r="K2181" s="393">
        <f>IF(AND(B2181="",C2181=""),"",ROUND(J2181*F2181,2))</f>
        <v/>
      </c>
      <c r="L2181" s="141" t="n">
        <v>1</v>
      </c>
      <c r="M2181" s="394" t="n">
        <v>1e-07</v>
      </c>
      <c r="N2181" s="220" t="n">
        <v>1</v>
      </c>
      <c r="O2181" s="221">
        <f>IF(AND(B2181="",C2181=""),"",IF(G2181&gt;=20000,0.05,IF(G2181&gt;=10000,0.1,IF(G2181&gt;=5000,0.2,IF(G2181&gt;=1000,0.3,IF(G2181&gt;=0,0.4,{0}))))))</f>
        <v/>
      </c>
      <c r="P2181" s="419">
        <f>IF(AND(B2181="",C2181=""),"",ROUND(H2181*O2181,2))</f>
        <v/>
      </c>
      <c r="Q2181" s="420" t="inlineStr">
        <is>
          <t>元件</t>
        </is>
      </c>
      <c r="R2181" s="231" t="inlineStr"/>
      <c r="S2181" s="231" t="inlineStr"/>
      <c r="T2181" s="231" t="inlineStr">
        <is>
          <t>0</t>
        </is>
      </c>
      <c r="U2181" s="231" t="inlineStr">
        <is>
          <t>XB2BVM3LC</t>
        </is>
      </c>
      <c r="V2181" s="421" t="n"/>
      <c r="W2181" s="421" t="n"/>
      <c r="X2181" s="166" t="inlineStr">
        <is>
          <t>XA2EVM3LC</t>
        </is>
      </c>
    </row>
    <row r="2182" customFormat="1" s="3">
      <c r="A2182" s="64">
        <f>ROW()-ROW(A$2177)</f>
        <v/>
      </c>
      <c r="B2182" s="22" t="inlineStr">
        <is>
          <t>指示灯</t>
        </is>
      </c>
      <c r="C2182" s="22" t="inlineStr">
        <is>
          <t>XB2BVM4LC</t>
        </is>
      </c>
      <c r="D2182" s="22" t="inlineStr">
        <is>
          <t>甲供/施耐德电气</t>
        </is>
      </c>
      <c r="E2182" s="23" t="inlineStr">
        <is>
          <t>只</t>
        </is>
      </c>
      <c r="F2182" s="23" t="n">
        <v>7</v>
      </c>
      <c r="G2182" s="349">
        <f>IF(AND(B2182="",C2182=""),"",ROUND(M2182*L2182*N2182,2))</f>
        <v/>
      </c>
      <c r="H2182" s="353">
        <f>IF(AND(B2182="",C2182=""),"",ROUND(F2182*G2182,2))</f>
        <v/>
      </c>
      <c r="I2182" s="180" t="inlineStr"/>
      <c r="J2182" s="392">
        <f>IF(AND(B2182="",C2182=""),"",ROUND(M2182*N2182,2))</f>
        <v/>
      </c>
      <c r="K2182" s="393">
        <f>IF(AND(B2182="",C2182=""),"",ROUND(J2182*F2182,2))</f>
        <v/>
      </c>
      <c r="L2182" s="141" t="n">
        <v>1</v>
      </c>
      <c r="M2182" s="394" t="n">
        <v>1e-07</v>
      </c>
      <c r="N2182" s="220" t="n">
        <v>1</v>
      </c>
      <c r="O2182" s="221">
        <f>IF(AND(B2182="",C2182=""),"",IF(G2182&gt;=20000,0.05,IF(G2182&gt;=10000,0.1,IF(G2182&gt;=5000,0.2,IF(G2182&gt;=1000,0.3,IF(G2182&gt;=0,0.4,{0}))))))</f>
        <v/>
      </c>
      <c r="P2182" s="419">
        <f>IF(AND(B2182="",C2182=""),"",ROUND(H2182*O2182,2))</f>
        <v/>
      </c>
      <c r="Q2182" s="420" t="inlineStr">
        <is>
          <t>元件</t>
        </is>
      </c>
      <c r="R2182" s="231" t="inlineStr"/>
      <c r="S2182" s="231" t="inlineStr"/>
      <c r="T2182" s="231" t="inlineStr">
        <is>
          <t>0</t>
        </is>
      </c>
      <c r="U2182" s="231" t="inlineStr">
        <is>
          <t>XB2BVM4LC</t>
        </is>
      </c>
      <c r="V2182" s="421" t="n"/>
      <c r="W2182" s="421" t="n"/>
      <c r="X2182" s="166" t="inlineStr">
        <is>
          <t>XA2EVM4LC</t>
        </is>
      </c>
    </row>
    <row r="2183" s="308">
      <c r="A2183" s="64">
        <f>ROW()-ROW(A$2177)</f>
        <v/>
      </c>
      <c r="B2183" s="112" t="inlineStr">
        <is>
          <t>温湿度控制器</t>
        </is>
      </c>
      <c r="C2183" s="112" t="inlineStr">
        <is>
          <t>ATH48G-11</t>
        </is>
      </c>
      <c r="D2183" s="22" t="inlineStr">
        <is>
          <t>杭州安廷</t>
        </is>
      </c>
      <c r="E2183" s="23" t="inlineStr">
        <is>
          <t>套</t>
        </is>
      </c>
      <c r="F2183" s="23" t="n">
        <v>1</v>
      </c>
      <c r="G2183" s="349">
        <f>IF(AND(B2183="",C2183=""),"",ROUND(M2183*L2183*N2183,2))</f>
        <v/>
      </c>
      <c r="H2183" s="396">
        <f>IF(AND(B2183="",C2183=""),"",ROUND(F2183*G2183,2))</f>
        <v/>
      </c>
      <c r="I2183" s="150" t="inlineStr"/>
      <c r="J2183" s="397">
        <f>IF(AND(B2183="",C2183=""),"",ROUND(M2183*N2183,2))</f>
        <v/>
      </c>
      <c r="K2183" s="398">
        <f>IF(AND(B2183="",C2183=""),"",ROUND(J2183*F2183,2))</f>
        <v/>
      </c>
      <c r="L2183" s="141" t="n">
        <v>1</v>
      </c>
      <c r="M2183" s="399" t="n">
        <v>450</v>
      </c>
      <c r="N2183" s="154" t="n">
        <v>1</v>
      </c>
      <c r="O2183" s="155">
        <f>IF(AND(B2183="",C2183=""),"",IF(G2183&gt;=20000,0.05,IF(G2183&gt;=10000,0.1,IF(G2183&gt;=5000,0.2,IF(G2183&gt;=1000,0.3,IF(G2183&gt;=0,0.4,{0}))))))</f>
        <v/>
      </c>
      <c r="P2183" s="400">
        <f>IF(AND(B2183="",C2183=""),"",ROUND(H2183*O2183,2))</f>
        <v/>
      </c>
      <c r="Q2183" s="401" t="inlineStr">
        <is>
          <t>元件</t>
        </is>
      </c>
      <c r="R2183" s="168" t="inlineStr"/>
      <c r="S2183" s="168" t="inlineStr"/>
      <c r="T2183" s="168" t="inlineStr">
        <is>
          <t>0</t>
        </is>
      </c>
      <c r="U2183" s="168" t="inlineStr"/>
      <c r="V2183" s="402" t="n"/>
      <c r="W2183" s="402" t="n"/>
      <c r="X2183" s="170" t="inlineStr"/>
    </row>
    <row r="2184" s="308">
      <c r="A2184" s="64">
        <f>ROW()-ROW(A$2177)</f>
        <v/>
      </c>
      <c r="B2184" s="22" t="inlineStr">
        <is>
          <t>中间继电器</t>
        </is>
      </c>
      <c r="C2184" s="22" t="inlineStr">
        <is>
          <t>RXM4AB2P7+RXZE2S114M+RXZ400</t>
        </is>
      </c>
      <c r="D2184" s="22" t="inlineStr">
        <is>
          <t>甲供/施耐德电气</t>
        </is>
      </c>
      <c r="E2184" s="23" t="inlineStr">
        <is>
          <t>只</t>
        </is>
      </c>
      <c r="F2184" s="23" t="n">
        <v>14</v>
      </c>
      <c r="G2184" s="349">
        <f>IF(AND(B2184="",C2184=""),"",ROUND(M2184*L2184*N2184,2))</f>
        <v/>
      </c>
      <c r="H2184" s="349">
        <f>IF(AND(B2184="",C2184=""),"",ROUND(F2184*G2184,2))</f>
        <v/>
      </c>
      <c r="I2184" s="45" t="inlineStr"/>
      <c r="J2184" s="397">
        <f>IF(AND(B2184="",C2184=""),"",ROUND(M2184*N2184,2))</f>
        <v/>
      </c>
      <c r="K2184" s="398">
        <f>IF(AND(B2184="",C2184=""),"",ROUND(J2184*F2184,2))</f>
        <v/>
      </c>
      <c r="L2184" s="141" t="n">
        <v>1</v>
      </c>
      <c r="M2184" s="399" t="n">
        <v>1e-07</v>
      </c>
      <c r="N2184" s="154" t="n">
        <v>1</v>
      </c>
      <c r="O2184" s="155">
        <f>IF(AND(B2184="",C2184=""),"",IF(G2184&gt;=20000,0.05,IF(G2184&gt;=10000,0.1,IF(G2184&gt;=5000,0.2,IF(G2184&gt;=1000,0.3,IF(G2184&gt;=0,0.4,{0}))))))</f>
        <v/>
      </c>
      <c r="P2184" s="400">
        <f>IF(AND(B2184="",C2184=""),"",ROUND(H2184*O2184,2))</f>
        <v/>
      </c>
      <c r="Q2184" s="401" t="inlineStr">
        <is>
          <t>元件</t>
        </is>
      </c>
      <c r="R2184" s="168" t="inlineStr"/>
      <c r="S2184" s="168" t="inlineStr"/>
      <c r="T2184" s="168" t="inlineStr">
        <is>
          <t>0</t>
        </is>
      </c>
      <c r="U2184" s="168" t="inlineStr">
        <is>
          <t>RXM4AB2P7+RXZE2S114M+RXZ400</t>
        </is>
      </c>
      <c r="V2184" s="402" t="n"/>
      <c r="W2184" s="402" t="n"/>
      <c r="X2184" s="170" t="inlineStr">
        <is>
          <t>REL-IR-BL/L-230AC/4X21，含底座→RXM4AB2P7+RXZE2S114M+RXZ400→REL-IR-BL/L-230AC/4X21，含底座</t>
        </is>
      </c>
    </row>
    <row r="2185" customFormat="1" s="3">
      <c r="A2185" s="64">
        <f>ROW()-ROW(A$2177)</f>
        <v/>
      </c>
      <c r="B2185" s="22" t="inlineStr">
        <is>
          <t>带熔丝端子</t>
        </is>
      </c>
      <c r="C2185" s="22" t="inlineStr">
        <is>
          <t>UK 5-HESI</t>
        </is>
      </c>
      <c r="D2185" s="22" t="inlineStr">
        <is>
          <t>菲尼克斯</t>
        </is>
      </c>
      <c r="E2185" s="23" t="inlineStr">
        <is>
          <t>只</t>
        </is>
      </c>
      <c r="F2185" s="23" t="n">
        <v>28</v>
      </c>
      <c r="G2185" s="349">
        <f>IF(AND(B2185="",C2185=""),"",ROUND(M2185*L2185*N2185,2))</f>
        <v/>
      </c>
      <c r="H2185" s="349">
        <f>IF(AND(B2185="",C2185=""),"",ROUND(F2185*G2185,2))</f>
        <v/>
      </c>
      <c r="I2185" s="45" t="inlineStr"/>
      <c r="J2185" s="392">
        <f>IF(AND(B2185="",C2185=""),"",ROUND(M2185*N2185,2))</f>
        <v/>
      </c>
      <c r="K2185" s="393">
        <f>IF(AND(B2185="",C2185=""),"",ROUND(J2185*F2185,2))</f>
        <v/>
      </c>
      <c r="L2185" s="141" t="n">
        <v>1</v>
      </c>
      <c r="M2185" s="394" t="n">
        <v>7</v>
      </c>
      <c r="N2185" s="220" t="n">
        <v>1</v>
      </c>
      <c r="O2185" s="221">
        <f>IF(AND(B2185="",C2185=""),"",IF(G2185&gt;=20000,0.05,IF(G2185&gt;=10000,0.1,IF(G2185&gt;=5000,0.2,IF(G2185&gt;=1000,0.3,IF(G2185&gt;=0,0.4,{0}))))))</f>
        <v/>
      </c>
      <c r="P2185" s="419">
        <f>IF(AND(B2185="",C2185=""),"",ROUND(H2185*O2185,2))</f>
        <v/>
      </c>
      <c r="Q2185" s="420" t="inlineStr">
        <is>
          <t>元件</t>
        </is>
      </c>
      <c r="R2185" s="231" t="inlineStr"/>
      <c r="S2185" s="231" t="inlineStr"/>
      <c r="T2185" s="231" t="inlineStr">
        <is>
          <t>0</t>
        </is>
      </c>
      <c r="U2185" s="231" t="inlineStr">
        <is>
          <t>True</t>
        </is>
      </c>
      <c r="V2185" s="421" t="n"/>
      <c r="W2185" s="421" t="n"/>
      <c r="X2185" s="166" t="inlineStr"/>
    </row>
    <row r="2186" s="308">
      <c r="A2186" s="64">
        <f>ROW()-ROW(A$2177)</f>
        <v/>
      </c>
      <c r="B2186" s="22" t="inlineStr">
        <is>
          <t>水平母排</t>
        </is>
      </c>
      <c r="C2186" s="22" t="inlineStr">
        <is>
          <t>TMY 4*(3*125*5)+2*50*5</t>
        </is>
      </c>
      <c r="D2186" s="22" t="inlineStr">
        <is>
          <t>国产优质</t>
        </is>
      </c>
      <c r="E2186" s="23" t="inlineStr">
        <is>
          <t>米</t>
        </is>
      </c>
      <c r="F2186" s="23" t="n">
        <v>0.7</v>
      </c>
      <c r="G2186" s="349">
        <f>IF(AND(B2186="",C2186=""),"",ROUND(M2186*L2186*N2186,2))</f>
        <v/>
      </c>
      <c r="H2186" s="349">
        <f>IF(AND(B2186="",C2186=""),"",ROUND(F2186*G2186,2))</f>
        <v/>
      </c>
      <c r="I2186" s="45" t="inlineStr"/>
      <c r="J2186" s="397">
        <f>IF(AND(B2186="",C2186=""),"",ROUND(M2186*N2186,2))</f>
        <v/>
      </c>
      <c r="K2186" s="398">
        <f>IF(AND(B2186="",C2186=""),"",ROUND(J2186*F2186,2))</f>
        <v/>
      </c>
      <c r="L2186" s="200" t="n">
        <v>1</v>
      </c>
      <c r="M2186" s="399" t="n">
        <v>7697.076</v>
      </c>
      <c r="N2186" s="154">
        <f>(6317.932*1*1+2684.8*1*1)/9002.732</f>
        <v/>
      </c>
      <c r="O2186" s="155">
        <f>IF(AND(B2186="",C2186=""),"",IF(J2186&gt;=20000,0.05,IF(J2186&gt;=10000,0.1,IF(J2186&gt;=5000,0.2,IF(J2186&gt;=1000,0.3,IF(J2186&gt;=0,0.4,{0}))))))</f>
        <v/>
      </c>
      <c r="P2186" s="400">
        <f>IF(AND(B2186="",C2186=""),"",ROUND(H2186*O2186,2))</f>
        <v/>
      </c>
      <c r="Q2186" s="401" t="inlineStr">
        <is>
          <t>母排</t>
        </is>
      </c>
      <c r="R2186" s="168" t="inlineStr"/>
      <c r="S2186" s="168" t="inlineStr"/>
      <c r="T2186" s="168" t="inlineStr">
        <is>
          <t>0</t>
        </is>
      </c>
      <c r="U2186" s="168" t="inlineStr"/>
      <c r="V2186" s="402" t="n"/>
      <c r="W2186" s="402" t="n"/>
      <c r="X2186" s="170" t="inlineStr"/>
    </row>
    <row r="2187" customFormat="1" s="5">
      <c r="A2187" s="64">
        <f>ROW()-ROW(A$2177)</f>
        <v/>
      </c>
      <c r="B2187" s="22" t="inlineStr">
        <is>
          <t>垂直排</t>
        </is>
      </c>
      <c r="C2187" s="22" t="inlineStr">
        <is>
          <t>TMY 3*3*80*5</t>
        </is>
      </c>
      <c r="D2187" s="22" t="inlineStr">
        <is>
          <t>国产优质</t>
        </is>
      </c>
      <c r="E2187" s="23" t="inlineStr">
        <is>
          <t>米</t>
        </is>
      </c>
      <c r="F2187" s="23" t="n">
        <v>2</v>
      </c>
      <c r="G2187" s="349">
        <f>IF(AND(B2187="",C2187=""),"",ROUND(M2187*L2187*N2187,2))</f>
        <v/>
      </c>
      <c r="H2187" s="349">
        <f>IF(AND(B2187="",C2187=""),"",ROUND(F2187*G2187,2))</f>
        <v/>
      </c>
      <c r="I2187" s="45" t="inlineStr"/>
      <c r="J2187" s="422">
        <f>IF(AND(B2187="",C2187=""),"",ROUND(M2187*N2187,2))</f>
        <v/>
      </c>
      <c r="K2187" s="423">
        <f>IF(AND(B2187="",C2187=""),"",ROUND(J2187*F2187,2))</f>
        <v/>
      </c>
      <c r="L2187" s="225" t="n">
        <v>1</v>
      </c>
      <c r="M2187" s="424" t="n">
        <v>3463.6842</v>
      </c>
      <c r="N2187" s="227" t="n">
        <v>1</v>
      </c>
      <c r="O2187" s="228">
        <f>IF(AND(B2187="",C2187=""),"",IF(G2187&gt;=20000,0.05,IF(G2187&gt;=10000,0.1,IF(G2187&gt;=5000,0.2,IF(G2187&gt;=1000,0.3,IF(G2187&gt;=0,0.4,{0}))))))</f>
        <v/>
      </c>
      <c r="P2187" s="425">
        <f>IF(AND(B2187="",C2187=""),"",ROUND(H2187*O2187,2))</f>
        <v/>
      </c>
      <c r="Q2187" s="426" t="inlineStr">
        <is>
          <t>母排</t>
        </is>
      </c>
      <c r="R2187" s="234" t="inlineStr"/>
      <c r="S2187" s="234" t="inlineStr"/>
      <c r="T2187" s="235" t="inlineStr">
        <is>
          <t>0</t>
        </is>
      </c>
      <c r="U2187" s="235" t="inlineStr"/>
      <c r="V2187" s="427" t="n"/>
      <c r="W2187" s="427" t="n"/>
      <c r="X2187" s="237" t="inlineStr">
        <is>
          <t>TMY 2*30*5→TMY 30*8</t>
        </is>
      </c>
    </row>
    <row r="2188" customFormat="1" s="5">
      <c r="A2188" s="64">
        <f>ROW()-ROW(A$2177)</f>
        <v/>
      </c>
      <c r="B2188" s="22" t="inlineStr">
        <is>
          <t>N排</t>
        </is>
      </c>
      <c r="C2188" s="22" t="inlineStr">
        <is>
          <t>TMY 3*80*5</t>
        </is>
      </c>
      <c r="D2188" s="22" t="inlineStr">
        <is>
          <t>国产优质</t>
        </is>
      </c>
      <c r="E2188" s="23" t="inlineStr">
        <is>
          <t>米</t>
        </is>
      </c>
      <c r="F2188" s="23" t="n">
        <v>3</v>
      </c>
      <c r="G2188" s="349">
        <f>IF(AND(B2188="",C2188=""),"",ROUND(M2188*L2188*N2188,2))</f>
        <v/>
      </c>
      <c r="H2188" s="349">
        <f>IF(AND(B2188="",C2188=""),"",ROUND(F2188*G2188,2))</f>
        <v/>
      </c>
      <c r="I2188" s="45" t="inlineStr"/>
      <c r="J2188" s="422">
        <f>IF(AND(B2188="",C2188=""),"",ROUND(M2188*N2188,2))</f>
        <v/>
      </c>
      <c r="K2188" s="423">
        <f>IF(AND(B2188="",C2188=""),"",ROUND(J2188*F2188,2))</f>
        <v/>
      </c>
      <c r="L2188" s="225" t="n">
        <v>1</v>
      </c>
      <c r="M2188" s="424" t="n">
        <v>1154.5614</v>
      </c>
      <c r="N2188" s="227" t="n">
        <v>1</v>
      </c>
      <c r="O2188" s="228">
        <f>IF(AND(B2188="",C2188=""),"",IF(G2188&gt;=20000,0.05,IF(G2188&gt;=10000,0.1,IF(G2188&gt;=5000,0.2,IF(G2188&gt;=1000,0.3,IF(G2188&gt;=0,0.4,{0}))))))</f>
        <v/>
      </c>
      <c r="P2188" s="425">
        <f>IF(AND(B2188="",C2188=""),"",ROUND(H2188*O2188,2))</f>
        <v/>
      </c>
      <c r="Q2188" s="426" t="inlineStr">
        <is>
          <t>母排</t>
        </is>
      </c>
      <c r="R2188" s="234" t="inlineStr"/>
      <c r="S2188" s="234" t="inlineStr"/>
      <c r="T2188" s="235" t="inlineStr">
        <is>
          <t>0</t>
        </is>
      </c>
      <c r="U2188" s="235" t="inlineStr"/>
      <c r="V2188" s="427" t="n"/>
      <c r="W2188" s="427" t="n"/>
      <c r="X2188" s="237" t="inlineStr">
        <is>
          <t>TMY 2*30*5→TMY 30*8</t>
        </is>
      </c>
    </row>
    <row r="2189" customFormat="1" s="5">
      <c r="A2189" s="64">
        <f>ROW()-ROW(A$2177)</f>
        <v/>
      </c>
      <c r="B2189" s="22" t="inlineStr">
        <is>
          <t>PE排</t>
        </is>
      </c>
      <c r="C2189" s="22" t="inlineStr">
        <is>
          <t>TMY 2*50*5</t>
        </is>
      </c>
      <c r="D2189" s="22" t="inlineStr">
        <is>
          <t>国产优质</t>
        </is>
      </c>
      <c r="E2189" s="23" t="inlineStr">
        <is>
          <t>米</t>
        </is>
      </c>
      <c r="F2189" s="23" t="n">
        <v>2</v>
      </c>
      <c r="G2189" s="349">
        <f>IF(AND(B2189="",C2189=""),"",ROUND(M2189*L2189*N2189,2))</f>
        <v/>
      </c>
      <c r="H2189" s="349">
        <f>IF(AND(B2189="",C2189=""),"",ROUND(F2189*G2189,2))</f>
        <v/>
      </c>
      <c r="I2189" s="45" t="inlineStr"/>
      <c r="J2189" s="422">
        <f>IF(AND(B2189="",C2189=""),"",ROUND(M2189*N2189,2))</f>
        <v/>
      </c>
      <c r="K2189" s="423">
        <f>IF(AND(B2189="",C2189=""),"",ROUND(J2189*F2189,2))</f>
        <v/>
      </c>
      <c r="L2189" s="225" t="n">
        <v>1</v>
      </c>
      <c r="M2189" s="424" t="n">
        <v>481.06725</v>
      </c>
      <c r="N2189" s="227" t="n">
        <v>1</v>
      </c>
      <c r="O2189" s="228">
        <f>IF(AND(B2189="",C2189=""),"",IF(G2189&gt;=20000,0.05,IF(G2189&gt;=10000,0.1,IF(G2189&gt;=5000,0.2,IF(G2189&gt;=1000,0.3,IF(G2189&gt;=0,0.4,{0}))))))</f>
        <v/>
      </c>
      <c r="P2189" s="425">
        <f>IF(AND(B2189="",C2189=""),"",ROUND(H2189*O2189,2))</f>
        <v/>
      </c>
      <c r="Q2189" s="426" t="inlineStr">
        <is>
          <t>母排</t>
        </is>
      </c>
      <c r="R2189" s="234" t="inlineStr"/>
      <c r="S2189" s="234" t="inlineStr"/>
      <c r="T2189" s="235" t="inlineStr">
        <is>
          <t>0</t>
        </is>
      </c>
      <c r="U2189" s="235" t="inlineStr"/>
      <c r="V2189" s="427" t="n"/>
      <c r="W2189" s="427" t="n"/>
      <c r="X2189" s="237" t="inlineStr">
        <is>
          <t>TMY 2*30*5→TMY 30*8</t>
        </is>
      </c>
    </row>
    <row r="2190" customFormat="1" s="5">
      <c r="A2190" s="64">
        <f>ROW()-ROW(A$2177)</f>
        <v/>
      </c>
      <c r="B2190" s="22" t="inlineStr">
        <is>
          <t>400A铜排</t>
        </is>
      </c>
      <c r="C2190" s="22" t="inlineStr">
        <is>
          <t>TMY 30*5</t>
        </is>
      </c>
      <c r="D2190" s="22" t="inlineStr">
        <is>
          <t>国产优质</t>
        </is>
      </c>
      <c r="E2190" s="23" t="inlineStr">
        <is>
          <t>米</t>
        </is>
      </c>
      <c r="F2190" s="23" t="n">
        <v>22.4</v>
      </c>
      <c r="G2190" s="349">
        <f>IF(AND(B2190="",C2190=""),"",ROUND(M2190*L2190*N2190,2))</f>
        <v/>
      </c>
      <c r="H2190" s="349">
        <f>IF(AND(B2190="",C2190=""),"",ROUND(F2190*G2190,2))</f>
        <v/>
      </c>
      <c r="I2190" s="45" t="inlineStr"/>
      <c r="J2190" s="422">
        <f>IF(AND(B2190="",C2190=""),"",ROUND(M2190*N2190,2))</f>
        <v/>
      </c>
      <c r="K2190" s="423">
        <f>IF(AND(B2190="",C2190=""),"",ROUND(J2190*F2190,2))</f>
        <v/>
      </c>
      <c r="L2190" s="225" t="n">
        <v>1</v>
      </c>
      <c r="M2190" s="424" t="n">
        <v>144.320175</v>
      </c>
      <c r="N2190" s="227" t="n">
        <v>1</v>
      </c>
      <c r="O2190" s="228">
        <f>IF(AND(B2190="",C2190=""),"",IF(G2190&gt;=20000,0.05,IF(G2190&gt;=10000,0.1,IF(G2190&gt;=5000,0.2,IF(G2190&gt;=1000,0.3,IF(G2190&gt;=0,0.4,{0}))))))</f>
        <v/>
      </c>
      <c r="P2190" s="425">
        <f>IF(AND(B2190="",C2190=""),"",ROUND(H2190*O2190,2))</f>
        <v/>
      </c>
      <c r="Q2190" s="426" t="inlineStr">
        <is>
          <t>母排</t>
        </is>
      </c>
      <c r="R2190" s="234" t="inlineStr"/>
      <c r="S2190" s="234" t="inlineStr"/>
      <c r="T2190" s="235" t="inlineStr">
        <is>
          <t>0</t>
        </is>
      </c>
      <c r="U2190" s="235" t="inlineStr"/>
      <c r="V2190" s="427" t="n"/>
      <c r="W2190" s="427" t="n"/>
      <c r="X2190" s="237" t="inlineStr">
        <is>
          <t>TMY 2*30*5→TMY 30*8</t>
        </is>
      </c>
    </row>
    <row r="2191" s="308">
      <c r="A2191" s="64">
        <f>ROW()-ROW(A$2177)</f>
        <v/>
      </c>
      <c r="B2191" s="112" t="inlineStr">
        <is>
          <t>辅料</t>
        </is>
      </c>
      <c r="C2191" s="112" t="inlineStr"/>
      <c r="D2191" s="112" t="inlineStr"/>
      <c r="E2191" s="114" t="inlineStr">
        <is>
          <t>套</t>
        </is>
      </c>
      <c r="F2191" s="114" t="n">
        <v>1</v>
      </c>
      <c r="G2191" s="396">
        <f>IF(AND(B2191="",C2191=""),"",ROUND(M2191*L2191*N2191,2))</f>
        <v/>
      </c>
      <c r="H2191" s="396">
        <f>IF(AND(B2191="",C2191=""),"",ROUND(F2191*G2191,2))</f>
        <v/>
      </c>
      <c r="I2191" s="219" t="inlineStr"/>
      <c r="J2191" s="397">
        <f>IF(AND(B2191="",C2191=""),"",ROUND(M2191*N2191,2))</f>
        <v/>
      </c>
      <c r="K2191" s="398">
        <f>IF(AND(B2191="",C2191=""),"",ROUND(J2191*F2191,2))</f>
        <v/>
      </c>
      <c r="L2191" s="200" t="n">
        <v>1</v>
      </c>
      <c r="M2191" s="399" t="n">
        <v>778.02</v>
      </c>
      <c r="N2191" s="154" t="n">
        <v>1</v>
      </c>
      <c r="O2191" s="155">
        <f>IF(AND(B2191="",C2191=""),"",IF(G2191&gt;=20000,0.05,IF(G2191&gt;=10000,0.1,IF(G2191&gt;=5000,0.2,IF(G2191&gt;=1000,0.3,IF(G2191&gt;=0,0.4,{0}))))))</f>
        <v/>
      </c>
      <c r="P2191" s="400">
        <f>IF(AND(B2191="",C2191=""),"",ROUND(H2191*O2191,2))</f>
        <v/>
      </c>
      <c r="Q2191" s="401" t="inlineStr">
        <is>
          <t>辅料</t>
        </is>
      </c>
      <c r="R2191" s="168" t="inlineStr"/>
      <c r="S2191" s="168" t="inlineStr"/>
      <c r="T2191" s="168" t="inlineStr">
        <is>
          <t>0</t>
        </is>
      </c>
      <c r="U2191" s="168" t="inlineStr"/>
      <c r="V2191" s="402" t="n"/>
      <c r="W2191" s="402" t="n"/>
      <c r="X2191" s="170" t="inlineStr"/>
    </row>
    <row r="2192" s="308">
      <c r="A2192" s="64">
        <f>ROW()-ROW(A$2177)</f>
        <v/>
      </c>
      <c r="B2192" s="112" t="inlineStr">
        <is>
          <t>柜体Blokset</t>
        </is>
      </c>
      <c r="C2192" s="22" t="inlineStr">
        <is>
          <t>600W*1200D*2200H</t>
        </is>
      </c>
      <c r="D2192" s="112" t="inlineStr">
        <is>
          <t>清科</t>
        </is>
      </c>
      <c r="E2192" s="114" t="inlineStr">
        <is>
          <t>台</t>
        </is>
      </c>
      <c r="F2192" s="114" t="n">
        <v>1</v>
      </c>
      <c r="G2192" s="396">
        <f>IF(AND(B2192="",C2192=""),"",ROUND(M2192*L2192*N2192,2))</f>
        <v/>
      </c>
      <c r="H2192" s="396">
        <f>IF(AND(B2192="",C2192=""),"",ROUND(F2192*G2192,2))</f>
        <v/>
      </c>
      <c r="I2192" s="219" t="inlineStr"/>
      <c r="J2192" s="397">
        <f>IF(AND(B2192="",C2192=""),"",ROUND(M2192*N2192,2))</f>
        <v/>
      </c>
      <c r="K2192" s="398">
        <f>IF(AND(B2192="",C2192=""),"",ROUND(J2192*F2192,2))</f>
        <v/>
      </c>
      <c r="L2192" s="200" t="n">
        <v>1</v>
      </c>
      <c r="M2192" s="399" t="n">
        <v>5770</v>
      </c>
      <c r="N2192" s="154" t="n">
        <v>1</v>
      </c>
      <c r="O2192" s="155">
        <f>IF(AND(B2192="",C2192=""),"",IF(G2192&gt;=20000,0.05,IF(G2192&gt;=10000,0.1,IF(G2192&gt;=5000,0.2,IF(G2192&gt;=1000,0.3,IF(G2192&gt;=0,0.4,{0}))))))</f>
        <v/>
      </c>
      <c r="P2192" s="400">
        <f>IF(AND(B2192="",C2192=""),"",ROUND(H2192*O2192,2))</f>
        <v/>
      </c>
      <c r="Q2192" s="401" t="inlineStr">
        <is>
          <t>箱体</t>
        </is>
      </c>
      <c r="R2192" s="168" t="inlineStr"/>
      <c r="S2192" s="168" t="inlineStr"/>
      <c r="T2192" s="168" t="inlineStr">
        <is>
          <t>0</t>
        </is>
      </c>
      <c r="U2192" s="168" t="inlineStr"/>
      <c r="V2192" s="402" t="n"/>
      <c r="W2192" s="402" t="n"/>
      <c r="X2192" s="170" t="inlineStr">
        <is>
          <t>BlokSeT</t>
        </is>
      </c>
    </row>
    <row r="2193" s="308">
      <c r="A2193" s="64">
        <f>ROW()-ROW(A$2177)</f>
        <v/>
      </c>
      <c r="B2193" s="22" t="inlineStr"/>
      <c r="C2193" s="22" t="inlineStr"/>
      <c r="D2193" s="22" t="inlineStr"/>
      <c r="E2193" s="23" t="n"/>
      <c r="F2193" s="23">
        <f>IF(AND(B2193="",C2193=""),"",1)</f>
        <v/>
      </c>
      <c r="G2193" s="349">
        <f>IF(AND(B2193="",C2193=""),"",ROUND(M2193*L2193*N2193,2))</f>
        <v/>
      </c>
      <c r="H2193" s="349">
        <f>IF(AND(B2193="",C2193=""),"",ROUND(F2193*G2193,2))</f>
        <v/>
      </c>
      <c r="I2193" s="45" t="inlineStr"/>
      <c r="J2193" s="397">
        <f>IF(AND(B2193="",C2193=""),"",ROUND(M2193*N2193,2))</f>
        <v/>
      </c>
      <c r="K2193" s="398">
        <f>IF(AND(B2193="",C2193=""),"",ROUND(J2193*F2193,2))</f>
        <v/>
      </c>
      <c r="L2193" s="200">
        <f>IF(AND(B2193="",C2193=""),"",1)</f>
        <v/>
      </c>
      <c r="M2193" s="399" t="n"/>
      <c r="N2193" s="154">
        <f>IF(AND(B2193="",C2193=""),"",1)</f>
        <v/>
      </c>
      <c r="O2193" s="155">
        <f>IF(AND(B2193="",C2193=""),"",IF(J2193&gt;=20000,0.05,IF(J2193&gt;=10000,0.1,IF(J2193&gt;=5000,0.2,IF(J2193&gt;=1000,0.3,IF(J2193&gt;=0,0.4,{0}))))))</f>
        <v/>
      </c>
      <c r="P2193" s="400">
        <f>IF(AND(B2193="",C2193=""),"",ROUND(H2193*O2193,2))</f>
        <v/>
      </c>
      <c r="Q2193" s="401">
        <f>IF(AND(B2193="",C2193=""),"","元件")</f>
        <v/>
      </c>
      <c r="R2193" s="168" t="inlineStr"/>
      <c r="S2193" s="168" t="inlineStr"/>
      <c r="T2193" s="168" t="inlineStr"/>
      <c r="U2193" s="168" t="inlineStr"/>
      <c r="V2193" s="402" t="n"/>
      <c r="W2193" s="402" t="n"/>
      <c r="X2193" s="170" t="inlineStr"/>
    </row>
    <row r="2194" s="308">
      <c r="A2194" s="64">
        <f>ROW()-ROW(A$2177)</f>
        <v/>
      </c>
      <c r="B2194" s="171" t="inlineStr">
        <is>
          <t>小计</t>
        </is>
      </c>
      <c r="C2194" s="172" t="n"/>
      <c r="D2194" s="204" t="n"/>
      <c r="E2194" s="114" t="n"/>
      <c r="F2194" s="114" t="n"/>
      <c r="G2194" s="396" t="n"/>
      <c r="H2194" s="396">
        <f>ROUND(SUM(H2177:INDEX(H:H,ROW()-1)),2)</f>
        <v/>
      </c>
      <c r="I2194" s="45" t="inlineStr"/>
      <c r="J2194" s="397" t="n"/>
      <c r="K2194" s="398">
        <f>ROUND(SUM(K2177:INDEX(K:K,ROW()-1)),2)</f>
        <v/>
      </c>
      <c r="L2194" s="200" t="n"/>
      <c r="M2194" s="399" t="n"/>
      <c r="N2194" s="154" t="n"/>
      <c r="O2194" s="155" t="n"/>
      <c r="P2194" s="400" t="n"/>
      <c r="Q2194" s="401" t="n"/>
      <c r="R2194" s="168" t="inlineStr"/>
      <c r="S2194" s="168" t="inlineStr"/>
      <c r="T2194" s="168" t="inlineStr"/>
      <c r="U2194" s="168" t="inlineStr"/>
      <c r="V2194" s="402">
        <f>ROUND(SUMPRODUCT(F2177:INDEX(F:F,ROW()-1),V2177:INDEX(V:V,ROW()-1)),2)</f>
        <v/>
      </c>
      <c r="W2194" s="402">
        <f>ROUND(SUMPRODUCT(F2177:INDEX(F:F,ROW()-1),W2177:INDEX(W:W,ROW()-1)),2)</f>
        <v/>
      </c>
      <c r="X2194" s="170" t="inlineStr"/>
    </row>
    <row r="2195" s="308">
      <c r="A2195" s="64">
        <f>ROW()-ROW(A$2177)</f>
        <v/>
      </c>
      <c r="B2195" s="171" t="inlineStr">
        <is>
          <t>综合费(人工、管理、税金、利润等)</t>
        </is>
      </c>
      <c r="C2195" s="172" t="n"/>
      <c r="D2195" s="204" t="n"/>
      <c r="E2195" s="114" t="n"/>
      <c r="F2195" s="114" t="n"/>
      <c r="G2195" s="396" t="n"/>
      <c r="H2195" s="396">
        <f>2500</f>
        <v/>
      </c>
      <c r="I2195" s="45" t="inlineStr"/>
      <c r="J2195" s="397" t="n"/>
      <c r="K2195" s="398" t="n"/>
      <c r="L2195" s="200" t="n"/>
      <c r="M2195" s="399" t="n"/>
      <c r="N2195" s="154" t="n"/>
      <c r="O2195" s="155" t="n"/>
      <c r="P2195" s="400" t="n"/>
      <c r="Q2195" s="401" t="inlineStr">
        <is>
          <t>费用</t>
        </is>
      </c>
      <c r="R2195" s="168" t="inlineStr"/>
      <c r="S2195" s="168" t="inlineStr"/>
      <c r="T2195" s="168" t="inlineStr"/>
      <c r="U2195" s="168" t="inlineStr"/>
      <c r="V2195" s="402" t="n"/>
      <c r="W2195" s="402" t="n"/>
      <c r="X2195" s="170" t="inlineStr"/>
    </row>
    <row r="2196" s="308">
      <c r="A2196" s="64">
        <f>ROW()-ROW(A$2177)</f>
        <v/>
      </c>
      <c r="B2196" s="204" t="inlineStr">
        <is>
          <t>单台合计</t>
        </is>
      </c>
      <c r="C2196" s="172" t="n"/>
      <c r="D2196" s="204" t="n"/>
      <c r="E2196" s="114" t="n"/>
      <c r="F2196" s="114" t="n"/>
      <c r="G2196" s="396" t="n"/>
      <c r="H2196" s="396">
        <f>ROUND(SUM(H2194:H2195),2)</f>
        <v/>
      </c>
      <c r="I2196" s="181" t="n"/>
      <c r="J2196" s="397" t="n"/>
      <c r="K2196" s="398">
        <f>ROUND(SUM(K2194:K2195),2)</f>
        <v/>
      </c>
      <c r="L2196" s="209" t="n"/>
      <c r="M2196" s="399" t="n"/>
      <c r="N2196" s="210" t="n"/>
      <c r="O2196" s="211" t="n"/>
      <c r="P2196" s="400" t="n"/>
      <c r="Q2196" s="401" t="n"/>
      <c r="R2196" s="168" t="inlineStr"/>
      <c r="S2196" s="168" t="inlineStr"/>
      <c r="T2196" s="168" t="inlineStr"/>
      <c r="U2196" s="168" t="inlineStr"/>
      <c r="V2196" s="402" t="n"/>
      <c r="W2196" s="402" t="n"/>
      <c r="X2196" s="170" t="inlineStr"/>
    </row>
    <row r="2197" s="308">
      <c r="A2197" s="173" t="inlineStr">
        <is>
          <t>总计</t>
        </is>
      </c>
      <c r="B2197" s="205" t="n"/>
      <c r="C2197" s="175" t="n"/>
      <c r="D2197" s="206" t="n"/>
      <c r="E2197" s="206" t="inlineStr">
        <is>
          <t>台</t>
        </is>
      </c>
      <c r="F2197" s="206" t="n">
        <v>4</v>
      </c>
      <c r="G2197" s="414">
        <f>ROUND(H2196,2)</f>
        <v/>
      </c>
      <c r="H2197" s="414">
        <f>ROUND(F2197*G2197,2)</f>
        <v/>
      </c>
      <c r="I2197" s="185" t="n"/>
      <c r="J2197" s="415" t="n"/>
      <c r="K2197" s="416">
        <f>ROUND(K2196*F2197,2)</f>
        <v/>
      </c>
      <c r="L2197" s="214" t="n"/>
      <c r="M2197" s="417" t="n"/>
      <c r="N2197" s="216" t="n"/>
      <c r="O2197" s="217" t="n"/>
      <c r="P2197" s="418" t="n"/>
      <c r="Q2197" s="401" t="n"/>
      <c r="R2197" s="168" t="inlineStr"/>
      <c r="S2197" s="168" t="inlineStr"/>
      <c r="T2197" s="168" t="inlineStr"/>
      <c r="U2197" s="168" t="inlineStr"/>
      <c r="V2197" s="402" t="n"/>
      <c r="W2197" s="402" t="n"/>
      <c r="X2197" s="170" t="inlineStr"/>
    </row>
    <row r="2198" customFormat="1" s="4">
      <c r="A2198" s="6" t="n"/>
      <c r="B2198" s="195" t="inlineStr"/>
      <c r="C2198" s="195" t="inlineStr"/>
      <c r="D2198" s="195" t="inlineStr"/>
      <c r="Q2198" s="159" t="n"/>
      <c r="R2198" s="159" t="n"/>
      <c r="S2198" s="159" t="n"/>
      <c r="T2198" s="159" t="n"/>
      <c r="U2198" s="159" t="n"/>
      <c r="X2198" s="195" t="inlineStr"/>
    </row>
    <row r="2199" customFormat="1" s="4">
      <c r="A2199" s="6" t="n"/>
      <c r="B2199" s="195" t="inlineStr"/>
      <c r="C2199" s="195" t="inlineStr"/>
      <c r="D2199" s="195" t="inlineStr"/>
      <c r="Q2199" s="159" t="n"/>
      <c r="R2199" s="159" t="n"/>
      <c r="S2199" s="159" t="n"/>
      <c r="T2199" s="159" t="n"/>
      <c r="U2199" s="159" t="n"/>
      <c r="X2199" s="195" t="inlineStr"/>
    </row>
    <row r="2200" s="308">
      <c r="A2200" s="208">
        <f>CONCATENATE("报价人：",项目信息!$B$8)</f>
        <v/>
      </c>
      <c r="B2200" s="208" t="n"/>
      <c r="C2200" s="4" t="n"/>
      <c r="D2200" s="4" t="n"/>
      <c r="E2200" s="4" t="n"/>
      <c r="F2200" s="4" t="n"/>
      <c r="G2200" s="4" t="n"/>
      <c r="H2200" s="178">
        <f>项目信息!$B$9</f>
        <v/>
      </c>
      <c r="Q2200" s="159" t="n"/>
      <c r="R2200" s="159" t="n"/>
      <c r="S2200" s="159" t="n"/>
      <c r="T2200" s="159" t="n"/>
      <c r="U2200" s="159" t="n"/>
      <c r="X2200" s="203" t="inlineStr"/>
    </row>
    <row r="2201" s="308">
      <c r="A2201" s="8">
        <f>T(项目信息!$B$22)</f>
        <v/>
      </c>
      <c r="Q2201" s="159" t="n"/>
      <c r="R2201" s="159" t="n"/>
      <c r="S2201" s="159" t="n"/>
      <c r="T2201" s="159" t="n"/>
      <c r="U2201" s="159" t="n"/>
    </row>
    <row r="2202" s="308">
      <c r="A2202" s="9">
        <f>T(项目信息!$B$23)</f>
        <v/>
      </c>
      <c r="Q2202" s="159" t="n"/>
      <c r="R2202" s="159" t="n"/>
      <c r="S2202" s="159" t="n"/>
      <c r="T2202" s="159" t="n"/>
      <c r="U2202" s="159" t="n"/>
    </row>
    <row r="2203" s="308">
      <c r="A2203" s="97" t="inlineStr">
        <is>
          <t>成套产品报价明细表</t>
        </is>
      </c>
      <c r="B2203" s="378" t="n"/>
      <c r="C2203" s="378" t="n"/>
      <c r="D2203" s="378" t="n"/>
      <c r="E2203" s="378" t="n"/>
      <c r="F2203" s="378" t="n"/>
      <c r="G2203" s="378" t="n"/>
      <c r="H2203" s="378" t="n"/>
      <c r="I2203" s="378" t="n"/>
      <c r="Q2203" s="159" t="n"/>
      <c r="R2203" s="159" t="n"/>
      <c r="S2203" s="159" t="n"/>
      <c r="T2203" s="159" t="n"/>
      <c r="U2203" s="159" t="n"/>
    </row>
    <row r="2204" customFormat="1" s="4">
      <c r="A2204" s="98" t="inlineStr">
        <is>
          <t>柜号:</t>
        </is>
      </c>
      <c r="B2204" s="99" t="inlineStr">
        <is>
          <t>T9-AU21、T10-BU21</t>
        </is>
      </c>
      <c r="C2204" s="100" t="inlineStr">
        <is>
          <t>型号:</t>
        </is>
      </c>
      <c r="D2204" s="99" t="inlineStr">
        <is>
          <t>BlokSeT</t>
        </is>
      </c>
      <c r="E2204" s="379" t="n"/>
      <c r="F2204" s="101" t="inlineStr">
        <is>
          <t>名称:</t>
        </is>
      </c>
      <c r="G2204" s="99" t="inlineStr">
        <is>
          <t>进线柜</t>
        </is>
      </c>
      <c r="H2204" s="379" t="n"/>
      <c r="I2204" s="408" t="inlineStr"/>
      <c r="J2204" s="194" t="inlineStr">
        <is>
          <t>箱柜尺寸:</t>
        </is>
      </c>
      <c r="K2204" s="195" t="inlineStr">
        <is>
          <t>400W*1200D*2200H</t>
        </is>
      </c>
      <c r="L2204" s="194" t="inlineStr">
        <is>
          <t>类别:</t>
        </is>
      </c>
      <c r="M2204" s="195" t="inlineStr">
        <is>
          <t>低压固定柜</t>
        </is>
      </c>
      <c r="N2204" s="409" t="inlineStr"/>
      <c r="Q2204" s="159" t="n"/>
      <c r="R2204" s="159" t="n"/>
      <c r="S2204" s="159" t="n"/>
      <c r="T2204" s="159" t="n"/>
      <c r="U2204" s="159" t="n"/>
    </row>
    <row r="2205" ht="20.1" customHeight="1" s="308">
      <c r="A2205" s="102" t="inlineStr">
        <is>
          <t>序号</t>
        </is>
      </c>
      <c r="B2205" s="103" t="inlineStr">
        <is>
          <t>元件名称</t>
        </is>
      </c>
      <c r="C2205" s="103" t="inlineStr">
        <is>
          <t>型号规格</t>
        </is>
      </c>
      <c r="D2205" s="104" t="inlineStr">
        <is>
          <t>生产厂家</t>
        </is>
      </c>
      <c r="E2205" s="105" t="inlineStr">
        <is>
          <t>单位</t>
        </is>
      </c>
      <c r="F2205" s="105" t="inlineStr">
        <is>
          <t>数量</t>
        </is>
      </c>
      <c r="G2205" s="382" t="inlineStr">
        <is>
          <t>单   价</t>
        </is>
      </c>
      <c r="H2205" s="383" t="inlineStr">
        <is>
          <t>总   价</t>
        </is>
      </c>
      <c r="I2205" s="134" t="inlineStr">
        <is>
          <t>备注</t>
        </is>
      </c>
      <c r="J2205" s="384" t="inlineStr">
        <is>
          <t>成本单价</t>
        </is>
      </c>
      <c r="K2205" s="384" t="inlineStr">
        <is>
          <t>成本总价</t>
        </is>
      </c>
      <c r="L2205" s="136" t="inlineStr">
        <is>
          <t>报出
系数</t>
        </is>
      </c>
      <c r="M2205" s="384" t="inlineStr">
        <is>
          <t>表价</t>
        </is>
      </c>
      <c r="N2205" s="136" t="inlineStr">
        <is>
          <t>折扣
系数</t>
        </is>
      </c>
      <c r="O2205" s="137" t="inlineStr">
        <is>
          <t>取费
系数</t>
        </is>
      </c>
      <c r="P2205" s="384" t="inlineStr">
        <is>
          <t>成套费</t>
        </is>
      </c>
      <c r="Q2205" s="161" t="inlineStr">
        <is>
          <t>类别</t>
        </is>
      </c>
      <c r="R2205" s="161" t="inlineStr">
        <is>
          <t>物料编码</t>
        </is>
      </c>
      <c r="S2205" s="161" t="inlineStr">
        <is>
          <t>产地</t>
        </is>
      </c>
      <c r="T2205" s="161" t="inlineStr">
        <is>
          <t>加工费</t>
        </is>
      </c>
      <c r="U2205" s="161" t="inlineStr">
        <is>
          <t>订货号</t>
        </is>
      </c>
      <c r="V2205" s="161" t="inlineStr">
        <is>
          <t>人工</t>
        </is>
      </c>
      <c r="W2205" s="161" t="inlineStr">
        <is>
          <t>辅料</t>
        </is>
      </c>
      <c r="X2205" s="203" t="inlineStr"/>
    </row>
    <row r="2206" s="308">
      <c r="A2206" s="64">
        <f>ROW()-ROW(A$2205)</f>
        <v/>
      </c>
      <c r="B2206" s="22" t="inlineStr">
        <is>
          <t>框架断路器</t>
        </is>
      </c>
      <c r="C2206" s="22" t="inlineStr">
        <is>
          <t>MT12 N1b SG 3P MIC5.0 E</t>
        </is>
      </c>
      <c r="D2206" s="22" t="inlineStr">
        <is>
          <t>甲供/施耐德电气</t>
        </is>
      </c>
      <c r="E2206" s="23" t="inlineStr">
        <is>
          <t>只</t>
        </is>
      </c>
      <c r="F2206" s="23" t="n">
        <v>1</v>
      </c>
      <c r="G2206" s="349">
        <f>IF(AND(B2206="",C2206=""),"",ROUND(M2206*L2206*N2206,2))</f>
        <v/>
      </c>
      <c r="H2206" s="349">
        <f>IF(AND(B2206="",C2206=""),"",ROUND(F2206*G2206,2))</f>
        <v/>
      </c>
      <c r="I2206" s="45" t="inlineStr"/>
      <c r="J2206" s="397">
        <f>IF(AND(B2206="",C2206=""),"",ROUND(M2206*N2206,2))</f>
        <v/>
      </c>
      <c r="K2206" s="398">
        <f>IF(AND(B2206="",C2206=""),"",ROUND(J2206*F2206,2))</f>
        <v/>
      </c>
      <c r="L2206" s="200" t="n">
        <v>1</v>
      </c>
      <c r="M2206" s="399" t="n">
        <v>1e-07</v>
      </c>
      <c r="N2206" s="154" t="n">
        <v>1</v>
      </c>
      <c r="O2206" s="155">
        <f>IF(AND(B2206="",C2206=""),"",IF(G2206&gt;=20000,0.05,IF(G2206&gt;=10000,0.1,IF(G2206&gt;=5000,0.2,IF(G2206&gt;=1000,0.3,IF(G2206&gt;=0,0.4,{0}))))))</f>
        <v/>
      </c>
      <c r="P2206" s="400">
        <f>IF(AND(B2206="",C2206=""),"",ROUND(H2206*O2206,2))</f>
        <v/>
      </c>
      <c r="Q2206" s="401" t="inlineStr">
        <is>
          <t>元件</t>
        </is>
      </c>
      <c r="R2206" s="168" t="inlineStr"/>
      <c r="S2206" s="168" t="inlineStr"/>
      <c r="T2206" s="168" t="inlineStr">
        <is>
          <t>0</t>
        </is>
      </c>
      <c r="U2206" s="168" t="inlineStr">
        <is>
          <t>C16F32D160</t>
        </is>
      </c>
      <c r="V2206" s="402" t="n"/>
      <c r="W2206" s="402" t="n"/>
      <c r="X2206" s="170" t="inlineStr">
        <is>
          <t>NSX630N Mic2.3 630A 3P3D F→NSX630F MIC2.3 630 3P F→NSX630F MIC 2.3 630 3P F</t>
        </is>
      </c>
    </row>
    <row r="2207" s="308">
      <c r="A2207" s="64">
        <f>ROW()-ROW(A$2205)</f>
        <v/>
      </c>
      <c r="B2207" s="22" t="inlineStr">
        <is>
          <t>框架断路器</t>
        </is>
      </c>
      <c r="C2207" s="22" t="inlineStr">
        <is>
          <t>MT12 N1a SG 3P MIC5.0 E</t>
        </is>
      </c>
      <c r="D2207" s="22" t="inlineStr">
        <is>
          <t>甲供/施耐德电气</t>
        </is>
      </c>
      <c r="E2207" s="23" t="inlineStr">
        <is>
          <t>只</t>
        </is>
      </c>
      <c r="F2207" s="23" t="n">
        <v>1</v>
      </c>
      <c r="G2207" s="349">
        <f>IF(AND(B2207="",C2207=""),"",ROUND(M2207*L2207*N2207,2))</f>
        <v/>
      </c>
      <c r="H2207" s="349">
        <f>IF(AND(B2207="",C2207=""),"",ROUND(F2207*G2207,2))</f>
        <v/>
      </c>
      <c r="I2207" s="45" t="inlineStr"/>
      <c r="J2207" s="397">
        <f>IF(AND(B2207="",C2207=""),"",ROUND(M2207*N2207,2))</f>
        <v/>
      </c>
      <c r="K2207" s="398">
        <f>IF(AND(B2207="",C2207=""),"",ROUND(J2207*F2207,2))</f>
        <v/>
      </c>
      <c r="L2207" s="200" t="n">
        <v>1</v>
      </c>
      <c r="M2207" s="399" t="n">
        <v>1e-07</v>
      </c>
      <c r="N2207" s="154" t="n">
        <v>1</v>
      </c>
      <c r="O2207" s="155">
        <f>IF(AND(B2207="",C2207=""),"",IF(G2207&gt;=20000,0.05,IF(G2207&gt;=10000,0.1,IF(G2207&gt;=5000,0.2,IF(G2207&gt;=1000,0.3,IF(G2207&gt;=0,0.4,{0}))))))</f>
        <v/>
      </c>
      <c r="P2207" s="400">
        <f>IF(AND(B2207="",C2207=""),"",ROUND(H2207*O2207,2))</f>
        <v/>
      </c>
      <c r="Q2207" s="401" t="inlineStr">
        <is>
          <t>元件</t>
        </is>
      </c>
      <c r="R2207" s="168" t="inlineStr"/>
      <c r="S2207" s="168" t="inlineStr"/>
      <c r="T2207" s="168" t="inlineStr">
        <is>
          <t>0</t>
        </is>
      </c>
      <c r="U2207" s="168" t="inlineStr">
        <is>
          <t>C16F32D160</t>
        </is>
      </c>
      <c r="V2207" s="402" t="n"/>
      <c r="W2207" s="402" t="n"/>
      <c r="X2207" s="170" t="inlineStr">
        <is>
          <t>NSX630N Mic2.3 630A 3P3D F→NSX630F MIC2.3 630 3P F→NSX630F MIC 2.3 630 3P F</t>
        </is>
      </c>
    </row>
    <row r="2208" s="308">
      <c r="A2208" s="64">
        <f>ROW()-ROW(A$2205)</f>
        <v/>
      </c>
      <c r="B2208" s="22" t="inlineStr">
        <is>
          <t>电流互感器</t>
        </is>
      </c>
      <c r="C2208" s="22" t="inlineStr">
        <is>
          <t>SD-0.66-80II-V 1250/5A</t>
        </is>
      </c>
      <c r="D2208" s="22" t="inlineStr">
        <is>
          <t>桑迪</t>
        </is>
      </c>
      <c r="E2208" s="23" t="inlineStr">
        <is>
          <t>只</t>
        </is>
      </c>
      <c r="F2208" s="23" t="n">
        <v>6</v>
      </c>
      <c r="G2208" s="349">
        <f>IF(AND(B2208="",C2208=""),"",ROUND(M2208*L2208*N2208,2))</f>
        <v/>
      </c>
      <c r="H2208" s="396">
        <f>IF(AND(B2208="",C2208=""),"",ROUND(F2208*G2208,2))</f>
        <v/>
      </c>
      <c r="I2208" s="219" t="inlineStr"/>
      <c r="J2208" s="397">
        <f>IF(AND(B2208="",C2208=""),"",ROUND(M2208*N2208,2))</f>
        <v/>
      </c>
      <c r="K2208" s="398">
        <f>IF(AND(B2208="",C2208=""),"",ROUND(J2208*F2208,2))</f>
        <v/>
      </c>
      <c r="L2208" s="200" t="n">
        <v>1</v>
      </c>
      <c r="M2208" s="399" t="n">
        <v>115.7</v>
      </c>
      <c r="N2208" s="154" t="n">
        <v>1</v>
      </c>
      <c r="O2208" s="155">
        <f>IF(AND(B2208="",C2208=""),"",IF(G2208&gt;=20000,0.05,IF(G2208&gt;=10000,0.1,IF(G2208&gt;=5000,0.2,IF(G2208&gt;=1000,0.3,IF(G2208&gt;=0,0.4,{0}))))))</f>
        <v/>
      </c>
      <c r="P2208" s="400">
        <f>IF(AND(B2208="",C2208=""),"",ROUND(H2208*O2208,2))</f>
        <v/>
      </c>
      <c r="Q2208" s="401" t="inlineStr">
        <is>
          <t>元件</t>
        </is>
      </c>
      <c r="R2208" s="168" t="inlineStr"/>
      <c r="S2208" s="168" t="inlineStr"/>
      <c r="T2208" s="168" t="inlineStr">
        <is>
          <t>0</t>
        </is>
      </c>
      <c r="U2208" s="168" t="inlineStr">
        <is>
          <t>710141426552500</t>
        </is>
      </c>
      <c r="V2208" s="402" t="n"/>
      <c r="W2208" s="402" t="n"/>
      <c r="X2208" s="170" t="inlineStr">
        <is>
          <t>SD→SD-0.66-40II-C 400/5A→SD-0.66-30I 250/5A→SD-0.66-30I 150/5A→SD-0.66-60II-C 750/5A→SD-0.66-60II-C 600/5A→SD-0.66-30I 150/5A→SD-0.66-40II-C 400/5A→SD-0.66-100II-C 1600/5A→SD-0.66-80II-V 1000/5A→SD-0.66-80II-V 1250/5A→SD-0.66-80II-V 1000/5A</t>
        </is>
      </c>
    </row>
    <row r="2209" s="308">
      <c r="A2209" s="64">
        <f>ROW()-ROW(A$2205)</f>
        <v/>
      </c>
      <c r="B2209" s="112" t="inlineStr">
        <is>
          <t>多功能表</t>
        </is>
      </c>
      <c r="C2209" s="112" t="inlineStr">
        <is>
          <t>PM4101</t>
        </is>
      </c>
      <c r="D2209" s="112" t="inlineStr">
        <is>
          <t>甲供/施耐德电气</t>
        </is>
      </c>
      <c r="E2209" s="114" t="inlineStr">
        <is>
          <t>只</t>
        </is>
      </c>
      <c r="F2209" s="114" t="n">
        <v>2</v>
      </c>
      <c r="G2209" s="396">
        <f>IF(AND(B2209="",C2209=""),"",ROUND(M2209*L2209*N2209,2))</f>
        <v/>
      </c>
      <c r="H2209" s="349">
        <f>IF(AND(B2209="",C2209=""),"",ROUND(F2209*G2209,2))</f>
        <v/>
      </c>
      <c r="I2209" s="45" t="inlineStr"/>
      <c r="J2209" s="397">
        <f>IF(AND(B2209="",C2209=""),"",ROUND(M2209*N2209,2))</f>
        <v/>
      </c>
      <c r="K2209" s="398">
        <f>IF(AND(B2209="",C2209=""),"",ROUND(J2209*F2209,2))</f>
        <v/>
      </c>
      <c r="L2209" s="200" t="n">
        <v>1</v>
      </c>
      <c r="M2209" s="399" t="n">
        <v>1e-07</v>
      </c>
      <c r="N2209" s="154" t="n">
        <v>1</v>
      </c>
      <c r="O2209" s="155">
        <f>IF(AND(B2209="",C2209=""),"",IF(J2209&gt;=20000,0.05,IF(J2209&gt;=10000,0.1,IF(J2209&gt;=5000,0.2,IF(J2209&gt;=1000,0.3,IF(J2209&gt;=0,0.4,{0}))))))</f>
        <v/>
      </c>
      <c r="P2209" s="400">
        <f>IF(AND(B2209="",C2209=""),"",ROUND(H2209*O2209,2))</f>
        <v/>
      </c>
      <c r="Q2209" s="401" t="inlineStr">
        <is>
          <t>元件</t>
        </is>
      </c>
      <c r="R2209" s="168" t="inlineStr"/>
      <c r="S2209" s="168" t="inlineStr"/>
      <c r="T2209" s="168" t="inlineStr">
        <is>
          <t>0</t>
        </is>
      </c>
      <c r="U2209" s="168" t="inlineStr"/>
      <c r="V2209" s="402" t="n"/>
      <c r="W2209" s="402" t="n"/>
      <c r="X2209" s="170" t="inlineStr"/>
    </row>
    <row r="2210" customFormat="1" s="3">
      <c r="A2210" s="64">
        <f>ROW()-ROW(A$2205)</f>
        <v/>
      </c>
      <c r="B2210" s="27" t="inlineStr">
        <is>
          <t>后备保护器</t>
        </is>
      </c>
      <c r="C2210" s="22" t="inlineStr">
        <is>
          <t>iSCB2 40H2 4P</t>
        </is>
      </c>
      <c r="D2210" s="22" t="inlineStr">
        <is>
          <t>甲供/施耐德万高</t>
        </is>
      </c>
      <c r="E2210" s="110" t="inlineStr">
        <is>
          <t>只</t>
        </is>
      </c>
      <c r="F2210" s="23" t="n">
        <v>1</v>
      </c>
      <c r="G2210" s="349">
        <f>IF(AND(B2210="",C2210=""),"",ROUND(M2210*L2210*N2210,2))</f>
        <v/>
      </c>
      <c r="H2210" s="349">
        <f>IF(AND(B2210="",C2210=""),"",ROUND(F2210*G2210,2))</f>
        <v/>
      </c>
      <c r="I2210" s="45" t="inlineStr"/>
      <c r="J2210" s="392">
        <f>IF(AND(B2210="",C2210=""),"",ROUND(M2210*N2210,2))</f>
        <v/>
      </c>
      <c r="K2210" s="393">
        <f>IF(AND(B2210="",C2210=""),"",ROUND(J2210*F2210,2))</f>
        <v/>
      </c>
      <c r="L2210" s="141" t="n">
        <v>1</v>
      </c>
      <c r="M2210" s="394" t="n">
        <v>1e-07</v>
      </c>
      <c r="N2210" s="143" t="n">
        <v>1</v>
      </c>
      <c r="O2210" s="144">
        <f>IF(AND(B2210="",C2210=""),"",IF(G2210&gt;=20000,0.05,IF(G2210&gt;=10000,0.1,IF(G2210&gt;=5000,0.2,IF(G2210&gt;=1000,0.3,IF(G2210&gt;=0,0.4,{0}))))))</f>
        <v/>
      </c>
      <c r="P2210" s="395">
        <f>IF(AND(B2210="",C2210=""),"",ROUND(H2210*O2210,2))</f>
        <v/>
      </c>
      <c r="Q2210" s="390" t="inlineStr">
        <is>
          <t>元件</t>
        </is>
      </c>
      <c r="R2210" s="164" t="inlineStr"/>
      <c r="S2210" s="164" t="inlineStr"/>
      <c r="T2210" s="164" t="inlineStr">
        <is>
          <t>0</t>
        </is>
      </c>
      <c r="U2210" s="164" t="inlineStr">
        <is>
          <t>A9L102554</t>
        </is>
      </c>
      <c r="V2210" s="391" t="n"/>
      <c r="W2210" s="391" t="n"/>
      <c r="X2210" s="166" t="inlineStr">
        <is>
          <t>iSCB1 25L1 4P→iSCB2 40H2 4P</t>
        </is>
      </c>
    </row>
    <row r="2211" customFormat="1" s="3">
      <c r="A2211" s="64">
        <f>ROW()-ROW(A$2205)</f>
        <v/>
      </c>
      <c r="B2211" s="27" t="inlineStr">
        <is>
          <t>电涌保护器</t>
        </is>
      </c>
      <c r="C2211" s="22" t="inlineStr">
        <is>
          <t>iPRU 40r 3P+N</t>
        </is>
      </c>
      <c r="D2211" s="22" t="inlineStr">
        <is>
          <t>甲供/施耐德万高</t>
        </is>
      </c>
      <c r="E2211" s="110" t="inlineStr">
        <is>
          <t>只</t>
        </is>
      </c>
      <c r="F2211" s="23" t="n">
        <v>1</v>
      </c>
      <c r="G2211" s="349">
        <f>IF(AND(B2211="",C2211=""),"",ROUND(M2211*L2211*N2211,2))</f>
        <v/>
      </c>
      <c r="H2211" s="349">
        <f>IF(AND(B2211="",C2211=""),"",ROUND(F2211*G2211,2))</f>
        <v/>
      </c>
      <c r="I2211" s="45" t="inlineStr"/>
      <c r="J2211" s="392">
        <f>IF(AND(B2211="",C2211=""),"",ROUND(M2211*N2211,2))</f>
        <v/>
      </c>
      <c r="K2211" s="393">
        <f>IF(AND(B2211="",C2211=""),"",ROUND(J2211*F2211,2))</f>
        <v/>
      </c>
      <c r="L2211" s="141" t="n">
        <v>1</v>
      </c>
      <c r="M2211" s="394" t="n">
        <v>1e-07</v>
      </c>
      <c r="N2211" s="143" t="n">
        <v>1</v>
      </c>
      <c r="O2211" s="144">
        <f>IF(AND(B2211="",C2211=""),"",IF(G2211&gt;=20000,0.05,IF(G2211&gt;=10000,0.1,IF(G2211&gt;=5000,0.2,IF(G2211&gt;=1000,0.3,IF(G2211&gt;=0,0.4,{0}))))))</f>
        <v/>
      </c>
      <c r="P2211" s="395">
        <f>IF(AND(B2211="",C2211=""),"",ROUND(H2211*O2211,2))</f>
        <v/>
      </c>
      <c r="Q2211" s="390" t="inlineStr">
        <is>
          <t>元件</t>
        </is>
      </c>
      <c r="R2211" s="164" t="inlineStr"/>
      <c r="S2211" s="164" t="inlineStr"/>
      <c r="T2211" s="164" t="inlineStr">
        <is>
          <t>0</t>
        </is>
      </c>
      <c r="U2211" s="164" t="inlineStr">
        <is>
          <t>A9L620601</t>
        </is>
      </c>
      <c r="V2211" s="391" t="n"/>
      <c r="W2211" s="391" t="n"/>
      <c r="X2211" s="166" t="inlineStr">
        <is>
          <t>iPRF1 12.5r 3P+N→iPRU 40r 3P→iPRF1 12.5r 3P+N</t>
        </is>
      </c>
    </row>
    <row r="2212" customFormat="1" s="3">
      <c r="A2212" s="64">
        <f>ROW()-ROW(A$2205)</f>
        <v/>
      </c>
      <c r="B2212" s="27" t="inlineStr">
        <is>
          <t>微型断路器</t>
        </is>
      </c>
      <c r="C2212" s="22" t="inlineStr">
        <is>
          <t>iC65H 2P C16A</t>
        </is>
      </c>
      <c r="D2212" s="22" t="inlineStr">
        <is>
          <t>甲供/施耐德电气</t>
        </is>
      </c>
      <c r="E2212" s="110" t="inlineStr">
        <is>
          <t>只</t>
        </is>
      </c>
      <c r="F2212" s="23" t="n">
        <v>2</v>
      </c>
      <c r="G2212" s="349">
        <f>IF(AND(B2212="",C2212=""),"",ROUND(M2212*L2212*N2212,2))</f>
        <v/>
      </c>
      <c r="H2212" s="349">
        <f>IF(AND(B2212="",C2212=""),"",ROUND(F2212*G2212,2))</f>
        <v/>
      </c>
      <c r="I2212" s="45" t="inlineStr"/>
      <c r="J2212" s="392">
        <f>IF(AND(B2212="",C2212=""),"",ROUND(M2212*N2212,2))</f>
        <v/>
      </c>
      <c r="K2212" s="393">
        <f>IF(AND(B2212="",C2212=""),"",ROUND(J2212*F2212,2))</f>
        <v/>
      </c>
      <c r="L2212" s="141" t="n">
        <v>1</v>
      </c>
      <c r="M2212" s="394" t="n">
        <v>1e-07</v>
      </c>
      <c r="N2212" s="143" t="n">
        <v>1</v>
      </c>
      <c r="O2212" s="144">
        <f>IF(AND(B2212="",C2212=""),"",IF(G2212&gt;=20000,0.05,IF(G2212&gt;=10000,0.1,IF(G2212&gt;=5000,0.2,IF(G2212&gt;=1000,0.3,IF(G2212&gt;=0,0.4,{0}))))))</f>
        <v/>
      </c>
      <c r="P2212" s="395">
        <f>IF(AND(B2212="",C2212=""),"",ROUND(H2212*O2212,2))</f>
        <v/>
      </c>
      <c r="Q2212" s="390" t="inlineStr">
        <is>
          <t>元件</t>
        </is>
      </c>
      <c r="R2212" s="164" t="inlineStr"/>
      <c r="S2212" s="164" t="inlineStr"/>
      <c r="T2212" s="164" t="n">
        <v>0</v>
      </c>
      <c r="U2212" s="164" t="inlineStr"/>
      <c r="V2212" s="391" t="n"/>
      <c r="W2212" s="391" t="n"/>
      <c r="X2212" s="166" t="inlineStr"/>
    </row>
    <row r="2213" customFormat="1" s="3">
      <c r="A2213" s="64">
        <f>ROW()-ROW(A$2205)</f>
        <v/>
      </c>
      <c r="B2213" s="22" t="inlineStr">
        <is>
          <t>指示灯</t>
        </is>
      </c>
      <c r="C2213" s="22" t="inlineStr">
        <is>
          <t>XB2BVM3LC</t>
        </is>
      </c>
      <c r="D2213" s="22" t="inlineStr">
        <is>
          <t>甲供/施耐德电气</t>
        </is>
      </c>
      <c r="E2213" s="23" t="inlineStr">
        <is>
          <t>只</t>
        </is>
      </c>
      <c r="F2213" s="23" t="n">
        <v>2</v>
      </c>
      <c r="G2213" s="349">
        <f>IF(AND(B2213="",C2213=""),"",ROUND(M2213*L2213*N2213,2))</f>
        <v/>
      </c>
      <c r="H2213" s="353">
        <f>IF(AND(B2213="",C2213=""),"",ROUND(F2213*G2213,2))</f>
        <v/>
      </c>
      <c r="I2213" s="180" t="inlineStr"/>
      <c r="J2213" s="392">
        <f>IF(AND(B2213="",C2213=""),"",ROUND(M2213*N2213,2))</f>
        <v/>
      </c>
      <c r="K2213" s="393">
        <f>IF(AND(B2213="",C2213=""),"",ROUND(J2213*F2213,2))</f>
        <v/>
      </c>
      <c r="L2213" s="141" t="n">
        <v>1</v>
      </c>
      <c r="M2213" s="394" t="n">
        <v>1e-07</v>
      </c>
      <c r="N2213" s="220" t="n">
        <v>1</v>
      </c>
      <c r="O2213" s="221">
        <f>IF(AND(B2213="",C2213=""),"",IF(G2213&gt;=20000,0.05,IF(G2213&gt;=10000,0.1,IF(G2213&gt;=5000,0.2,IF(G2213&gt;=1000,0.3,IF(G2213&gt;=0,0.4,{0}))))))</f>
        <v/>
      </c>
      <c r="P2213" s="419">
        <f>IF(AND(B2213="",C2213=""),"",ROUND(H2213*O2213,2))</f>
        <v/>
      </c>
      <c r="Q2213" s="420" t="inlineStr">
        <is>
          <t>元件</t>
        </is>
      </c>
      <c r="R2213" s="231" t="inlineStr"/>
      <c r="S2213" s="231" t="inlineStr"/>
      <c r="T2213" s="231" t="inlineStr">
        <is>
          <t>0</t>
        </is>
      </c>
      <c r="U2213" s="231" t="inlineStr">
        <is>
          <t>XB2BVM3LC</t>
        </is>
      </c>
      <c r="V2213" s="421" t="n"/>
      <c r="W2213" s="421" t="n"/>
      <c r="X2213" s="166" t="inlineStr">
        <is>
          <t>XA2EVM3LC</t>
        </is>
      </c>
    </row>
    <row r="2214" customFormat="1" s="3">
      <c r="A2214" s="64">
        <f>ROW()-ROW(A$2205)</f>
        <v/>
      </c>
      <c r="B2214" s="22" t="inlineStr">
        <is>
          <t>指示灯</t>
        </is>
      </c>
      <c r="C2214" s="22" t="inlineStr">
        <is>
          <t>XB2BVM4LC</t>
        </is>
      </c>
      <c r="D2214" s="22" t="inlineStr">
        <is>
          <t>甲供/施耐德电气</t>
        </is>
      </c>
      <c r="E2214" s="23" t="inlineStr">
        <is>
          <t>只</t>
        </is>
      </c>
      <c r="F2214" s="23" t="n">
        <v>2</v>
      </c>
      <c r="G2214" s="349">
        <f>IF(AND(B2214="",C2214=""),"",ROUND(M2214*L2214*N2214,2))</f>
        <v/>
      </c>
      <c r="H2214" s="353">
        <f>IF(AND(B2214="",C2214=""),"",ROUND(F2214*G2214,2))</f>
        <v/>
      </c>
      <c r="I2214" s="180" t="inlineStr"/>
      <c r="J2214" s="392">
        <f>IF(AND(B2214="",C2214=""),"",ROUND(M2214*N2214,2))</f>
        <v/>
      </c>
      <c r="K2214" s="393">
        <f>IF(AND(B2214="",C2214=""),"",ROUND(J2214*F2214,2))</f>
        <v/>
      </c>
      <c r="L2214" s="141" t="n">
        <v>1</v>
      </c>
      <c r="M2214" s="394" t="n">
        <v>1e-07</v>
      </c>
      <c r="N2214" s="220" t="n">
        <v>1</v>
      </c>
      <c r="O2214" s="221">
        <f>IF(AND(B2214="",C2214=""),"",IF(G2214&gt;=20000,0.05,IF(G2214&gt;=10000,0.1,IF(G2214&gt;=5000,0.2,IF(G2214&gt;=1000,0.3,IF(G2214&gt;=0,0.4,{0}))))))</f>
        <v/>
      </c>
      <c r="P2214" s="419">
        <f>IF(AND(B2214="",C2214=""),"",ROUND(H2214*O2214,2))</f>
        <v/>
      </c>
      <c r="Q2214" s="420" t="inlineStr">
        <is>
          <t>元件</t>
        </is>
      </c>
      <c r="R2214" s="231" t="inlineStr"/>
      <c r="S2214" s="231" t="inlineStr"/>
      <c r="T2214" s="231" t="inlineStr">
        <is>
          <t>0</t>
        </is>
      </c>
      <c r="U2214" s="231" t="inlineStr">
        <is>
          <t>XB2BVM4LC</t>
        </is>
      </c>
      <c r="V2214" s="421" t="n"/>
      <c r="W2214" s="421" t="n"/>
      <c r="X2214" s="166" t="inlineStr">
        <is>
          <t>XA2EVM4LC</t>
        </is>
      </c>
    </row>
    <row r="2215" s="308">
      <c r="A2215" s="64">
        <f>ROW()-ROW(A$2205)</f>
        <v/>
      </c>
      <c r="B2215" s="112" t="inlineStr">
        <is>
          <t>指示灯</t>
        </is>
      </c>
      <c r="C2215" s="112" t="inlineStr">
        <is>
          <t>XB2BVM5LC</t>
        </is>
      </c>
      <c r="D2215" s="112" t="inlineStr">
        <is>
          <t>甲供/施耐德电气</t>
        </is>
      </c>
      <c r="E2215" s="114" t="inlineStr">
        <is>
          <t>只</t>
        </is>
      </c>
      <c r="F2215" s="114" t="n">
        <v>2</v>
      </c>
      <c r="G2215" s="396">
        <f>IF(AND(B2215="",C2215=""),"",ROUND(M2215*L2215*N2215,2))</f>
        <v/>
      </c>
      <c r="H2215" s="396">
        <f>IF(AND(B2215="",C2215=""),"",ROUND(F2215*G2215,2))</f>
        <v/>
      </c>
      <c r="I2215" s="150" t="inlineStr"/>
      <c r="J2215" s="397">
        <f>IF(AND(B2215="",C2215=""),"",ROUND(M2215*N2215,2))</f>
        <v/>
      </c>
      <c r="K2215" s="398">
        <f>IF(AND(B2215="",C2215=""),"",ROUND(J2215*F2215,2))</f>
        <v/>
      </c>
      <c r="L2215" s="141" t="n">
        <v>1</v>
      </c>
      <c r="M2215" s="399" t="n">
        <v>1e-07</v>
      </c>
      <c r="N2215" s="154" t="n">
        <v>1</v>
      </c>
      <c r="O2215" s="155">
        <f>IF(AND(B2215="",C2215=""),"",IF(G2215&gt;=20000,0.05,IF(G2215&gt;=10000,0.1,IF(G2215&gt;=5000,0.2,IF(G2215&gt;=1000,0.3,IF(G2215&gt;=0,0.4,{0}))))))</f>
        <v/>
      </c>
      <c r="P2215" s="400">
        <f>IF(AND(B2215="",C2215=""),"",ROUND(H2215*O2215,2))</f>
        <v/>
      </c>
      <c r="Q2215" s="401" t="inlineStr">
        <is>
          <t>元件</t>
        </is>
      </c>
      <c r="R2215" s="168" t="inlineStr"/>
      <c r="S2215" s="168" t="inlineStr"/>
      <c r="T2215" s="168" t="inlineStr">
        <is>
          <t>0</t>
        </is>
      </c>
      <c r="U2215" s="168" t="inlineStr">
        <is>
          <t>XA2EVM5LC</t>
        </is>
      </c>
      <c r="V2215" s="402" t="n"/>
      <c r="W2215" s="402" t="n"/>
      <c r="X2215" s="170" t="inlineStr"/>
    </row>
    <row r="2216" s="308">
      <c r="A2216" s="64">
        <f>ROW()-ROW(A$2205)</f>
        <v/>
      </c>
      <c r="B2216" s="112" t="inlineStr">
        <is>
          <t>按钮</t>
        </is>
      </c>
      <c r="C2216" s="112" t="inlineStr">
        <is>
          <t>XB2BA31C</t>
        </is>
      </c>
      <c r="D2216" s="112" t="inlineStr">
        <is>
          <t>甲供/施耐德电气</t>
        </is>
      </c>
      <c r="E2216" s="114" t="inlineStr">
        <is>
          <t>只</t>
        </is>
      </c>
      <c r="F2216" s="114" t="n">
        <v>2</v>
      </c>
      <c r="G2216" s="396">
        <f>IF(AND(B2216="",C2216=""),"",ROUND(M2216*L2216*N2216,2))</f>
        <v/>
      </c>
      <c r="H2216" s="396">
        <f>IF(AND(B2216="",C2216=""),"",ROUND(F2216*G2216,2))</f>
        <v/>
      </c>
      <c r="I2216" s="150" t="inlineStr"/>
      <c r="J2216" s="397">
        <f>IF(AND(B2216="",C2216=""),"",ROUND(M2216*N2216,2))</f>
        <v/>
      </c>
      <c r="K2216" s="398">
        <f>IF(AND(B2216="",C2216=""),"",ROUND(J2216*F2216,2))</f>
        <v/>
      </c>
      <c r="L2216" s="141" t="n">
        <v>1</v>
      </c>
      <c r="M2216" s="399" t="n">
        <v>1e-07</v>
      </c>
      <c r="N2216" s="154" t="n">
        <v>1</v>
      </c>
      <c r="O2216" s="155">
        <f>IF(AND(B2216="",C2216=""),"",IF(G2216&gt;=20000,0.05,IF(G2216&gt;=10000,0.1,IF(G2216&gt;=5000,0.2,IF(G2216&gt;=1000,0.3,IF(G2216&gt;=0,0.4,{0}))))))</f>
        <v/>
      </c>
      <c r="P2216" s="400">
        <f>IF(AND(B2216="",C2216=""),"",ROUND(H2216*O2216,2))</f>
        <v/>
      </c>
      <c r="Q2216" s="401" t="inlineStr">
        <is>
          <t>元件</t>
        </is>
      </c>
      <c r="R2216" s="168" t="inlineStr"/>
      <c r="S2216" s="168" t="inlineStr"/>
      <c r="T2216" s="168" t="inlineStr">
        <is>
          <t>0</t>
        </is>
      </c>
      <c r="U2216" s="168" t="inlineStr">
        <is>
          <t>XB2BA31C</t>
        </is>
      </c>
      <c r="V2216" s="402" t="n"/>
      <c r="W2216" s="402" t="n"/>
      <c r="X2216" s="170" t="inlineStr">
        <is>
          <t>XA2EA31</t>
        </is>
      </c>
    </row>
    <row r="2217" s="308">
      <c r="A2217" s="64">
        <f>ROW()-ROW(A$2205)</f>
        <v/>
      </c>
      <c r="B2217" s="22" t="inlineStr">
        <is>
          <t>按钮</t>
        </is>
      </c>
      <c r="C2217" s="22" t="inlineStr">
        <is>
          <t>XB2BA42C</t>
        </is>
      </c>
      <c r="D2217" s="22" t="inlineStr">
        <is>
          <t>甲供/施耐德电气</t>
        </is>
      </c>
      <c r="E2217" s="23" t="inlineStr">
        <is>
          <t>只</t>
        </is>
      </c>
      <c r="F2217" s="23" t="n">
        <v>2</v>
      </c>
      <c r="G2217" s="349">
        <f>IF(AND(B2217="",C2217=""),"",ROUND(M2217*L2217*N2217,2))</f>
        <v/>
      </c>
      <c r="H2217" s="396">
        <f>IF(AND(B2217="",C2217=""),"",ROUND(F2217*G2217,2))</f>
        <v/>
      </c>
      <c r="I2217" s="150" t="inlineStr"/>
      <c r="J2217" s="397">
        <f>IF(AND(B2217="",C2217=""),"",ROUND(M2217*N2217,2))</f>
        <v/>
      </c>
      <c r="K2217" s="398">
        <f>IF(AND(B2217="",C2217=""),"",ROUND(J2217*F2217,2))</f>
        <v/>
      </c>
      <c r="L2217" s="141" t="n">
        <v>1</v>
      </c>
      <c r="M2217" s="399" t="n">
        <v>1e-07</v>
      </c>
      <c r="N2217" s="154" t="n">
        <v>1</v>
      </c>
      <c r="O2217" s="155">
        <f>IF(AND(B2217="",C2217=""),"",IF(G2217&gt;=20000,0.05,IF(G2217&gt;=10000,0.1,IF(G2217&gt;=5000,0.2,IF(G2217&gt;=1000,0.3,IF(G2217&gt;=0,0.4,{0}))))))</f>
        <v/>
      </c>
      <c r="P2217" s="400">
        <f>IF(AND(B2217="",C2217=""),"",ROUND(H2217*O2217,2))</f>
        <v/>
      </c>
      <c r="Q2217" s="401" t="inlineStr">
        <is>
          <t>元件</t>
        </is>
      </c>
      <c r="R2217" s="168" t="inlineStr"/>
      <c r="S2217" s="168" t="inlineStr"/>
      <c r="T2217" s="168" t="inlineStr">
        <is>
          <t>0</t>
        </is>
      </c>
      <c r="U2217" s="168" t="inlineStr">
        <is>
          <t>XB2BA42C</t>
        </is>
      </c>
      <c r="V2217" s="402" t="n"/>
      <c r="W2217" s="402" t="n"/>
      <c r="X2217" s="170" t="inlineStr">
        <is>
          <t>XA2EA41</t>
        </is>
      </c>
    </row>
    <row r="2218" s="308">
      <c r="A2218" s="64">
        <f>ROW()-ROW(A$2205)</f>
        <v/>
      </c>
      <c r="B2218" s="112" t="inlineStr">
        <is>
          <t>温湿度控制器</t>
        </is>
      </c>
      <c r="C2218" s="112" t="inlineStr">
        <is>
          <t>ATH48G-11</t>
        </is>
      </c>
      <c r="D2218" s="22" t="inlineStr">
        <is>
          <t>杭州安廷</t>
        </is>
      </c>
      <c r="E2218" s="23" t="inlineStr">
        <is>
          <t>套</t>
        </is>
      </c>
      <c r="F2218" s="23" t="n">
        <v>1</v>
      </c>
      <c r="G2218" s="349">
        <f>IF(AND(B2218="",C2218=""),"",ROUND(M2218*L2218*N2218,2))</f>
        <v/>
      </c>
      <c r="H2218" s="396">
        <f>IF(AND(B2218="",C2218=""),"",ROUND(F2218*G2218,2))</f>
        <v/>
      </c>
      <c r="I2218" s="150" t="inlineStr"/>
      <c r="J2218" s="397">
        <f>IF(AND(B2218="",C2218=""),"",ROUND(M2218*N2218,2))</f>
        <v/>
      </c>
      <c r="K2218" s="398">
        <f>IF(AND(B2218="",C2218=""),"",ROUND(J2218*F2218,2))</f>
        <v/>
      </c>
      <c r="L2218" s="141" t="n">
        <v>1</v>
      </c>
      <c r="M2218" s="399" t="n">
        <v>450</v>
      </c>
      <c r="N2218" s="154" t="n">
        <v>1</v>
      </c>
      <c r="O2218" s="155">
        <f>IF(AND(B2218="",C2218=""),"",IF(G2218&gt;=20000,0.05,IF(G2218&gt;=10000,0.1,IF(G2218&gt;=5000,0.2,IF(G2218&gt;=1000,0.3,IF(G2218&gt;=0,0.4,{0}))))))</f>
        <v/>
      </c>
      <c r="P2218" s="400">
        <f>IF(AND(B2218="",C2218=""),"",ROUND(H2218*O2218,2))</f>
        <v/>
      </c>
      <c r="Q2218" s="401" t="inlineStr">
        <is>
          <t>元件</t>
        </is>
      </c>
      <c r="R2218" s="168" t="inlineStr"/>
      <c r="S2218" s="168" t="inlineStr"/>
      <c r="T2218" s="168" t="inlineStr">
        <is>
          <t>0</t>
        </is>
      </c>
      <c r="U2218" s="168" t="inlineStr"/>
      <c r="V2218" s="402" t="n"/>
      <c r="W2218" s="402" t="n"/>
      <c r="X2218" s="170" t="inlineStr"/>
    </row>
    <row r="2219" s="308">
      <c r="A2219" s="64">
        <f>ROW()-ROW(A$2205)</f>
        <v/>
      </c>
      <c r="B2219" s="22" t="inlineStr">
        <is>
          <t>中间继电器</t>
        </is>
      </c>
      <c r="C2219" s="22" t="inlineStr">
        <is>
          <t>RXM4AB2P7+RXZE2S114M+RXZ400</t>
        </is>
      </c>
      <c r="D2219" s="22" t="inlineStr">
        <is>
          <t>甲供/施耐德电气</t>
        </is>
      </c>
      <c r="E2219" s="23" t="inlineStr">
        <is>
          <t>只</t>
        </is>
      </c>
      <c r="F2219" s="23" t="n">
        <v>4</v>
      </c>
      <c r="G2219" s="349">
        <f>IF(AND(B2219="",C2219=""),"",ROUND(M2219*L2219*N2219,2))</f>
        <v/>
      </c>
      <c r="H2219" s="349">
        <f>IF(AND(B2219="",C2219=""),"",ROUND(F2219*G2219,2))</f>
        <v/>
      </c>
      <c r="I2219" s="45" t="inlineStr"/>
      <c r="J2219" s="397">
        <f>IF(AND(B2219="",C2219=""),"",ROUND(M2219*N2219,2))</f>
        <v/>
      </c>
      <c r="K2219" s="398">
        <f>IF(AND(B2219="",C2219=""),"",ROUND(J2219*F2219,2))</f>
        <v/>
      </c>
      <c r="L2219" s="141" t="n">
        <v>1</v>
      </c>
      <c r="M2219" s="399" t="n">
        <v>1e-07</v>
      </c>
      <c r="N2219" s="154" t="n">
        <v>1</v>
      </c>
      <c r="O2219" s="155">
        <f>IF(AND(B2219="",C2219=""),"",IF(G2219&gt;=20000,0.05,IF(G2219&gt;=10000,0.1,IF(G2219&gt;=5000,0.2,IF(G2219&gt;=1000,0.3,IF(G2219&gt;=0,0.4,{0}))))))</f>
        <v/>
      </c>
      <c r="P2219" s="400">
        <f>IF(AND(B2219="",C2219=""),"",ROUND(H2219*O2219,2))</f>
        <v/>
      </c>
      <c r="Q2219" s="401" t="inlineStr">
        <is>
          <t>元件</t>
        </is>
      </c>
      <c r="R2219" s="168" t="inlineStr"/>
      <c r="S2219" s="168" t="inlineStr"/>
      <c r="T2219" s="168" t="inlineStr">
        <is>
          <t>0</t>
        </is>
      </c>
      <c r="U2219" s="168" t="inlineStr">
        <is>
          <t>RXM4AB2P7+RXZE2S114M+RXZ400</t>
        </is>
      </c>
      <c r="V2219" s="402" t="n"/>
      <c r="W2219" s="402" t="n"/>
      <c r="X2219" s="170" t="inlineStr">
        <is>
          <t>REL-IR-BL/L-230AC/4X21，含底座→RXM4AB2P7+RXZE2S114M+RXZ400→REL-IR-BL/L-230AC/4X21，含底座</t>
        </is>
      </c>
    </row>
    <row r="2220" customFormat="1" s="3">
      <c r="A2220" s="64">
        <f>ROW()-ROW(A$2205)</f>
        <v/>
      </c>
      <c r="B2220" s="22" t="inlineStr">
        <is>
          <t>带熔丝端子</t>
        </is>
      </c>
      <c r="C2220" s="22" t="inlineStr">
        <is>
          <t>UK 5-HESI</t>
        </is>
      </c>
      <c r="D2220" s="22" t="inlineStr">
        <is>
          <t>菲尼克斯</t>
        </is>
      </c>
      <c r="E2220" s="23" t="inlineStr">
        <is>
          <t>只</t>
        </is>
      </c>
      <c r="F2220" s="23" t="n">
        <v>8</v>
      </c>
      <c r="G2220" s="349">
        <f>IF(AND(B2220="",C2220=""),"",ROUND(M2220*L2220*N2220,2))</f>
        <v/>
      </c>
      <c r="H2220" s="349">
        <f>IF(AND(B2220="",C2220=""),"",ROUND(F2220*G2220,2))</f>
        <v/>
      </c>
      <c r="I2220" s="45" t="inlineStr"/>
      <c r="J2220" s="392">
        <f>IF(AND(B2220="",C2220=""),"",ROUND(M2220*N2220,2))</f>
        <v/>
      </c>
      <c r="K2220" s="393">
        <f>IF(AND(B2220="",C2220=""),"",ROUND(J2220*F2220,2))</f>
        <v/>
      </c>
      <c r="L2220" s="141" t="n">
        <v>1</v>
      </c>
      <c r="M2220" s="394" t="n">
        <v>7</v>
      </c>
      <c r="N2220" s="220" t="n">
        <v>1</v>
      </c>
      <c r="O2220" s="221">
        <f>IF(AND(B2220="",C2220=""),"",IF(G2220&gt;=20000,0.05,IF(G2220&gt;=10000,0.1,IF(G2220&gt;=5000,0.2,IF(G2220&gt;=1000,0.3,IF(G2220&gt;=0,0.4,{0}))))))</f>
        <v/>
      </c>
      <c r="P2220" s="419">
        <f>IF(AND(B2220="",C2220=""),"",ROUND(H2220*O2220,2))</f>
        <v/>
      </c>
      <c r="Q2220" s="420" t="inlineStr">
        <is>
          <t>元件</t>
        </is>
      </c>
      <c r="R2220" s="231" t="inlineStr"/>
      <c r="S2220" s="231" t="inlineStr"/>
      <c r="T2220" s="231" t="inlineStr">
        <is>
          <t>0</t>
        </is>
      </c>
      <c r="U2220" s="231" t="inlineStr">
        <is>
          <t>True</t>
        </is>
      </c>
      <c r="V2220" s="421" t="n"/>
      <c r="W2220" s="421" t="n"/>
      <c r="X2220" s="166" t="inlineStr"/>
    </row>
    <row r="2221" s="308">
      <c r="A2221" s="64">
        <f>ROW()-ROW(A$2205)</f>
        <v/>
      </c>
      <c r="B2221" s="22" t="inlineStr">
        <is>
          <t>水平母排</t>
        </is>
      </c>
      <c r="C2221" s="22" t="inlineStr">
        <is>
          <t>TMY 4*(2*100*5)+2*50*5</t>
        </is>
      </c>
      <c r="D2221" s="22" t="inlineStr">
        <is>
          <t>国产优质</t>
        </is>
      </c>
      <c r="E2221" s="23" t="inlineStr">
        <is>
          <t>米</t>
        </is>
      </c>
      <c r="F2221" s="23" t="n">
        <v>0.4</v>
      </c>
      <c r="G2221" s="349">
        <f>IF(AND(B2221="",C2221=""),"",ROUND(M2221*L2221*N2221,2))</f>
        <v/>
      </c>
      <c r="H2221" s="349">
        <f>IF(AND(B2221="",C2221=""),"",ROUND(F2221*G2221,2))</f>
        <v/>
      </c>
      <c r="I2221" s="45" t="inlineStr"/>
      <c r="J2221" s="397">
        <f>IF(AND(B2221="",C2221=""),"",ROUND(M2221*N2221,2))</f>
        <v/>
      </c>
      <c r="K2221" s="398">
        <f>IF(AND(B2221="",C2221=""),"",ROUND(J2221*F2221,2))</f>
        <v/>
      </c>
      <c r="L2221" s="200" t="n">
        <v>1</v>
      </c>
      <c r="M2221" s="399" t="n">
        <v>4329.60525</v>
      </c>
      <c r="N2221" s="154">
        <f>(6317.932*1*1+2684.8*1*1)/9002.732</f>
        <v/>
      </c>
      <c r="O2221" s="155">
        <f>IF(AND(B2221="",C2221=""),"",IF(J2221&gt;=20000,0.05,IF(J2221&gt;=10000,0.1,IF(J2221&gt;=5000,0.2,IF(J2221&gt;=1000,0.3,IF(J2221&gt;=0,0.4,{0}))))))</f>
        <v/>
      </c>
      <c r="P2221" s="400">
        <f>IF(AND(B2221="",C2221=""),"",ROUND(H2221*O2221,2))</f>
        <v/>
      </c>
      <c r="Q2221" s="401" t="inlineStr">
        <is>
          <t>母排</t>
        </is>
      </c>
      <c r="R2221" s="168" t="inlineStr"/>
      <c r="S2221" s="168" t="inlineStr"/>
      <c r="T2221" s="168" t="inlineStr">
        <is>
          <t>0</t>
        </is>
      </c>
      <c r="U2221" s="168" t="inlineStr"/>
      <c r="V2221" s="402" t="n"/>
      <c r="W2221" s="402" t="n"/>
      <c r="X2221" s="170" t="inlineStr"/>
    </row>
    <row r="2222" customFormat="1" s="5">
      <c r="A2222" s="64">
        <f>ROW()-ROW(A$2205)</f>
        <v/>
      </c>
      <c r="B2222" s="22" t="inlineStr">
        <is>
          <t>桩头排</t>
        </is>
      </c>
      <c r="C2222" s="22" t="inlineStr">
        <is>
          <t>TMY 3*2*60*5</t>
        </is>
      </c>
      <c r="D2222" s="22" t="inlineStr">
        <is>
          <t>国产优质</t>
        </is>
      </c>
      <c r="E2222" s="23" t="inlineStr">
        <is>
          <t>米</t>
        </is>
      </c>
      <c r="F2222" s="23" t="n">
        <v>3</v>
      </c>
      <c r="G2222" s="349">
        <f>IF(AND(B2222="",C2222=""),"",ROUND(M2222*L2222*N2222,2))</f>
        <v/>
      </c>
      <c r="H2222" s="349">
        <f>IF(AND(B2222="",C2222=""),"",ROUND(F2222*G2222,2))</f>
        <v/>
      </c>
      <c r="I2222" s="45" t="inlineStr"/>
      <c r="J2222" s="422">
        <f>IF(AND(B2222="",C2222=""),"",ROUND(M2222*N2222,2))</f>
        <v/>
      </c>
      <c r="K2222" s="423">
        <f>IF(AND(B2222="",C2222=""),"",ROUND(J2222*F2222,2))</f>
        <v/>
      </c>
      <c r="L2222" s="225" t="n">
        <v>1</v>
      </c>
      <c r="M2222" s="424" t="n">
        <v>1731.8421</v>
      </c>
      <c r="N2222" s="227" t="n">
        <v>1</v>
      </c>
      <c r="O2222" s="228">
        <f>IF(AND(B2222="",C2222=""),"",IF(G2222&gt;=20000,0.05,IF(G2222&gt;=10000,0.1,IF(G2222&gt;=5000,0.2,IF(G2222&gt;=1000,0.3,IF(G2222&gt;=0,0.4,{0}))))))</f>
        <v/>
      </c>
      <c r="P2222" s="425">
        <f>IF(AND(B2222="",C2222=""),"",ROUND(H2222*O2222,2))</f>
        <v/>
      </c>
      <c r="Q2222" s="426" t="inlineStr">
        <is>
          <t>母排</t>
        </is>
      </c>
      <c r="R2222" s="234" t="inlineStr"/>
      <c r="S2222" s="234" t="inlineStr"/>
      <c r="T2222" s="235" t="inlineStr">
        <is>
          <t>0</t>
        </is>
      </c>
      <c r="U2222" s="235" t="inlineStr"/>
      <c r="V2222" s="427" t="n"/>
      <c r="W2222" s="427" t="n"/>
      <c r="X2222" s="237" t="inlineStr">
        <is>
          <t>TMY 2*30*5→TMY 30*8</t>
        </is>
      </c>
    </row>
    <row r="2223" customFormat="1" s="5">
      <c r="A2223" s="64">
        <f>ROW()-ROW(A$2205)</f>
        <v/>
      </c>
      <c r="B2223" s="22" t="inlineStr">
        <is>
          <t>垂直排</t>
        </is>
      </c>
      <c r="C2223" s="22" t="inlineStr">
        <is>
          <t>TMY 3*2*60*5</t>
        </is>
      </c>
      <c r="D2223" s="22" t="inlineStr">
        <is>
          <t>国产优质</t>
        </is>
      </c>
      <c r="E2223" s="23" t="inlineStr">
        <is>
          <t>米</t>
        </is>
      </c>
      <c r="F2223" s="23" t="n">
        <v>2</v>
      </c>
      <c r="G2223" s="349">
        <f>IF(AND(B2223="",C2223=""),"",ROUND(M2223*L2223*N2223,2))</f>
        <v/>
      </c>
      <c r="H2223" s="349">
        <f>IF(AND(B2223="",C2223=""),"",ROUND(F2223*G2223,2))</f>
        <v/>
      </c>
      <c r="I2223" s="45" t="inlineStr"/>
      <c r="J2223" s="422">
        <f>IF(AND(B2223="",C2223=""),"",ROUND(M2223*N2223,2))</f>
        <v/>
      </c>
      <c r="K2223" s="423">
        <f>IF(AND(B2223="",C2223=""),"",ROUND(J2223*F2223,2))</f>
        <v/>
      </c>
      <c r="L2223" s="225" t="n">
        <v>1</v>
      </c>
      <c r="M2223" s="424" t="n">
        <v>1731.8421</v>
      </c>
      <c r="N2223" s="227" t="n">
        <v>1</v>
      </c>
      <c r="O2223" s="228">
        <f>IF(AND(B2223="",C2223=""),"",IF(G2223&gt;=20000,0.05,IF(G2223&gt;=10000,0.1,IF(G2223&gt;=5000,0.2,IF(G2223&gt;=1000,0.3,IF(G2223&gt;=0,0.4,{0}))))))</f>
        <v/>
      </c>
      <c r="P2223" s="425">
        <f>IF(AND(B2223="",C2223=""),"",ROUND(H2223*O2223,2))</f>
        <v/>
      </c>
      <c r="Q2223" s="426" t="inlineStr">
        <is>
          <t>母排</t>
        </is>
      </c>
      <c r="R2223" s="234" t="inlineStr"/>
      <c r="S2223" s="234" t="inlineStr"/>
      <c r="T2223" s="235" t="inlineStr">
        <is>
          <t>0</t>
        </is>
      </c>
      <c r="U2223" s="235" t="inlineStr"/>
      <c r="V2223" s="427" t="n"/>
      <c r="W2223" s="427" t="n"/>
      <c r="X2223" s="237" t="inlineStr">
        <is>
          <t>TMY 2*30*5→TMY 30*8</t>
        </is>
      </c>
    </row>
    <row r="2224" customFormat="1" s="5">
      <c r="A2224" s="64">
        <f>ROW()-ROW(A$2205)</f>
        <v/>
      </c>
      <c r="B2224" s="22" t="inlineStr">
        <is>
          <t>N排</t>
        </is>
      </c>
      <c r="C2224" s="22" t="inlineStr">
        <is>
          <t>TMY 2*60*10</t>
        </is>
      </c>
      <c r="D2224" s="22" t="inlineStr">
        <is>
          <t>国产优质</t>
        </is>
      </c>
      <c r="E2224" s="23" t="inlineStr">
        <is>
          <t>米</t>
        </is>
      </c>
      <c r="F2224" s="23" t="n">
        <v>3</v>
      </c>
      <c r="G2224" s="349">
        <f>IF(AND(B2224="",C2224=""),"",ROUND(M2224*L2224*N2224,2))</f>
        <v/>
      </c>
      <c r="H2224" s="349">
        <f>IF(AND(B2224="",C2224=""),"",ROUND(F2224*G2224,2))</f>
        <v/>
      </c>
      <c r="I2224" s="45" t="inlineStr"/>
      <c r="J2224" s="422">
        <f>IF(AND(B2224="",C2224=""),"",ROUND(M2224*N2224,2))</f>
        <v/>
      </c>
      <c r="K2224" s="423">
        <f>IF(AND(B2224="",C2224=""),"",ROUND(J2224*F2224,2))</f>
        <v/>
      </c>
      <c r="L2224" s="225" t="n">
        <v>1</v>
      </c>
      <c r="M2224" s="424" t="n">
        <v>1154.5614</v>
      </c>
      <c r="N2224" s="227" t="n">
        <v>1</v>
      </c>
      <c r="O2224" s="228">
        <f>IF(AND(B2224="",C2224=""),"",IF(G2224&gt;=20000,0.05,IF(G2224&gt;=10000,0.1,IF(G2224&gt;=5000,0.2,IF(G2224&gt;=1000,0.3,IF(G2224&gt;=0,0.4,{0}))))))</f>
        <v/>
      </c>
      <c r="P2224" s="425">
        <f>IF(AND(B2224="",C2224=""),"",ROUND(H2224*O2224,2))</f>
        <v/>
      </c>
      <c r="Q2224" s="426" t="inlineStr">
        <is>
          <t>母排</t>
        </is>
      </c>
      <c r="R2224" s="234" t="inlineStr"/>
      <c r="S2224" s="234" t="inlineStr"/>
      <c r="T2224" s="235" t="inlineStr">
        <is>
          <t>0</t>
        </is>
      </c>
      <c r="U2224" s="235" t="inlineStr"/>
      <c r="V2224" s="427" t="n"/>
      <c r="W2224" s="427" t="n"/>
      <c r="X2224" s="237" t="inlineStr">
        <is>
          <t>TMY 2*30*5→TMY 30*8</t>
        </is>
      </c>
    </row>
    <row r="2225" customFormat="1" s="5">
      <c r="A2225" s="64">
        <f>ROW()-ROW(A$2205)</f>
        <v/>
      </c>
      <c r="B2225" s="22" t="inlineStr">
        <is>
          <t>PE排</t>
        </is>
      </c>
      <c r="C2225" s="22" t="inlineStr">
        <is>
          <t>TMY 2*50*5</t>
        </is>
      </c>
      <c r="D2225" s="22" t="inlineStr">
        <is>
          <t>国产优质</t>
        </is>
      </c>
      <c r="E2225" s="23" t="inlineStr">
        <is>
          <t>米</t>
        </is>
      </c>
      <c r="F2225" s="23" t="n">
        <v>2</v>
      </c>
      <c r="G2225" s="349">
        <f>IF(AND(B2225="",C2225=""),"",ROUND(M2225*L2225*N2225,2))</f>
        <v/>
      </c>
      <c r="H2225" s="349">
        <f>IF(AND(B2225="",C2225=""),"",ROUND(F2225*G2225,2))</f>
        <v/>
      </c>
      <c r="I2225" s="45" t="inlineStr"/>
      <c r="J2225" s="422">
        <f>IF(AND(B2225="",C2225=""),"",ROUND(M2225*N2225,2))</f>
        <v/>
      </c>
      <c r="K2225" s="423">
        <f>IF(AND(B2225="",C2225=""),"",ROUND(J2225*F2225,2))</f>
        <v/>
      </c>
      <c r="L2225" s="225" t="n">
        <v>1</v>
      </c>
      <c r="M2225" s="424" t="n">
        <v>481.06725</v>
      </c>
      <c r="N2225" s="227" t="n">
        <v>1</v>
      </c>
      <c r="O2225" s="228">
        <f>IF(AND(B2225="",C2225=""),"",IF(G2225&gt;=20000,0.05,IF(G2225&gt;=10000,0.1,IF(G2225&gt;=5000,0.2,IF(G2225&gt;=1000,0.3,IF(G2225&gt;=0,0.4,{0}))))))</f>
        <v/>
      </c>
      <c r="P2225" s="425">
        <f>IF(AND(B2225="",C2225=""),"",ROUND(H2225*O2225,2))</f>
        <v/>
      </c>
      <c r="Q2225" s="426" t="inlineStr">
        <is>
          <t>母排</t>
        </is>
      </c>
      <c r="R2225" s="234" t="inlineStr"/>
      <c r="S2225" s="234" t="inlineStr"/>
      <c r="T2225" s="235" t="inlineStr">
        <is>
          <t>0</t>
        </is>
      </c>
      <c r="U2225" s="235" t="inlineStr"/>
      <c r="V2225" s="427" t="n"/>
      <c r="W2225" s="427" t="n"/>
      <c r="X2225" s="237" t="inlineStr">
        <is>
          <t>TMY 2*30*5→TMY 30*8</t>
        </is>
      </c>
    </row>
    <row r="2226" s="308">
      <c r="A2226" s="64">
        <f>ROW()-ROW(A$2205)</f>
        <v/>
      </c>
      <c r="B2226" s="112" t="inlineStr">
        <is>
          <t>辅料</t>
        </is>
      </c>
      <c r="C2226" s="112" t="inlineStr"/>
      <c r="D2226" s="112" t="inlineStr"/>
      <c r="E2226" s="114" t="inlineStr">
        <is>
          <t>套</t>
        </is>
      </c>
      <c r="F2226" s="114" t="n">
        <v>1</v>
      </c>
      <c r="G2226" s="396">
        <f>IF(AND(B2226="",C2226=""),"",ROUND(M2226*L2226*N2226,2))</f>
        <v/>
      </c>
      <c r="H2226" s="396">
        <f>IF(AND(B2226="",C2226=""),"",ROUND(F2226*G2226,2))</f>
        <v/>
      </c>
      <c r="I2226" s="219" t="inlineStr"/>
      <c r="J2226" s="397">
        <f>IF(AND(B2226="",C2226=""),"",ROUND(M2226*N2226,2))</f>
        <v/>
      </c>
      <c r="K2226" s="398">
        <f>IF(AND(B2226="",C2226=""),"",ROUND(J2226*F2226,2))</f>
        <v/>
      </c>
      <c r="L2226" s="200" t="n">
        <v>1</v>
      </c>
      <c r="M2226" s="399" t="n">
        <v>800</v>
      </c>
      <c r="N2226" s="154" t="n">
        <v>1</v>
      </c>
      <c r="O2226" s="155">
        <f>IF(AND(B2226="",C2226=""),"",IF(G2226&gt;=20000,0.05,IF(G2226&gt;=10000,0.1,IF(G2226&gt;=5000,0.2,IF(G2226&gt;=1000,0.3,IF(G2226&gt;=0,0.4,{0}))))))</f>
        <v/>
      </c>
      <c r="P2226" s="400">
        <f>IF(AND(B2226="",C2226=""),"",ROUND(H2226*O2226,2))</f>
        <v/>
      </c>
      <c r="Q2226" s="401" t="inlineStr">
        <is>
          <t>辅料</t>
        </is>
      </c>
      <c r="R2226" s="168" t="inlineStr"/>
      <c r="S2226" s="168" t="inlineStr"/>
      <c r="T2226" s="168" t="inlineStr">
        <is>
          <t>0</t>
        </is>
      </c>
      <c r="U2226" s="168" t="inlineStr"/>
      <c r="V2226" s="402" t="n"/>
      <c r="W2226" s="402" t="n"/>
      <c r="X2226" s="170" t="inlineStr"/>
    </row>
    <row r="2227" s="308">
      <c r="A2227" s="64">
        <f>ROW()-ROW(A$2205)</f>
        <v/>
      </c>
      <c r="B2227" s="112" t="inlineStr">
        <is>
          <t>柜体Blokset</t>
        </is>
      </c>
      <c r="C2227" s="22" t="inlineStr">
        <is>
          <t>400W*1200D*2200H</t>
        </is>
      </c>
      <c r="D2227" s="112" t="inlineStr">
        <is>
          <t>清科</t>
        </is>
      </c>
      <c r="E2227" s="114" t="inlineStr">
        <is>
          <t>台</t>
        </is>
      </c>
      <c r="F2227" s="114" t="n">
        <v>1</v>
      </c>
      <c r="G2227" s="396">
        <f>IF(AND(B2227="",C2227=""),"",ROUND(M2227*L2227*N2227,2))</f>
        <v/>
      </c>
      <c r="H2227" s="396">
        <f>IF(AND(B2227="",C2227=""),"",ROUND(F2227*G2227,2))</f>
        <v/>
      </c>
      <c r="I2227" s="219" t="inlineStr"/>
      <c r="J2227" s="397">
        <f>IF(AND(B2227="",C2227=""),"",ROUND(M2227*N2227,2))</f>
        <v/>
      </c>
      <c r="K2227" s="398">
        <f>IF(AND(B2227="",C2227=""),"",ROUND(J2227*F2227,2))</f>
        <v/>
      </c>
      <c r="L2227" s="200" t="n">
        <v>1</v>
      </c>
      <c r="M2227" s="399" t="n">
        <v>4916</v>
      </c>
      <c r="N2227" s="154" t="n">
        <v>1</v>
      </c>
      <c r="O2227" s="155">
        <f>IF(AND(B2227="",C2227=""),"",IF(G2227&gt;=20000,0.05,IF(G2227&gt;=10000,0.1,IF(G2227&gt;=5000,0.2,IF(G2227&gt;=1000,0.3,IF(G2227&gt;=0,0.4,{0}))))))</f>
        <v/>
      </c>
      <c r="P2227" s="400">
        <f>IF(AND(B2227="",C2227=""),"",ROUND(H2227*O2227,2))</f>
        <v/>
      </c>
      <c r="Q2227" s="401" t="inlineStr">
        <is>
          <t>箱体</t>
        </is>
      </c>
      <c r="R2227" s="168" t="inlineStr"/>
      <c r="S2227" s="168" t="inlineStr"/>
      <c r="T2227" s="168" t="inlineStr">
        <is>
          <t>0</t>
        </is>
      </c>
      <c r="U2227" s="168" t="inlineStr"/>
      <c r="V2227" s="402" t="n"/>
      <c r="W2227" s="402" t="n"/>
      <c r="X2227" s="170" t="inlineStr">
        <is>
          <t>BlokSeT</t>
        </is>
      </c>
    </row>
    <row r="2228" s="308">
      <c r="A2228" s="64">
        <f>ROW()-ROW(A$2205)</f>
        <v/>
      </c>
      <c r="B2228" s="22" t="inlineStr"/>
      <c r="C2228" s="22" t="inlineStr"/>
      <c r="D2228" s="22" t="inlineStr"/>
      <c r="E2228" s="23" t="n"/>
      <c r="F2228" s="23">
        <f>IF(AND(B2228="",C2228=""),"",1)</f>
        <v/>
      </c>
      <c r="G2228" s="349">
        <f>IF(AND(B2228="",C2228=""),"",ROUND(M2228*L2228*N2228,2))</f>
        <v/>
      </c>
      <c r="H2228" s="349">
        <f>IF(AND(B2228="",C2228=""),"",ROUND(F2228*G2228,2))</f>
        <v/>
      </c>
      <c r="I2228" s="45" t="inlineStr"/>
      <c r="J2228" s="397">
        <f>IF(AND(B2228="",C2228=""),"",ROUND(M2228*N2228,2))</f>
        <v/>
      </c>
      <c r="K2228" s="398">
        <f>IF(AND(B2228="",C2228=""),"",ROUND(J2228*F2228,2))</f>
        <v/>
      </c>
      <c r="L2228" s="200">
        <f>IF(AND(B2228="",C2228=""),"",1)</f>
        <v/>
      </c>
      <c r="M2228" s="399" t="n"/>
      <c r="N2228" s="154">
        <f>IF(AND(B2228="",C2228=""),"",1)</f>
        <v/>
      </c>
      <c r="O2228" s="155">
        <f>IF(AND(B2228="",C2228=""),"",IF(J2228&gt;=20000,0.05,IF(J2228&gt;=10000,0.1,IF(J2228&gt;=5000,0.2,IF(J2228&gt;=1000,0.3,IF(J2228&gt;=0,0.4,{0}))))))</f>
        <v/>
      </c>
      <c r="P2228" s="400">
        <f>IF(AND(B2228="",C2228=""),"",ROUND(H2228*O2228,2))</f>
        <v/>
      </c>
      <c r="Q2228" s="401">
        <f>IF(AND(B2228="",C2228=""),"","元件")</f>
        <v/>
      </c>
      <c r="R2228" s="168" t="inlineStr"/>
      <c r="S2228" s="168" t="inlineStr"/>
      <c r="T2228" s="168" t="inlineStr"/>
      <c r="U2228" s="168" t="inlineStr"/>
      <c r="V2228" s="402" t="n"/>
      <c r="W2228" s="402" t="n"/>
      <c r="X2228" s="170" t="inlineStr"/>
    </row>
    <row r="2229" s="308">
      <c r="A2229" s="64">
        <f>ROW()-ROW(A$2205)</f>
        <v/>
      </c>
      <c r="B2229" s="171" t="inlineStr">
        <is>
          <t>小计</t>
        </is>
      </c>
      <c r="C2229" s="172" t="n"/>
      <c r="D2229" s="204" t="n"/>
      <c r="E2229" s="114" t="n"/>
      <c r="F2229" s="114" t="n"/>
      <c r="G2229" s="396" t="n"/>
      <c r="H2229" s="396">
        <f>ROUND(SUM(H2205:INDEX(H:H,ROW()-1)),2)</f>
        <v/>
      </c>
      <c r="I2229" s="45" t="inlineStr"/>
      <c r="J2229" s="397" t="n"/>
      <c r="K2229" s="398">
        <f>ROUND(SUM(K2205:INDEX(K:K,ROW()-1)),2)</f>
        <v/>
      </c>
      <c r="L2229" s="200" t="n"/>
      <c r="M2229" s="399" t="n"/>
      <c r="N2229" s="154" t="n"/>
      <c r="O2229" s="155" t="n"/>
      <c r="P2229" s="400" t="n"/>
      <c r="Q2229" s="401" t="n"/>
      <c r="R2229" s="168" t="inlineStr"/>
      <c r="S2229" s="168" t="inlineStr"/>
      <c r="T2229" s="168" t="inlineStr"/>
      <c r="U2229" s="168" t="inlineStr"/>
      <c r="V2229" s="402">
        <f>ROUND(SUMPRODUCT(F2205:INDEX(F:F,ROW()-1),V2205:INDEX(V:V,ROW()-1)),2)</f>
        <v/>
      </c>
      <c r="W2229" s="402">
        <f>ROUND(SUMPRODUCT(F2205:INDEX(F:F,ROW()-1),W2205:INDEX(W:W,ROW()-1)),2)</f>
        <v/>
      </c>
      <c r="X2229" s="170" t="inlineStr"/>
    </row>
    <row r="2230" s="308">
      <c r="A2230" s="64">
        <f>ROW()-ROW(A$2205)</f>
        <v/>
      </c>
      <c r="B2230" s="171" t="inlineStr">
        <is>
          <t>综合费(人工、管理、税金、利润等)</t>
        </is>
      </c>
      <c r="C2230" s="172" t="n"/>
      <c r="D2230" s="204" t="n"/>
      <c r="E2230" s="114" t="n"/>
      <c r="F2230" s="114" t="n"/>
      <c r="G2230" s="396" t="n"/>
      <c r="H2230" s="396">
        <f>2500</f>
        <v/>
      </c>
      <c r="I2230" s="45" t="inlineStr"/>
      <c r="J2230" s="397" t="n"/>
      <c r="K2230" s="398" t="n"/>
      <c r="L2230" s="200" t="n"/>
      <c r="M2230" s="399" t="n"/>
      <c r="N2230" s="154" t="n"/>
      <c r="O2230" s="155" t="n"/>
      <c r="P2230" s="400" t="n"/>
      <c r="Q2230" s="401" t="inlineStr">
        <is>
          <t>费用</t>
        </is>
      </c>
      <c r="R2230" s="168" t="inlineStr"/>
      <c r="S2230" s="168" t="inlineStr"/>
      <c r="T2230" s="168" t="inlineStr"/>
      <c r="U2230" s="168" t="inlineStr"/>
      <c r="V2230" s="402" t="n"/>
      <c r="W2230" s="402" t="n"/>
      <c r="X2230" s="170" t="inlineStr"/>
    </row>
    <row r="2231" s="308">
      <c r="A2231" s="64">
        <f>ROW()-ROW(A$2205)</f>
        <v/>
      </c>
      <c r="B2231" s="204" t="inlineStr">
        <is>
          <t>单台合计</t>
        </is>
      </c>
      <c r="C2231" s="172" t="n"/>
      <c r="D2231" s="204" t="n"/>
      <c r="E2231" s="114" t="n"/>
      <c r="F2231" s="114" t="n"/>
      <c r="G2231" s="396" t="n"/>
      <c r="H2231" s="396">
        <f>ROUND(SUM(H2229:H2230),2)</f>
        <v/>
      </c>
      <c r="I2231" s="181" t="n"/>
      <c r="J2231" s="397" t="n"/>
      <c r="K2231" s="398">
        <f>ROUND(SUM(K2229:K2230),2)</f>
        <v/>
      </c>
      <c r="L2231" s="209" t="n"/>
      <c r="M2231" s="399" t="n"/>
      <c r="N2231" s="210" t="n"/>
      <c r="O2231" s="211" t="n"/>
      <c r="P2231" s="400" t="n"/>
      <c r="Q2231" s="401" t="n"/>
      <c r="R2231" s="168" t="inlineStr"/>
      <c r="S2231" s="168" t="inlineStr"/>
      <c r="T2231" s="168" t="inlineStr"/>
      <c r="U2231" s="168" t="inlineStr"/>
      <c r="V2231" s="402" t="n"/>
      <c r="W2231" s="402" t="n"/>
      <c r="X2231" s="170" t="inlineStr"/>
    </row>
    <row r="2232" s="308">
      <c r="A2232" s="173" t="inlineStr">
        <is>
          <t>总计</t>
        </is>
      </c>
      <c r="B2232" s="205" t="n"/>
      <c r="C2232" s="175" t="n"/>
      <c r="D2232" s="206" t="n"/>
      <c r="E2232" s="206" t="inlineStr">
        <is>
          <t>台</t>
        </is>
      </c>
      <c r="F2232" s="206" t="n">
        <v>2</v>
      </c>
      <c r="G2232" s="414">
        <f>ROUND(H2231,2)</f>
        <v/>
      </c>
      <c r="H2232" s="414">
        <f>ROUND(F2232*G2232,2)</f>
        <v/>
      </c>
      <c r="I2232" s="185" t="n"/>
      <c r="J2232" s="415" t="n"/>
      <c r="K2232" s="416">
        <f>ROUND(K2231*F2232,2)</f>
        <v/>
      </c>
      <c r="L2232" s="214" t="n"/>
      <c r="M2232" s="417" t="n"/>
      <c r="N2232" s="216" t="n"/>
      <c r="O2232" s="217" t="n"/>
      <c r="P2232" s="418" t="n"/>
      <c r="Q2232" s="401" t="n"/>
      <c r="R2232" s="168" t="inlineStr"/>
      <c r="S2232" s="168" t="inlineStr"/>
      <c r="T2232" s="168" t="inlineStr"/>
      <c r="U2232" s="168" t="inlineStr"/>
      <c r="V2232" s="402" t="n"/>
      <c r="W2232" s="402" t="n"/>
      <c r="X2232" s="170" t="inlineStr"/>
    </row>
    <row r="2233" customFormat="1" s="4">
      <c r="A2233" s="6" t="n"/>
      <c r="B2233" s="195" t="inlineStr"/>
      <c r="C2233" s="195" t="inlineStr"/>
      <c r="D2233" s="195" t="inlineStr"/>
      <c r="Q2233" s="159" t="n"/>
      <c r="R2233" s="159" t="n"/>
      <c r="S2233" s="159" t="n"/>
      <c r="T2233" s="159" t="n"/>
      <c r="U2233" s="159" t="n"/>
      <c r="X2233" s="195" t="inlineStr"/>
    </row>
    <row r="2234" customFormat="1" s="4">
      <c r="A2234" s="6" t="n"/>
      <c r="B2234" s="195" t="inlineStr"/>
      <c r="C2234" s="195" t="inlineStr"/>
      <c r="D2234" s="195" t="inlineStr"/>
      <c r="Q2234" s="159" t="n"/>
      <c r="R2234" s="159" t="n"/>
      <c r="S2234" s="159" t="n"/>
      <c r="T2234" s="159" t="n"/>
      <c r="U2234" s="159" t="n"/>
      <c r="X2234" s="195" t="inlineStr"/>
    </row>
    <row r="2235" s="308">
      <c r="A2235" s="208">
        <f>CONCATENATE("报价人：",项目信息!$B$8)</f>
        <v/>
      </c>
      <c r="B2235" s="208" t="n"/>
      <c r="C2235" s="4" t="n"/>
      <c r="D2235" s="4" t="n"/>
      <c r="E2235" s="4" t="n"/>
      <c r="F2235" s="4" t="n"/>
      <c r="G2235" s="4" t="n"/>
      <c r="H2235" s="178">
        <f>项目信息!$B$9</f>
        <v/>
      </c>
      <c r="Q2235" s="159" t="n"/>
      <c r="R2235" s="159" t="n"/>
      <c r="S2235" s="159" t="n"/>
      <c r="T2235" s="159" t="n"/>
      <c r="U2235" s="159" t="n"/>
      <c r="X2235" s="203" t="inlineStr"/>
    </row>
    <row r="2236" s="308">
      <c r="A2236" s="8">
        <f>T(项目信息!$B$22)</f>
        <v/>
      </c>
      <c r="Q2236" s="159" t="n"/>
      <c r="R2236" s="159" t="n"/>
      <c r="S2236" s="159" t="n"/>
      <c r="T2236" s="159" t="n"/>
      <c r="U2236" s="159" t="n"/>
    </row>
    <row r="2237" s="308">
      <c r="A2237" s="9">
        <f>T(项目信息!$B$23)</f>
        <v/>
      </c>
      <c r="Q2237" s="159" t="n"/>
      <c r="R2237" s="159" t="n"/>
      <c r="S2237" s="159" t="n"/>
      <c r="T2237" s="159" t="n"/>
      <c r="U2237" s="159" t="n"/>
    </row>
    <row r="2238" s="308">
      <c r="A2238" s="97" t="inlineStr">
        <is>
          <t>成套产品报价明细表</t>
        </is>
      </c>
      <c r="B2238" s="378" t="n"/>
      <c r="C2238" s="378" t="n"/>
      <c r="D2238" s="378" t="n"/>
      <c r="E2238" s="378" t="n"/>
      <c r="F2238" s="378" t="n"/>
      <c r="G2238" s="378" t="n"/>
      <c r="H2238" s="378" t="n"/>
      <c r="I2238" s="378" t="n"/>
      <c r="Q2238" s="159" t="n"/>
      <c r="R2238" s="159" t="n"/>
      <c r="S2238" s="159" t="n"/>
      <c r="T2238" s="159" t="n"/>
      <c r="U2238" s="159" t="n"/>
    </row>
    <row r="2239" customFormat="1" s="4">
      <c r="A2239" s="98" t="inlineStr">
        <is>
          <t>柜号:</t>
        </is>
      </c>
      <c r="B2239" s="99" t="inlineStr">
        <is>
          <t>T9-AU22、T10-BU22</t>
        </is>
      </c>
      <c r="C2239" s="100" t="inlineStr">
        <is>
          <t>型号:</t>
        </is>
      </c>
      <c r="D2239" s="99" t="inlineStr">
        <is>
          <t>BlokSeT</t>
        </is>
      </c>
      <c r="E2239" s="379" t="n"/>
      <c r="F2239" s="101" t="inlineStr">
        <is>
          <t>名称:</t>
        </is>
      </c>
      <c r="G2239" s="99" t="inlineStr">
        <is>
          <t>馈线柜</t>
        </is>
      </c>
      <c r="H2239" s="379" t="n"/>
      <c r="I2239" s="408" t="inlineStr"/>
      <c r="J2239" s="194" t="inlineStr">
        <is>
          <t>箱柜尺寸:</t>
        </is>
      </c>
      <c r="K2239" s="195" t="inlineStr">
        <is>
          <t>600W*1200D*2200H</t>
        </is>
      </c>
      <c r="L2239" s="194" t="inlineStr">
        <is>
          <t>类别:</t>
        </is>
      </c>
      <c r="M2239" s="195" t="inlineStr">
        <is>
          <t>低压固定柜</t>
        </is>
      </c>
      <c r="N2239" s="409" t="inlineStr"/>
      <c r="Q2239" s="159" t="n"/>
      <c r="R2239" s="159" t="n"/>
      <c r="S2239" s="159" t="n"/>
      <c r="T2239" s="159" t="n"/>
      <c r="U2239" s="159" t="n"/>
    </row>
    <row r="2240" ht="20.1" customHeight="1" s="308">
      <c r="A2240" s="102" t="inlineStr">
        <is>
          <t>序号</t>
        </is>
      </c>
      <c r="B2240" s="103" t="inlineStr">
        <is>
          <t>元件名称</t>
        </is>
      </c>
      <c r="C2240" s="103" t="inlineStr">
        <is>
          <t>型号规格</t>
        </is>
      </c>
      <c r="D2240" s="104" t="inlineStr">
        <is>
          <t>生产厂家</t>
        </is>
      </c>
      <c r="E2240" s="105" t="inlineStr">
        <is>
          <t>单位</t>
        </is>
      </c>
      <c r="F2240" s="105" t="inlineStr">
        <is>
          <t>数量</t>
        </is>
      </c>
      <c r="G2240" s="382" t="inlineStr">
        <is>
          <t>单   价</t>
        </is>
      </c>
      <c r="H2240" s="383" t="inlineStr">
        <is>
          <t>总   价</t>
        </is>
      </c>
      <c r="I2240" s="134" t="inlineStr">
        <is>
          <t>备注</t>
        </is>
      </c>
      <c r="J2240" s="384" t="inlineStr">
        <is>
          <t>成本单价</t>
        </is>
      </c>
      <c r="K2240" s="384" t="inlineStr">
        <is>
          <t>成本总价</t>
        </is>
      </c>
      <c r="L2240" s="136" t="inlineStr">
        <is>
          <t>报出
系数</t>
        </is>
      </c>
      <c r="M2240" s="384" t="inlineStr">
        <is>
          <t>表价</t>
        </is>
      </c>
      <c r="N2240" s="136" t="inlineStr">
        <is>
          <t>折扣
系数</t>
        </is>
      </c>
      <c r="O2240" s="137" t="inlineStr">
        <is>
          <t>取费
系数</t>
        </is>
      </c>
      <c r="P2240" s="384" t="inlineStr">
        <is>
          <t>成套费</t>
        </is>
      </c>
      <c r="Q2240" s="161" t="inlineStr">
        <is>
          <t>类别</t>
        </is>
      </c>
      <c r="R2240" s="161" t="inlineStr">
        <is>
          <t>物料编码</t>
        </is>
      </c>
      <c r="S2240" s="161" t="inlineStr">
        <is>
          <t>产地</t>
        </is>
      </c>
      <c r="T2240" s="161" t="inlineStr">
        <is>
          <t>加工费</t>
        </is>
      </c>
      <c r="U2240" s="161" t="inlineStr">
        <is>
          <t>订货号</t>
        </is>
      </c>
      <c r="V2240" s="161" t="inlineStr">
        <is>
          <t>人工</t>
        </is>
      </c>
      <c r="W2240" s="161" t="inlineStr">
        <is>
          <t>辅料</t>
        </is>
      </c>
      <c r="X2240" s="203" t="inlineStr"/>
    </row>
    <row r="2241" s="308">
      <c r="A2241" s="64">
        <f>ROW()-ROW(A$2240)</f>
        <v/>
      </c>
      <c r="B2241" s="22" t="inlineStr">
        <is>
          <t>塑壳断路器</t>
        </is>
      </c>
      <c r="C2241" s="22" t="inlineStr">
        <is>
          <t>NSX400H Mic2.3 400A 3P3D P</t>
        </is>
      </c>
      <c r="D2241" s="22" t="inlineStr">
        <is>
          <t>甲供/施耐德电气</t>
        </is>
      </c>
      <c r="E2241" s="23" t="inlineStr">
        <is>
          <t>只</t>
        </is>
      </c>
      <c r="F2241" s="23" t="n">
        <v>6</v>
      </c>
      <c r="G2241" s="349">
        <f>IF(AND(B2241="",C2241=""),"",ROUND(M2241*L2241*N2241,2))</f>
        <v/>
      </c>
      <c r="H2241" s="349">
        <f>IF(AND(B2241="",C2241=""),"",ROUND(F2241*G2241,2))</f>
        <v/>
      </c>
      <c r="I2241" s="45" t="inlineStr"/>
      <c r="J2241" s="397">
        <f>IF(AND(B2241="",C2241=""),"",ROUND(M2241*N2241,2))</f>
        <v/>
      </c>
      <c r="K2241" s="398">
        <f>IF(AND(B2241="",C2241=""),"",ROUND(J2241*F2241,2))</f>
        <v/>
      </c>
      <c r="L2241" s="200" t="n">
        <v>1</v>
      </c>
      <c r="M2241" s="399" t="n">
        <v>1e-07</v>
      </c>
      <c r="N2241" s="154" t="n">
        <v>1</v>
      </c>
      <c r="O2241" s="155">
        <f>IF(AND(B2241="",C2241=""),"",IF(G2241&gt;=20000,0.05,IF(G2241&gt;=10000,0.1,IF(G2241&gt;=5000,0.2,IF(G2241&gt;=1000,0.3,IF(G2241&gt;=0,0.4,{0}))))))</f>
        <v/>
      </c>
      <c r="P2241" s="400">
        <f>IF(AND(B2241="",C2241=""),"",ROUND(H2241*O2241,2))</f>
        <v/>
      </c>
      <c r="Q2241" s="401" t="inlineStr">
        <is>
          <t>元件</t>
        </is>
      </c>
      <c r="R2241" s="168" t="inlineStr"/>
      <c r="S2241" s="168" t="inlineStr"/>
      <c r="T2241" s="168" t="inlineStr">
        <is>
          <t>0</t>
        </is>
      </c>
      <c r="U2241" s="168" t="inlineStr"/>
      <c r="V2241" s="402" t="n"/>
      <c r="W2241" s="402" t="n"/>
      <c r="X2241" s="170" t="inlineStr"/>
    </row>
    <row r="2242" s="308">
      <c r="A2242" s="64">
        <f>ROW()-ROW(A$2240)</f>
        <v/>
      </c>
      <c r="B2242" s="22" t="inlineStr">
        <is>
          <t>电流互感器</t>
        </is>
      </c>
      <c r="C2242" s="22" t="inlineStr">
        <is>
          <t>SD-0.66-40II-C 400/5A</t>
        </is>
      </c>
      <c r="D2242" s="22" t="inlineStr">
        <is>
          <t>桑迪</t>
        </is>
      </c>
      <c r="E2242" s="23" t="inlineStr">
        <is>
          <t>只</t>
        </is>
      </c>
      <c r="F2242" s="23" t="n">
        <v>18</v>
      </c>
      <c r="G2242" s="349">
        <f>IF(AND(B2242="",C2242=""),"",ROUND(M2242*L2242*N2242,2))</f>
        <v/>
      </c>
      <c r="H2242" s="396">
        <f>IF(AND(B2242="",C2242=""),"",ROUND(F2242*G2242,2))</f>
        <v/>
      </c>
      <c r="I2242" s="219" t="inlineStr"/>
      <c r="J2242" s="397">
        <f>IF(AND(B2242="",C2242=""),"",ROUND(M2242*N2242,2))</f>
        <v/>
      </c>
      <c r="K2242" s="398">
        <f>IF(AND(B2242="",C2242=""),"",ROUND(J2242*F2242,2))</f>
        <v/>
      </c>
      <c r="L2242" s="200" t="n">
        <v>1</v>
      </c>
      <c r="M2242" s="399" t="n">
        <v>52</v>
      </c>
      <c r="N2242" s="154" t="n">
        <v>1</v>
      </c>
      <c r="O2242" s="155">
        <f>IF(AND(B2242="",C2242=""),"",IF(G2242&gt;=20000,0.05,IF(G2242&gt;=10000,0.1,IF(G2242&gt;=5000,0.2,IF(G2242&gt;=1000,0.3,IF(G2242&gt;=0,0.4,{0}))))))</f>
        <v/>
      </c>
      <c r="P2242" s="400">
        <f>IF(AND(B2242="",C2242=""),"",ROUND(H2242*O2242,2))</f>
        <v/>
      </c>
      <c r="Q2242" s="401" t="inlineStr">
        <is>
          <t>元件</t>
        </is>
      </c>
      <c r="R2242" s="168" t="inlineStr"/>
      <c r="S2242" s="168" t="inlineStr"/>
      <c r="T2242" s="168" t="inlineStr">
        <is>
          <t>0</t>
        </is>
      </c>
      <c r="U2242" s="168" t="inlineStr">
        <is>
          <t>710140200000049</t>
        </is>
      </c>
      <c r="V2242" s="402" t="n"/>
      <c r="W2242" s="402" t="n"/>
      <c r="X2242" s="170" t="inlineStr">
        <is>
          <t>SD→SD-0.66-40II-C 400/5A→SD-0.66-30I 250/5A→SD-0.66-30I 150/5A→SD-0.66-60II-C 750/5A→SD-0.66-60II-C 600/5A→SD-0.66-30I 150/5A→SD-0.66-40II-C 400/5A→SD-0.66-100II-C 1600/5A→SD-0.66-80II-V 1000/5A</t>
        </is>
      </c>
    </row>
    <row r="2243" s="308">
      <c r="A2243" s="64">
        <f>ROW()-ROW(A$2240)</f>
        <v/>
      </c>
      <c r="B2243" s="112" t="inlineStr">
        <is>
          <t>多功能表</t>
        </is>
      </c>
      <c r="C2243" s="112" t="inlineStr">
        <is>
          <t>PM4101</t>
        </is>
      </c>
      <c r="D2243" s="112" t="inlineStr">
        <is>
          <t>甲供/施耐德电气</t>
        </is>
      </c>
      <c r="E2243" s="114" t="inlineStr">
        <is>
          <t>只</t>
        </is>
      </c>
      <c r="F2243" s="114" t="n">
        <v>6</v>
      </c>
      <c r="G2243" s="396">
        <f>IF(AND(B2243="",C2243=""),"",ROUND(M2243*L2243*N2243,2))</f>
        <v/>
      </c>
      <c r="H2243" s="349">
        <f>IF(AND(B2243="",C2243=""),"",ROUND(F2243*G2243,2))</f>
        <v/>
      </c>
      <c r="I2243" s="45" t="inlineStr"/>
      <c r="J2243" s="397">
        <f>IF(AND(B2243="",C2243=""),"",ROUND(M2243*N2243,2))</f>
        <v/>
      </c>
      <c r="K2243" s="398">
        <f>IF(AND(B2243="",C2243=""),"",ROUND(J2243*F2243,2))</f>
        <v/>
      </c>
      <c r="L2243" s="200" t="n">
        <v>1</v>
      </c>
      <c r="M2243" s="399" t="n">
        <v>1e-07</v>
      </c>
      <c r="N2243" s="154" t="n">
        <v>1</v>
      </c>
      <c r="O2243" s="155">
        <f>IF(AND(B2243="",C2243=""),"",IF(J2243&gt;=20000,0.05,IF(J2243&gt;=10000,0.1,IF(J2243&gt;=5000,0.2,IF(J2243&gt;=1000,0.3,IF(J2243&gt;=0,0.4,{0}))))))</f>
        <v/>
      </c>
      <c r="P2243" s="400">
        <f>IF(AND(B2243="",C2243=""),"",ROUND(H2243*O2243,2))</f>
        <v/>
      </c>
      <c r="Q2243" s="401" t="inlineStr">
        <is>
          <t>元件</t>
        </is>
      </c>
      <c r="R2243" s="168" t="inlineStr"/>
      <c r="S2243" s="168" t="inlineStr"/>
      <c r="T2243" s="168" t="inlineStr">
        <is>
          <t>0</t>
        </is>
      </c>
      <c r="U2243" s="168" t="inlineStr"/>
      <c r="V2243" s="402" t="n"/>
      <c r="W2243" s="402" t="n"/>
      <c r="X2243" s="170" t="inlineStr"/>
    </row>
    <row r="2244" customFormat="1" s="3">
      <c r="A2244" s="64">
        <f>ROW()-ROW(A$2240)</f>
        <v/>
      </c>
      <c r="B2244" s="22" t="inlineStr">
        <is>
          <t>指示灯</t>
        </is>
      </c>
      <c r="C2244" s="22" t="inlineStr">
        <is>
          <t>XB2BVM3LC</t>
        </is>
      </c>
      <c r="D2244" s="22" t="inlineStr">
        <is>
          <t>甲供/施耐德电气</t>
        </is>
      </c>
      <c r="E2244" s="23" t="inlineStr">
        <is>
          <t>只</t>
        </is>
      </c>
      <c r="F2244" s="23" t="n">
        <v>6</v>
      </c>
      <c r="G2244" s="349">
        <f>IF(AND(B2244="",C2244=""),"",ROUND(M2244*L2244*N2244,2))</f>
        <v/>
      </c>
      <c r="H2244" s="353">
        <f>IF(AND(B2244="",C2244=""),"",ROUND(F2244*G2244,2))</f>
        <v/>
      </c>
      <c r="I2244" s="180" t="inlineStr"/>
      <c r="J2244" s="392">
        <f>IF(AND(B2244="",C2244=""),"",ROUND(M2244*N2244,2))</f>
        <v/>
      </c>
      <c r="K2244" s="393">
        <f>IF(AND(B2244="",C2244=""),"",ROUND(J2244*F2244,2))</f>
        <v/>
      </c>
      <c r="L2244" s="141" t="n">
        <v>1</v>
      </c>
      <c r="M2244" s="394" t="n">
        <v>1e-07</v>
      </c>
      <c r="N2244" s="220" t="n">
        <v>1</v>
      </c>
      <c r="O2244" s="221">
        <f>IF(AND(B2244="",C2244=""),"",IF(G2244&gt;=20000,0.05,IF(G2244&gt;=10000,0.1,IF(G2244&gt;=5000,0.2,IF(G2244&gt;=1000,0.3,IF(G2244&gt;=0,0.4,{0}))))))</f>
        <v/>
      </c>
      <c r="P2244" s="419">
        <f>IF(AND(B2244="",C2244=""),"",ROUND(H2244*O2244,2))</f>
        <v/>
      </c>
      <c r="Q2244" s="420" t="inlineStr">
        <is>
          <t>元件</t>
        </is>
      </c>
      <c r="R2244" s="231" t="inlineStr"/>
      <c r="S2244" s="231" t="inlineStr"/>
      <c r="T2244" s="231" t="inlineStr">
        <is>
          <t>0</t>
        </is>
      </c>
      <c r="U2244" s="231" t="inlineStr">
        <is>
          <t>XB2BVM3LC</t>
        </is>
      </c>
      <c r="V2244" s="421" t="n"/>
      <c r="W2244" s="421" t="n"/>
      <c r="X2244" s="166" t="inlineStr">
        <is>
          <t>XA2EVM3LC</t>
        </is>
      </c>
    </row>
    <row r="2245" customFormat="1" s="3">
      <c r="A2245" s="64">
        <f>ROW()-ROW(A$2240)</f>
        <v/>
      </c>
      <c r="B2245" s="22" t="inlineStr">
        <is>
          <t>指示灯</t>
        </is>
      </c>
      <c r="C2245" s="22" t="inlineStr">
        <is>
          <t>XB2BVM4LC</t>
        </is>
      </c>
      <c r="D2245" s="22" t="inlineStr">
        <is>
          <t>甲供/施耐德电气</t>
        </is>
      </c>
      <c r="E2245" s="23" t="inlineStr">
        <is>
          <t>只</t>
        </is>
      </c>
      <c r="F2245" s="23" t="n">
        <v>6</v>
      </c>
      <c r="G2245" s="349">
        <f>IF(AND(B2245="",C2245=""),"",ROUND(M2245*L2245*N2245,2))</f>
        <v/>
      </c>
      <c r="H2245" s="353">
        <f>IF(AND(B2245="",C2245=""),"",ROUND(F2245*G2245,2))</f>
        <v/>
      </c>
      <c r="I2245" s="180" t="inlineStr"/>
      <c r="J2245" s="392">
        <f>IF(AND(B2245="",C2245=""),"",ROUND(M2245*N2245,2))</f>
        <v/>
      </c>
      <c r="K2245" s="393">
        <f>IF(AND(B2245="",C2245=""),"",ROUND(J2245*F2245,2))</f>
        <v/>
      </c>
      <c r="L2245" s="141" t="n">
        <v>1</v>
      </c>
      <c r="M2245" s="394" t="n">
        <v>1e-07</v>
      </c>
      <c r="N2245" s="220" t="n">
        <v>1</v>
      </c>
      <c r="O2245" s="221">
        <f>IF(AND(B2245="",C2245=""),"",IF(G2245&gt;=20000,0.05,IF(G2245&gt;=10000,0.1,IF(G2245&gt;=5000,0.2,IF(G2245&gt;=1000,0.3,IF(G2245&gt;=0,0.4,{0}))))))</f>
        <v/>
      </c>
      <c r="P2245" s="419">
        <f>IF(AND(B2245="",C2245=""),"",ROUND(H2245*O2245,2))</f>
        <v/>
      </c>
      <c r="Q2245" s="420" t="inlineStr">
        <is>
          <t>元件</t>
        </is>
      </c>
      <c r="R2245" s="231" t="inlineStr"/>
      <c r="S2245" s="231" t="inlineStr"/>
      <c r="T2245" s="231" t="inlineStr">
        <is>
          <t>0</t>
        </is>
      </c>
      <c r="U2245" s="231" t="inlineStr">
        <is>
          <t>XB2BVM4LC</t>
        </is>
      </c>
      <c r="V2245" s="421" t="n"/>
      <c r="W2245" s="421" t="n"/>
      <c r="X2245" s="166" t="inlineStr">
        <is>
          <t>XA2EVM4LC</t>
        </is>
      </c>
    </row>
    <row r="2246" s="308">
      <c r="A2246" s="64">
        <f>ROW()-ROW(A$2240)</f>
        <v/>
      </c>
      <c r="B2246" s="112" t="inlineStr">
        <is>
          <t>温湿度控制器</t>
        </is>
      </c>
      <c r="C2246" s="112" t="inlineStr">
        <is>
          <t>ATH48G-11</t>
        </is>
      </c>
      <c r="D2246" s="22" t="inlineStr">
        <is>
          <t>杭州安廷</t>
        </is>
      </c>
      <c r="E2246" s="23" t="inlineStr">
        <is>
          <t>套</t>
        </is>
      </c>
      <c r="F2246" s="23" t="n">
        <v>1</v>
      </c>
      <c r="G2246" s="349">
        <f>IF(AND(B2246="",C2246=""),"",ROUND(M2246*L2246*N2246,2))</f>
        <v/>
      </c>
      <c r="H2246" s="396">
        <f>IF(AND(B2246="",C2246=""),"",ROUND(F2246*G2246,2))</f>
        <v/>
      </c>
      <c r="I2246" s="150" t="inlineStr"/>
      <c r="J2246" s="397">
        <f>IF(AND(B2246="",C2246=""),"",ROUND(M2246*N2246,2))</f>
        <v/>
      </c>
      <c r="K2246" s="398">
        <f>IF(AND(B2246="",C2246=""),"",ROUND(J2246*F2246,2))</f>
        <v/>
      </c>
      <c r="L2246" s="141" t="n">
        <v>1</v>
      </c>
      <c r="M2246" s="399" t="n">
        <v>450</v>
      </c>
      <c r="N2246" s="154" t="n">
        <v>1</v>
      </c>
      <c r="O2246" s="155">
        <f>IF(AND(B2246="",C2246=""),"",IF(G2246&gt;=20000,0.05,IF(G2246&gt;=10000,0.1,IF(G2246&gt;=5000,0.2,IF(G2246&gt;=1000,0.3,IF(G2246&gt;=0,0.4,{0}))))))</f>
        <v/>
      </c>
      <c r="P2246" s="400">
        <f>IF(AND(B2246="",C2246=""),"",ROUND(H2246*O2246,2))</f>
        <v/>
      </c>
      <c r="Q2246" s="401" t="inlineStr">
        <is>
          <t>元件</t>
        </is>
      </c>
      <c r="R2246" s="168" t="inlineStr"/>
      <c r="S2246" s="168" t="inlineStr"/>
      <c r="T2246" s="168" t="inlineStr">
        <is>
          <t>0</t>
        </is>
      </c>
      <c r="U2246" s="168" t="inlineStr"/>
      <c r="V2246" s="402" t="n"/>
      <c r="W2246" s="402" t="n"/>
      <c r="X2246" s="170" t="inlineStr"/>
    </row>
    <row r="2247" s="308">
      <c r="A2247" s="64">
        <f>ROW()-ROW(A$2240)</f>
        <v/>
      </c>
      <c r="B2247" s="22" t="inlineStr">
        <is>
          <t>中间继电器</t>
        </is>
      </c>
      <c r="C2247" s="22" t="inlineStr">
        <is>
          <t>RXM4AB2P7+RXZE2S114M+RXZ400</t>
        </is>
      </c>
      <c r="D2247" s="22" t="inlineStr">
        <is>
          <t>甲供/施耐德电气</t>
        </is>
      </c>
      <c r="E2247" s="23" t="inlineStr">
        <is>
          <t>只</t>
        </is>
      </c>
      <c r="F2247" s="23" t="n">
        <v>12</v>
      </c>
      <c r="G2247" s="349">
        <f>IF(AND(B2247="",C2247=""),"",ROUND(M2247*L2247*N2247,2))</f>
        <v/>
      </c>
      <c r="H2247" s="349">
        <f>IF(AND(B2247="",C2247=""),"",ROUND(F2247*G2247,2))</f>
        <v/>
      </c>
      <c r="I2247" s="45" t="inlineStr"/>
      <c r="J2247" s="397">
        <f>IF(AND(B2247="",C2247=""),"",ROUND(M2247*N2247,2))</f>
        <v/>
      </c>
      <c r="K2247" s="398">
        <f>IF(AND(B2247="",C2247=""),"",ROUND(J2247*F2247,2))</f>
        <v/>
      </c>
      <c r="L2247" s="141" t="n">
        <v>1</v>
      </c>
      <c r="M2247" s="399" t="n">
        <v>1e-07</v>
      </c>
      <c r="N2247" s="154" t="n">
        <v>1</v>
      </c>
      <c r="O2247" s="155">
        <f>IF(AND(B2247="",C2247=""),"",IF(G2247&gt;=20000,0.05,IF(G2247&gt;=10000,0.1,IF(G2247&gt;=5000,0.2,IF(G2247&gt;=1000,0.3,IF(G2247&gt;=0,0.4,{0}))))))</f>
        <v/>
      </c>
      <c r="P2247" s="400">
        <f>IF(AND(B2247="",C2247=""),"",ROUND(H2247*O2247,2))</f>
        <v/>
      </c>
      <c r="Q2247" s="401" t="inlineStr">
        <is>
          <t>元件</t>
        </is>
      </c>
      <c r="R2247" s="168" t="inlineStr"/>
      <c r="S2247" s="168" t="inlineStr"/>
      <c r="T2247" s="168" t="inlineStr">
        <is>
          <t>0</t>
        </is>
      </c>
      <c r="U2247" s="168" t="inlineStr">
        <is>
          <t>RXM4AB2P7+RXZE2S114M+RXZ400</t>
        </is>
      </c>
      <c r="V2247" s="402" t="n"/>
      <c r="W2247" s="402" t="n"/>
      <c r="X2247" s="170" t="inlineStr">
        <is>
          <t>REL-IR-BL/L-230AC/4X21，含底座→RXM4AB2P7+RXZE2S114M+RXZ400→REL-IR-BL/L-230AC/4X21，含底座</t>
        </is>
      </c>
    </row>
    <row r="2248" customFormat="1" s="3">
      <c r="A2248" s="64">
        <f>ROW()-ROW(A$2240)</f>
        <v/>
      </c>
      <c r="B2248" s="22" t="inlineStr">
        <is>
          <t>带熔丝端子</t>
        </is>
      </c>
      <c r="C2248" s="22" t="inlineStr">
        <is>
          <t>UK 5-HESI</t>
        </is>
      </c>
      <c r="D2248" s="22" t="inlineStr">
        <is>
          <t>菲尼克斯</t>
        </is>
      </c>
      <c r="E2248" s="23" t="inlineStr">
        <is>
          <t>只</t>
        </is>
      </c>
      <c r="F2248" s="23" t="n">
        <v>24</v>
      </c>
      <c r="G2248" s="349">
        <f>IF(AND(B2248="",C2248=""),"",ROUND(M2248*L2248*N2248,2))</f>
        <v/>
      </c>
      <c r="H2248" s="349">
        <f>IF(AND(B2248="",C2248=""),"",ROUND(F2248*G2248,2))</f>
        <v/>
      </c>
      <c r="I2248" s="45" t="inlineStr"/>
      <c r="J2248" s="392">
        <f>IF(AND(B2248="",C2248=""),"",ROUND(M2248*N2248,2))</f>
        <v/>
      </c>
      <c r="K2248" s="393">
        <f>IF(AND(B2248="",C2248=""),"",ROUND(J2248*F2248,2))</f>
        <v/>
      </c>
      <c r="L2248" s="141" t="n">
        <v>1</v>
      </c>
      <c r="M2248" s="394" t="n">
        <v>7</v>
      </c>
      <c r="N2248" s="220" t="n">
        <v>1</v>
      </c>
      <c r="O2248" s="221">
        <f>IF(AND(B2248="",C2248=""),"",IF(G2248&gt;=20000,0.05,IF(G2248&gt;=10000,0.1,IF(G2248&gt;=5000,0.2,IF(G2248&gt;=1000,0.3,IF(G2248&gt;=0,0.4,{0}))))))</f>
        <v/>
      </c>
      <c r="P2248" s="419">
        <f>IF(AND(B2248="",C2248=""),"",ROUND(H2248*O2248,2))</f>
        <v/>
      </c>
      <c r="Q2248" s="420" t="inlineStr">
        <is>
          <t>元件</t>
        </is>
      </c>
      <c r="R2248" s="231" t="inlineStr"/>
      <c r="S2248" s="231" t="inlineStr"/>
      <c r="T2248" s="231" t="inlineStr">
        <is>
          <t>0</t>
        </is>
      </c>
      <c r="U2248" s="231" t="inlineStr">
        <is>
          <t>True</t>
        </is>
      </c>
      <c r="V2248" s="421" t="n"/>
      <c r="W2248" s="421" t="n"/>
      <c r="X2248" s="166" t="inlineStr"/>
    </row>
    <row r="2249" s="308">
      <c r="A2249" s="64">
        <f>ROW()-ROW(A$2240)</f>
        <v/>
      </c>
      <c r="B2249" s="22" t="inlineStr">
        <is>
          <t>水平母排</t>
        </is>
      </c>
      <c r="C2249" s="22" t="inlineStr">
        <is>
          <t>TMY 4*(2*100*5)+2*50*5</t>
        </is>
      </c>
      <c r="D2249" s="22" t="inlineStr">
        <is>
          <t>国产优质</t>
        </is>
      </c>
      <c r="E2249" s="23" t="inlineStr">
        <is>
          <t>米</t>
        </is>
      </c>
      <c r="F2249" s="23" t="n">
        <v>0.7</v>
      </c>
      <c r="G2249" s="349">
        <f>IF(AND(B2249="",C2249=""),"",ROUND(M2249*L2249*N2249,2))</f>
        <v/>
      </c>
      <c r="H2249" s="349">
        <f>IF(AND(B2249="",C2249=""),"",ROUND(F2249*G2249,2))</f>
        <v/>
      </c>
      <c r="I2249" s="45" t="inlineStr"/>
      <c r="J2249" s="397">
        <f>IF(AND(B2249="",C2249=""),"",ROUND(M2249*N2249,2))</f>
        <v/>
      </c>
      <c r="K2249" s="398">
        <f>IF(AND(B2249="",C2249=""),"",ROUND(J2249*F2249,2))</f>
        <v/>
      </c>
      <c r="L2249" s="200" t="n">
        <v>1</v>
      </c>
      <c r="M2249" s="399" t="n">
        <v>4329.60525</v>
      </c>
      <c r="N2249" s="154">
        <f>(6317.932*1*1+2684.8*1*1)/9002.732</f>
        <v/>
      </c>
      <c r="O2249" s="155">
        <f>IF(AND(B2249="",C2249=""),"",IF(J2249&gt;=20000,0.05,IF(J2249&gt;=10000,0.1,IF(J2249&gt;=5000,0.2,IF(J2249&gt;=1000,0.3,IF(J2249&gt;=0,0.4,{0}))))))</f>
        <v/>
      </c>
      <c r="P2249" s="400">
        <f>IF(AND(B2249="",C2249=""),"",ROUND(H2249*O2249,2))</f>
        <v/>
      </c>
      <c r="Q2249" s="401" t="inlineStr">
        <is>
          <t>母排</t>
        </is>
      </c>
      <c r="R2249" s="168" t="inlineStr"/>
      <c r="S2249" s="168" t="inlineStr"/>
      <c r="T2249" s="168" t="inlineStr">
        <is>
          <t>0</t>
        </is>
      </c>
      <c r="U2249" s="168" t="inlineStr"/>
      <c r="V2249" s="402" t="n"/>
      <c r="W2249" s="402" t="n"/>
      <c r="X2249" s="170" t="inlineStr"/>
    </row>
    <row r="2250" customFormat="1" s="5">
      <c r="A2250" s="64">
        <f>ROW()-ROW(A$2240)</f>
        <v/>
      </c>
      <c r="B2250" s="22" t="inlineStr">
        <is>
          <t>垂直排</t>
        </is>
      </c>
      <c r="C2250" s="22" t="inlineStr">
        <is>
          <t>TMY 3*2*80*5</t>
        </is>
      </c>
      <c r="D2250" s="22" t="inlineStr">
        <is>
          <t>国产优质</t>
        </is>
      </c>
      <c r="E2250" s="23" t="inlineStr">
        <is>
          <t>米</t>
        </is>
      </c>
      <c r="F2250" s="23" t="n">
        <v>2</v>
      </c>
      <c r="G2250" s="349">
        <f>IF(AND(B2250="",C2250=""),"",ROUND(M2250*L2250*N2250,2))</f>
        <v/>
      </c>
      <c r="H2250" s="349">
        <f>IF(AND(B2250="",C2250=""),"",ROUND(F2250*G2250,2))</f>
        <v/>
      </c>
      <c r="I2250" s="45" t="inlineStr"/>
      <c r="J2250" s="422">
        <f>IF(AND(B2250="",C2250=""),"",ROUND(M2250*N2250,2))</f>
        <v/>
      </c>
      <c r="K2250" s="423">
        <f>IF(AND(B2250="",C2250=""),"",ROUND(J2250*F2250,2))</f>
        <v/>
      </c>
      <c r="L2250" s="225" t="n">
        <v>1</v>
      </c>
      <c r="M2250" s="424" t="n">
        <v>2309.1228</v>
      </c>
      <c r="N2250" s="227" t="n">
        <v>1</v>
      </c>
      <c r="O2250" s="228">
        <f>IF(AND(B2250="",C2250=""),"",IF(G2250&gt;=20000,0.05,IF(G2250&gt;=10000,0.1,IF(G2250&gt;=5000,0.2,IF(G2250&gt;=1000,0.3,IF(G2250&gt;=0,0.4,{0}))))))</f>
        <v/>
      </c>
      <c r="P2250" s="425">
        <f>IF(AND(B2250="",C2250=""),"",ROUND(H2250*O2250,2))</f>
        <v/>
      </c>
      <c r="Q2250" s="426" t="inlineStr">
        <is>
          <t>母排</t>
        </is>
      </c>
      <c r="R2250" s="234" t="inlineStr"/>
      <c r="S2250" s="234" t="inlineStr"/>
      <c r="T2250" s="235" t="inlineStr">
        <is>
          <t>0</t>
        </is>
      </c>
      <c r="U2250" s="235" t="inlineStr"/>
      <c r="V2250" s="427" t="n"/>
      <c r="W2250" s="427" t="n"/>
      <c r="X2250" s="237" t="inlineStr">
        <is>
          <t>TMY 2*30*5→TMY 30*8</t>
        </is>
      </c>
    </row>
    <row r="2251" customFormat="1" s="5">
      <c r="A2251" s="64">
        <f>ROW()-ROW(A$2240)</f>
        <v/>
      </c>
      <c r="B2251" s="22" t="inlineStr">
        <is>
          <t>N排</t>
        </is>
      </c>
      <c r="C2251" s="22" t="inlineStr">
        <is>
          <t>TMY 80*10</t>
        </is>
      </c>
      <c r="D2251" s="22" t="inlineStr">
        <is>
          <t>国产优质</t>
        </is>
      </c>
      <c r="E2251" s="23" t="inlineStr">
        <is>
          <t>米</t>
        </is>
      </c>
      <c r="F2251" s="23" t="n">
        <v>3</v>
      </c>
      <c r="G2251" s="349">
        <f>IF(AND(B2251="",C2251=""),"",ROUND(M2251*L2251*N2251,2))</f>
        <v/>
      </c>
      <c r="H2251" s="349">
        <f>IF(AND(B2251="",C2251=""),"",ROUND(F2251*G2251,2))</f>
        <v/>
      </c>
      <c r="I2251" s="45" t="inlineStr"/>
      <c r="J2251" s="422">
        <f>IF(AND(B2251="",C2251=""),"",ROUND(M2251*N2251,2))</f>
        <v/>
      </c>
      <c r="K2251" s="423">
        <f>IF(AND(B2251="",C2251=""),"",ROUND(J2251*F2251,2))</f>
        <v/>
      </c>
      <c r="L2251" s="225" t="n">
        <v>1</v>
      </c>
      <c r="M2251" s="424" t="n">
        <v>769.7076</v>
      </c>
      <c r="N2251" s="227" t="n">
        <v>1</v>
      </c>
      <c r="O2251" s="228">
        <f>IF(AND(B2251="",C2251=""),"",IF(G2251&gt;=20000,0.05,IF(G2251&gt;=10000,0.1,IF(G2251&gt;=5000,0.2,IF(G2251&gt;=1000,0.3,IF(G2251&gt;=0,0.4,{0}))))))</f>
        <v/>
      </c>
      <c r="P2251" s="425">
        <f>IF(AND(B2251="",C2251=""),"",ROUND(H2251*O2251,2))</f>
        <v/>
      </c>
      <c r="Q2251" s="426" t="inlineStr">
        <is>
          <t>母排</t>
        </is>
      </c>
      <c r="R2251" s="234" t="inlineStr"/>
      <c r="S2251" s="234" t="inlineStr"/>
      <c r="T2251" s="235" t="inlineStr">
        <is>
          <t>0</t>
        </is>
      </c>
      <c r="U2251" s="235" t="inlineStr"/>
      <c r="V2251" s="427" t="n"/>
      <c r="W2251" s="427" t="n"/>
      <c r="X2251" s="237" t="inlineStr">
        <is>
          <t>TMY 2*30*5→TMY 30*8</t>
        </is>
      </c>
    </row>
    <row r="2252" customFormat="1" s="5">
      <c r="A2252" s="64">
        <f>ROW()-ROW(A$2240)</f>
        <v/>
      </c>
      <c r="B2252" s="22" t="inlineStr">
        <is>
          <t>PE排</t>
        </is>
      </c>
      <c r="C2252" s="22" t="inlineStr">
        <is>
          <t>TMY 2*50*5</t>
        </is>
      </c>
      <c r="D2252" s="22" t="inlineStr">
        <is>
          <t>国产优质</t>
        </is>
      </c>
      <c r="E2252" s="23" t="inlineStr">
        <is>
          <t>米</t>
        </is>
      </c>
      <c r="F2252" s="23" t="n">
        <v>2</v>
      </c>
      <c r="G2252" s="349">
        <f>IF(AND(B2252="",C2252=""),"",ROUND(M2252*L2252*N2252,2))</f>
        <v/>
      </c>
      <c r="H2252" s="349">
        <f>IF(AND(B2252="",C2252=""),"",ROUND(F2252*G2252,2))</f>
        <v/>
      </c>
      <c r="I2252" s="45" t="inlineStr"/>
      <c r="J2252" s="422">
        <f>IF(AND(B2252="",C2252=""),"",ROUND(M2252*N2252,2))</f>
        <v/>
      </c>
      <c r="K2252" s="423">
        <f>IF(AND(B2252="",C2252=""),"",ROUND(J2252*F2252,2))</f>
        <v/>
      </c>
      <c r="L2252" s="225" t="n">
        <v>1</v>
      </c>
      <c r="M2252" s="424" t="n">
        <v>481.06725</v>
      </c>
      <c r="N2252" s="227" t="n">
        <v>1</v>
      </c>
      <c r="O2252" s="228">
        <f>IF(AND(B2252="",C2252=""),"",IF(G2252&gt;=20000,0.05,IF(G2252&gt;=10000,0.1,IF(G2252&gt;=5000,0.2,IF(G2252&gt;=1000,0.3,IF(G2252&gt;=0,0.4,{0}))))))</f>
        <v/>
      </c>
      <c r="P2252" s="425">
        <f>IF(AND(B2252="",C2252=""),"",ROUND(H2252*O2252,2))</f>
        <v/>
      </c>
      <c r="Q2252" s="426" t="inlineStr">
        <is>
          <t>母排</t>
        </is>
      </c>
      <c r="R2252" s="234" t="inlineStr"/>
      <c r="S2252" s="234" t="inlineStr"/>
      <c r="T2252" s="235" t="inlineStr">
        <is>
          <t>0</t>
        </is>
      </c>
      <c r="U2252" s="235" t="inlineStr"/>
      <c r="V2252" s="427" t="n"/>
      <c r="W2252" s="427" t="n"/>
      <c r="X2252" s="237" t="inlineStr">
        <is>
          <t>TMY 2*30*5→TMY 30*8</t>
        </is>
      </c>
    </row>
    <row r="2253" customFormat="1" s="5">
      <c r="A2253" s="64">
        <f>ROW()-ROW(A$2240)</f>
        <v/>
      </c>
      <c r="B2253" s="22" t="inlineStr">
        <is>
          <t>400A铜排</t>
        </is>
      </c>
      <c r="C2253" s="22" t="inlineStr">
        <is>
          <t>TMY 30*5</t>
        </is>
      </c>
      <c r="D2253" s="22" t="inlineStr">
        <is>
          <t>国产优质</t>
        </is>
      </c>
      <c r="E2253" s="23" t="inlineStr">
        <is>
          <t>米</t>
        </is>
      </c>
      <c r="F2253" s="23" t="n">
        <v>19.2</v>
      </c>
      <c r="G2253" s="349">
        <f>IF(AND(B2253="",C2253=""),"",ROUND(M2253*L2253*N2253,2))</f>
        <v/>
      </c>
      <c r="H2253" s="349">
        <f>IF(AND(B2253="",C2253=""),"",ROUND(F2253*G2253,2))</f>
        <v/>
      </c>
      <c r="I2253" s="45" t="inlineStr"/>
      <c r="J2253" s="422">
        <f>IF(AND(B2253="",C2253=""),"",ROUND(M2253*N2253,2))</f>
        <v/>
      </c>
      <c r="K2253" s="423">
        <f>IF(AND(B2253="",C2253=""),"",ROUND(J2253*F2253,2))</f>
        <v/>
      </c>
      <c r="L2253" s="225" t="n">
        <v>1</v>
      </c>
      <c r="M2253" s="424" t="n">
        <v>144.320175</v>
      </c>
      <c r="N2253" s="227" t="n">
        <v>1</v>
      </c>
      <c r="O2253" s="228">
        <f>IF(AND(B2253="",C2253=""),"",IF(G2253&gt;=20000,0.05,IF(G2253&gt;=10000,0.1,IF(G2253&gt;=5000,0.2,IF(G2253&gt;=1000,0.3,IF(G2253&gt;=0,0.4,{0}))))))</f>
        <v/>
      </c>
      <c r="P2253" s="425">
        <f>IF(AND(B2253="",C2253=""),"",ROUND(H2253*O2253,2))</f>
        <v/>
      </c>
      <c r="Q2253" s="426" t="inlineStr">
        <is>
          <t>母排</t>
        </is>
      </c>
      <c r="R2253" s="234" t="inlineStr"/>
      <c r="S2253" s="234" t="inlineStr"/>
      <c r="T2253" s="235" t="inlineStr">
        <is>
          <t>0</t>
        </is>
      </c>
      <c r="U2253" s="235" t="inlineStr"/>
      <c r="V2253" s="427" t="n"/>
      <c r="W2253" s="427" t="n"/>
      <c r="X2253" s="237" t="inlineStr">
        <is>
          <t>TMY 2*30*5→TMY 30*8</t>
        </is>
      </c>
    </row>
    <row r="2254" s="308">
      <c r="A2254" s="64">
        <f>ROW()-ROW(A$2240)</f>
        <v/>
      </c>
      <c r="B2254" s="112" t="inlineStr">
        <is>
          <t>辅料</t>
        </is>
      </c>
      <c r="C2254" s="112" t="inlineStr"/>
      <c r="D2254" s="112" t="inlineStr"/>
      <c r="E2254" s="114" t="inlineStr">
        <is>
          <t>套</t>
        </is>
      </c>
      <c r="F2254" s="114" t="n">
        <v>1</v>
      </c>
      <c r="G2254" s="396">
        <f>IF(AND(B2254="",C2254=""),"",ROUND(M2254*L2254*N2254,2))</f>
        <v/>
      </c>
      <c r="H2254" s="396">
        <f>IF(AND(B2254="",C2254=""),"",ROUND(F2254*G2254,2))</f>
        <v/>
      </c>
      <c r="I2254" s="219" t="inlineStr"/>
      <c r="J2254" s="397">
        <f>IF(AND(B2254="",C2254=""),"",ROUND(M2254*N2254,2))</f>
        <v/>
      </c>
      <c r="K2254" s="398">
        <f>IF(AND(B2254="",C2254=""),"",ROUND(J2254*F2254,2))</f>
        <v/>
      </c>
      <c r="L2254" s="200" t="n">
        <v>1</v>
      </c>
      <c r="M2254" s="399" t="n">
        <v>681.16</v>
      </c>
      <c r="N2254" s="154" t="n">
        <v>1</v>
      </c>
      <c r="O2254" s="155">
        <f>IF(AND(B2254="",C2254=""),"",IF(G2254&gt;=20000,0.05,IF(G2254&gt;=10000,0.1,IF(G2254&gt;=5000,0.2,IF(G2254&gt;=1000,0.3,IF(G2254&gt;=0,0.4,{0}))))))</f>
        <v/>
      </c>
      <c r="P2254" s="400">
        <f>IF(AND(B2254="",C2254=""),"",ROUND(H2254*O2254,2))</f>
        <v/>
      </c>
      <c r="Q2254" s="401" t="inlineStr">
        <is>
          <t>辅料</t>
        </is>
      </c>
      <c r="R2254" s="168" t="inlineStr"/>
      <c r="S2254" s="168" t="inlineStr"/>
      <c r="T2254" s="168" t="inlineStr">
        <is>
          <t>0</t>
        </is>
      </c>
      <c r="U2254" s="168" t="inlineStr"/>
      <c r="V2254" s="402" t="n"/>
      <c r="W2254" s="402" t="n"/>
      <c r="X2254" s="170" t="inlineStr"/>
    </row>
    <row r="2255" s="308">
      <c r="A2255" s="64">
        <f>ROW()-ROW(A$2240)</f>
        <v/>
      </c>
      <c r="B2255" s="112" t="inlineStr">
        <is>
          <t>柜体Blokset</t>
        </is>
      </c>
      <c r="C2255" s="22" t="inlineStr">
        <is>
          <t>600W*1200D*2200H</t>
        </is>
      </c>
      <c r="D2255" s="112" t="inlineStr">
        <is>
          <t>清科</t>
        </is>
      </c>
      <c r="E2255" s="114" t="inlineStr">
        <is>
          <t>台</t>
        </is>
      </c>
      <c r="F2255" s="114" t="n">
        <v>1</v>
      </c>
      <c r="G2255" s="396">
        <f>IF(AND(B2255="",C2255=""),"",ROUND(M2255*L2255*N2255,2))</f>
        <v/>
      </c>
      <c r="H2255" s="396">
        <f>IF(AND(B2255="",C2255=""),"",ROUND(F2255*G2255,2))</f>
        <v/>
      </c>
      <c r="I2255" s="219" t="inlineStr"/>
      <c r="J2255" s="397">
        <f>IF(AND(B2255="",C2255=""),"",ROUND(M2255*N2255,2))</f>
        <v/>
      </c>
      <c r="K2255" s="398">
        <f>IF(AND(B2255="",C2255=""),"",ROUND(J2255*F2255,2))</f>
        <v/>
      </c>
      <c r="L2255" s="200" t="n">
        <v>1</v>
      </c>
      <c r="M2255" s="399" t="n">
        <v>5521</v>
      </c>
      <c r="N2255" s="154" t="n">
        <v>1</v>
      </c>
      <c r="O2255" s="155">
        <f>IF(AND(B2255="",C2255=""),"",IF(G2255&gt;=20000,0.05,IF(G2255&gt;=10000,0.1,IF(G2255&gt;=5000,0.2,IF(G2255&gt;=1000,0.3,IF(G2255&gt;=0,0.4,{0}))))))</f>
        <v/>
      </c>
      <c r="P2255" s="400">
        <f>IF(AND(B2255="",C2255=""),"",ROUND(H2255*O2255,2))</f>
        <v/>
      </c>
      <c r="Q2255" s="401" t="inlineStr">
        <is>
          <t>箱体</t>
        </is>
      </c>
      <c r="R2255" s="168" t="inlineStr"/>
      <c r="S2255" s="168" t="inlineStr"/>
      <c r="T2255" s="168" t="inlineStr">
        <is>
          <t>0</t>
        </is>
      </c>
      <c r="U2255" s="168" t="inlineStr"/>
      <c r="V2255" s="402" t="n"/>
      <c r="W2255" s="402" t="n"/>
      <c r="X2255" s="170" t="inlineStr">
        <is>
          <t>BlokSeT</t>
        </is>
      </c>
    </row>
    <row r="2256" s="308">
      <c r="A2256" s="64">
        <f>ROW()-ROW(A$2240)</f>
        <v/>
      </c>
      <c r="B2256" s="22" t="inlineStr"/>
      <c r="C2256" s="22" t="inlineStr"/>
      <c r="D2256" s="22" t="inlineStr"/>
      <c r="E2256" s="23" t="n"/>
      <c r="F2256" s="23">
        <f>IF(AND(B2256="",C2256=""),"",1)</f>
        <v/>
      </c>
      <c r="G2256" s="349">
        <f>IF(AND(B2256="",C2256=""),"",ROUND(M2256*L2256*N2256,2))</f>
        <v/>
      </c>
      <c r="H2256" s="349">
        <f>IF(AND(B2256="",C2256=""),"",ROUND(F2256*G2256,2))</f>
        <v/>
      </c>
      <c r="I2256" s="45" t="inlineStr"/>
      <c r="J2256" s="397">
        <f>IF(AND(B2256="",C2256=""),"",ROUND(M2256*N2256,2))</f>
        <v/>
      </c>
      <c r="K2256" s="398">
        <f>IF(AND(B2256="",C2256=""),"",ROUND(J2256*F2256,2))</f>
        <v/>
      </c>
      <c r="L2256" s="200">
        <f>IF(AND(B2256="",C2256=""),"",1)</f>
        <v/>
      </c>
      <c r="M2256" s="399" t="n"/>
      <c r="N2256" s="154">
        <f>IF(AND(B2256="",C2256=""),"",1)</f>
        <v/>
      </c>
      <c r="O2256" s="155">
        <f>IF(AND(B2256="",C2256=""),"",IF(J2256&gt;=20000,0.05,IF(J2256&gt;=10000,0.1,IF(J2256&gt;=5000,0.2,IF(J2256&gt;=1000,0.3,IF(J2256&gt;=0,0.4,{0}))))))</f>
        <v/>
      </c>
      <c r="P2256" s="400">
        <f>IF(AND(B2256="",C2256=""),"",ROUND(H2256*O2256,2))</f>
        <v/>
      </c>
      <c r="Q2256" s="401">
        <f>IF(AND(B2256="",C2256=""),"","元件")</f>
        <v/>
      </c>
      <c r="R2256" s="168" t="inlineStr"/>
      <c r="S2256" s="168" t="inlineStr"/>
      <c r="T2256" s="168" t="inlineStr"/>
      <c r="U2256" s="168" t="inlineStr"/>
      <c r="V2256" s="402" t="n"/>
      <c r="W2256" s="402" t="n"/>
      <c r="X2256" s="170" t="inlineStr"/>
    </row>
    <row r="2257" s="308">
      <c r="A2257" s="64">
        <f>ROW()-ROW(A$2240)</f>
        <v/>
      </c>
      <c r="B2257" s="171" t="inlineStr">
        <is>
          <t>小计</t>
        </is>
      </c>
      <c r="C2257" s="172" t="n"/>
      <c r="D2257" s="204" t="n"/>
      <c r="E2257" s="114" t="n"/>
      <c r="F2257" s="114" t="n"/>
      <c r="G2257" s="396" t="n"/>
      <c r="H2257" s="396">
        <f>ROUND(SUM(H2240:INDEX(H:H,ROW()-1)),2)</f>
        <v/>
      </c>
      <c r="I2257" s="45" t="inlineStr"/>
      <c r="J2257" s="397" t="n"/>
      <c r="K2257" s="398">
        <f>ROUND(SUM(K2240:INDEX(K:K,ROW()-1)),2)</f>
        <v/>
      </c>
      <c r="L2257" s="200" t="n"/>
      <c r="M2257" s="399" t="n"/>
      <c r="N2257" s="154" t="n"/>
      <c r="O2257" s="155" t="n"/>
      <c r="P2257" s="400" t="n"/>
      <c r="Q2257" s="401" t="n"/>
      <c r="R2257" s="168" t="inlineStr"/>
      <c r="S2257" s="168" t="inlineStr"/>
      <c r="T2257" s="168" t="inlineStr"/>
      <c r="U2257" s="168" t="inlineStr"/>
      <c r="V2257" s="402">
        <f>ROUND(SUMPRODUCT(F2240:INDEX(F:F,ROW()-1),V2240:INDEX(V:V,ROW()-1)),2)</f>
        <v/>
      </c>
      <c r="W2257" s="402">
        <f>ROUND(SUMPRODUCT(F2240:INDEX(F:F,ROW()-1),W2240:INDEX(W:W,ROW()-1)),2)</f>
        <v/>
      </c>
      <c r="X2257" s="170" t="inlineStr"/>
    </row>
    <row r="2258" s="308">
      <c r="A2258" s="64">
        <f>ROW()-ROW(A$2240)</f>
        <v/>
      </c>
      <c r="B2258" s="171" t="inlineStr">
        <is>
          <t>综合费(人工、管理、税金、利润等)</t>
        </is>
      </c>
      <c r="C2258" s="172" t="n"/>
      <c r="D2258" s="204" t="n"/>
      <c r="E2258" s="114" t="n"/>
      <c r="F2258" s="114" t="n"/>
      <c r="G2258" s="396" t="n"/>
      <c r="H2258" s="396">
        <f>2500</f>
        <v/>
      </c>
      <c r="I2258" s="45" t="inlineStr"/>
      <c r="J2258" s="397" t="n"/>
      <c r="K2258" s="398" t="n"/>
      <c r="L2258" s="200" t="n"/>
      <c r="M2258" s="399" t="n"/>
      <c r="N2258" s="154" t="n"/>
      <c r="O2258" s="155" t="n"/>
      <c r="P2258" s="400" t="n"/>
      <c r="Q2258" s="401" t="inlineStr">
        <is>
          <t>费用</t>
        </is>
      </c>
      <c r="R2258" s="168" t="inlineStr"/>
      <c r="S2258" s="168" t="inlineStr"/>
      <c r="T2258" s="168" t="inlineStr"/>
      <c r="U2258" s="168" t="inlineStr"/>
      <c r="V2258" s="402" t="n"/>
      <c r="W2258" s="402" t="n"/>
      <c r="X2258" s="170" t="inlineStr"/>
    </row>
    <row r="2259" s="308">
      <c r="A2259" s="64">
        <f>ROW()-ROW(A$2240)</f>
        <v/>
      </c>
      <c r="B2259" s="204" t="inlineStr">
        <is>
          <t>单台合计</t>
        </is>
      </c>
      <c r="C2259" s="172" t="n"/>
      <c r="D2259" s="204" t="n"/>
      <c r="E2259" s="114" t="n"/>
      <c r="F2259" s="114" t="n"/>
      <c r="G2259" s="396" t="n"/>
      <c r="H2259" s="396">
        <f>ROUND(SUM(H2257:H2258),2)</f>
        <v/>
      </c>
      <c r="I2259" s="181" t="n"/>
      <c r="J2259" s="397" t="n"/>
      <c r="K2259" s="398">
        <f>ROUND(SUM(K2257:K2258),2)</f>
        <v/>
      </c>
      <c r="L2259" s="209" t="n"/>
      <c r="M2259" s="399" t="n"/>
      <c r="N2259" s="210" t="n"/>
      <c r="O2259" s="211" t="n"/>
      <c r="P2259" s="400" t="n"/>
      <c r="Q2259" s="401" t="n"/>
      <c r="R2259" s="168" t="inlineStr"/>
      <c r="S2259" s="168" t="inlineStr"/>
      <c r="T2259" s="168" t="inlineStr"/>
      <c r="U2259" s="168" t="inlineStr"/>
      <c r="V2259" s="402" t="n"/>
      <c r="W2259" s="402" t="n"/>
      <c r="X2259" s="170" t="inlineStr"/>
    </row>
    <row r="2260" s="308">
      <c r="A2260" s="173" t="inlineStr">
        <is>
          <t>总计</t>
        </is>
      </c>
      <c r="B2260" s="205" t="n"/>
      <c r="C2260" s="175" t="n"/>
      <c r="D2260" s="206" t="n"/>
      <c r="E2260" s="206" t="inlineStr">
        <is>
          <t>台</t>
        </is>
      </c>
      <c r="F2260" s="206" t="n">
        <v>2</v>
      </c>
      <c r="G2260" s="414">
        <f>ROUND(H2259,2)</f>
        <v/>
      </c>
      <c r="H2260" s="414">
        <f>ROUND(F2260*G2260,2)</f>
        <v/>
      </c>
      <c r="I2260" s="185" t="n"/>
      <c r="J2260" s="415" t="n"/>
      <c r="K2260" s="416">
        <f>ROUND(K2259*F2260,2)</f>
        <v/>
      </c>
      <c r="L2260" s="214" t="n"/>
      <c r="M2260" s="417" t="n"/>
      <c r="N2260" s="216" t="n"/>
      <c r="O2260" s="217" t="n"/>
      <c r="P2260" s="418" t="n"/>
      <c r="Q2260" s="401" t="n"/>
      <c r="R2260" s="168" t="inlineStr"/>
      <c r="S2260" s="168" t="inlineStr"/>
      <c r="T2260" s="168" t="inlineStr"/>
      <c r="U2260" s="168" t="inlineStr"/>
      <c r="V2260" s="402" t="n"/>
      <c r="W2260" s="402" t="n"/>
      <c r="X2260" s="170" t="inlineStr"/>
    </row>
    <row r="2261" customFormat="1" s="4">
      <c r="A2261" s="6" t="n"/>
      <c r="B2261" s="195" t="inlineStr"/>
      <c r="C2261" s="195" t="inlineStr"/>
      <c r="D2261" s="195" t="inlineStr"/>
      <c r="Q2261" s="159" t="n"/>
      <c r="R2261" s="159" t="n"/>
      <c r="S2261" s="159" t="n"/>
      <c r="T2261" s="159" t="n"/>
      <c r="U2261" s="159" t="n"/>
      <c r="X2261" s="195" t="inlineStr"/>
    </row>
    <row r="2262" customFormat="1" s="4">
      <c r="A2262" s="6" t="n"/>
      <c r="B2262" s="195" t="inlineStr"/>
      <c r="C2262" s="195" t="inlineStr"/>
      <c r="D2262" s="195" t="inlineStr"/>
      <c r="Q2262" s="159" t="n"/>
      <c r="R2262" s="159" t="n"/>
      <c r="S2262" s="159" t="n"/>
      <c r="T2262" s="159" t="n"/>
      <c r="U2262" s="159" t="n"/>
      <c r="X2262" s="195" t="inlineStr"/>
    </row>
    <row r="2263" s="308">
      <c r="A2263" s="208">
        <f>CONCATENATE("报价人：",项目信息!$B$8)</f>
        <v/>
      </c>
      <c r="B2263" s="208" t="n"/>
      <c r="C2263" s="4" t="n"/>
      <c r="D2263" s="4" t="n"/>
      <c r="E2263" s="4" t="n"/>
      <c r="F2263" s="4" t="n"/>
      <c r="G2263" s="4" t="n"/>
      <c r="H2263" s="178">
        <f>项目信息!$B$9</f>
        <v/>
      </c>
      <c r="Q2263" s="159" t="n"/>
      <c r="R2263" s="159" t="n"/>
      <c r="S2263" s="159" t="n"/>
      <c r="T2263" s="159" t="n"/>
      <c r="U2263" s="159" t="n"/>
      <c r="X2263" s="203" t="inlineStr"/>
    </row>
    <row r="2264" s="308">
      <c r="A2264" s="8">
        <f>T(项目信息!$B$22)</f>
        <v/>
      </c>
      <c r="Q2264" s="159" t="n"/>
      <c r="R2264" s="159" t="n"/>
      <c r="S2264" s="159" t="n"/>
      <c r="T2264" s="159" t="n"/>
      <c r="U2264" s="159" t="n"/>
    </row>
    <row r="2265" s="308">
      <c r="A2265" s="9">
        <f>T(项目信息!$B$23)</f>
        <v/>
      </c>
      <c r="Q2265" s="159" t="n"/>
      <c r="R2265" s="159" t="n"/>
      <c r="S2265" s="159" t="n"/>
      <c r="T2265" s="159" t="n"/>
      <c r="U2265" s="159" t="n"/>
    </row>
    <row r="2266" s="308">
      <c r="A2266" s="97" t="inlineStr">
        <is>
          <t>成套产品报价明细表</t>
        </is>
      </c>
      <c r="B2266" s="378" t="n"/>
      <c r="C2266" s="378" t="n"/>
      <c r="D2266" s="378" t="n"/>
      <c r="E2266" s="378" t="n"/>
      <c r="F2266" s="378" t="n"/>
      <c r="G2266" s="378" t="n"/>
      <c r="H2266" s="378" t="n"/>
      <c r="I2266" s="378" t="n"/>
      <c r="Q2266" s="159" t="n"/>
      <c r="R2266" s="159" t="n"/>
      <c r="S2266" s="159" t="n"/>
      <c r="T2266" s="159" t="n"/>
      <c r="U2266" s="159" t="n"/>
    </row>
    <row r="2267" customFormat="1" s="4">
      <c r="A2267" s="98" t="inlineStr">
        <is>
          <t>柜号:</t>
        </is>
      </c>
      <c r="B2267" s="99" t="inlineStr">
        <is>
          <t>T11-AU11、T12-BU11</t>
        </is>
      </c>
      <c r="C2267" s="100" t="inlineStr">
        <is>
          <t>型号:</t>
        </is>
      </c>
      <c r="D2267" s="99" t="inlineStr">
        <is>
          <t>BlokSeT</t>
        </is>
      </c>
      <c r="E2267" s="379" t="n"/>
      <c r="F2267" s="101" t="inlineStr">
        <is>
          <t>名称:</t>
        </is>
      </c>
      <c r="G2267" s="99" t="inlineStr">
        <is>
          <t>进线柜</t>
        </is>
      </c>
      <c r="H2267" s="379" t="n"/>
      <c r="I2267" s="408" t="inlineStr"/>
      <c r="J2267" s="194" t="inlineStr">
        <is>
          <t>箱柜尺寸:</t>
        </is>
      </c>
      <c r="K2267" s="195" t="inlineStr">
        <is>
          <t>400W*1200D*2200H</t>
        </is>
      </c>
      <c r="L2267" s="194" t="inlineStr">
        <is>
          <t>类别:</t>
        </is>
      </c>
      <c r="M2267" s="195" t="inlineStr">
        <is>
          <t>低压固定柜</t>
        </is>
      </c>
      <c r="N2267" s="409" t="inlineStr"/>
      <c r="Q2267" s="159" t="n"/>
      <c r="R2267" s="159" t="n"/>
      <c r="S2267" s="159" t="n"/>
      <c r="T2267" s="159" t="n"/>
      <c r="U2267" s="159" t="n"/>
    </row>
    <row r="2268" ht="20.1" customHeight="1" s="308">
      <c r="A2268" s="102" t="inlineStr">
        <is>
          <t>序号</t>
        </is>
      </c>
      <c r="B2268" s="103" t="inlineStr">
        <is>
          <t>元件名称</t>
        </is>
      </c>
      <c r="C2268" s="103" t="inlineStr">
        <is>
          <t>型号规格</t>
        </is>
      </c>
      <c r="D2268" s="104" t="inlineStr">
        <is>
          <t>生产厂家</t>
        </is>
      </c>
      <c r="E2268" s="105" t="inlineStr">
        <is>
          <t>单位</t>
        </is>
      </c>
      <c r="F2268" s="105" t="inlineStr">
        <is>
          <t>数量</t>
        </is>
      </c>
      <c r="G2268" s="382" t="inlineStr">
        <is>
          <t>单   价</t>
        </is>
      </c>
      <c r="H2268" s="383" t="inlineStr">
        <is>
          <t>总   价</t>
        </is>
      </c>
      <c r="I2268" s="134" t="inlineStr">
        <is>
          <t>备注</t>
        </is>
      </c>
      <c r="J2268" s="384" t="inlineStr">
        <is>
          <t>成本单价</t>
        </is>
      </c>
      <c r="K2268" s="384" t="inlineStr">
        <is>
          <t>成本总价</t>
        </is>
      </c>
      <c r="L2268" s="136" t="inlineStr">
        <is>
          <t>报出
系数</t>
        </is>
      </c>
      <c r="M2268" s="384" t="inlineStr">
        <is>
          <t>表价</t>
        </is>
      </c>
      <c r="N2268" s="136" t="inlineStr">
        <is>
          <t>折扣
系数</t>
        </is>
      </c>
      <c r="O2268" s="137" t="inlineStr">
        <is>
          <t>取费
系数</t>
        </is>
      </c>
      <c r="P2268" s="384" t="inlineStr">
        <is>
          <t>成套费</t>
        </is>
      </c>
      <c r="Q2268" s="161" t="inlineStr">
        <is>
          <t>类别</t>
        </is>
      </c>
      <c r="R2268" s="161" t="inlineStr">
        <is>
          <t>物料编码</t>
        </is>
      </c>
      <c r="S2268" s="161" t="inlineStr">
        <is>
          <t>产地</t>
        </is>
      </c>
      <c r="T2268" s="161" t="inlineStr">
        <is>
          <t>加工费</t>
        </is>
      </c>
      <c r="U2268" s="161" t="inlineStr">
        <is>
          <t>订货号</t>
        </is>
      </c>
      <c r="V2268" s="161" t="inlineStr">
        <is>
          <t>人工</t>
        </is>
      </c>
      <c r="W2268" s="161" t="inlineStr">
        <is>
          <t>辅料</t>
        </is>
      </c>
      <c r="X2268" s="203" t="inlineStr"/>
    </row>
    <row r="2269" s="308">
      <c r="A2269" s="64">
        <f>ROW()-ROW(A$2268)</f>
        <v/>
      </c>
      <c r="B2269" s="22" t="inlineStr">
        <is>
          <t>框架断路器</t>
        </is>
      </c>
      <c r="C2269" s="22" t="inlineStr">
        <is>
          <t>MT12 N1a SG 3P MIC5.0 E</t>
        </is>
      </c>
      <c r="D2269" s="22" t="inlineStr">
        <is>
          <t>甲供/施耐德电气</t>
        </is>
      </c>
      <c r="E2269" s="23" t="inlineStr">
        <is>
          <t>只</t>
        </is>
      </c>
      <c r="F2269" s="23" t="n">
        <v>2</v>
      </c>
      <c r="G2269" s="349">
        <f>IF(AND(B2269="",C2269=""),"",ROUND(M2269*L2269*N2269,2))</f>
        <v/>
      </c>
      <c r="H2269" s="349">
        <f>IF(AND(B2269="",C2269=""),"",ROUND(F2269*G2269,2))</f>
        <v/>
      </c>
      <c r="I2269" s="45" t="inlineStr"/>
      <c r="J2269" s="397">
        <f>IF(AND(B2269="",C2269=""),"",ROUND(M2269*N2269,2))</f>
        <v/>
      </c>
      <c r="K2269" s="398">
        <f>IF(AND(B2269="",C2269=""),"",ROUND(J2269*F2269,2))</f>
        <v/>
      </c>
      <c r="L2269" s="200" t="n">
        <v>1</v>
      </c>
      <c r="M2269" s="399" t="n">
        <v>1e-07</v>
      </c>
      <c r="N2269" s="154" t="n">
        <v>1</v>
      </c>
      <c r="O2269" s="155">
        <f>IF(AND(B2269="",C2269=""),"",IF(G2269&gt;=20000,0.05,IF(G2269&gt;=10000,0.1,IF(G2269&gt;=5000,0.2,IF(G2269&gt;=1000,0.3,IF(G2269&gt;=0,0.4,{0}))))))</f>
        <v/>
      </c>
      <c r="P2269" s="400">
        <f>IF(AND(B2269="",C2269=""),"",ROUND(H2269*O2269,2))</f>
        <v/>
      </c>
      <c r="Q2269" s="401" t="inlineStr">
        <is>
          <t>元件</t>
        </is>
      </c>
      <c r="R2269" s="168" t="inlineStr"/>
      <c r="S2269" s="168" t="inlineStr"/>
      <c r="T2269" s="168" t="inlineStr">
        <is>
          <t>0</t>
        </is>
      </c>
      <c r="U2269" s="168" t="inlineStr">
        <is>
          <t>C16F32D160</t>
        </is>
      </c>
      <c r="V2269" s="402" t="n"/>
      <c r="W2269" s="402" t="n"/>
      <c r="X2269" s="170" t="inlineStr">
        <is>
          <t>NSX630N Mic2.3 630A 3P3D F→NSX630F MIC2.3 630 3P F→NSX630F MIC 2.3 630 3P F</t>
        </is>
      </c>
    </row>
    <row r="2270" s="308">
      <c r="A2270" s="64">
        <f>ROW()-ROW(A$2268)</f>
        <v/>
      </c>
      <c r="B2270" s="22" t="inlineStr">
        <is>
          <t>电流互感器</t>
        </is>
      </c>
      <c r="C2270" s="22" t="inlineStr">
        <is>
          <t>SD-0.66-80II-V 1250/5A</t>
        </is>
      </c>
      <c r="D2270" s="22" t="inlineStr">
        <is>
          <t>桑迪</t>
        </is>
      </c>
      <c r="E2270" s="23" t="inlineStr">
        <is>
          <t>只</t>
        </is>
      </c>
      <c r="F2270" s="23" t="n">
        <v>6</v>
      </c>
      <c r="G2270" s="349">
        <f>IF(AND(B2270="",C2270=""),"",ROUND(M2270*L2270*N2270,2))</f>
        <v/>
      </c>
      <c r="H2270" s="396">
        <f>IF(AND(B2270="",C2270=""),"",ROUND(F2270*G2270,2))</f>
        <v/>
      </c>
      <c r="I2270" s="219" t="inlineStr"/>
      <c r="J2270" s="397">
        <f>IF(AND(B2270="",C2270=""),"",ROUND(M2270*N2270,2))</f>
        <v/>
      </c>
      <c r="K2270" s="398">
        <f>IF(AND(B2270="",C2270=""),"",ROUND(J2270*F2270,2))</f>
        <v/>
      </c>
      <c r="L2270" s="200" t="n">
        <v>1</v>
      </c>
      <c r="M2270" s="399" t="n">
        <v>115.7</v>
      </c>
      <c r="N2270" s="154" t="n">
        <v>1</v>
      </c>
      <c r="O2270" s="155">
        <f>IF(AND(B2270="",C2270=""),"",IF(G2270&gt;=20000,0.05,IF(G2270&gt;=10000,0.1,IF(G2270&gt;=5000,0.2,IF(G2270&gt;=1000,0.3,IF(G2270&gt;=0,0.4,{0}))))))</f>
        <v/>
      </c>
      <c r="P2270" s="400">
        <f>IF(AND(B2270="",C2270=""),"",ROUND(H2270*O2270,2))</f>
        <v/>
      </c>
      <c r="Q2270" s="401" t="inlineStr">
        <is>
          <t>元件</t>
        </is>
      </c>
      <c r="R2270" s="168" t="inlineStr"/>
      <c r="S2270" s="168" t="inlineStr"/>
      <c r="T2270" s="168" t="inlineStr">
        <is>
          <t>0</t>
        </is>
      </c>
      <c r="U2270" s="168" t="inlineStr">
        <is>
          <t>710141426552500</t>
        </is>
      </c>
      <c r="V2270" s="402" t="n"/>
      <c r="W2270" s="402" t="n"/>
      <c r="X2270" s="170" t="inlineStr">
        <is>
          <t>SD→SD-0.66-40II-C 400/5A→SD-0.66-30I 250/5A→SD-0.66-30I 150/5A→SD-0.66-60II-C 750/5A→SD-0.66-60II-C 600/5A→SD-0.66-30I 150/5A→SD-0.66-40II-C 400/5A→SD-0.66-100II-C 1600/5A→SD-0.66-80II-V 1000/5A→SD-0.66-80II-V 1250/5A→SD-0.66-80II-V 1000/5A</t>
        </is>
      </c>
    </row>
    <row r="2271" s="308">
      <c r="A2271" s="64">
        <f>ROW()-ROW(A$2268)</f>
        <v/>
      </c>
      <c r="B2271" s="112" t="inlineStr">
        <is>
          <t>多功能表</t>
        </is>
      </c>
      <c r="C2271" s="112" t="inlineStr">
        <is>
          <t>PM4101</t>
        </is>
      </c>
      <c r="D2271" s="112" t="inlineStr">
        <is>
          <t>甲供/施耐德电气</t>
        </is>
      </c>
      <c r="E2271" s="114" t="inlineStr">
        <is>
          <t>只</t>
        </is>
      </c>
      <c r="F2271" s="114" t="n">
        <v>2</v>
      </c>
      <c r="G2271" s="396">
        <f>IF(AND(B2271="",C2271=""),"",ROUND(M2271*L2271*N2271,2))</f>
        <v/>
      </c>
      <c r="H2271" s="349">
        <f>IF(AND(B2271="",C2271=""),"",ROUND(F2271*G2271,2))</f>
        <v/>
      </c>
      <c r="I2271" s="45" t="inlineStr"/>
      <c r="J2271" s="397">
        <f>IF(AND(B2271="",C2271=""),"",ROUND(M2271*N2271,2))</f>
        <v/>
      </c>
      <c r="K2271" s="398">
        <f>IF(AND(B2271="",C2271=""),"",ROUND(J2271*F2271,2))</f>
        <v/>
      </c>
      <c r="L2271" s="200" t="n">
        <v>1</v>
      </c>
      <c r="M2271" s="399" t="n">
        <v>1e-07</v>
      </c>
      <c r="N2271" s="154" t="n">
        <v>1</v>
      </c>
      <c r="O2271" s="155">
        <f>IF(AND(B2271="",C2271=""),"",IF(J2271&gt;=20000,0.05,IF(J2271&gt;=10000,0.1,IF(J2271&gt;=5000,0.2,IF(J2271&gt;=1000,0.3,IF(J2271&gt;=0,0.4,{0}))))))</f>
        <v/>
      </c>
      <c r="P2271" s="400">
        <f>IF(AND(B2271="",C2271=""),"",ROUND(H2271*O2271,2))</f>
        <v/>
      </c>
      <c r="Q2271" s="401" t="inlineStr">
        <is>
          <t>元件</t>
        </is>
      </c>
      <c r="R2271" s="168" t="inlineStr"/>
      <c r="S2271" s="168" t="inlineStr"/>
      <c r="T2271" s="168" t="inlineStr">
        <is>
          <t>0</t>
        </is>
      </c>
      <c r="U2271" s="168" t="inlineStr"/>
      <c r="V2271" s="402" t="n"/>
      <c r="W2271" s="402" t="n"/>
      <c r="X2271" s="170" t="inlineStr"/>
    </row>
    <row r="2272" customFormat="1" s="3">
      <c r="A2272" s="64">
        <f>ROW()-ROW(A$2268)</f>
        <v/>
      </c>
      <c r="B2272" s="22" t="inlineStr">
        <is>
          <t>指示灯</t>
        </is>
      </c>
      <c r="C2272" s="22" t="inlineStr">
        <is>
          <t>XB2BVM3LC</t>
        </is>
      </c>
      <c r="D2272" s="22" t="inlineStr">
        <is>
          <t>甲供/施耐德电气</t>
        </is>
      </c>
      <c r="E2272" s="23" t="inlineStr">
        <is>
          <t>只</t>
        </is>
      </c>
      <c r="F2272" s="23" t="n">
        <v>2</v>
      </c>
      <c r="G2272" s="349">
        <f>IF(AND(B2272="",C2272=""),"",ROUND(M2272*L2272*N2272,2))</f>
        <v/>
      </c>
      <c r="H2272" s="353">
        <f>IF(AND(B2272="",C2272=""),"",ROUND(F2272*G2272,2))</f>
        <v/>
      </c>
      <c r="I2272" s="180" t="inlineStr"/>
      <c r="J2272" s="392">
        <f>IF(AND(B2272="",C2272=""),"",ROUND(M2272*N2272,2))</f>
        <v/>
      </c>
      <c r="K2272" s="393">
        <f>IF(AND(B2272="",C2272=""),"",ROUND(J2272*F2272,2))</f>
        <v/>
      </c>
      <c r="L2272" s="141" t="n">
        <v>1</v>
      </c>
      <c r="M2272" s="394" t="n">
        <v>1e-07</v>
      </c>
      <c r="N2272" s="220" t="n">
        <v>1</v>
      </c>
      <c r="O2272" s="221">
        <f>IF(AND(B2272="",C2272=""),"",IF(G2272&gt;=20000,0.05,IF(G2272&gt;=10000,0.1,IF(G2272&gt;=5000,0.2,IF(G2272&gt;=1000,0.3,IF(G2272&gt;=0,0.4,{0}))))))</f>
        <v/>
      </c>
      <c r="P2272" s="419">
        <f>IF(AND(B2272="",C2272=""),"",ROUND(H2272*O2272,2))</f>
        <v/>
      </c>
      <c r="Q2272" s="420" t="inlineStr">
        <is>
          <t>元件</t>
        </is>
      </c>
      <c r="R2272" s="231" t="inlineStr"/>
      <c r="S2272" s="231" t="inlineStr"/>
      <c r="T2272" s="231" t="inlineStr">
        <is>
          <t>0</t>
        </is>
      </c>
      <c r="U2272" s="231" t="inlineStr">
        <is>
          <t>XB2BVM3LC</t>
        </is>
      </c>
      <c r="V2272" s="421" t="n"/>
      <c r="W2272" s="421" t="n"/>
      <c r="X2272" s="166" t="inlineStr">
        <is>
          <t>XA2EVM3LC</t>
        </is>
      </c>
    </row>
    <row r="2273" customFormat="1" s="3">
      <c r="A2273" s="64">
        <f>ROW()-ROW(A$2268)</f>
        <v/>
      </c>
      <c r="B2273" s="22" t="inlineStr">
        <is>
          <t>指示灯</t>
        </is>
      </c>
      <c r="C2273" s="22" t="inlineStr">
        <is>
          <t>XB2BVM4LC</t>
        </is>
      </c>
      <c r="D2273" s="22" t="inlineStr">
        <is>
          <t>甲供/施耐德电气</t>
        </is>
      </c>
      <c r="E2273" s="23" t="inlineStr">
        <is>
          <t>只</t>
        </is>
      </c>
      <c r="F2273" s="23" t="n">
        <v>2</v>
      </c>
      <c r="G2273" s="349">
        <f>IF(AND(B2273="",C2273=""),"",ROUND(M2273*L2273*N2273,2))</f>
        <v/>
      </c>
      <c r="H2273" s="353">
        <f>IF(AND(B2273="",C2273=""),"",ROUND(F2273*G2273,2))</f>
        <v/>
      </c>
      <c r="I2273" s="180" t="inlineStr"/>
      <c r="J2273" s="392">
        <f>IF(AND(B2273="",C2273=""),"",ROUND(M2273*N2273,2))</f>
        <v/>
      </c>
      <c r="K2273" s="393">
        <f>IF(AND(B2273="",C2273=""),"",ROUND(J2273*F2273,2))</f>
        <v/>
      </c>
      <c r="L2273" s="141" t="n">
        <v>1</v>
      </c>
      <c r="M2273" s="394" t="n">
        <v>1e-07</v>
      </c>
      <c r="N2273" s="220" t="n">
        <v>1</v>
      </c>
      <c r="O2273" s="221">
        <f>IF(AND(B2273="",C2273=""),"",IF(G2273&gt;=20000,0.05,IF(G2273&gt;=10000,0.1,IF(G2273&gt;=5000,0.2,IF(G2273&gt;=1000,0.3,IF(G2273&gt;=0,0.4,{0}))))))</f>
        <v/>
      </c>
      <c r="P2273" s="419">
        <f>IF(AND(B2273="",C2273=""),"",ROUND(H2273*O2273,2))</f>
        <v/>
      </c>
      <c r="Q2273" s="420" t="inlineStr">
        <is>
          <t>元件</t>
        </is>
      </c>
      <c r="R2273" s="231" t="inlineStr"/>
      <c r="S2273" s="231" t="inlineStr"/>
      <c r="T2273" s="231" t="inlineStr">
        <is>
          <t>0</t>
        </is>
      </c>
      <c r="U2273" s="231" t="inlineStr">
        <is>
          <t>XB2BVM4LC</t>
        </is>
      </c>
      <c r="V2273" s="421" t="n"/>
      <c r="W2273" s="421" t="n"/>
      <c r="X2273" s="166" t="inlineStr">
        <is>
          <t>XA2EVM4LC</t>
        </is>
      </c>
    </row>
    <row r="2274" s="308">
      <c r="A2274" s="64">
        <f>ROW()-ROW(A$2268)</f>
        <v/>
      </c>
      <c r="B2274" s="112" t="inlineStr">
        <is>
          <t>指示灯</t>
        </is>
      </c>
      <c r="C2274" s="112" t="inlineStr">
        <is>
          <t>XB2BVM5LC</t>
        </is>
      </c>
      <c r="D2274" s="112" t="inlineStr">
        <is>
          <t>甲供/施耐德电气</t>
        </is>
      </c>
      <c r="E2274" s="114" t="inlineStr">
        <is>
          <t>只</t>
        </is>
      </c>
      <c r="F2274" s="114" t="n">
        <v>2</v>
      </c>
      <c r="G2274" s="396">
        <f>IF(AND(B2274="",C2274=""),"",ROUND(M2274*L2274*N2274,2))</f>
        <v/>
      </c>
      <c r="H2274" s="396">
        <f>IF(AND(B2274="",C2274=""),"",ROUND(F2274*G2274,2))</f>
        <v/>
      </c>
      <c r="I2274" s="150" t="inlineStr"/>
      <c r="J2274" s="397">
        <f>IF(AND(B2274="",C2274=""),"",ROUND(M2274*N2274,2))</f>
        <v/>
      </c>
      <c r="K2274" s="398">
        <f>IF(AND(B2274="",C2274=""),"",ROUND(J2274*F2274,2))</f>
        <v/>
      </c>
      <c r="L2274" s="141" t="n">
        <v>1</v>
      </c>
      <c r="M2274" s="399" t="n">
        <v>1e-07</v>
      </c>
      <c r="N2274" s="154" t="n">
        <v>1</v>
      </c>
      <c r="O2274" s="155">
        <f>IF(AND(B2274="",C2274=""),"",IF(G2274&gt;=20000,0.05,IF(G2274&gt;=10000,0.1,IF(G2274&gt;=5000,0.2,IF(G2274&gt;=1000,0.3,IF(G2274&gt;=0,0.4,{0}))))))</f>
        <v/>
      </c>
      <c r="P2274" s="400">
        <f>IF(AND(B2274="",C2274=""),"",ROUND(H2274*O2274,2))</f>
        <v/>
      </c>
      <c r="Q2274" s="401" t="inlineStr">
        <is>
          <t>元件</t>
        </is>
      </c>
      <c r="R2274" s="168" t="inlineStr"/>
      <c r="S2274" s="168" t="inlineStr"/>
      <c r="T2274" s="168" t="inlineStr">
        <is>
          <t>0</t>
        </is>
      </c>
      <c r="U2274" s="168" t="inlineStr">
        <is>
          <t>XA2EVM5LC</t>
        </is>
      </c>
      <c r="V2274" s="402" t="n"/>
      <c r="W2274" s="402" t="n"/>
      <c r="X2274" s="170" t="inlineStr"/>
    </row>
    <row r="2275" s="308">
      <c r="A2275" s="64">
        <f>ROW()-ROW(A$2268)</f>
        <v/>
      </c>
      <c r="B2275" s="112" t="inlineStr">
        <is>
          <t>按钮</t>
        </is>
      </c>
      <c r="C2275" s="112" t="inlineStr">
        <is>
          <t>XB2BA31C</t>
        </is>
      </c>
      <c r="D2275" s="112" t="inlineStr">
        <is>
          <t>甲供/施耐德电气</t>
        </is>
      </c>
      <c r="E2275" s="114" t="inlineStr">
        <is>
          <t>只</t>
        </is>
      </c>
      <c r="F2275" s="114" t="n">
        <v>2</v>
      </c>
      <c r="G2275" s="396">
        <f>IF(AND(B2275="",C2275=""),"",ROUND(M2275*L2275*N2275,2))</f>
        <v/>
      </c>
      <c r="H2275" s="396">
        <f>IF(AND(B2275="",C2275=""),"",ROUND(F2275*G2275,2))</f>
        <v/>
      </c>
      <c r="I2275" s="150" t="inlineStr"/>
      <c r="J2275" s="397">
        <f>IF(AND(B2275="",C2275=""),"",ROUND(M2275*N2275,2))</f>
        <v/>
      </c>
      <c r="K2275" s="398">
        <f>IF(AND(B2275="",C2275=""),"",ROUND(J2275*F2275,2))</f>
        <v/>
      </c>
      <c r="L2275" s="141" t="n">
        <v>1</v>
      </c>
      <c r="M2275" s="399" t="n">
        <v>1e-07</v>
      </c>
      <c r="N2275" s="154" t="n">
        <v>1</v>
      </c>
      <c r="O2275" s="155">
        <f>IF(AND(B2275="",C2275=""),"",IF(G2275&gt;=20000,0.05,IF(G2275&gt;=10000,0.1,IF(G2275&gt;=5000,0.2,IF(G2275&gt;=1000,0.3,IF(G2275&gt;=0,0.4,{0}))))))</f>
        <v/>
      </c>
      <c r="P2275" s="400">
        <f>IF(AND(B2275="",C2275=""),"",ROUND(H2275*O2275,2))</f>
        <v/>
      </c>
      <c r="Q2275" s="401" t="inlineStr">
        <is>
          <t>元件</t>
        </is>
      </c>
      <c r="R2275" s="168" t="inlineStr"/>
      <c r="S2275" s="168" t="inlineStr"/>
      <c r="T2275" s="168" t="inlineStr">
        <is>
          <t>0</t>
        </is>
      </c>
      <c r="U2275" s="168" t="inlineStr">
        <is>
          <t>XB2BA31C</t>
        </is>
      </c>
      <c r="V2275" s="402" t="n"/>
      <c r="W2275" s="402" t="n"/>
      <c r="X2275" s="170" t="inlineStr">
        <is>
          <t>XA2EA31</t>
        </is>
      </c>
    </row>
    <row r="2276" s="308">
      <c r="A2276" s="64">
        <f>ROW()-ROW(A$2268)</f>
        <v/>
      </c>
      <c r="B2276" s="22" t="inlineStr">
        <is>
          <t>按钮</t>
        </is>
      </c>
      <c r="C2276" s="22" t="inlineStr">
        <is>
          <t>XB2BA42C</t>
        </is>
      </c>
      <c r="D2276" s="22" t="inlineStr">
        <is>
          <t>甲供/施耐德电气</t>
        </is>
      </c>
      <c r="E2276" s="23" t="inlineStr">
        <is>
          <t>只</t>
        </is>
      </c>
      <c r="F2276" s="23" t="n">
        <v>2</v>
      </c>
      <c r="G2276" s="349">
        <f>IF(AND(B2276="",C2276=""),"",ROUND(M2276*L2276*N2276,2))</f>
        <v/>
      </c>
      <c r="H2276" s="396">
        <f>IF(AND(B2276="",C2276=""),"",ROUND(F2276*G2276,2))</f>
        <v/>
      </c>
      <c r="I2276" s="150" t="inlineStr"/>
      <c r="J2276" s="397">
        <f>IF(AND(B2276="",C2276=""),"",ROUND(M2276*N2276,2))</f>
        <v/>
      </c>
      <c r="K2276" s="398">
        <f>IF(AND(B2276="",C2276=""),"",ROUND(J2276*F2276,2))</f>
        <v/>
      </c>
      <c r="L2276" s="141" t="n">
        <v>1</v>
      </c>
      <c r="M2276" s="399" t="n">
        <v>1e-07</v>
      </c>
      <c r="N2276" s="154" t="n">
        <v>1</v>
      </c>
      <c r="O2276" s="155">
        <f>IF(AND(B2276="",C2276=""),"",IF(G2276&gt;=20000,0.05,IF(G2276&gt;=10000,0.1,IF(G2276&gt;=5000,0.2,IF(G2276&gt;=1000,0.3,IF(G2276&gt;=0,0.4,{0}))))))</f>
        <v/>
      </c>
      <c r="P2276" s="400">
        <f>IF(AND(B2276="",C2276=""),"",ROUND(H2276*O2276,2))</f>
        <v/>
      </c>
      <c r="Q2276" s="401" t="inlineStr">
        <is>
          <t>元件</t>
        </is>
      </c>
      <c r="R2276" s="168" t="inlineStr"/>
      <c r="S2276" s="168" t="inlineStr"/>
      <c r="T2276" s="168" t="inlineStr">
        <is>
          <t>0</t>
        </is>
      </c>
      <c r="U2276" s="168" t="inlineStr">
        <is>
          <t>XB2BA42C</t>
        </is>
      </c>
      <c r="V2276" s="402" t="n"/>
      <c r="W2276" s="402" t="n"/>
      <c r="X2276" s="170" t="inlineStr">
        <is>
          <t>XA2EA41</t>
        </is>
      </c>
    </row>
    <row r="2277" s="308">
      <c r="A2277" s="64">
        <f>ROW()-ROW(A$2268)</f>
        <v/>
      </c>
      <c r="B2277" s="112" t="inlineStr">
        <is>
          <t>温湿度控制器</t>
        </is>
      </c>
      <c r="C2277" s="112" t="inlineStr">
        <is>
          <t>ATH48G-11</t>
        </is>
      </c>
      <c r="D2277" s="22" t="inlineStr">
        <is>
          <t>杭州安廷</t>
        </is>
      </c>
      <c r="E2277" s="23" t="inlineStr">
        <is>
          <t>套</t>
        </is>
      </c>
      <c r="F2277" s="23" t="n">
        <v>1</v>
      </c>
      <c r="G2277" s="349">
        <f>IF(AND(B2277="",C2277=""),"",ROUND(M2277*L2277*N2277,2))</f>
        <v/>
      </c>
      <c r="H2277" s="396">
        <f>IF(AND(B2277="",C2277=""),"",ROUND(F2277*G2277,2))</f>
        <v/>
      </c>
      <c r="I2277" s="150" t="inlineStr"/>
      <c r="J2277" s="397">
        <f>IF(AND(B2277="",C2277=""),"",ROUND(M2277*N2277,2))</f>
        <v/>
      </c>
      <c r="K2277" s="398">
        <f>IF(AND(B2277="",C2277=""),"",ROUND(J2277*F2277,2))</f>
        <v/>
      </c>
      <c r="L2277" s="141" t="n">
        <v>1</v>
      </c>
      <c r="M2277" s="399" t="n">
        <v>450</v>
      </c>
      <c r="N2277" s="154" t="n">
        <v>1</v>
      </c>
      <c r="O2277" s="155">
        <f>IF(AND(B2277="",C2277=""),"",IF(G2277&gt;=20000,0.05,IF(G2277&gt;=10000,0.1,IF(G2277&gt;=5000,0.2,IF(G2277&gt;=1000,0.3,IF(G2277&gt;=0,0.4,{0}))))))</f>
        <v/>
      </c>
      <c r="P2277" s="400">
        <f>IF(AND(B2277="",C2277=""),"",ROUND(H2277*O2277,2))</f>
        <v/>
      </c>
      <c r="Q2277" s="401" t="inlineStr">
        <is>
          <t>元件</t>
        </is>
      </c>
      <c r="R2277" s="168" t="inlineStr"/>
      <c r="S2277" s="168" t="inlineStr"/>
      <c r="T2277" s="168" t="inlineStr">
        <is>
          <t>0</t>
        </is>
      </c>
      <c r="U2277" s="168" t="inlineStr"/>
      <c r="V2277" s="402" t="n"/>
      <c r="W2277" s="402" t="n"/>
      <c r="X2277" s="170" t="inlineStr"/>
    </row>
    <row r="2278" s="308">
      <c r="A2278" s="64">
        <f>ROW()-ROW(A$2268)</f>
        <v/>
      </c>
      <c r="B2278" s="22" t="inlineStr">
        <is>
          <t>中间继电器</t>
        </is>
      </c>
      <c r="C2278" s="22" t="inlineStr">
        <is>
          <t>RXM4AB2P7+RXZE2S114M+RXZ400</t>
        </is>
      </c>
      <c r="D2278" s="22" t="inlineStr">
        <is>
          <t>甲供/施耐德电气</t>
        </is>
      </c>
      <c r="E2278" s="23" t="inlineStr">
        <is>
          <t>只</t>
        </is>
      </c>
      <c r="F2278" s="23" t="n">
        <v>4</v>
      </c>
      <c r="G2278" s="349">
        <f>IF(AND(B2278="",C2278=""),"",ROUND(M2278*L2278*N2278,2))</f>
        <v/>
      </c>
      <c r="H2278" s="349">
        <f>IF(AND(B2278="",C2278=""),"",ROUND(F2278*G2278,2))</f>
        <v/>
      </c>
      <c r="I2278" s="45" t="inlineStr"/>
      <c r="J2278" s="397">
        <f>IF(AND(B2278="",C2278=""),"",ROUND(M2278*N2278,2))</f>
        <v/>
      </c>
      <c r="K2278" s="398">
        <f>IF(AND(B2278="",C2278=""),"",ROUND(J2278*F2278,2))</f>
        <v/>
      </c>
      <c r="L2278" s="141" t="n">
        <v>1</v>
      </c>
      <c r="M2278" s="399" t="n">
        <v>1e-07</v>
      </c>
      <c r="N2278" s="154" t="n">
        <v>1</v>
      </c>
      <c r="O2278" s="155">
        <f>IF(AND(B2278="",C2278=""),"",IF(G2278&gt;=20000,0.05,IF(G2278&gt;=10000,0.1,IF(G2278&gt;=5000,0.2,IF(G2278&gt;=1000,0.3,IF(G2278&gt;=0,0.4,{0}))))))</f>
        <v/>
      </c>
      <c r="P2278" s="400">
        <f>IF(AND(B2278="",C2278=""),"",ROUND(H2278*O2278,2))</f>
        <v/>
      </c>
      <c r="Q2278" s="401" t="inlineStr">
        <is>
          <t>元件</t>
        </is>
      </c>
      <c r="R2278" s="168" t="inlineStr"/>
      <c r="S2278" s="168" t="inlineStr"/>
      <c r="T2278" s="168" t="inlineStr">
        <is>
          <t>0</t>
        </is>
      </c>
      <c r="U2278" s="168" t="inlineStr">
        <is>
          <t>RXM4AB2P7+RXZE2S114M+RXZ400</t>
        </is>
      </c>
      <c r="V2278" s="402" t="n"/>
      <c r="W2278" s="402" t="n"/>
      <c r="X2278" s="170" t="inlineStr">
        <is>
          <t>REL-IR-BL/L-230AC/4X21，含底座→RXM4AB2P7+RXZE2S114M+RXZ400→REL-IR-BL/L-230AC/4X21，含底座</t>
        </is>
      </c>
    </row>
    <row r="2279" customFormat="1" s="3">
      <c r="A2279" s="64">
        <f>ROW()-ROW(A$2268)</f>
        <v/>
      </c>
      <c r="B2279" s="22" t="inlineStr">
        <is>
          <t>带熔丝端子</t>
        </is>
      </c>
      <c r="C2279" s="22" t="inlineStr">
        <is>
          <t>UK 5-HESI</t>
        </is>
      </c>
      <c r="D2279" s="22" t="inlineStr">
        <is>
          <t>菲尼克斯</t>
        </is>
      </c>
      <c r="E2279" s="23" t="inlineStr">
        <is>
          <t>只</t>
        </is>
      </c>
      <c r="F2279" s="23" t="n">
        <v>8</v>
      </c>
      <c r="G2279" s="349">
        <f>IF(AND(B2279="",C2279=""),"",ROUND(M2279*L2279*N2279,2))</f>
        <v/>
      </c>
      <c r="H2279" s="349">
        <f>IF(AND(B2279="",C2279=""),"",ROUND(F2279*G2279,2))</f>
        <v/>
      </c>
      <c r="I2279" s="45" t="inlineStr"/>
      <c r="J2279" s="392">
        <f>IF(AND(B2279="",C2279=""),"",ROUND(M2279*N2279,2))</f>
        <v/>
      </c>
      <c r="K2279" s="393">
        <f>IF(AND(B2279="",C2279=""),"",ROUND(J2279*F2279,2))</f>
        <v/>
      </c>
      <c r="L2279" s="141" t="n">
        <v>1</v>
      </c>
      <c r="M2279" s="394" t="n">
        <v>7</v>
      </c>
      <c r="N2279" s="220" t="n">
        <v>1</v>
      </c>
      <c r="O2279" s="221">
        <f>IF(AND(B2279="",C2279=""),"",IF(G2279&gt;=20000,0.05,IF(G2279&gt;=10000,0.1,IF(G2279&gt;=5000,0.2,IF(G2279&gt;=1000,0.3,IF(G2279&gt;=0,0.4,{0}))))))</f>
        <v/>
      </c>
      <c r="P2279" s="419">
        <f>IF(AND(B2279="",C2279=""),"",ROUND(H2279*O2279,2))</f>
        <v/>
      </c>
      <c r="Q2279" s="420" t="inlineStr">
        <is>
          <t>元件</t>
        </is>
      </c>
      <c r="R2279" s="231" t="inlineStr"/>
      <c r="S2279" s="231" t="inlineStr"/>
      <c r="T2279" s="231" t="inlineStr">
        <is>
          <t>0</t>
        </is>
      </c>
      <c r="U2279" s="231" t="inlineStr">
        <is>
          <t>True</t>
        </is>
      </c>
      <c r="V2279" s="421" t="n"/>
      <c r="W2279" s="421" t="n"/>
      <c r="X2279" s="166" t="inlineStr"/>
    </row>
    <row r="2280" s="308">
      <c r="A2280" s="64">
        <f>ROW()-ROW(A$2268)</f>
        <v/>
      </c>
      <c r="B2280" s="22" t="inlineStr">
        <is>
          <t>水平母排</t>
        </is>
      </c>
      <c r="C2280" s="22" t="inlineStr">
        <is>
          <t>TMY 4*(3*125*5)+2*50*5</t>
        </is>
      </c>
      <c r="D2280" s="22" t="inlineStr">
        <is>
          <t>国产优质</t>
        </is>
      </c>
      <c r="E2280" s="23" t="inlineStr">
        <is>
          <t>米</t>
        </is>
      </c>
      <c r="F2280" s="23" t="n">
        <v>0.4</v>
      </c>
      <c r="G2280" s="349">
        <f>IF(AND(B2280="",C2280=""),"",ROUND(M2280*L2280*N2280,2))</f>
        <v/>
      </c>
      <c r="H2280" s="349">
        <f>IF(AND(B2280="",C2280=""),"",ROUND(F2280*G2280,2))</f>
        <v/>
      </c>
      <c r="I2280" s="45" t="inlineStr"/>
      <c r="J2280" s="397">
        <f>IF(AND(B2280="",C2280=""),"",ROUND(M2280*N2280,2))</f>
        <v/>
      </c>
      <c r="K2280" s="398">
        <f>IF(AND(B2280="",C2280=""),"",ROUND(J2280*F2280,2))</f>
        <v/>
      </c>
      <c r="L2280" s="200" t="n">
        <v>1</v>
      </c>
      <c r="M2280" s="399" t="n">
        <v>7697.076</v>
      </c>
      <c r="N2280" s="154">
        <f>(6317.932*1*1+2684.8*1*1)/9002.732</f>
        <v/>
      </c>
      <c r="O2280" s="155">
        <f>IF(AND(B2280="",C2280=""),"",IF(J2280&gt;=20000,0.05,IF(J2280&gt;=10000,0.1,IF(J2280&gt;=5000,0.2,IF(J2280&gt;=1000,0.3,IF(J2280&gt;=0,0.4,{0}))))))</f>
        <v/>
      </c>
      <c r="P2280" s="400">
        <f>IF(AND(B2280="",C2280=""),"",ROUND(H2280*O2280,2))</f>
        <v/>
      </c>
      <c r="Q2280" s="401" t="inlineStr">
        <is>
          <t>母排</t>
        </is>
      </c>
      <c r="R2280" s="168" t="inlineStr"/>
      <c r="S2280" s="168" t="inlineStr"/>
      <c r="T2280" s="168" t="inlineStr">
        <is>
          <t>0</t>
        </is>
      </c>
      <c r="U2280" s="168" t="inlineStr"/>
      <c r="V2280" s="402" t="n"/>
      <c r="W2280" s="402" t="n"/>
      <c r="X2280" s="170" t="inlineStr"/>
    </row>
    <row r="2281" customFormat="1" s="5">
      <c r="A2281" s="64">
        <f>ROW()-ROW(A$2268)</f>
        <v/>
      </c>
      <c r="B2281" s="22" t="inlineStr">
        <is>
          <t>桩头排</t>
        </is>
      </c>
      <c r="C2281" s="22" t="inlineStr">
        <is>
          <t>TMY 3*2*60*5</t>
        </is>
      </c>
      <c r="D2281" s="22" t="inlineStr">
        <is>
          <t>国产优质</t>
        </is>
      </c>
      <c r="E2281" s="23" t="inlineStr">
        <is>
          <t>米</t>
        </is>
      </c>
      <c r="F2281" s="23" t="n">
        <v>3</v>
      </c>
      <c r="G2281" s="349">
        <f>IF(AND(B2281="",C2281=""),"",ROUND(M2281*L2281*N2281,2))</f>
        <v/>
      </c>
      <c r="H2281" s="349">
        <f>IF(AND(B2281="",C2281=""),"",ROUND(F2281*G2281,2))</f>
        <v/>
      </c>
      <c r="I2281" s="45" t="inlineStr"/>
      <c r="J2281" s="422">
        <f>IF(AND(B2281="",C2281=""),"",ROUND(M2281*N2281,2))</f>
        <v/>
      </c>
      <c r="K2281" s="423">
        <f>IF(AND(B2281="",C2281=""),"",ROUND(J2281*F2281,2))</f>
        <v/>
      </c>
      <c r="L2281" s="225" t="n">
        <v>1</v>
      </c>
      <c r="M2281" s="424" t="n">
        <v>1731.8421</v>
      </c>
      <c r="N2281" s="227" t="n">
        <v>1</v>
      </c>
      <c r="O2281" s="228">
        <f>IF(AND(B2281="",C2281=""),"",IF(G2281&gt;=20000,0.05,IF(G2281&gt;=10000,0.1,IF(G2281&gt;=5000,0.2,IF(G2281&gt;=1000,0.3,IF(G2281&gt;=0,0.4,{0}))))))</f>
        <v/>
      </c>
      <c r="P2281" s="425">
        <f>IF(AND(B2281="",C2281=""),"",ROUND(H2281*O2281,2))</f>
        <v/>
      </c>
      <c r="Q2281" s="426" t="inlineStr">
        <is>
          <t>母排</t>
        </is>
      </c>
      <c r="R2281" s="234" t="inlineStr"/>
      <c r="S2281" s="234" t="inlineStr"/>
      <c r="T2281" s="235" t="inlineStr">
        <is>
          <t>0</t>
        </is>
      </c>
      <c r="U2281" s="235" t="inlineStr"/>
      <c r="V2281" s="427" t="n"/>
      <c r="W2281" s="427" t="n"/>
      <c r="X2281" s="237" t="inlineStr">
        <is>
          <t>TMY 2*30*5→TMY 30*8</t>
        </is>
      </c>
    </row>
    <row r="2282" customFormat="1" s="5">
      <c r="A2282" s="64">
        <f>ROW()-ROW(A$2268)</f>
        <v/>
      </c>
      <c r="B2282" s="22" t="inlineStr">
        <is>
          <t>垂直排</t>
        </is>
      </c>
      <c r="C2282" s="22" t="inlineStr">
        <is>
          <t>TMY 3*2*60*5</t>
        </is>
      </c>
      <c r="D2282" s="22" t="inlineStr">
        <is>
          <t>国产优质</t>
        </is>
      </c>
      <c r="E2282" s="23" t="inlineStr">
        <is>
          <t>米</t>
        </is>
      </c>
      <c r="F2282" s="23" t="n">
        <v>2</v>
      </c>
      <c r="G2282" s="349">
        <f>IF(AND(B2282="",C2282=""),"",ROUND(M2282*L2282*N2282,2))</f>
        <v/>
      </c>
      <c r="H2282" s="349">
        <f>IF(AND(B2282="",C2282=""),"",ROUND(F2282*G2282,2))</f>
        <v/>
      </c>
      <c r="I2282" s="45" t="inlineStr"/>
      <c r="J2282" s="422">
        <f>IF(AND(B2282="",C2282=""),"",ROUND(M2282*N2282,2))</f>
        <v/>
      </c>
      <c r="K2282" s="423">
        <f>IF(AND(B2282="",C2282=""),"",ROUND(J2282*F2282,2))</f>
        <v/>
      </c>
      <c r="L2282" s="225" t="n">
        <v>1</v>
      </c>
      <c r="M2282" s="424" t="n">
        <v>1731.8421</v>
      </c>
      <c r="N2282" s="227" t="n">
        <v>1</v>
      </c>
      <c r="O2282" s="228">
        <f>IF(AND(B2282="",C2282=""),"",IF(G2282&gt;=20000,0.05,IF(G2282&gt;=10000,0.1,IF(G2282&gt;=5000,0.2,IF(G2282&gt;=1000,0.3,IF(G2282&gt;=0,0.4,{0}))))))</f>
        <v/>
      </c>
      <c r="P2282" s="425">
        <f>IF(AND(B2282="",C2282=""),"",ROUND(H2282*O2282,2))</f>
        <v/>
      </c>
      <c r="Q2282" s="426" t="inlineStr">
        <is>
          <t>母排</t>
        </is>
      </c>
      <c r="R2282" s="234" t="inlineStr"/>
      <c r="S2282" s="234" t="inlineStr"/>
      <c r="T2282" s="235" t="inlineStr">
        <is>
          <t>0</t>
        </is>
      </c>
      <c r="U2282" s="235" t="inlineStr"/>
      <c r="V2282" s="427" t="n"/>
      <c r="W2282" s="427" t="n"/>
      <c r="X2282" s="237" t="inlineStr">
        <is>
          <t>TMY 2*30*5→TMY 30*8</t>
        </is>
      </c>
    </row>
    <row r="2283" customFormat="1" s="5">
      <c r="A2283" s="64">
        <f>ROW()-ROW(A$2268)</f>
        <v/>
      </c>
      <c r="B2283" s="22" t="inlineStr">
        <is>
          <t>N排</t>
        </is>
      </c>
      <c r="C2283" s="22" t="inlineStr">
        <is>
          <t>TMY 2*60*10</t>
        </is>
      </c>
      <c r="D2283" s="22" t="inlineStr">
        <is>
          <t>国产优质</t>
        </is>
      </c>
      <c r="E2283" s="23" t="inlineStr">
        <is>
          <t>米</t>
        </is>
      </c>
      <c r="F2283" s="23" t="n">
        <v>3</v>
      </c>
      <c r="G2283" s="349">
        <f>IF(AND(B2283="",C2283=""),"",ROUND(M2283*L2283*N2283,2))</f>
        <v/>
      </c>
      <c r="H2283" s="349">
        <f>IF(AND(B2283="",C2283=""),"",ROUND(F2283*G2283,2))</f>
        <v/>
      </c>
      <c r="I2283" s="45" t="inlineStr"/>
      <c r="J2283" s="422">
        <f>IF(AND(B2283="",C2283=""),"",ROUND(M2283*N2283,2))</f>
        <v/>
      </c>
      <c r="K2283" s="423">
        <f>IF(AND(B2283="",C2283=""),"",ROUND(J2283*F2283,2))</f>
        <v/>
      </c>
      <c r="L2283" s="225" t="n">
        <v>1</v>
      </c>
      <c r="M2283" s="424" t="n">
        <v>1154.5614</v>
      </c>
      <c r="N2283" s="227" t="n">
        <v>1</v>
      </c>
      <c r="O2283" s="228">
        <f>IF(AND(B2283="",C2283=""),"",IF(G2283&gt;=20000,0.05,IF(G2283&gt;=10000,0.1,IF(G2283&gt;=5000,0.2,IF(G2283&gt;=1000,0.3,IF(G2283&gt;=0,0.4,{0}))))))</f>
        <v/>
      </c>
      <c r="P2283" s="425">
        <f>IF(AND(B2283="",C2283=""),"",ROUND(H2283*O2283,2))</f>
        <v/>
      </c>
      <c r="Q2283" s="426" t="inlineStr">
        <is>
          <t>母排</t>
        </is>
      </c>
      <c r="R2283" s="234" t="inlineStr"/>
      <c r="S2283" s="234" t="inlineStr"/>
      <c r="T2283" s="235" t="inlineStr">
        <is>
          <t>0</t>
        </is>
      </c>
      <c r="U2283" s="235" t="inlineStr"/>
      <c r="V2283" s="427" t="n"/>
      <c r="W2283" s="427" t="n"/>
      <c r="X2283" s="237" t="inlineStr">
        <is>
          <t>TMY 2*30*5→TMY 30*8</t>
        </is>
      </c>
    </row>
    <row r="2284" customFormat="1" s="5">
      <c r="A2284" s="64">
        <f>ROW()-ROW(A$2268)</f>
        <v/>
      </c>
      <c r="B2284" s="22" t="inlineStr">
        <is>
          <t>PE排</t>
        </is>
      </c>
      <c r="C2284" s="22" t="inlineStr">
        <is>
          <t>TMY 2*50*5</t>
        </is>
      </c>
      <c r="D2284" s="22" t="inlineStr">
        <is>
          <t>国产优质</t>
        </is>
      </c>
      <c r="E2284" s="23" t="inlineStr">
        <is>
          <t>米</t>
        </is>
      </c>
      <c r="F2284" s="23" t="n">
        <v>2</v>
      </c>
      <c r="G2284" s="349">
        <f>IF(AND(B2284="",C2284=""),"",ROUND(M2284*L2284*N2284,2))</f>
        <v/>
      </c>
      <c r="H2284" s="349">
        <f>IF(AND(B2284="",C2284=""),"",ROUND(F2284*G2284,2))</f>
        <v/>
      </c>
      <c r="I2284" s="45" t="inlineStr"/>
      <c r="J2284" s="422">
        <f>IF(AND(B2284="",C2284=""),"",ROUND(M2284*N2284,2))</f>
        <v/>
      </c>
      <c r="K2284" s="423">
        <f>IF(AND(B2284="",C2284=""),"",ROUND(J2284*F2284,2))</f>
        <v/>
      </c>
      <c r="L2284" s="225" t="n">
        <v>1</v>
      </c>
      <c r="M2284" s="424" t="n">
        <v>481.06725</v>
      </c>
      <c r="N2284" s="227" t="n">
        <v>1</v>
      </c>
      <c r="O2284" s="228">
        <f>IF(AND(B2284="",C2284=""),"",IF(G2284&gt;=20000,0.05,IF(G2284&gt;=10000,0.1,IF(G2284&gt;=5000,0.2,IF(G2284&gt;=1000,0.3,IF(G2284&gt;=0,0.4,{0}))))))</f>
        <v/>
      </c>
      <c r="P2284" s="425">
        <f>IF(AND(B2284="",C2284=""),"",ROUND(H2284*O2284,2))</f>
        <v/>
      </c>
      <c r="Q2284" s="426" t="inlineStr">
        <is>
          <t>母排</t>
        </is>
      </c>
      <c r="R2284" s="234" t="inlineStr"/>
      <c r="S2284" s="234" t="inlineStr"/>
      <c r="T2284" s="235" t="inlineStr">
        <is>
          <t>0</t>
        </is>
      </c>
      <c r="U2284" s="235" t="inlineStr"/>
      <c r="V2284" s="427" t="n"/>
      <c r="W2284" s="427" t="n"/>
      <c r="X2284" s="237" t="inlineStr">
        <is>
          <t>TMY 2*30*5→TMY 30*8</t>
        </is>
      </c>
    </row>
    <row r="2285" s="308">
      <c r="A2285" s="64">
        <f>ROW()-ROW(A$2268)</f>
        <v/>
      </c>
      <c r="B2285" s="112" t="inlineStr">
        <is>
          <t>辅料</t>
        </is>
      </c>
      <c r="C2285" s="112" t="inlineStr"/>
      <c r="D2285" s="112" t="inlineStr"/>
      <c r="E2285" s="114" t="inlineStr">
        <is>
          <t>套</t>
        </is>
      </c>
      <c r="F2285" s="114" t="n">
        <v>1</v>
      </c>
      <c r="G2285" s="396">
        <f>IF(AND(B2285="",C2285=""),"",ROUND(M2285*L2285*N2285,2))</f>
        <v/>
      </c>
      <c r="H2285" s="396">
        <f>IF(AND(B2285="",C2285=""),"",ROUND(F2285*G2285,2))</f>
        <v/>
      </c>
      <c r="I2285" s="219" t="inlineStr"/>
      <c r="J2285" s="397">
        <f>IF(AND(B2285="",C2285=""),"",ROUND(M2285*N2285,2))</f>
        <v/>
      </c>
      <c r="K2285" s="398">
        <f>IF(AND(B2285="",C2285=""),"",ROUND(J2285*F2285,2))</f>
        <v/>
      </c>
      <c r="L2285" s="200" t="n">
        <v>1</v>
      </c>
      <c r="M2285" s="399" t="n">
        <v>800</v>
      </c>
      <c r="N2285" s="154" t="n">
        <v>1</v>
      </c>
      <c r="O2285" s="155">
        <f>IF(AND(B2285="",C2285=""),"",IF(G2285&gt;=20000,0.05,IF(G2285&gt;=10000,0.1,IF(G2285&gt;=5000,0.2,IF(G2285&gt;=1000,0.3,IF(G2285&gt;=0,0.4,{0}))))))</f>
        <v/>
      </c>
      <c r="P2285" s="400">
        <f>IF(AND(B2285="",C2285=""),"",ROUND(H2285*O2285,2))</f>
        <v/>
      </c>
      <c r="Q2285" s="401" t="inlineStr">
        <is>
          <t>辅料</t>
        </is>
      </c>
      <c r="R2285" s="168" t="inlineStr"/>
      <c r="S2285" s="168" t="inlineStr"/>
      <c r="T2285" s="168" t="inlineStr">
        <is>
          <t>0</t>
        </is>
      </c>
      <c r="U2285" s="168" t="inlineStr"/>
      <c r="V2285" s="402" t="n"/>
      <c r="W2285" s="402" t="n"/>
      <c r="X2285" s="170" t="inlineStr"/>
    </row>
    <row r="2286" s="308">
      <c r="A2286" s="64">
        <f>ROW()-ROW(A$2268)</f>
        <v/>
      </c>
      <c r="B2286" s="112" t="inlineStr">
        <is>
          <t>柜体Blokset</t>
        </is>
      </c>
      <c r="C2286" s="22" t="inlineStr">
        <is>
          <t>400W*1200D*2200H</t>
        </is>
      </c>
      <c r="D2286" s="112" t="inlineStr">
        <is>
          <t>清科</t>
        </is>
      </c>
      <c r="E2286" s="114" t="inlineStr">
        <is>
          <t>台</t>
        </is>
      </c>
      <c r="F2286" s="114" t="n">
        <v>1</v>
      </c>
      <c r="G2286" s="396">
        <f>IF(AND(B2286="",C2286=""),"",ROUND(M2286*L2286*N2286,2))</f>
        <v/>
      </c>
      <c r="H2286" s="396">
        <f>IF(AND(B2286="",C2286=""),"",ROUND(F2286*G2286,2))</f>
        <v/>
      </c>
      <c r="I2286" s="219" t="inlineStr"/>
      <c r="J2286" s="397">
        <f>IF(AND(B2286="",C2286=""),"",ROUND(M2286*N2286,2))</f>
        <v/>
      </c>
      <c r="K2286" s="398">
        <f>IF(AND(B2286="",C2286=""),"",ROUND(J2286*F2286,2))</f>
        <v/>
      </c>
      <c r="L2286" s="200" t="n">
        <v>1</v>
      </c>
      <c r="M2286" s="399" t="n">
        <v>4916</v>
      </c>
      <c r="N2286" s="154" t="n">
        <v>1</v>
      </c>
      <c r="O2286" s="155">
        <f>IF(AND(B2286="",C2286=""),"",IF(G2286&gt;=20000,0.05,IF(G2286&gt;=10000,0.1,IF(G2286&gt;=5000,0.2,IF(G2286&gt;=1000,0.3,IF(G2286&gt;=0,0.4,{0}))))))</f>
        <v/>
      </c>
      <c r="P2286" s="400">
        <f>IF(AND(B2286="",C2286=""),"",ROUND(H2286*O2286,2))</f>
        <v/>
      </c>
      <c r="Q2286" s="401" t="inlineStr">
        <is>
          <t>箱体</t>
        </is>
      </c>
      <c r="R2286" s="168" t="inlineStr"/>
      <c r="S2286" s="168" t="inlineStr"/>
      <c r="T2286" s="168" t="inlineStr">
        <is>
          <t>0</t>
        </is>
      </c>
      <c r="U2286" s="168" t="inlineStr"/>
      <c r="V2286" s="402" t="n"/>
      <c r="W2286" s="402" t="n"/>
      <c r="X2286" s="170" t="inlineStr">
        <is>
          <t>BlokSeT</t>
        </is>
      </c>
    </row>
    <row r="2287" s="308">
      <c r="A2287" s="64">
        <f>ROW()-ROW(A$2268)</f>
        <v/>
      </c>
      <c r="B2287" s="22" t="inlineStr"/>
      <c r="C2287" s="22" t="inlineStr"/>
      <c r="D2287" s="22" t="inlineStr"/>
      <c r="E2287" s="23" t="n"/>
      <c r="F2287" s="23">
        <f>IF(AND(B2287="",C2287=""),"",1)</f>
        <v/>
      </c>
      <c r="G2287" s="349">
        <f>IF(AND(B2287="",C2287=""),"",ROUND(M2287*L2287*N2287,2))</f>
        <v/>
      </c>
      <c r="H2287" s="349">
        <f>IF(AND(B2287="",C2287=""),"",ROUND(F2287*G2287,2))</f>
        <v/>
      </c>
      <c r="I2287" s="45" t="inlineStr"/>
      <c r="J2287" s="397">
        <f>IF(AND(B2287="",C2287=""),"",ROUND(M2287*N2287,2))</f>
        <v/>
      </c>
      <c r="K2287" s="398">
        <f>IF(AND(B2287="",C2287=""),"",ROUND(J2287*F2287,2))</f>
        <v/>
      </c>
      <c r="L2287" s="200">
        <f>IF(AND(B2287="",C2287=""),"",1)</f>
        <v/>
      </c>
      <c r="M2287" s="399" t="n"/>
      <c r="N2287" s="154">
        <f>IF(AND(B2287="",C2287=""),"",1)</f>
        <v/>
      </c>
      <c r="O2287" s="155">
        <f>IF(AND(B2287="",C2287=""),"",IF(J2287&gt;=20000,0.05,IF(J2287&gt;=10000,0.1,IF(J2287&gt;=5000,0.2,IF(J2287&gt;=1000,0.3,IF(J2287&gt;=0,0.4,{0}))))))</f>
        <v/>
      </c>
      <c r="P2287" s="400">
        <f>IF(AND(B2287="",C2287=""),"",ROUND(H2287*O2287,2))</f>
        <v/>
      </c>
      <c r="Q2287" s="401">
        <f>IF(AND(B2287="",C2287=""),"","元件")</f>
        <v/>
      </c>
      <c r="R2287" s="168" t="inlineStr"/>
      <c r="S2287" s="168" t="inlineStr"/>
      <c r="T2287" s="168" t="inlineStr"/>
      <c r="U2287" s="168" t="inlineStr"/>
      <c r="V2287" s="402" t="n"/>
      <c r="W2287" s="402" t="n"/>
      <c r="X2287" s="170" t="inlineStr"/>
    </row>
    <row r="2288" s="308">
      <c r="A2288" s="64">
        <f>ROW()-ROW(A$2268)</f>
        <v/>
      </c>
      <c r="B2288" s="171" t="inlineStr">
        <is>
          <t>小计</t>
        </is>
      </c>
      <c r="C2288" s="172" t="n"/>
      <c r="D2288" s="204" t="n"/>
      <c r="E2288" s="114" t="n"/>
      <c r="F2288" s="114" t="n"/>
      <c r="G2288" s="396" t="n"/>
      <c r="H2288" s="396">
        <f>ROUND(SUM(H2268:INDEX(H:H,ROW()-1)),2)</f>
        <v/>
      </c>
      <c r="I2288" s="45" t="inlineStr"/>
      <c r="J2288" s="397" t="n"/>
      <c r="K2288" s="398">
        <f>ROUND(SUM(K2268:INDEX(K:K,ROW()-1)),2)</f>
        <v/>
      </c>
      <c r="L2288" s="200" t="n"/>
      <c r="M2288" s="399" t="n"/>
      <c r="N2288" s="154" t="n"/>
      <c r="O2288" s="155" t="n"/>
      <c r="P2288" s="400" t="n"/>
      <c r="Q2288" s="401" t="n"/>
      <c r="R2288" s="168" t="inlineStr"/>
      <c r="S2288" s="168" t="inlineStr"/>
      <c r="T2288" s="168" t="inlineStr"/>
      <c r="U2288" s="168" t="inlineStr"/>
      <c r="V2288" s="402">
        <f>ROUND(SUMPRODUCT(F2268:INDEX(F:F,ROW()-1),V2268:INDEX(V:V,ROW()-1)),2)</f>
        <v/>
      </c>
      <c r="W2288" s="402">
        <f>ROUND(SUMPRODUCT(F2268:INDEX(F:F,ROW()-1),W2268:INDEX(W:W,ROW()-1)),2)</f>
        <v/>
      </c>
      <c r="X2288" s="170" t="inlineStr"/>
    </row>
    <row r="2289" s="308">
      <c r="A2289" s="64">
        <f>ROW()-ROW(A$2268)</f>
        <v/>
      </c>
      <c r="B2289" s="171" t="inlineStr">
        <is>
          <t>综合费(人工、管理、税金、利润等)</t>
        </is>
      </c>
      <c r="C2289" s="172" t="n"/>
      <c r="D2289" s="204" t="n"/>
      <c r="E2289" s="114" t="n"/>
      <c r="F2289" s="114" t="n"/>
      <c r="G2289" s="396" t="n"/>
      <c r="H2289" s="396">
        <f>2500</f>
        <v/>
      </c>
      <c r="I2289" s="45" t="inlineStr"/>
      <c r="J2289" s="397" t="n"/>
      <c r="K2289" s="398" t="n"/>
      <c r="L2289" s="200" t="n"/>
      <c r="M2289" s="399" t="n"/>
      <c r="N2289" s="154" t="n"/>
      <c r="O2289" s="155" t="n"/>
      <c r="P2289" s="400" t="n"/>
      <c r="Q2289" s="401" t="inlineStr">
        <is>
          <t>费用</t>
        </is>
      </c>
      <c r="R2289" s="168" t="inlineStr"/>
      <c r="S2289" s="168" t="inlineStr"/>
      <c r="T2289" s="168" t="inlineStr"/>
      <c r="U2289" s="168" t="inlineStr"/>
      <c r="V2289" s="402" t="n"/>
      <c r="W2289" s="402" t="n"/>
      <c r="X2289" s="170" t="inlineStr"/>
    </row>
    <row r="2290" s="308">
      <c r="A2290" s="64">
        <f>ROW()-ROW(A$2268)</f>
        <v/>
      </c>
      <c r="B2290" s="204" t="inlineStr">
        <is>
          <t>单台合计</t>
        </is>
      </c>
      <c r="C2290" s="172" t="n"/>
      <c r="D2290" s="204" t="n"/>
      <c r="E2290" s="114" t="n"/>
      <c r="F2290" s="114" t="n"/>
      <c r="G2290" s="396" t="n"/>
      <c r="H2290" s="396">
        <f>ROUND(SUM(H2288:H2289),2)</f>
        <v/>
      </c>
      <c r="I2290" s="181" t="n"/>
      <c r="J2290" s="397" t="n"/>
      <c r="K2290" s="398">
        <f>ROUND(SUM(K2288:K2289),2)</f>
        <v/>
      </c>
      <c r="L2290" s="209" t="n"/>
      <c r="M2290" s="399" t="n"/>
      <c r="N2290" s="210" t="n"/>
      <c r="O2290" s="211" t="n"/>
      <c r="P2290" s="400" t="n"/>
      <c r="Q2290" s="401" t="n"/>
      <c r="R2290" s="168" t="inlineStr"/>
      <c r="S2290" s="168" t="inlineStr"/>
      <c r="T2290" s="168" t="inlineStr"/>
      <c r="U2290" s="168" t="inlineStr"/>
      <c r="V2290" s="402" t="n"/>
      <c r="W2290" s="402" t="n"/>
      <c r="X2290" s="170" t="inlineStr"/>
    </row>
    <row r="2291" s="308">
      <c r="A2291" s="173" t="inlineStr">
        <is>
          <t>总计</t>
        </is>
      </c>
      <c r="B2291" s="205" t="n"/>
      <c r="C2291" s="175" t="n"/>
      <c r="D2291" s="206" t="n"/>
      <c r="E2291" s="206" t="inlineStr">
        <is>
          <t>台</t>
        </is>
      </c>
      <c r="F2291" s="206" t="n">
        <v>2</v>
      </c>
      <c r="G2291" s="414">
        <f>ROUND(H2290,2)</f>
        <v/>
      </c>
      <c r="H2291" s="414">
        <f>ROUND(F2291*G2291,2)</f>
        <v/>
      </c>
      <c r="I2291" s="185" t="n"/>
      <c r="J2291" s="415" t="n"/>
      <c r="K2291" s="416">
        <f>ROUND(K2290*F2291,2)</f>
        <v/>
      </c>
      <c r="L2291" s="214" t="n"/>
      <c r="M2291" s="417" t="n"/>
      <c r="N2291" s="216" t="n"/>
      <c r="O2291" s="217" t="n"/>
      <c r="P2291" s="418" t="n"/>
      <c r="Q2291" s="401" t="n"/>
      <c r="R2291" s="168" t="inlineStr"/>
      <c r="S2291" s="168" t="inlineStr"/>
      <c r="T2291" s="168" t="inlineStr"/>
      <c r="U2291" s="168" t="inlineStr"/>
      <c r="V2291" s="402" t="n"/>
      <c r="W2291" s="402" t="n"/>
      <c r="X2291" s="170" t="inlineStr"/>
    </row>
    <row r="2292" customFormat="1" s="4">
      <c r="A2292" s="6" t="n"/>
      <c r="B2292" s="195" t="inlineStr"/>
      <c r="C2292" s="195" t="inlineStr"/>
      <c r="D2292" s="195" t="inlineStr"/>
      <c r="Q2292" s="159" t="n"/>
      <c r="R2292" s="159" t="n"/>
      <c r="S2292" s="159" t="n"/>
      <c r="T2292" s="159" t="n"/>
      <c r="U2292" s="159" t="n"/>
      <c r="X2292" s="195" t="inlineStr"/>
    </row>
    <row r="2293" customFormat="1" s="4">
      <c r="A2293" s="6" t="n"/>
      <c r="B2293" s="195" t="inlineStr"/>
      <c r="C2293" s="195" t="inlineStr"/>
      <c r="D2293" s="195" t="inlineStr"/>
      <c r="Q2293" s="159" t="n"/>
      <c r="R2293" s="159" t="n"/>
      <c r="S2293" s="159" t="n"/>
      <c r="T2293" s="159" t="n"/>
      <c r="U2293" s="159" t="n"/>
      <c r="X2293" s="195" t="inlineStr"/>
    </row>
    <row r="2294" s="308">
      <c r="A2294" s="208">
        <f>CONCATENATE("报价人：",项目信息!$B$8)</f>
        <v/>
      </c>
      <c r="B2294" s="208" t="n"/>
      <c r="C2294" s="4" t="n"/>
      <c r="D2294" s="4" t="n"/>
      <c r="E2294" s="4" t="n"/>
      <c r="F2294" s="4" t="n"/>
      <c r="G2294" s="4" t="n"/>
      <c r="H2294" s="178">
        <f>项目信息!$B$9</f>
        <v/>
      </c>
      <c r="Q2294" s="159" t="n"/>
      <c r="R2294" s="159" t="n"/>
      <c r="S2294" s="159" t="n"/>
      <c r="T2294" s="159" t="n"/>
      <c r="U2294" s="159" t="n"/>
      <c r="X2294" s="203" t="inlineStr"/>
    </row>
    <row r="2295" s="308">
      <c r="A2295" s="8">
        <f>T(项目信息!$B$22)</f>
        <v/>
      </c>
      <c r="Q2295" s="159" t="n"/>
      <c r="R2295" s="159" t="n"/>
      <c r="S2295" s="159" t="n"/>
      <c r="T2295" s="159" t="n"/>
      <c r="U2295" s="159" t="n"/>
    </row>
    <row r="2296" s="308">
      <c r="A2296" s="9">
        <f>T(项目信息!$B$23)</f>
        <v/>
      </c>
      <c r="Q2296" s="159" t="n"/>
      <c r="R2296" s="159" t="n"/>
      <c r="S2296" s="159" t="n"/>
      <c r="T2296" s="159" t="n"/>
      <c r="U2296" s="159" t="n"/>
    </row>
    <row r="2297" s="308">
      <c r="A2297" s="97" t="inlineStr">
        <is>
          <t>成套产品报价明细表</t>
        </is>
      </c>
      <c r="B2297" s="378" t="n"/>
      <c r="C2297" s="378" t="n"/>
      <c r="D2297" s="378" t="n"/>
      <c r="E2297" s="378" t="n"/>
      <c r="F2297" s="378" t="n"/>
      <c r="G2297" s="378" t="n"/>
      <c r="H2297" s="378" t="n"/>
      <c r="I2297" s="378" t="n"/>
      <c r="Q2297" s="159" t="n"/>
      <c r="R2297" s="159" t="n"/>
      <c r="S2297" s="159" t="n"/>
      <c r="T2297" s="159" t="n"/>
      <c r="U2297" s="159" t="n"/>
    </row>
    <row r="2298" customFormat="1" s="2">
      <c r="A2298" s="98" t="inlineStr">
        <is>
          <t>柜号:</t>
        </is>
      </c>
      <c r="B2298" s="99" t="inlineStr">
        <is>
          <t>T11-AU12、T12-BU12</t>
        </is>
      </c>
      <c r="C2298" s="100" t="inlineStr">
        <is>
          <t>型号:</t>
        </is>
      </c>
      <c r="D2298" s="99" t="inlineStr">
        <is>
          <t>BlokSeT</t>
        </is>
      </c>
      <c r="E2298" s="379" t="n"/>
      <c r="F2298" s="101" t="inlineStr">
        <is>
          <t>名称:</t>
        </is>
      </c>
      <c r="G2298" s="99" t="inlineStr">
        <is>
          <t>进线柜</t>
        </is>
      </c>
      <c r="H2298" s="379" t="n"/>
      <c r="I2298" s="380" t="inlineStr"/>
      <c r="J2298" s="131" t="inlineStr">
        <is>
          <t>箱柜尺寸:</t>
        </is>
      </c>
      <c r="K2298" s="132" t="inlineStr">
        <is>
          <t>400W*1200D*2200H</t>
        </is>
      </c>
      <c r="L2298" s="131" t="inlineStr">
        <is>
          <t>类别:</t>
        </is>
      </c>
      <c r="M2298" s="132" t="inlineStr">
        <is>
          <t>低压固定柜</t>
        </is>
      </c>
      <c r="N2298" s="381" t="inlineStr"/>
      <c r="Q2298" s="160" t="n"/>
      <c r="R2298" s="160" t="n"/>
      <c r="S2298" s="160" t="n"/>
      <c r="T2298" s="160" t="n"/>
      <c r="U2298" s="160" t="n"/>
    </row>
    <row r="2299" ht="20.1" customFormat="1" customHeight="1" s="3">
      <c r="A2299" s="102" t="inlineStr">
        <is>
          <t>序号</t>
        </is>
      </c>
      <c r="B2299" s="103" t="inlineStr">
        <is>
          <t>元件名称</t>
        </is>
      </c>
      <c r="C2299" s="103" t="inlineStr">
        <is>
          <t>型号规格</t>
        </is>
      </c>
      <c r="D2299" s="104" t="inlineStr">
        <is>
          <t>生产厂家</t>
        </is>
      </c>
      <c r="E2299" s="105" t="inlineStr">
        <is>
          <t>单位</t>
        </is>
      </c>
      <c r="F2299" s="105" t="inlineStr">
        <is>
          <t>数量</t>
        </is>
      </c>
      <c r="G2299" s="382" t="inlineStr">
        <is>
          <t>单   价</t>
        </is>
      </c>
      <c r="H2299" s="383" t="inlineStr">
        <is>
          <t>总   价</t>
        </is>
      </c>
      <c r="I2299" s="134" t="inlineStr">
        <is>
          <t>备注</t>
        </is>
      </c>
      <c r="J2299" s="384" t="inlineStr">
        <is>
          <t>成本单价</t>
        </is>
      </c>
      <c r="K2299" s="384" t="inlineStr">
        <is>
          <t>成本总价</t>
        </is>
      </c>
      <c r="L2299" s="136" t="inlineStr">
        <is>
          <t>报出
系数</t>
        </is>
      </c>
      <c r="M2299" s="384" t="inlineStr">
        <is>
          <t>表价</t>
        </is>
      </c>
      <c r="N2299" s="136" t="inlineStr">
        <is>
          <t>折扣
系数</t>
        </is>
      </c>
      <c r="O2299" s="137" t="inlineStr">
        <is>
          <t>取费
系数</t>
        </is>
      </c>
      <c r="P2299" s="384" t="inlineStr">
        <is>
          <t>成套费</t>
        </is>
      </c>
      <c r="Q2299" s="161" t="inlineStr">
        <is>
          <t>类别</t>
        </is>
      </c>
      <c r="R2299" s="161" t="inlineStr">
        <is>
          <t>物料编码</t>
        </is>
      </c>
      <c r="S2299" s="161" t="inlineStr">
        <is>
          <t>产地</t>
        </is>
      </c>
      <c r="T2299" s="161" t="inlineStr">
        <is>
          <t>加工费</t>
        </is>
      </c>
      <c r="U2299" s="161" t="inlineStr">
        <is>
          <t>订货号</t>
        </is>
      </c>
      <c r="V2299" s="161" t="inlineStr">
        <is>
          <t>人工</t>
        </is>
      </c>
      <c r="W2299" s="161" t="inlineStr">
        <is>
          <t>辅料</t>
        </is>
      </c>
      <c r="X2299" s="162" t="inlineStr"/>
    </row>
    <row r="2300" customFormat="1" s="3">
      <c r="A2300" s="108">
        <f>ROW()-ROW(A$2299)</f>
        <v/>
      </c>
      <c r="B2300" s="109" t="inlineStr">
        <is>
          <t>双电源</t>
        </is>
      </c>
      <c r="C2300" s="22" t="inlineStr">
        <is>
          <t>MT12 N1a SG 3P MIC5.0 E</t>
        </is>
      </c>
      <c r="D2300" s="22" t="inlineStr">
        <is>
          <t>甲供/施耐德电气</t>
        </is>
      </c>
      <c r="E2300" s="110" t="inlineStr">
        <is>
          <t>只</t>
        </is>
      </c>
      <c r="F2300" s="110" t="n">
        <v>1</v>
      </c>
      <c r="G2300" s="385">
        <f>IF(AND(B2300="",C2300=""),"",ROUND(M2300*L2300*N2300,2))</f>
        <v/>
      </c>
      <c r="H2300" s="385">
        <f>IF(AND(B2300="",C2300=""),"",ROUND(F2300*G2300,2))</f>
        <v/>
      </c>
      <c r="I2300" s="138" t="inlineStr"/>
      <c r="J2300" s="386">
        <f>IF(AND(B2300="",C2300=""),"",ROUND(M2300*N2300,2))</f>
        <v/>
      </c>
      <c r="K2300" s="387">
        <f>IF(AND(B2300="",C2300=""),"",ROUND(J2300*F2300,2))</f>
        <v/>
      </c>
      <c r="L2300" s="141" t="n">
        <v>1</v>
      </c>
      <c r="M2300" s="388" t="n">
        <v>1e-07</v>
      </c>
      <c r="N2300" s="143" t="n">
        <v>1</v>
      </c>
      <c r="O2300" s="144">
        <f>IF(AND(B2300="",C2300=""),"",IF(G2300&gt;=20000,0.05,IF(G2300&gt;=10000,0.1,IF(G2300&gt;=5000,0.2,IF(G2300&gt;=1000,0.3,IF(G2300&gt;=0,0.4,{0}))))))</f>
        <v/>
      </c>
      <c r="P2300" s="389">
        <f>IF(AND(B2300="",C2300=""),"",ROUND(H2300*O2300,2))</f>
        <v/>
      </c>
      <c r="Q2300" s="390" t="inlineStr">
        <is>
          <t>元件</t>
        </is>
      </c>
      <c r="R2300" s="164" t="inlineStr"/>
      <c r="S2300" s="164" t="inlineStr"/>
      <c r="T2300" s="164" t="inlineStr">
        <is>
          <t>0</t>
        </is>
      </c>
      <c r="U2300" s="164" t="inlineStr">
        <is>
          <t>48327+48500+33542+48527+48494+48484+48408+48603+48170+48175+48384</t>
        </is>
      </c>
      <c r="V2300" s="391" t="n"/>
      <c r="W2300" s="391" t="n"/>
      <c r="X2300" s="166" t="inlineStr">
        <is>
          <t>MT40 H2 3P D/O MIC 5.0H 4000A+LR/标准+MCH AC200-240V+MX标准型 200-250Vac/dc+XF标准型 200-250Vac/dc+抽架+CDP+上端后水平接线+下端后水平接线→MT32 H2 3P D/O MIC 5.0H 3200A+LR/标准+MCH AC200-240V+MX标准型 200-250Vac/dc+XF标准型 200-250Vac/dc+抽架+CDP+上端后水平接线+下端后水平接线+CB→MT32 H1 3P D/O MIC 6.0E 3200A+LR/标准+MCH AC200-240V+MX标准型 200-250Vac/dc+XF标准型 200-250Vac/dc+抽架+CDP+上端后水平接线+下端后水平接线+CB+TCE→ATMT 3P 3ARCb MTZ2 16 H1 MIC6.0X 3P  带EIFE通讯→NSX400H MIC 5.3B 400 3P P→MT32 H1 4P D/O MIC 6.0P 3200A+Modbus COM+LR/标准+MCH AC200-240V+MX标准型 200-250Vac/dc+XF标准型 200-250Vac/dc+抽架+CDP+上端后水平接线+下端后水平接线+CB→MT32 H1 3P D/O MIC 5.0E 3200A+LR/标准+MCH AC200-240V+MX标准型 200-250Vac/dc+XF标准型 200-250Vac/dc+抽架+CDP+上端后水平接线+下端后水平接线+CB→ATMT 3A-MT32H1/3P Mic6.0E</t>
        </is>
      </c>
    </row>
    <row r="2301" customFormat="1" s="3">
      <c r="A2301" s="64">
        <f>ROW()-ROW(A$2299)</f>
        <v/>
      </c>
      <c r="B2301" s="27" t="inlineStr">
        <is>
          <t>多功能表</t>
        </is>
      </c>
      <c r="C2301" s="22" t="inlineStr">
        <is>
          <t>PM4101</t>
        </is>
      </c>
      <c r="D2301" s="22" t="inlineStr">
        <is>
          <t>甲供/施耐德电气</t>
        </is>
      </c>
      <c r="E2301" s="110" t="inlineStr">
        <is>
          <t>只</t>
        </is>
      </c>
      <c r="F2301" s="23" t="n">
        <v>1</v>
      </c>
      <c r="G2301" s="353">
        <f>IF(AND(B2301="",C2301=""),"",ROUND(M2301*L2301*N2301,2))</f>
        <v/>
      </c>
      <c r="H2301" s="349">
        <f>IF(AND(B2301="",C2301=""),"",ROUND(F2301*G2301,2))</f>
        <v/>
      </c>
      <c r="I2301" s="45" t="inlineStr"/>
      <c r="J2301" s="392">
        <f>IF(AND(B2301="",C2301=""),"",ROUND(M2301*N2301,2))</f>
        <v/>
      </c>
      <c r="K2301" s="393">
        <f>IF(AND(B2301="",C2301=""),"",ROUND(J2301*F2301,2))</f>
        <v/>
      </c>
      <c r="L2301" s="141" t="n">
        <v>1</v>
      </c>
      <c r="M2301" s="394" t="n">
        <v>1e-07</v>
      </c>
      <c r="N2301" s="143" t="n">
        <v>1</v>
      </c>
      <c r="O2301" s="144">
        <f>IF(AND(B2301="",C2301=""),"",IF(G2301&gt;=20000,0.05,IF(G2301&gt;=10000,0.1,IF(G2301&gt;=5000,0.2,IF(G2301&gt;=1000,0.3,IF(G2301&gt;=0,0.4,{0}))))))</f>
        <v/>
      </c>
      <c r="P2301" s="395">
        <f>IF(AND(B2301="",C2301=""),"",ROUND(H2301*O2301,2))</f>
        <v/>
      </c>
      <c r="Q2301" s="390" t="inlineStr">
        <is>
          <t>元件</t>
        </is>
      </c>
      <c r="R2301" s="164" t="inlineStr"/>
      <c r="S2301" s="164" t="inlineStr"/>
      <c r="T2301" s="164" t="inlineStr">
        <is>
          <t>0</t>
        </is>
      </c>
      <c r="U2301" s="164" t="inlineStr">
        <is>
          <t>True</t>
        </is>
      </c>
      <c r="V2301" s="391" t="n"/>
      <c r="W2301" s="391" t="n"/>
      <c r="X2301" s="166" t="inlineStr">
        <is>
          <t>PM→PM4633→PM4201</t>
        </is>
      </c>
    </row>
    <row r="2302" customFormat="1" s="3">
      <c r="A2302" s="64">
        <f>ROW()-ROW(A$2299)</f>
        <v/>
      </c>
      <c r="B2302" s="27" t="inlineStr">
        <is>
          <t>电流互感器</t>
        </is>
      </c>
      <c r="C2302" s="22" t="inlineStr">
        <is>
          <t>SD-0.66-80II-V 1250/5A</t>
        </is>
      </c>
      <c r="D2302" s="27" t="inlineStr">
        <is>
          <t>桑迪</t>
        </is>
      </c>
      <c r="E2302" s="110" t="inlineStr">
        <is>
          <t>只</t>
        </is>
      </c>
      <c r="F2302" s="23" t="n">
        <v>3</v>
      </c>
      <c r="G2302" s="349">
        <f>IF(AND(B2302="",C2302=""),"",ROUND(M2302*L2302*N2302,2))</f>
        <v/>
      </c>
      <c r="H2302" s="349">
        <f>IF(AND(B2302="",C2302=""),"",ROUND(F2302*G2302,2))</f>
        <v/>
      </c>
      <c r="I2302" s="45" t="inlineStr"/>
      <c r="J2302" s="392">
        <f>IF(AND(B2302="",C2302=""),"",ROUND(M2302*N2302,2))</f>
        <v/>
      </c>
      <c r="K2302" s="393">
        <f>IF(AND(B2302="",C2302=""),"",ROUND(J2302*F2302,2))</f>
        <v/>
      </c>
      <c r="L2302" s="141" t="n">
        <v>1</v>
      </c>
      <c r="M2302" s="394" t="n">
        <v>115.7</v>
      </c>
      <c r="N2302" s="143" t="n">
        <v>1</v>
      </c>
      <c r="O2302" s="144">
        <f>IF(AND(B2302="",C2302=""),"",IF(G2302&gt;=20000,0.05,IF(G2302&gt;=10000,0.1,IF(G2302&gt;=5000,0.2,IF(G2302&gt;=1000,0.3,IF(G2302&gt;=0,0.4,{0}))))))</f>
        <v/>
      </c>
      <c r="P2302" s="395">
        <f>IF(AND(B2302="",C2302=""),"",ROUND(H2302*O2302,2))</f>
        <v/>
      </c>
      <c r="Q2302" s="390" t="inlineStr">
        <is>
          <t>元件</t>
        </is>
      </c>
      <c r="R2302" s="164" t="inlineStr"/>
      <c r="S2302" s="164" t="inlineStr"/>
      <c r="T2302" s="164" t="inlineStr">
        <is>
          <t>0</t>
        </is>
      </c>
      <c r="U2302" s="164" t="inlineStr">
        <is>
          <t>710141426552500</t>
        </is>
      </c>
      <c r="V2302" s="391" t="n"/>
      <c r="W2302" s="391" t="n"/>
      <c r="X2302" s="166" t="inlineStr">
        <is>
          <t>4000/5A→SD-0.66-130III-V 3000/5A→SD-0.66-100II-C 1600/5A→SD-0.66-40II-C 400/5A→SD-0.66-80II-V 800/5A→SD-0.66-100II-C 1600/5A→SD-0.66-130III-V 3000/5A→SD-0.66-130III-V 4000/5A→SD-0.66-100II-C 2500/5A→SD-0.66-130III-V 3000/5A→SD-0.66-130III-V 4000/5A→SD-0.66-160III-C 5000/5A→SD-0.66-130III-V 4000/5A→SD-0.66-130III-V 3000/5A→SD-0.66-160III-C 5000/5A→SD-0.66-100II-C 1600/5A→SD-0.66-130III-V 4000/5A→SD-0.66-130III-V 2500/5A→SD-0.66-100II-C 1600/5A→SD-0.66-160III-C 5000/5A→SD-0.66-130III-V 3000/5A→SD-0.66-100II-C 2000/5A→SD-0.66-80II-V 800/5A→SD-0.66-80II-V 1000/5A</t>
        </is>
      </c>
    </row>
    <row r="2303" customFormat="1" s="3">
      <c r="A2303" s="64">
        <f>ROW()-ROW(A$2299)</f>
        <v/>
      </c>
      <c r="B2303" s="27" t="inlineStr">
        <is>
          <t>后备保护器</t>
        </is>
      </c>
      <c r="C2303" s="22" t="inlineStr">
        <is>
          <t>iSCB2 40H2 4P</t>
        </is>
      </c>
      <c r="D2303" s="22" t="inlineStr">
        <is>
          <t>甲供/施耐德万高</t>
        </is>
      </c>
      <c r="E2303" s="110" t="inlineStr">
        <is>
          <t>只</t>
        </is>
      </c>
      <c r="F2303" s="23" t="n">
        <v>1</v>
      </c>
      <c r="G2303" s="349">
        <f>IF(AND(B2303="",C2303=""),"",ROUND(M2303*L2303*N2303,2))</f>
        <v/>
      </c>
      <c r="H2303" s="349">
        <f>IF(AND(B2303="",C2303=""),"",ROUND(F2303*G2303,2))</f>
        <v/>
      </c>
      <c r="I2303" s="45" t="inlineStr"/>
      <c r="J2303" s="392">
        <f>IF(AND(B2303="",C2303=""),"",ROUND(M2303*N2303,2))</f>
        <v/>
      </c>
      <c r="K2303" s="393">
        <f>IF(AND(B2303="",C2303=""),"",ROUND(J2303*F2303,2))</f>
        <v/>
      </c>
      <c r="L2303" s="141" t="n">
        <v>1</v>
      </c>
      <c r="M2303" s="394" t="n">
        <v>1e-07</v>
      </c>
      <c r="N2303" s="143" t="n">
        <v>1</v>
      </c>
      <c r="O2303" s="144">
        <f>IF(AND(B2303="",C2303=""),"",IF(G2303&gt;=20000,0.05,IF(G2303&gt;=10000,0.1,IF(G2303&gt;=5000,0.2,IF(G2303&gt;=1000,0.3,IF(G2303&gt;=0,0.4,{0}))))))</f>
        <v/>
      </c>
      <c r="P2303" s="395">
        <f>IF(AND(B2303="",C2303=""),"",ROUND(H2303*O2303,2))</f>
        <v/>
      </c>
      <c r="Q2303" s="390" t="inlineStr">
        <is>
          <t>元件</t>
        </is>
      </c>
      <c r="R2303" s="164" t="inlineStr"/>
      <c r="S2303" s="164" t="inlineStr"/>
      <c r="T2303" s="164" t="inlineStr">
        <is>
          <t>0</t>
        </is>
      </c>
      <c r="U2303" s="164" t="inlineStr">
        <is>
          <t>A9L102554</t>
        </is>
      </c>
      <c r="V2303" s="391" t="n"/>
      <c r="W2303" s="391" t="n"/>
      <c r="X2303" s="166" t="inlineStr">
        <is>
          <t>iSCB1 25L1 4P→iSCB2 40H2 4P</t>
        </is>
      </c>
    </row>
    <row r="2304" customFormat="1" s="3">
      <c r="A2304" s="64">
        <f>ROW()-ROW(A$2299)</f>
        <v/>
      </c>
      <c r="B2304" s="27" t="inlineStr">
        <is>
          <t>电涌保护器</t>
        </is>
      </c>
      <c r="C2304" s="22" t="inlineStr">
        <is>
          <t>iPRU 40r 3P+N</t>
        </is>
      </c>
      <c r="D2304" s="22" t="inlineStr">
        <is>
          <t>甲供/施耐德万高</t>
        </is>
      </c>
      <c r="E2304" s="110" t="inlineStr">
        <is>
          <t>只</t>
        </is>
      </c>
      <c r="F2304" s="23" t="n">
        <v>1</v>
      </c>
      <c r="G2304" s="349">
        <f>IF(AND(B2304="",C2304=""),"",ROUND(M2304*L2304*N2304,2))</f>
        <v/>
      </c>
      <c r="H2304" s="349">
        <f>IF(AND(B2304="",C2304=""),"",ROUND(F2304*G2304,2))</f>
        <v/>
      </c>
      <c r="I2304" s="45" t="inlineStr"/>
      <c r="J2304" s="392">
        <f>IF(AND(B2304="",C2304=""),"",ROUND(M2304*N2304,2))</f>
        <v/>
      </c>
      <c r="K2304" s="393">
        <f>IF(AND(B2304="",C2304=""),"",ROUND(J2304*F2304,2))</f>
        <v/>
      </c>
      <c r="L2304" s="141" t="n">
        <v>1</v>
      </c>
      <c r="M2304" s="394" t="n">
        <v>1e-07</v>
      </c>
      <c r="N2304" s="143" t="n">
        <v>1</v>
      </c>
      <c r="O2304" s="144">
        <f>IF(AND(B2304="",C2304=""),"",IF(G2304&gt;=20000,0.05,IF(G2304&gt;=10000,0.1,IF(G2304&gt;=5000,0.2,IF(G2304&gt;=1000,0.3,IF(G2304&gt;=0,0.4,{0}))))))</f>
        <v/>
      </c>
      <c r="P2304" s="395">
        <f>IF(AND(B2304="",C2304=""),"",ROUND(H2304*O2304,2))</f>
        <v/>
      </c>
      <c r="Q2304" s="390" t="inlineStr">
        <is>
          <t>元件</t>
        </is>
      </c>
      <c r="R2304" s="164" t="inlineStr"/>
      <c r="S2304" s="164" t="inlineStr"/>
      <c r="T2304" s="164" t="inlineStr">
        <is>
          <t>0</t>
        </is>
      </c>
      <c r="U2304" s="164" t="inlineStr">
        <is>
          <t>A9L620601</t>
        </is>
      </c>
      <c r="V2304" s="391" t="n"/>
      <c r="W2304" s="391" t="n"/>
      <c r="X2304" s="166" t="inlineStr">
        <is>
          <t>iPRF1 12.5r 3P+N→iPRU 40r 3P→iPRF1 12.5r 3P+N</t>
        </is>
      </c>
    </row>
    <row r="2305" customFormat="1" s="3">
      <c r="A2305" s="64">
        <f>ROW()-ROW(A$2299)</f>
        <v/>
      </c>
      <c r="B2305" s="27" t="inlineStr">
        <is>
          <t>微型断路器</t>
        </is>
      </c>
      <c r="C2305" s="22" t="inlineStr">
        <is>
          <t>iC65H 2P C16A</t>
        </is>
      </c>
      <c r="D2305" s="22" t="inlineStr">
        <is>
          <t>甲供/施耐德电气</t>
        </is>
      </c>
      <c r="E2305" s="110" t="inlineStr">
        <is>
          <t>只</t>
        </is>
      </c>
      <c r="F2305" s="23" t="n">
        <v>2</v>
      </c>
      <c r="G2305" s="349">
        <f>IF(AND(B2305="",C2305=""),"",ROUND(M2305*L2305*N2305,2))</f>
        <v/>
      </c>
      <c r="H2305" s="349">
        <f>IF(AND(B2305="",C2305=""),"",ROUND(F2305*G2305,2))</f>
        <v/>
      </c>
      <c r="I2305" s="45" t="inlineStr"/>
      <c r="J2305" s="392">
        <f>IF(AND(B2305="",C2305=""),"",ROUND(M2305*N2305,2))</f>
        <v/>
      </c>
      <c r="K2305" s="393">
        <f>IF(AND(B2305="",C2305=""),"",ROUND(J2305*F2305,2))</f>
        <v/>
      </c>
      <c r="L2305" s="141" t="n">
        <v>1</v>
      </c>
      <c r="M2305" s="394" t="n">
        <v>1e-07</v>
      </c>
      <c r="N2305" s="143" t="n">
        <v>1</v>
      </c>
      <c r="O2305" s="144">
        <f>IF(AND(B2305="",C2305=""),"",IF(G2305&gt;=20000,0.05,IF(G2305&gt;=10000,0.1,IF(G2305&gt;=5000,0.2,IF(G2305&gt;=1000,0.3,IF(G2305&gt;=0,0.4,{0}))))))</f>
        <v/>
      </c>
      <c r="P2305" s="395">
        <f>IF(AND(B2305="",C2305=""),"",ROUND(H2305*O2305,2))</f>
        <v/>
      </c>
      <c r="Q2305" s="390" t="inlineStr">
        <is>
          <t>元件</t>
        </is>
      </c>
      <c r="R2305" s="164" t="inlineStr"/>
      <c r="S2305" s="164" t="inlineStr"/>
      <c r="T2305" s="164" t="n">
        <v>0</v>
      </c>
      <c r="U2305" s="164" t="inlineStr"/>
      <c r="V2305" s="391" t="n"/>
      <c r="W2305" s="391" t="n"/>
      <c r="X2305" s="166" t="inlineStr"/>
    </row>
    <row r="2306" s="308">
      <c r="A2306" s="64">
        <f>ROW()-ROW(A$2299)</f>
        <v/>
      </c>
      <c r="B2306" s="112" t="inlineStr">
        <is>
          <t>温湿度控制器</t>
        </is>
      </c>
      <c r="C2306" s="112" t="inlineStr">
        <is>
          <t>ATH48G-11</t>
        </is>
      </c>
      <c r="D2306" s="22" t="inlineStr">
        <is>
          <t>杭州安廷</t>
        </is>
      </c>
      <c r="E2306" s="23" t="inlineStr">
        <is>
          <t>套</t>
        </is>
      </c>
      <c r="F2306" s="23" t="n">
        <v>1</v>
      </c>
      <c r="G2306" s="349">
        <f>IF(AND(B2306="",C2306=""),"",ROUND(M2306*L2306*N2306,2))</f>
        <v/>
      </c>
      <c r="H2306" s="396">
        <f>IF(AND(B2306="",C2306=""),"",ROUND(F2306*G2306,2))</f>
        <v/>
      </c>
      <c r="I2306" s="150" t="inlineStr"/>
      <c r="J2306" s="397">
        <f>IF(AND(B2306="",C2306=""),"",ROUND(M2306*N2306,2))</f>
        <v/>
      </c>
      <c r="K2306" s="398">
        <f>IF(AND(B2306="",C2306=""),"",ROUND(J2306*F2306,2))</f>
        <v/>
      </c>
      <c r="L2306" s="141" t="n">
        <v>1</v>
      </c>
      <c r="M2306" s="399" t="n">
        <v>450</v>
      </c>
      <c r="N2306" s="154" t="n">
        <v>1</v>
      </c>
      <c r="O2306" s="155">
        <f>IF(AND(B2306="",C2306=""),"",IF(G2306&gt;=20000,0.05,IF(G2306&gt;=10000,0.1,IF(G2306&gt;=5000,0.2,IF(G2306&gt;=1000,0.3,IF(G2306&gt;=0,0.4,{0}))))))</f>
        <v/>
      </c>
      <c r="P2306" s="400">
        <f>IF(AND(B2306="",C2306=""),"",ROUND(H2306*O2306,2))</f>
        <v/>
      </c>
      <c r="Q2306" s="401" t="inlineStr">
        <is>
          <t>元件</t>
        </is>
      </c>
      <c r="R2306" s="168" t="inlineStr"/>
      <c r="S2306" s="168" t="inlineStr"/>
      <c r="T2306" s="168" t="inlineStr">
        <is>
          <t>0</t>
        </is>
      </c>
      <c r="U2306" s="168" t="inlineStr"/>
      <c r="V2306" s="402" t="n"/>
      <c r="W2306" s="402" t="n"/>
      <c r="X2306" s="170" t="inlineStr"/>
    </row>
    <row r="2307" s="308">
      <c r="A2307" s="64">
        <f>ROW()-ROW(A$2299)</f>
        <v/>
      </c>
      <c r="B2307" s="112" t="inlineStr">
        <is>
          <t>指示灯</t>
        </is>
      </c>
      <c r="C2307" s="112" t="inlineStr">
        <is>
          <t>XB2BVM3LC</t>
        </is>
      </c>
      <c r="D2307" s="112" t="inlineStr">
        <is>
          <t>甲供/施耐德电气</t>
        </is>
      </c>
      <c r="E2307" s="114" t="inlineStr">
        <is>
          <t>只</t>
        </is>
      </c>
      <c r="F2307" s="114" t="n">
        <v>1</v>
      </c>
      <c r="G2307" s="396">
        <f>IF(AND(B2307="",C2307=""),"",ROUND(M2307*L2307*N2307,2))</f>
        <v/>
      </c>
      <c r="H2307" s="396">
        <f>IF(AND(B2307="",C2307=""),"",ROUND(F2307*G2307,2))</f>
        <v/>
      </c>
      <c r="I2307" s="150" t="inlineStr"/>
      <c r="J2307" s="397">
        <f>IF(AND(B2307="",C2307=""),"",ROUND(M2307*N2307,2))</f>
        <v/>
      </c>
      <c r="K2307" s="398">
        <f>IF(AND(B2307="",C2307=""),"",ROUND(J2307*F2307,2))</f>
        <v/>
      </c>
      <c r="L2307" s="141" t="n">
        <v>1</v>
      </c>
      <c r="M2307" s="399" t="n">
        <v>1e-07</v>
      </c>
      <c r="N2307" s="154" t="n">
        <v>1</v>
      </c>
      <c r="O2307" s="155">
        <f>IF(AND(B2307="",C2307=""),"",IF(G2307&gt;=20000,0.05,IF(G2307&gt;=10000,0.1,IF(G2307&gt;=5000,0.2,IF(G2307&gt;=1000,0.3,IF(G2307&gt;=0,0.4,{0}))))))</f>
        <v/>
      </c>
      <c r="P2307" s="400">
        <f>IF(AND(B2307="",C2307=""),"",ROUND(H2307*O2307,2))</f>
        <v/>
      </c>
      <c r="Q2307" s="401" t="inlineStr">
        <is>
          <t>元件</t>
        </is>
      </c>
      <c r="R2307" s="168" t="inlineStr"/>
      <c r="S2307" s="168" t="inlineStr"/>
      <c r="T2307" s="168" t="inlineStr">
        <is>
          <t>0</t>
        </is>
      </c>
      <c r="U2307" s="168" t="inlineStr">
        <is>
          <t>XA2EVM3LC</t>
        </is>
      </c>
      <c r="V2307" s="402" t="n"/>
      <c r="W2307" s="402" t="n"/>
      <c r="X2307" s="170" t="inlineStr"/>
    </row>
    <row r="2308" s="308">
      <c r="A2308" s="64">
        <f>ROW()-ROW(A$2299)</f>
        <v/>
      </c>
      <c r="B2308" s="112" t="inlineStr">
        <is>
          <t>指示灯</t>
        </is>
      </c>
      <c r="C2308" s="22" t="inlineStr">
        <is>
          <t>XB2BVM4LC</t>
        </is>
      </c>
      <c r="D2308" s="112" t="inlineStr">
        <is>
          <t>甲供/施耐德电气</t>
        </is>
      </c>
      <c r="E2308" s="114" t="inlineStr">
        <is>
          <t>只</t>
        </is>
      </c>
      <c r="F2308" s="114" t="n">
        <v>1</v>
      </c>
      <c r="G2308" s="396">
        <f>IF(AND(B2308="",C2308=""),"",ROUND(M2308*L2308*N2308,2))</f>
        <v/>
      </c>
      <c r="H2308" s="396">
        <f>IF(AND(B2308="",C2308=""),"",ROUND(F2308*G2308,2))</f>
        <v/>
      </c>
      <c r="I2308" s="150" t="inlineStr"/>
      <c r="J2308" s="397">
        <f>IF(AND(B2308="",C2308=""),"",ROUND(M2308*N2308,2))</f>
        <v/>
      </c>
      <c r="K2308" s="398">
        <f>IF(AND(B2308="",C2308=""),"",ROUND(J2308*F2308,2))</f>
        <v/>
      </c>
      <c r="L2308" s="141" t="n">
        <v>1</v>
      </c>
      <c r="M2308" s="399" t="n">
        <v>1e-07</v>
      </c>
      <c r="N2308" s="154" t="n">
        <v>1</v>
      </c>
      <c r="O2308" s="155">
        <f>IF(AND(B2308="",C2308=""),"",IF(G2308&gt;=20000,0.05,IF(G2308&gt;=10000,0.1,IF(G2308&gt;=5000,0.2,IF(G2308&gt;=1000,0.3,IF(G2308&gt;=0,0.4,{0}))))))</f>
        <v/>
      </c>
      <c r="P2308" s="400">
        <f>IF(AND(B2308="",C2308=""),"",ROUND(H2308*O2308,2))</f>
        <v/>
      </c>
      <c r="Q2308" s="401" t="inlineStr">
        <is>
          <t>元件</t>
        </is>
      </c>
      <c r="R2308" s="168" t="inlineStr"/>
      <c r="S2308" s="168" t="inlineStr"/>
      <c r="T2308" s="168" t="inlineStr">
        <is>
          <t>0</t>
        </is>
      </c>
      <c r="U2308" s="168" t="inlineStr">
        <is>
          <t>XA2EVM4LC</t>
        </is>
      </c>
      <c r="V2308" s="402" t="n"/>
      <c r="W2308" s="402" t="n"/>
      <c r="X2308" s="170" t="inlineStr"/>
    </row>
    <row r="2309" s="308">
      <c r="A2309" s="64">
        <f>ROW()-ROW(A$2299)</f>
        <v/>
      </c>
      <c r="B2309" s="112" t="inlineStr">
        <is>
          <t>指示灯</t>
        </is>
      </c>
      <c r="C2309" s="112" t="inlineStr">
        <is>
          <t>XB2BVM5LC</t>
        </is>
      </c>
      <c r="D2309" s="112" t="inlineStr">
        <is>
          <t>甲供/施耐德电气</t>
        </is>
      </c>
      <c r="E2309" s="114" t="inlineStr">
        <is>
          <t>只</t>
        </is>
      </c>
      <c r="F2309" s="114" t="n">
        <v>1</v>
      </c>
      <c r="G2309" s="396">
        <f>IF(AND(B2309="",C2309=""),"",ROUND(M2309*L2309*N2309,2))</f>
        <v/>
      </c>
      <c r="H2309" s="396">
        <f>IF(AND(B2309="",C2309=""),"",ROUND(F2309*G2309,2))</f>
        <v/>
      </c>
      <c r="I2309" s="150" t="inlineStr"/>
      <c r="J2309" s="397">
        <f>IF(AND(B2309="",C2309=""),"",ROUND(M2309*N2309,2))</f>
        <v/>
      </c>
      <c r="K2309" s="398">
        <f>IF(AND(B2309="",C2309=""),"",ROUND(J2309*F2309,2))</f>
        <v/>
      </c>
      <c r="L2309" s="141" t="n">
        <v>1</v>
      </c>
      <c r="M2309" s="399" t="n">
        <v>1e-07</v>
      </c>
      <c r="N2309" s="154" t="n">
        <v>1</v>
      </c>
      <c r="O2309" s="155">
        <f>IF(AND(B2309="",C2309=""),"",IF(G2309&gt;=20000,0.05,IF(G2309&gt;=10000,0.1,IF(G2309&gt;=5000,0.2,IF(G2309&gt;=1000,0.3,IF(G2309&gt;=0,0.4,{0}))))))</f>
        <v/>
      </c>
      <c r="P2309" s="400">
        <f>IF(AND(B2309="",C2309=""),"",ROUND(H2309*O2309,2))</f>
        <v/>
      </c>
      <c r="Q2309" s="401" t="inlineStr">
        <is>
          <t>元件</t>
        </is>
      </c>
      <c r="R2309" s="168" t="inlineStr"/>
      <c r="S2309" s="168" t="inlineStr"/>
      <c r="T2309" s="168" t="inlineStr">
        <is>
          <t>0</t>
        </is>
      </c>
      <c r="U2309" s="168" t="inlineStr">
        <is>
          <t>XA2EVM5LC</t>
        </is>
      </c>
      <c r="V2309" s="402" t="n"/>
      <c r="W2309" s="402" t="n"/>
      <c r="X2309" s="170" t="inlineStr"/>
    </row>
    <row r="2310" s="308">
      <c r="A2310" s="64">
        <f>ROW()-ROW(A$2299)</f>
        <v/>
      </c>
      <c r="B2310" s="112" t="inlineStr">
        <is>
          <t>按钮</t>
        </is>
      </c>
      <c r="C2310" s="112" t="inlineStr">
        <is>
          <t>XB2BA31C</t>
        </is>
      </c>
      <c r="D2310" s="112" t="inlineStr">
        <is>
          <t>甲供/施耐德电气</t>
        </is>
      </c>
      <c r="E2310" s="114" t="inlineStr">
        <is>
          <t>只</t>
        </is>
      </c>
      <c r="F2310" s="114" t="n">
        <v>1</v>
      </c>
      <c r="G2310" s="396">
        <f>IF(AND(B2310="",C2310=""),"",ROUND(M2310*L2310*N2310,2))</f>
        <v/>
      </c>
      <c r="H2310" s="396">
        <f>IF(AND(B2310="",C2310=""),"",ROUND(F2310*G2310,2))</f>
        <v/>
      </c>
      <c r="I2310" s="150" t="inlineStr"/>
      <c r="J2310" s="397">
        <f>IF(AND(B2310="",C2310=""),"",ROUND(M2310*N2310,2))</f>
        <v/>
      </c>
      <c r="K2310" s="398">
        <f>IF(AND(B2310="",C2310=""),"",ROUND(J2310*F2310,2))</f>
        <v/>
      </c>
      <c r="L2310" s="141" t="n">
        <v>1</v>
      </c>
      <c r="M2310" s="399" t="n">
        <v>1e-07</v>
      </c>
      <c r="N2310" s="154" t="n">
        <v>1</v>
      </c>
      <c r="O2310" s="155">
        <f>IF(AND(B2310="",C2310=""),"",IF(G2310&gt;=20000,0.05,IF(G2310&gt;=10000,0.1,IF(G2310&gt;=5000,0.2,IF(G2310&gt;=1000,0.3,IF(G2310&gt;=0,0.4,{0}))))))</f>
        <v/>
      </c>
      <c r="P2310" s="400">
        <f>IF(AND(B2310="",C2310=""),"",ROUND(H2310*O2310,2))</f>
        <v/>
      </c>
      <c r="Q2310" s="401" t="inlineStr">
        <is>
          <t>元件</t>
        </is>
      </c>
      <c r="R2310" s="168" t="inlineStr"/>
      <c r="S2310" s="168" t="inlineStr"/>
      <c r="T2310" s="168" t="inlineStr">
        <is>
          <t>0</t>
        </is>
      </c>
      <c r="U2310" s="168" t="inlineStr">
        <is>
          <t>XB2BA31C</t>
        </is>
      </c>
      <c r="V2310" s="402" t="n"/>
      <c r="W2310" s="402" t="n"/>
      <c r="X2310" s="170" t="inlineStr">
        <is>
          <t>XA2EA31</t>
        </is>
      </c>
    </row>
    <row r="2311" s="308">
      <c r="A2311" s="64">
        <f>ROW()-ROW(A$2299)</f>
        <v/>
      </c>
      <c r="B2311" s="22" t="inlineStr">
        <is>
          <t>按钮</t>
        </is>
      </c>
      <c r="C2311" s="22" t="inlineStr">
        <is>
          <t>XB2BA42C</t>
        </is>
      </c>
      <c r="D2311" s="22" t="inlineStr">
        <is>
          <t>甲供/施耐德电气</t>
        </is>
      </c>
      <c r="E2311" s="23" t="inlineStr">
        <is>
          <t>只</t>
        </is>
      </c>
      <c r="F2311" s="23" t="n">
        <v>1</v>
      </c>
      <c r="G2311" s="349">
        <f>IF(AND(B2311="",C2311=""),"",ROUND(M2311*L2311*N2311,2))</f>
        <v/>
      </c>
      <c r="H2311" s="396">
        <f>IF(AND(B2311="",C2311=""),"",ROUND(F2311*G2311,2))</f>
        <v/>
      </c>
      <c r="I2311" s="150" t="inlineStr"/>
      <c r="J2311" s="397">
        <f>IF(AND(B2311="",C2311=""),"",ROUND(M2311*N2311,2))</f>
        <v/>
      </c>
      <c r="K2311" s="398">
        <f>IF(AND(B2311="",C2311=""),"",ROUND(J2311*F2311,2))</f>
        <v/>
      </c>
      <c r="L2311" s="141" t="n">
        <v>1</v>
      </c>
      <c r="M2311" s="399" t="n">
        <v>1e-07</v>
      </c>
      <c r="N2311" s="154" t="n">
        <v>1</v>
      </c>
      <c r="O2311" s="155">
        <f>IF(AND(B2311="",C2311=""),"",IF(G2311&gt;=20000,0.05,IF(G2311&gt;=10000,0.1,IF(G2311&gt;=5000,0.2,IF(G2311&gt;=1000,0.3,IF(G2311&gt;=0,0.4,{0}))))))</f>
        <v/>
      </c>
      <c r="P2311" s="400">
        <f>IF(AND(B2311="",C2311=""),"",ROUND(H2311*O2311,2))</f>
        <v/>
      </c>
      <c r="Q2311" s="401" t="inlineStr">
        <is>
          <t>元件</t>
        </is>
      </c>
      <c r="R2311" s="168" t="inlineStr"/>
      <c r="S2311" s="168" t="inlineStr"/>
      <c r="T2311" s="168" t="inlineStr">
        <is>
          <t>0</t>
        </is>
      </c>
      <c r="U2311" s="168" t="inlineStr">
        <is>
          <t>XB2BA42C</t>
        </is>
      </c>
      <c r="V2311" s="402" t="n"/>
      <c r="W2311" s="402" t="n"/>
      <c r="X2311" s="170" t="inlineStr">
        <is>
          <t>XA2EA41</t>
        </is>
      </c>
    </row>
    <row r="2312" s="308">
      <c r="A2312" s="64">
        <f>ROW()-ROW(A$2299)</f>
        <v/>
      </c>
      <c r="B2312" s="22" t="inlineStr">
        <is>
          <t>中间继电器</t>
        </is>
      </c>
      <c r="C2312" s="22" t="inlineStr">
        <is>
          <t>RXM4AB2P7+RXZE2S114M+RXZ400</t>
        </is>
      </c>
      <c r="D2312" s="22" t="inlineStr">
        <is>
          <t>甲供/施耐德电气</t>
        </is>
      </c>
      <c r="E2312" s="23" t="inlineStr">
        <is>
          <t>只</t>
        </is>
      </c>
      <c r="F2312" s="23" t="n">
        <v>2</v>
      </c>
      <c r="G2312" s="349">
        <f>IF(AND(B2312="",C2312=""),"",ROUND(M2312*L2312*N2312,2))</f>
        <v/>
      </c>
      <c r="H2312" s="349">
        <f>IF(AND(B2312="",C2312=""),"",ROUND(F2312*G2312,2))</f>
        <v/>
      </c>
      <c r="I2312" s="45" t="inlineStr"/>
      <c r="J2312" s="397">
        <f>IF(AND(B2312="",C2312=""),"",ROUND(M2312*N2312,2))</f>
        <v/>
      </c>
      <c r="K2312" s="398">
        <f>IF(AND(B2312="",C2312=""),"",ROUND(J2312*F2312,2))</f>
        <v/>
      </c>
      <c r="L2312" s="141" t="n">
        <v>1</v>
      </c>
      <c r="M2312" s="399" t="n">
        <v>1e-07</v>
      </c>
      <c r="N2312" s="154" t="n">
        <v>1</v>
      </c>
      <c r="O2312" s="155">
        <f>IF(AND(B2312="",C2312=""),"",IF(G2312&gt;=20000,0.05,IF(G2312&gt;=10000,0.1,IF(G2312&gt;=5000,0.2,IF(G2312&gt;=1000,0.3,IF(G2312&gt;=0,0.4,{0}))))))</f>
        <v/>
      </c>
      <c r="P2312" s="400">
        <f>IF(AND(B2312="",C2312=""),"",ROUND(H2312*O2312,2))</f>
        <v/>
      </c>
      <c r="Q2312" s="401" t="inlineStr">
        <is>
          <t>元件</t>
        </is>
      </c>
      <c r="R2312" s="168" t="inlineStr"/>
      <c r="S2312" s="168" t="inlineStr"/>
      <c r="T2312" s="168" t="inlineStr">
        <is>
          <t>0</t>
        </is>
      </c>
      <c r="U2312" s="168" t="inlineStr">
        <is>
          <t>RXM4AB2P7+RXZE2S114M+RXZ400</t>
        </is>
      </c>
      <c r="V2312" s="402" t="n"/>
      <c r="W2312" s="402" t="n"/>
      <c r="X2312" s="170" t="inlineStr">
        <is>
          <t>REL-IR-BL/L-230AC/4X21，含底座→RXM4AB2P7+RXZE2S114M+RXZ400→REL-IR-BL/L-230AC/4X21，含底座</t>
        </is>
      </c>
    </row>
    <row r="2313" customFormat="1" s="3">
      <c r="A2313" s="64">
        <f>ROW()-ROW(A$2299)</f>
        <v/>
      </c>
      <c r="B2313" s="22" t="inlineStr">
        <is>
          <t>带熔丝端子</t>
        </is>
      </c>
      <c r="C2313" s="22" t="inlineStr">
        <is>
          <t>UK 5-HESI</t>
        </is>
      </c>
      <c r="D2313" s="22" t="inlineStr">
        <is>
          <t>菲尼克斯</t>
        </is>
      </c>
      <c r="E2313" s="23" t="inlineStr">
        <is>
          <t>只</t>
        </is>
      </c>
      <c r="F2313" s="23" t="n">
        <v>4</v>
      </c>
      <c r="G2313" s="349">
        <f>IF(AND(B2313="",C2313=""),"",ROUND(M2313*L2313*N2313,2))</f>
        <v/>
      </c>
      <c r="H2313" s="349">
        <f>IF(AND(B2313="",C2313=""),"",ROUND(F2313*G2313,2))</f>
        <v/>
      </c>
      <c r="I2313" s="45" t="inlineStr"/>
      <c r="J2313" s="392">
        <f>IF(AND(B2313="",C2313=""),"",ROUND(M2313*N2313,2))</f>
        <v/>
      </c>
      <c r="K2313" s="393">
        <f>IF(AND(B2313="",C2313=""),"",ROUND(J2313*F2313,2))</f>
        <v/>
      </c>
      <c r="L2313" s="141" t="n">
        <v>1</v>
      </c>
      <c r="M2313" s="394" t="n">
        <v>7</v>
      </c>
      <c r="N2313" s="220" t="n">
        <v>1</v>
      </c>
      <c r="O2313" s="221">
        <f>IF(AND(B2313="",C2313=""),"",IF(G2313&gt;=20000,0.05,IF(G2313&gt;=10000,0.1,IF(G2313&gt;=5000,0.2,IF(G2313&gt;=1000,0.3,IF(G2313&gt;=0,0.4,{0}))))))</f>
        <v/>
      </c>
      <c r="P2313" s="419">
        <f>IF(AND(B2313="",C2313=""),"",ROUND(H2313*O2313,2))</f>
        <v/>
      </c>
      <c r="Q2313" s="420" t="inlineStr">
        <is>
          <t>元件</t>
        </is>
      </c>
      <c r="R2313" s="231" t="inlineStr"/>
      <c r="S2313" s="231" t="inlineStr"/>
      <c r="T2313" s="231" t="inlineStr">
        <is>
          <t>0</t>
        </is>
      </c>
      <c r="U2313" s="231" t="inlineStr">
        <is>
          <t>True</t>
        </is>
      </c>
      <c r="V2313" s="421" t="n"/>
      <c r="W2313" s="421" t="n"/>
      <c r="X2313" s="166" t="inlineStr"/>
    </row>
    <row r="2314" s="308">
      <c r="A2314" s="64">
        <f>ROW()-ROW(A$2299)</f>
        <v/>
      </c>
      <c r="B2314" s="33" t="inlineStr">
        <is>
          <t>水平母排</t>
        </is>
      </c>
      <c r="C2314" s="22" t="inlineStr">
        <is>
          <t>TMY 4*(3*125*5)+2*50*5</t>
        </is>
      </c>
      <c r="D2314" s="22" t="inlineStr">
        <is>
          <t>国产优质</t>
        </is>
      </c>
      <c r="E2314" s="23" t="inlineStr">
        <is>
          <t>米</t>
        </is>
      </c>
      <c r="F2314" s="23" t="n">
        <v>0.5</v>
      </c>
      <c r="G2314" s="349">
        <f>IF(AND(B2314="",C2314=""),"",ROUND(M2314*L2314*N2314,2))</f>
        <v/>
      </c>
      <c r="H2314" s="349">
        <f>IF(AND(B2314="",C2314=""),"",ROUND(F2314*G2314,2))</f>
        <v/>
      </c>
      <c r="I2314" s="179" t="inlineStr"/>
      <c r="J2314" s="397">
        <f>IF(AND(B2314="",C2314=""),"",ROUND(M2314*N2314,2))</f>
        <v/>
      </c>
      <c r="K2314" s="398">
        <f>IF(AND(B2314="",C2314=""),"",ROUND(J2314*F2314,2))</f>
        <v/>
      </c>
      <c r="L2314" s="141" t="n">
        <v>1</v>
      </c>
      <c r="M2314" s="399" t="n">
        <v>7697.076</v>
      </c>
      <c r="N2314" s="154">
        <f>(6317.932*1*1+2684.8*1*1)/9002.732</f>
        <v/>
      </c>
      <c r="O2314" s="155">
        <f>IF(AND(B2314="",C2314=""),"",IF(G2314&gt;=20000,0.05,IF(G2314&gt;=10000,0.1,IF(G2314&gt;=5000,0.2,IF(G2314&gt;=1000,0.3,IF(G2314&gt;=0,0.4,{0}))))))</f>
        <v/>
      </c>
      <c r="P2314" s="400">
        <f>IF(AND(B2314="",C2314=""),"",ROUND(H2314*O2314,2))</f>
        <v/>
      </c>
      <c r="Q2314" s="401" t="inlineStr">
        <is>
          <t>母排</t>
        </is>
      </c>
      <c r="R2314" s="168" t="inlineStr"/>
      <c r="S2314" s="168" t="inlineStr"/>
      <c r="T2314" s="168" t="inlineStr">
        <is>
          <t>0</t>
        </is>
      </c>
      <c r="U2314" s="168" t="inlineStr"/>
      <c r="V2314" s="402" t="n"/>
      <c r="W2314" s="402" t="n"/>
      <c r="X2314" s="170" t="inlineStr"/>
    </row>
    <row r="2315" customFormat="1" s="5">
      <c r="A2315" s="64">
        <f>ROW()-ROW(A$2299)</f>
        <v/>
      </c>
      <c r="B2315" s="22" t="inlineStr">
        <is>
          <t>桩头排</t>
        </is>
      </c>
      <c r="C2315" s="22" t="inlineStr">
        <is>
          <t>TMY 3*2*60*5</t>
        </is>
      </c>
      <c r="D2315" s="22" t="inlineStr">
        <is>
          <t>国产优质</t>
        </is>
      </c>
      <c r="E2315" s="23" t="inlineStr">
        <is>
          <t>米</t>
        </is>
      </c>
      <c r="F2315" s="23" t="n">
        <v>1.5</v>
      </c>
      <c r="G2315" s="349">
        <f>IF(AND(B2315="",C2315=""),"",ROUND(M2315*L2315*N2315,2))</f>
        <v/>
      </c>
      <c r="H2315" s="349">
        <f>IF(AND(B2315="",C2315=""),"",ROUND(F2315*G2315,2))</f>
        <v/>
      </c>
      <c r="I2315" s="45" t="inlineStr"/>
      <c r="J2315" s="422">
        <f>IF(AND(B2315="",C2315=""),"",ROUND(M2315*N2315,2))</f>
        <v/>
      </c>
      <c r="K2315" s="423">
        <f>IF(AND(B2315="",C2315=""),"",ROUND(J2315*F2315,2))</f>
        <v/>
      </c>
      <c r="L2315" s="225" t="n">
        <v>1</v>
      </c>
      <c r="M2315" s="424" t="n">
        <v>1731.8421</v>
      </c>
      <c r="N2315" s="227" t="n">
        <v>1</v>
      </c>
      <c r="O2315" s="228">
        <f>IF(AND(B2315="",C2315=""),"",IF(G2315&gt;=20000,0.05,IF(G2315&gt;=10000,0.1,IF(G2315&gt;=5000,0.2,IF(G2315&gt;=1000,0.3,IF(G2315&gt;=0,0.4,{0}))))))</f>
        <v/>
      </c>
      <c r="P2315" s="425">
        <f>IF(AND(B2315="",C2315=""),"",ROUND(H2315*O2315,2))</f>
        <v/>
      </c>
      <c r="Q2315" s="426" t="inlineStr">
        <is>
          <t>母排</t>
        </is>
      </c>
      <c r="R2315" s="234" t="inlineStr"/>
      <c r="S2315" s="234" t="inlineStr"/>
      <c r="T2315" s="235" t="inlineStr">
        <is>
          <t>0</t>
        </is>
      </c>
      <c r="U2315" s="235" t="inlineStr"/>
      <c r="V2315" s="427" t="n"/>
      <c r="W2315" s="427" t="n"/>
      <c r="X2315" s="237" t="inlineStr">
        <is>
          <t>TMY 2*30*5→TMY 30*8</t>
        </is>
      </c>
    </row>
    <row r="2316" customFormat="1" s="5">
      <c r="A2316" s="64">
        <f>ROW()-ROW(A$2299)</f>
        <v/>
      </c>
      <c r="B2316" s="22" t="inlineStr">
        <is>
          <t>N排</t>
        </is>
      </c>
      <c r="C2316" s="22" t="inlineStr">
        <is>
          <t>TMY 80*10</t>
        </is>
      </c>
      <c r="D2316" s="22" t="inlineStr">
        <is>
          <t>国产优质</t>
        </is>
      </c>
      <c r="E2316" s="23" t="inlineStr">
        <is>
          <t>米</t>
        </is>
      </c>
      <c r="F2316" s="23" t="n">
        <v>1.8</v>
      </c>
      <c r="G2316" s="349">
        <f>IF(AND(B2316="",C2316=""),"",ROUND(M2316*L2316*N2316,2))</f>
        <v/>
      </c>
      <c r="H2316" s="349">
        <f>IF(AND(B2316="",C2316=""),"",ROUND(F2316*G2316,2))</f>
        <v/>
      </c>
      <c r="I2316" s="45" t="inlineStr"/>
      <c r="J2316" s="422">
        <f>IF(AND(B2316="",C2316=""),"",ROUND(M2316*N2316,2))</f>
        <v/>
      </c>
      <c r="K2316" s="423">
        <f>IF(AND(B2316="",C2316=""),"",ROUND(J2316*F2316,2))</f>
        <v/>
      </c>
      <c r="L2316" s="225" t="n">
        <v>1</v>
      </c>
      <c r="M2316" s="424" t="n">
        <v>769.7076</v>
      </c>
      <c r="N2316" s="227" t="n">
        <v>1</v>
      </c>
      <c r="O2316" s="228">
        <f>IF(AND(B2316="",C2316=""),"",IF(G2316&gt;=20000,0.05,IF(G2316&gt;=10000,0.1,IF(G2316&gt;=5000,0.2,IF(G2316&gt;=1000,0.3,IF(G2316&gt;=0,0.4,{0}))))))</f>
        <v/>
      </c>
      <c r="P2316" s="425">
        <f>IF(AND(B2316="",C2316=""),"",ROUND(H2316*O2316,2))</f>
        <v/>
      </c>
      <c r="Q2316" s="426" t="inlineStr">
        <is>
          <t>母排</t>
        </is>
      </c>
      <c r="R2316" s="234" t="inlineStr"/>
      <c r="S2316" s="234" t="inlineStr"/>
      <c r="T2316" s="235" t="inlineStr">
        <is>
          <t>0</t>
        </is>
      </c>
      <c r="U2316" s="235" t="inlineStr"/>
      <c r="V2316" s="427" t="n"/>
      <c r="W2316" s="427" t="n"/>
      <c r="X2316" s="237" t="inlineStr">
        <is>
          <t>TMY 2*30*5→TMY 30*8</t>
        </is>
      </c>
    </row>
    <row r="2317" customFormat="1" s="5">
      <c r="A2317" s="64">
        <f>ROW()-ROW(A$2299)</f>
        <v/>
      </c>
      <c r="B2317" s="22" t="inlineStr">
        <is>
          <t>PE排</t>
        </is>
      </c>
      <c r="C2317" s="22" t="inlineStr">
        <is>
          <t>TMY 2*50*5</t>
        </is>
      </c>
      <c r="D2317" s="22" t="inlineStr">
        <is>
          <t>国产优质</t>
        </is>
      </c>
      <c r="E2317" s="23" t="inlineStr">
        <is>
          <t>米</t>
        </is>
      </c>
      <c r="F2317" s="23" t="n">
        <v>2</v>
      </c>
      <c r="G2317" s="349">
        <f>IF(AND(B2317="",C2317=""),"",ROUND(M2317*L2317*N2317,2))</f>
        <v/>
      </c>
      <c r="H2317" s="349">
        <f>IF(AND(B2317="",C2317=""),"",ROUND(F2317*G2317,2))</f>
        <v/>
      </c>
      <c r="I2317" s="45" t="inlineStr"/>
      <c r="J2317" s="422">
        <f>IF(AND(B2317="",C2317=""),"",ROUND(M2317*N2317,2))</f>
        <v/>
      </c>
      <c r="K2317" s="423">
        <f>IF(AND(B2317="",C2317=""),"",ROUND(J2317*F2317,2))</f>
        <v/>
      </c>
      <c r="L2317" s="225" t="n">
        <v>1</v>
      </c>
      <c r="M2317" s="424" t="n">
        <v>481.06725</v>
      </c>
      <c r="N2317" s="227" t="n">
        <v>1</v>
      </c>
      <c r="O2317" s="228">
        <f>IF(AND(B2317="",C2317=""),"",IF(G2317&gt;=20000,0.05,IF(G2317&gt;=10000,0.1,IF(G2317&gt;=5000,0.2,IF(G2317&gt;=1000,0.3,IF(G2317&gt;=0,0.4,{0}))))))</f>
        <v/>
      </c>
      <c r="P2317" s="425">
        <f>IF(AND(B2317="",C2317=""),"",ROUND(H2317*O2317,2))</f>
        <v/>
      </c>
      <c r="Q2317" s="426" t="inlineStr">
        <is>
          <t>母排</t>
        </is>
      </c>
      <c r="R2317" s="234" t="inlineStr"/>
      <c r="S2317" s="234" t="inlineStr"/>
      <c r="T2317" s="235" t="inlineStr">
        <is>
          <t>0</t>
        </is>
      </c>
      <c r="U2317" s="235" t="inlineStr"/>
      <c r="V2317" s="427" t="n"/>
      <c r="W2317" s="427" t="n"/>
      <c r="X2317" s="237" t="inlineStr">
        <is>
          <t>TMY 2*30*5→TMY 30*8</t>
        </is>
      </c>
    </row>
    <row r="2318" s="308">
      <c r="A2318" s="64">
        <f>ROW()-ROW(A$2299)</f>
        <v/>
      </c>
      <c r="B2318" s="22" t="inlineStr">
        <is>
          <t>辅料</t>
        </is>
      </c>
      <c r="C2318" s="22" t="inlineStr"/>
      <c r="D2318" s="22" t="inlineStr"/>
      <c r="E2318" s="23" t="inlineStr">
        <is>
          <t>套</t>
        </is>
      </c>
      <c r="F2318" s="23" t="n">
        <v>1</v>
      </c>
      <c r="G2318" s="349">
        <f>IF(AND(B2318="",C2318=""),"",ROUND(M2318*L2318*N2318,2))</f>
        <v/>
      </c>
      <c r="H2318" s="349">
        <f>IF(AND(B2318="",C2318=""),"",ROUND(F2318*G2318,2))</f>
        <v/>
      </c>
      <c r="I2318" s="179" t="inlineStr"/>
      <c r="J2318" s="397">
        <f>IF(AND(B2318="",C2318=""),"",ROUND(M2318*N2318,2))</f>
        <v/>
      </c>
      <c r="K2318" s="398">
        <f>IF(AND(B2318="",C2318=""),"",ROUND(J2318*F2318,2))</f>
        <v/>
      </c>
      <c r="L2318" s="141" t="n">
        <v>1</v>
      </c>
      <c r="M2318" s="399" t="n">
        <v>550</v>
      </c>
      <c r="N2318" s="154" t="n">
        <v>1</v>
      </c>
      <c r="O2318" s="155">
        <f>IF(AND(B2318="",C2318=""),"",IF(G2318&gt;=20000,0.05,IF(G2318&gt;=10000,0.1,IF(G2318&gt;=5000,0.2,IF(G2318&gt;=1000,0.3,IF(G2318&gt;=0,0.4,{0}))))))</f>
        <v/>
      </c>
      <c r="P2318" s="400">
        <f>IF(AND(B2318="",C2318=""),"",ROUND(H2318*O2318,2))</f>
        <v/>
      </c>
      <c r="Q2318" s="401" t="inlineStr">
        <is>
          <t>辅料</t>
        </is>
      </c>
      <c r="R2318" s="168" t="inlineStr"/>
      <c r="S2318" s="168" t="inlineStr"/>
      <c r="T2318" s="168" t="inlineStr">
        <is>
          <t>0</t>
        </is>
      </c>
      <c r="U2318" s="168" t="inlineStr"/>
      <c r="V2318" s="402" t="n"/>
      <c r="W2318" s="402" t="n"/>
      <c r="X2318" s="170" t="inlineStr"/>
    </row>
    <row r="2319" s="308">
      <c r="A2319" s="64">
        <f>ROW()-ROW(A$2299)</f>
        <v/>
      </c>
      <c r="B2319" s="22" t="inlineStr">
        <is>
          <t>柜体Blokset</t>
        </is>
      </c>
      <c r="C2319" s="33" t="inlineStr">
        <is>
          <t>400W*1200D*2200H</t>
        </is>
      </c>
      <c r="D2319" s="22" t="inlineStr">
        <is>
          <t>清科</t>
        </is>
      </c>
      <c r="E2319" s="23" t="inlineStr">
        <is>
          <t>台</t>
        </is>
      </c>
      <c r="F2319" s="23" t="n">
        <v>1</v>
      </c>
      <c r="G2319" s="349">
        <f>IF(AND(B2319="",C2319=""),"",ROUND(M2319*L2319*N2319,2))</f>
        <v/>
      </c>
      <c r="H2319" s="349">
        <f>IF(AND(B2319="",C2319=""),"",ROUND(F2319*G2319,2))</f>
        <v/>
      </c>
      <c r="I2319" s="179" t="inlineStr"/>
      <c r="J2319" s="397">
        <f>IF(AND(B2319="",C2319=""),"",ROUND(M2319*N2319,2))</f>
        <v/>
      </c>
      <c r="K2319" s="398">
        <f>IF(AND(B2319="",C2319=""),"",ROUND(J2319*F2319,2))</f>
        <v/>
      </c>
      <c r="L2319" s="141" t="n">
        <v>1</v>
      </c>
      <c r="M2319" s="399" t="n">
        <v>4010</v>
      </c>
      <c r="N2319" s="154" t="n">
        <v>1</v>
      </c>
      <c r="O2319" s="155">
        <f>IF(AND(B2319="",C2319=""),"",IF(G2319&gt;=20000,0.05,IF(G2319&gt;=10000,0.1,IF(G2319&gt;=5000,0.2,IF(G2319&gt;=1000,0.3,IF(G2319&gt;=0,0.4,{0}))))))</f>
        <v/>
      </c>
      <c r="P2319" s="400">
        <f>IF(AND(B2319="",C2319=""),"",ROUND(H2319*O2319,2))</f>
        <v/>
      </c>
      <c r="Q2319" s="401" t="inlineStr">
        <is>
          <t>箱体</t>
        </is>
      </c>
      <c r="R2319" s="168" t="inlineStr"/>
      <c r="S2319" s="168" t="inlineStr"/>
      <c r="T2319" s="168" t="inlineStr">
        <is>
          <t>0</t>
        </is>
      </c>
      <c r="U2319" s="168" t="inlineStr"/>
      <c r="V2319" s="402" t="n"/>
      <c r="W2319" s="402" t="n"/>
      <c r="X2319" s="170" t="inlineStr"/>
    </row>
    <row r="2320" customFormat="1" s="3">
      <c r="A2320" s="64">
        <f>ROW()-ROW(A$2299)</f>
        <v/>
      </c>
      <c r="B2320" s="27" t="inlineStr"/>
      <c r="C2320" s="27" t="inlineStr"/>
      <c r="D2320" s="27" t="inlineStr"/>
      <c r="E2320" s="28" t="n"/>
      <c r="F2320" s="28">
        <f>IF(AND(B2320="",C2320=""),"",1)</f>
        <v/>
      </c>
      <c r="G2320" s="353" t="n"/>
      <c r="H2320" s="353">
        <f>IF(AND(B2320="",C2320=""),"",ROUND(F2320*G2320,2))</f>
        <v/>
      </c>
      <c r="I2320" s="180" t="inlineStr"/>
      <c r="J2320" s="392">
        <f>IF(AND(B2320="",C2320=""),"",ROUND(M2320*N2320,2))</f>
        <v/>
      </c>
      <c r="K2320" s="393">
        <f>IF(AND(B2320="",C2320=""),"",ROUND(J2320*F2320,2))</f>
        <v/>
      </c>
      <c r="L2320" s="141">
        <f>IF(AND(B2320="",C2320=""),"",1)</f>
        <v/>
      </c>
      <c r="M2320" s="394" t="n"/>
      <c r="N2320" s="143">
        <f>IF(AND(B2320="",C2320=""),"",1)</f>
        <v/>
      </c>
      <c r="O2320" s="144">
        <f>IF(AND(B2320="",C2320=""),"",IF(J2320&gt;=20000,0.05,IF(J2320&gt;=10000,0.1,IF(J2320&gt;=5000,0.2,IF(J2320&gt;=1000,0.3,IF(J2320&gt;=0,0.4,{0}))))))</f>
        <v/>
      </c>
      <c r="P2320" s="395">
        <f>IF(AND(B2320="",C2320=""),"",ROUND(H2320*O2320,2))</f>
        <v/>
      </c>
      <c r="Q2320" s="390">
        <f>IF(AND(B2320="",C2320=""),"","元件")</f>
        <v/>
      </c>
      <c r="R2320" s="164" t="inlineStr"/>
      <c r="S2320" s="164" t="inlineStr"/>
      <c r="T2320" s="164" t="inlineStr"/>
      <c r="U2320" s="164" t="inlineStr"/>
      <c r="V2320" s="391" t="n"/>
      <c r="W2320" s="391" t="n"/>
      <c r="X2320" s="166" t="inlineStr"/>
    </row>
    <row r="2321" customFormat="1" s="3">
      <c r="A2321" s="64">
        <f>ROW()-ROW(A$2299)</f>
        <v/>
      </c>
      <c r="B2321" s="27" t="inlineStr"/>
      <c r="C2321" s="27" t="inlineStr"/>
      <c r="D2321" s="27" t="inlineStr"/>
      <c r="E2321" s="28" t="n"/>
      <c r="F2321" s="28">
        <f>IF(AND(B2321="",C2321=""),"",1)</f>
        <v/>
      </c>
      <c r="G2321" s="353">
        <f>IF(AND(B2321="",C2321=""),"",ROUND(M2321*L2321*N2321,2))</f>
        <v/>
      </c>
      <c r="H2321" s="353">
        <f>IF(AND(B2321="",C2321=""),"",ROUND(F2321*G2321,2))</f>
        <v/>
      </c>
      <c r="I2321" s="180" t="inlineStr"/>
      <c r="J2321" s="392">
        <f>IF(AND(B2321="",C2321=""),"",ROUND(M2321*N2321,2))</f>
        <v/>
      </c>
      <c r="K2321" s="393">
        <f>IF(AND(B2321="",C2321=""),"",ROUND(J2321*F2321,2))</f>
        <v/>
      </c>
      <c r="L2321" s="141">
        <f>IF(AND(B2321="",C2321=""),"",1)</f>
        <v/>
      </c>
      <c r="M2321" s="394" t="n"/>
      <c r="N2321" s="143">
        <f>IF(AND(B2321="",C2321=""),"",1)</f>
        <v/>
      </c>
      <c r="O2321" s="144">
        <f>IF(AND(B2321="",C2321=""),"",IF(J2321&gt;=20000,0.05,IF(J2321&gt;=10000,0.1,IF(J2321&gt;=5000,0.2,IF(J2321&gt;=1000,0.3,IF(J2321&gt;=0,0.4,{0}))))))</f>
        <v/>
      </c>
      <c r="P2321" s="395">
        <f>IF(AND(B2321="",C2321=""),"",ROUND(H2321*O2321,2))</f>
        <v/>
      </c>
      <c r="Q2321" s="390">
        <f>IF(AND(B2321="",C2321=""),"","元件")</f>
        <v/>
      </c>
      <c r="R2321" s="164" t="inlineStr"/>
      <c r="S2321" s="164" t="inlineStr"/>
      <c r="T2321" s="164" t="inlineStr"/>
      <c r="U2321" s="164" t="inlineStr"/>
      <c r="V2321" s="391" t="n"/>
      <c r="W2321" s="391" t="n"/>
      <c r="X2321" s="166" t="inlineStr"/>
    </row>
    <row r="2322" customFormat="1" s="3">
      <c r="A2322" s="64">
        <f>ROW()-ROW(A$2299)</f>
        <v/>
      </c>
      <c r="B2322" s="171" t="inlineStr">
        <is>
          <t>小计</t>
        </is>
      </c>
      <c r="C2322" s="172" t="n"/>
      <c r="D2322" s="82" t="n"/>
      <c r="E2322" s="28" t="n"/>
      <c r="F2322" s="28" t="n"/>
      <c r="G2322" s="353" t="n"/>
      <c r="H2322" s="353">
        <f>ROUND(SUM(H2299:INDEX(H:H,ROW()-1)),2)</f>
        <v/>
      </c>
      <c r="I2322" s="45" t="inlineStr"/>
      <c r="J2322" s="392" t="n"/>
      <c r="K2322" s="393">
        <f>ROUND(SUM(K2299:INDEX(K:K,ROW()-1)),2)</f>
        <v/>
      </c>
      <c r="L2322" s="141" t="n"/>
      <c r="M2322" s="394" t="n"/>
      <c r="N2322" s="143" t="n"/>
      <c r="O2322" s="144" t="n"/>
      <c r="P2322" s="395" t="n"/>
      <c r="Q2322" s="390" t="n"/>
      <c r="R2322" s="164" t="inlineStr"/>
      <c r="S2322" s="164" t="inlineStr"/>
      <c r="T2322" s="164" t="inlineStr"/>
      <c r="U2322" s="164" t="inlineStr"/>
      <c r="V2322" s="391">
        <f>ROUND(SUMPRODUCT(F2299:INDEX(F:F,ROW()-1),V2299:INDEX(V:V,ROW()-1)),2)</f>
        <v/>
      </c>
      <c r="W2322" s="391">
        <f>ROUND(SUMPRODUCT(F2299:INDEX(F:F,ROW()-1),W2299:INDEX(W:W,ROW()-1)),2)</f>
        <v/>
      </c>
      <c r="X2322" s="166" t="inlineStr"/>
    </row>
    <row r="2323" customFormat="1" s="3">
      <c r="A2323" s="64">
        <f>ROW()-ROW(A$2299)</f>
        <v/>
      </c>
      <c r="B2323" s="171" t="inlineStr">
        <is>
          <t>综合费(人工、管理、税金、利润等)</t>
        </is>
      </c>
      <c r="C2323" s="172" t="n"/>
      <c r="D2323" s="82" t="n"/>
      <c r="E2323" s="28" t="n"/>
      <c r="F2323" s="28" t="n"/>
      <c r="G2323" s="353" t="n"/>
      <c r="H2323" s="353">
        <f>2500</f>
        <v/>
      </c>
      <c r="I2323" s="45" t="inlineStr"/>
      <c r="J2323" s="392" t="n"/>
      <c r="K2323" s="393" t="n"/>
      <c r="L2323" s="141" t="n"/>
      <c r="M2323" s="394" t="n"/>
      <c r="N2323" s="143" t="n"/>
      <c r="O2323" s="144" t="n"/>
      <c r="P2323" s="395" t="n"/>
      <c r="Q2323" s="390" t="inlineStr">
        <is>
          <t>费用</t>
        </is>
      </c>
      <c r="R2323" s="164" t="inlineStr"/>
      <c r="S2323" s="164" t="inlineStr"/>
      <c r="T2323" s="164" t="inlineStr"/>
      <c r="U2323" s="164" t="inlineStr"/>
      <c r="V2323" s="391" t="n"/>
      <c r="W2323" s="391" t="n"/>
      <c r="X2323" s="166" t="inlineStr"/>
    </row>
    <row r="2324" customFormat="1" s="3">
      <c r="A2324" s="64">
        <f>ROW()-ROW(A$2299)</f>
        <v/>
      </c>
      <c r="B2324" s="82" t="inlineStr">
        <is>
          <t>单台合计</t>
        </is>
      </c>
      <c r="C2324" s="172" t="n"/>
      <c r="D2324" s="82" t="n"/>
      <c r="E2324" s="28" t="n"/>
      <c r="F2324" s="28" t="n"/>
      <c r="G2324" s="353" t="n"/>
      <c r="H2324" s="353">
        <f>ROUND(SUM(H2322:H2323),2)</f>
        <v/>
      </c>
      <c r="I2324" s="181" t="n"/>
      <c r="J2324" s="392" t="n"/>
      <c r="K2324" s="393">
        <f>ROUND(SUM(K2322:K2323),2)</f>
        <v/>
      </c>
      <c r="L2324" s="182" t="n"/>
      <c r="M2324" s="394" t="n"/>
      <c r="N2324" s="183" t="n"/>
      <c r="O2324" s="184" t="n"/>
      <c r="P2324" s="395" t="n"/>
      <c r="Q2324" s="390" t="n"/>
      <c r="R2324" s="164" t="inlineStr"/>
      <c r="S2324" s="164" t="inlineStr"/>
      <c r="T2324" s="164" t="inlineStr"/>
      <c r="U2324" s="164" t="inlineStr"/>
      <c r="V2324" s="391" t="n"/>
      <c r="W2324" s="391" t="n"/>
      <c r="X2324" s="166" t="inlineStr"/>
    </row>
    <row r="2325" customFormat="1" s="3">
      <c r="A2325" s="173" t="inlineStr">
        <is>
          <t>总计</t>
        </is>
      </c>
      <c r="B2325" s="174" t="n"/>
      <c r="C2325" s="175" t="n"/>
      <c r="D2325" s="176" t="n"/>
      <c r="E2325" s="176" t="inlineStr">
        <is>
          <t>台</t>
        </is>
      </c>
      <c r="F2325" s="176" t="n">
        <v>2</v>
      </c>
      <c r="G2325" s="403">
        <f>ROUND(H2324,2)</f>
        <v/>
      </c>
      <c r="H2325" s="403">
        <f>ROUND(F2325*G2325,2)</f>
        <v/>
      </c>
      <c r="I2325" s="185" t="n"/>
      <c r="J2325" s="404" t="n"/>
      <c r="K2325" s="405">
        <f>ROUND(K2324*F2325,2)</f>
        <v/>
      </c>
      <c r="L2325" s="188" t="n"/>
      <c r="M2325" s="406" t="n"/>
      <c r="N2325" s="190" t="n"/>
      <c r="O2325" s="191" t="n"/>
      <c r="P2325" s="407" t="n"/>
      <c r="Q2325" s="390" t="n"/>
      <c r="R2325" s="164" t="inlineStr"/>
      <c r="S2325" s="164" t="inlineStr"/>
      <c r="T2325" s="164" t="inlineStr"/>
      <c r="U2325" s="164" t="inlineStr"/>
      <c r="V2325" s="391" t="n"/>
      <c r="W2325" s="391" t="n"/>
      <c r="X2325" s="166" t="inlineStr"/>
    </row>
    <row r="2326" customFormat="1" s="2">
      <c r="A2326" s="89" t="n"/>
      <c r="B2326" s="132" t="inlineStr"/>
      <c r="C2326" s="132" t="inlineStr"/>
      <c r="D2326" s="132" t="inlineStr"/>
      <c r="Q2326" s="160" t="n"/>
      <c r="R2326" s="160" t="n"/>
      <c r="S2326" s="160" t="n"/>
      <c r="T2326" s="160" t="n"/>
      <c r="U2326" s="160" t="n"/>
      <c r="X2326" s="132" t="inlineStr"/>
    </row>
    <row r="2327" customFormat="1" s="2">
      <c r="A2327" s="89" t="n"/>
      <c r="B2327" s="132" t="inlineStr"/>
      <c r="C2327" s="132" t="inlineStr"/>
      <c r="D2327" s="132" t="inlineStr"/>
      <c r="Q2327" s="160" t="n"/>
      <c r="R2327" s="160" t="n"/>
      <c r="S2327" s="160" t="n"/>
      <c r="T2327" s="160" t="n"/>
      <c r="U2327" s="160" t="n"/>
      <c r="X2327" s="132" t="inlineStr"/>
    </row>
    <row r="2328" customFormat="1" s="3">
      <c r="A2328" s="92">
        <f>CONCATENATE("报价人：",项目信息!$B$8)</f>
        <v/>
      </c>
      <c r="B2328" s="92" t="n"/>
      <c r="C2328" s="2" t="n"/>
      <c r="D2328" s="2" t="n"/>
      <c r="E2328" s="2" t="n"/>
      <c r="F2328" s="2" t="n"/>
      <c r="G2328" s="2" t="n"/>
      <c r="H2328" s="178">
        <f>项目信息!$B$9</f>
        <v/>
      </c>
      <c r="Q2328" s="160" t="n"/>
      <c r="R2328" s="160" t="n"/>
      <c r="S2328" s="160" t="n"/>
      <c r="T2328" s="160" t="n"/>
      <c r="U2328" s="160" t="n"/>
      <c r="X2328" s="162" t="inlineStr"/>
    </row>
    <row r="2329" s="308">
      <c r="A2329" s="8">
        <f>T(项目信息!$B$22)</f>
        <v/>
      </c>
      <c r="Q2329" s="159" t="n"/>
      <c r="R2329" s="159" t="n"/>
      <c r="S2329" s="159" t="n"/>
      <c r="T2329" s="159" t="n"/>
      <c r="U2329" s="159" t="n"/>
    </row>
    <row r="2330" s="308">
      <c r="A2330" s="9">
        <f>T(项目信息!$B$23)</f>
        <v/>
      </c>
      <c r="Q2330" s="159" t="n"/>
      <c r="R2330" s="159" t="n"/>
      <c r="S2330" s="159" t="n"/>
      <c r="T2330" s="159" t="n"/>
      <c r="U2330" s="159" t="n"/>
    </row>
    <row r="2331" s="308">
      <c r="A2331" s="97" t="inlineStr">
        <is>
          <t>成套产品报价明细表</t>
        </is>
      </c>
      <c r="B2331" s="378" t="n"/>
      <c r="C2331" s="378" t="n"/>
      <c r="D2331" s="378" t="n"/>
      <c r="E2331" s="378" t="n"/>
      <c r="F2331" s="378" t="n"/>
      <c r="G2331" s="378" t="n"/>
      <c r="H2331" s="378" t="n"/>
      <c r="I2331" s="378" t="n"/>
      <c r="Q2331" s="159" t="n"/>
      <c r="R2331" s="159" t="n"/>
      <c r="S2331" s="159" t="n"/>
      <c r="T2331" s="159" t="n"/>
      <c r="U2331" s="159" t="n"/>
    </row>
    <row r="2332" customFormat="1" s="4">
      <c r="A2332" s="98" t="inlineStr">
        <is>
          <t>柜号:</t>
        </is>
      </c>
      <c r="B2332" s="99" t="inlineStr">
        <is>
          <t>T11-AU13、T11-AU14、T12-BU13、T12-BU14</t>
        </is>
      </c>
      <c r="C2332" s="100" t="inlineStr">
        <is>
          <t>型号:</t>
        </is>
      </c>
      <c r="D2332" s="99" t="inlineStr">
        <is>
          <t>BlokSeT</t>
        </is>
      </c>
      <c r="E2332" s="379" t="n"/>
      <c r="F2332" s="101" t="inlineStr">
        <is>
          <t>名称:</t>
        </is>
      </c>
      <c r="G2332" s="99" t="inlineStr">
        <is>
          <t>馈线柜</t>
        </is>
      </c>
      <c r="H2332" s="379" t="n"/>
      <c r="I2332" s="408" t="inlineStr"/>
      <c r="J2332" s="194" t="inlineStr">
        <is>
          <t>箱柜尺寸:</t>
        </is>
      </c>
      <c r="K2332" s="195" t="inlineStr">
        <is>
          <t>600W*1200D*2200H</t>
        </is>
      </c>
      <c r="L2332" s="194" t="inlineStr">
        <is>
          <t>类别:</t>
        </is>
      </c>
      <c r="M2332" s="195" t="inlineStr">
        <is>
          <t>低压固定柜</t>
        </is>
      </c>
      <c r="N2332" s="409" t="inlineStr"/>
      <c r="Q2332" s="159" t="n"/>
      <c r="R2332" s="159" t="n"/>
      <c r="S2332" s="159" t="n"/>
      <c r="T2332" s="159" t="n"/>
      <c r="U2332" s="159" t="n"/>
    </row>
    <row r="2333" ht="20.1" customHeight="1" s="308">
      <c r="A2333" s="102" t="inlineStr">
        <is>
          <t>序号</t>
        </is>
      </c>
      <c r="B2333" s="103" t="inlineStr">
        <is>
          <t>元件名称</t>
        </is>
      </c>
      <c r="C2333" s="103" t="inlineStr">
        <is>
          <t>型号规格</t>
        </is>
      </c>
      <c r="D2333" s="104" t="inlineStr">
        <is>
          <t>生产厂家</t>
        </is>
      </c>
      <c r="E2333" s="105" t="inlineStr">
        <is>
          <t>单位</t>
        </is>
      </c>
      <c r="F2333" s="105" t="inlineStr">
        <is>
          <t>数量</t>
        </is>
      </c>
      <c r="G2333" s="382" t="inlineStr">
        <is>
          <t>单   价</t>
        </is>
      </c>
      <c r="H2333" s="383" t="inlineStr">
        <is>
          <t>总   价</t>
        </is>
      </c>
      <c r="I2333" s="134" t="inlineStr">
        <is>
          <t>备注</t>
        </is>
      </c>
      <c r="J2333" s="384" t="inlineStr">
        <is>
          <t>成本单价</t>
        </is>
      </c>
      <c r="K2333" s="384" t="inlineStr">
        <is>
          <t>成本总价</t>
        </is>
      </c>
      <c r="L2333" s="136" t="inlineStr">
        <is>
          <t>报出
系数</t>
        </is>
      </c>
      <c r="M2333" s="384" t="inlineStr">
        <is>
          <t>表价</t>
        </is>
      </c>
      <c r="N2333" s="136" t="inlineStr">
        <is>
          <t>折扣
系数</t>
        </is>
      </c>
      <c r="O2333" s="137" t="inlineStr">
        <is>
          <t>取费
系数</t>
        </is>
      </c>
      <c r="P2333" s="384" t="inlineStr">
        <is>
          <t>成套费</t>
        </is>
      </c>
      <c r="Q2333" s="161" t="inlineStr">
        <is>
          <t>类别</t>
        </is>
      </c>
      <c r="R2333" s="161" t="inlineStr">
        <is>
          <t>物料编码</t>
        </is>
      </c>
      <c r="S2333" s="161" t="inlineStr">
        <is>
          <t>产地</t>
        </is>
      </c>
      <c r="T2333" s="161" t="inlineStr">
        <is>
          <t>加工费</t>
        </is>
      </c>
      <c r="U2333" s="161" t="inlineStr">
        <is>
          <t>订货号</t>
        </is>
      </c>
      <c r="V2333" s="161" t="inlineStr">
        <is>
          <t>人工</t>
        </is>
      </c>
      <c r="W2333" s="161" t="inlineStr">
        <is>
          <t>辅料</t>
        </is>
      </c>
      <c r="X2333" s="203" t="inlineStr"/>
    </row>
    <row r="2334" s="308">
      <c r="A2334" s="64">
        <f>ROW()-ROW(A$2333)</f>
        <v/>
      </c>
      <c r="B2334" s="22" t="inlineStr">
        <is>
          <t>塑壳断路器</t>
        </is>
      </c>
      <c r="C2334" s="22" t="inlineStr">
        <is>
          <t>NSX400H Mic2.3 400A 3P3D P</t>
        </is>
      </c>
      <c r="D2334" s="22" t="inlineStr">
        <is>
          <t>甲供/施耐德电气</t>
        </is>
      </c>
      <c r="E2334" s="23" t="inlineStr">
        <is>
          <t>只</t>
        </is>
      </c>
      <c r="F2334" s="23" t="n">
        <v>7</v>
      </c>
      <c r="G2334" s="349">
        <f>IF(AND(B2334="",C2334=""),"",ROUND(M2334*L2334*N2334,2))</f>
        <v/>
      </c>
      <c r="H2334" s="349">
        <f>IF(AND(B2334="",C2334=""),"",ROUND(F2334*G2334,2))</f>
        <v/>
      </c>
      <c r="I2334" s="45" t="inlineStr"/>
      <c r="J2334" s="397">
        <f>IF(AND(B2334="",C2334=""),"",ROUND(M2334*N2334,2))</f>
        <v/>
      </c>
      <c r="K2334" s="398">
        <f>IF(AND(B2334="",C2334=""),"",ROUND(J2334*F2334,2))</f>
        <v/>
      </c>
      <c r="L2334" s="200" t="n">
        <v>1</v>
      </c>
      <c r="M2334" s="399" t="n">
        <v>1e-07</v>
      </c>
      <c r="N2334" s="154" t="n">
        <v>1</v>
      </c>
      <c r="O2334" s="155">
        <f>IF(AND(B2334="",C2334=""),"",IF(G2334&gt;=20000,0.05,IF(G2334&gt;=10000,0.1,IF(G2334&gt;=5000,0.2,IF(G2334&gt;=1000,0.3,IF(G2334&gt;=0,0.4,{0}))))))</f>
        <v/>
      </c>
      <c r="P2334" s="400">
        <f>IF(AND(B2334="",C2334=""),"",ROUND(H2334*O2334,2))</f>
        <v/>
      </c>
      <c r="Q2334" s="401" t="inlineStr">
        <is>
          <t>元件</t>
        </is>
      </c>
      <c r="R2334" s="168" t="inlineStr"/>
      <c r="S2334" s="168" t="inlineStr"/>
      <c r="T2334" s="168" t="inlineStr">
        <is>
          <t>0</t>
        </is>
      </c>
      <c r="U2334" s="168" t="inlineStr"/>
      <c r="V2334" s="402" t="n"/>
      <c r="W2334" s="402" t="n"/>
      <c r="X2334" s="170" t="inlineStr"/>
    </row>
    <row r="2335" s="308">
      <c r="A2335" s="64">
        <f>ROW()-ROW(A$2333)</f>
        <v/>
      </c>
      <c r="B2335" s="22" t="inlineStr">
        <is>
          <t>电流互感器</t>
        </is>
      </c>
      <c r="C2335" s="22" t="inlineStr">
        <is>
          <t>SD-0.66-40II-C 400/5A</t>
        </is>
      </c>
      <c r="D2335" s="22" t="inlineStr">
        <is>
          <t>桑迪</t>
        </is>
      </c>
      <c r="E2335" s="23" t="inlineStr">
        <is>
          <t>只</t>
        </is>
      </c>
      <c r="F2335" s="23" t="n">
        <v>21</v>
      </c>
      <c r="G2335" s="349">
        <f>IF(AND(B2335="",C2335=""),"",ROUND(M2335*L2335*N2335,2))</f>
        <v/>
      </c>
      <c r="H2335" s="396">
        <f>IF(AND(B2335="",C2335=""),"",ROUND(F2335*G2335,2))</f>
        <v/>
      </c>
      <c r="I2335" s="219" t="inlineStr"/>
      <c r="J2335" s="397">
        <f>IF(AND(B2335="",C2335=""),"",ROUND(M2335*N2335,2))</f>
        <v/>
      </c>
      <c r="K2335" s="398">
        <f>IF(AND(B2335="",C2335=""),"",ROUND(J2335*F2335,2))</f>
        <v/>
      </c>
      <c r="L2335" s="200" t="n">
        <v>1</v>
      </c>
      <c r="M2335" s="399" t="n">
        <v>52</v>
      </c>
      <c r="N2335" s="154" t="n">
        <v>1</v>
      </c>
      <c r="O2335" s="155">
        <f>IF(AND(B2335="",C2335=""),"",IF(G2335&gt;=20000,0.05,IF(G2335&gt;=10000,0.1,IF(G2335&gt;=5000,0.2,IF(G2335&gt;=1000,0.3,IF(G2335&gt;=0,0.4,{0}))))))</f>
        <v/>
      </c>
      <c r="P2335" s="400">
        <f>IF(AND(B2335="",C2335=""),"",ROUND(H2335*O2335,2))</f>
        <v/>
      </c>
      <c r="Q2335" s="401" t="inlineStr">
        <is>
          <t>元件</t>
        </is>
      </c>
      <c r="R2335" s="168" t="inlineStr"/>
      <c r="S2335" s="168" t="inlineStr"/>
      <c r="T2335" s="168" t="inlineStr">
        <is>
          <t>0</t>
        </is>
      </c>
      <c r="U2335" s="168" t="inlineStr">
        <is>
          <t>710140200000049</t>
        </is>
      </c>
      <c r="V2335" s="402" t="n"/>
      <c r="W2335" s="402" t="n"/>
      <c r="X2335" s="170" t="inlineStr">
        <is>
          <t>SD→SD-0.66-40II-C 400/5A→SD-0.66-30I 250/5A→SD-0.66-30I 150/5A→SD-0.66-60II-C 750/5A→SD-0.66-60II-C 600/5A→SD-0.66-30I 150/5A→SD-0.66-40II-C 400/5A→SD-0.66-100II-C 1600/5A→SD-0.66-80II-V 1000/5A</t>
        </is>
      </c>
    </row>
    <row r="2336" s="308">
      <c r="A2336" s="64">
        <f>ROW()-ROW(A$2333)</f>
        <v/>
      </c>
      <c r="B2336" s="112" t="inlineStr">
        <is>
          <t>多功能表</t>
        </is>
      </c>
      <c r="C2336" s="112" t="inlineStr">
        <is>
          <t>PM4101</t>
        </is>
      </c>
      <c r="D2336" s="112" t="inlineStr">
        <is>
          <t>甲供/施耐德电气</t>
        </is>
      </c>
      <c r="E2336" s="114" t="inlineStr">
        <is>
          <t>只</t>
        </is>
      </c>
      <c r="F2336" s="114" t="n">
        <v>7</v>
      </c>
      <c r="G2336" s="396">
        <f>IF(AND(B2336="",C2336=""),"",ROUND(M2336*L2336*N2336,2))</f>
        <v/>
      </c>
      <c r="H2336" s="349">
        <f>IF(AND(B2336="",C2336=""),"",ROUND(F2336*G2336,2))</f>
        <v/>
      </c>
      <c r="I2336" s="45" t="inlineStr"/>
      <c r="J2336" s="397">
        <f>IF(AND(B2336="",C2336=""),"",ROUND(M2336*N2336,2))</f>
        <v/>
      </c>
      <c r="K2336" s="398">
        <f>IF(AND(B2336="",C2336=""),"",ROUND(J2336*F2336,2))</f>
        <v/>
      </c>
      <c r="L2336" s="200" t="n">
        <v>1</v>
      </c>
      <c r="M2336" s="399" t="n">
        <v>1e-07</v>
      </c>
      <c r="N2336" s="154" t="n">
        <v>1</v>
      </c>
      <c r="O2336" s="155">
        <f>IF(AND(B2336="",C2336=""),"",IF(J2336&gt;=20000,0.05,IF(J2336&gt;=10000,0.1,IF(J2336&gt;=5000,0.2,IF(J2336&gt;=1000,0.3,IF(J2336&gt;=0,0.4,{0}))))))</f>
        <v/>
      </c>
      <c r="P2336" s="400">
        <f>IF(AND(B2336="",C2336=""),"",ROUND(H2336*O2336,2))</f>
        <v/>
      </c>
      <c r="Q2336" s="401" t="inlineStr">
        <is>
          <t>元件</t>
        </is>
      </c>
      <c r="R2336" s="168" t="inlineStr"/>
      <c r="S2336" s="168" t="inlineStr"/>
      <c r="T2336" s="168" t="inlineStr">
        <is>
          <t>0</t>
        </is>
      </c>
      <c r="U2336" s="168" t="inlineStr"/>
      <c r="V2336" s="402" t="n"/>
      <c r="W2336" s="402" t="n"/>
      <c r="X2336" s="170" t="inlineStr"/>
    </row>
    <row r="2337" customFormat="1" s="3">
      <c r="A2337" s="64">
        <f>ROW()-ROW(A$2333)</f>
        <v/>
      </c>
      <c r="B2337" s="22" t="inlineStr">
        <is>
          <t>指示灯</t>
        </is>
      </c>
      <c r="C2337" s="22" t="inlineStr">
        <is>
          <t>XB2BVM3LC</t>
        </is>
      </c>
      <c r="D2337" s="22" t="inlineStr">
        <is>
          <t>甲供/施耐德电气</t>
        </is>
      </c>
      <c r="E2337" s="23" t="inlineStr">
        <is>
          <t>只</t>
        </is>
      </c>
      <c r="F2337" s="23" t="n">
        <v>7</v>
      </c>
      <c r="G2337" s="349">
        <f>IF(AND(B2337="",C2337=""),"",ROUND(M2337*L2337*N2337,2))</f>
        <v/>
      </c>
      <c r="H2337" s="353">
        <f>IF(AND(B2337="",C2337=""),"",ROUND(F2337*G2337,2))</f>
        <v/>
      </c>
      <c r="I2337" s="180" t="inlineStr"/>
      <c r="J2337" s="392">
        <f>IF(AND(B2337="",C2337=""),"",ROUND(M2337*N2337,2))</f>
        <v/>
      </c>
      <c r="K2337" s="393">
        <f>IF(AND(B2337="",C2337=""),"",ROUND(J2337*F2337,2))</f>
        <v/>
      </c>
      <c r="L2337" s="141" t="n">
        <v>1</v>
      </c>
      <c r="M2337" s="394" t="n">
        <v>1e-07</v>
      </c>
      <c r="N2337" s="220" t="n">
        <v>1</v>
      </c>
      <c r="O2337" s="221">
        <f>IF(AND(B2337="",C2337=""),"",IF(G2337&gt;=20000,0.05,IF(G2337&gt;=10000,0.1,IF(G2337&gt;=5000,0.2,IF(G2337&gt;=1000,0.3,IF(G2337&gt;=0,0.4,{0}))))))</f>
        <v/>
      </c>
      <c r="P2337" s="419">
        <f>IF(AND(B2337="",C2337=""),"",ROUND(H2337*O2337,2))</f>
        <v/>
      </c>
      <c r="Q2337" s="420" t="inlineStr">
        <is>
          <t>元件</t>
        </is>
      </c>
      <c r="R2337" s="231" t="inlineStr"/>
      <c r="S2337" s="231" t="inlineStr"/>
      <c r="T2337" s="231" t="inlineStr">
        <is>
          <t>0</t>
        </is>
      </c>
      <c r="U2337" s="231" t="inlineStr">
        <is>
          <t>XB2BVM3LC</t>
        </is>
      </c>
      <c r="V2337" s="421" t="n"/>
      <c r="W2337" s="421" t="n"/>
      <c r="X2337" s="166" t="inlineStr">
        <is>
          <t>XA2EVM3LC</t>
        </is>
      </c>
    </row>
    <row r="2338" customFormat="1" s="3">
      <c r="A2338" s="64">
        <f>ROW()-ROW(A$2333)</f>
        <v/>
      </c>
      <c r="B2338" s="22" t="inlineStr">
        <is>
          <t>指示灯</t>
        </is>
      </c>
      <c r="C2338" s="22" t="inlineStr">
        <is>
          <t>XB2BVM4LC</t>
        </is>
      </c>
      <c r="D2338" s="22" t="inlineStr">
        <is>
          <t>甲供/施耐德电气</t>
        </is>
      </c>
      <c r="E2338" s="23" t="inlineStr">
        <is>
          <t>只</t>
        </is>
      </c>
      <c r="F2338" s="23" t="n">
        <v>7</v>
      </c>
      <c r="G2338" s="349">
        <f>IF(AND(B2338="",C2338=""),"",ROUND(M2338*L2338*N2338,2))</f>
        <v/>
      </c>
      <c r="H2338" s="353">
        <f>IF(AND(B2338="",C2338=""),"",ROUND(F2338*G2338,2))</f>
        <v/>
      </c>
      <c r="I2338" s="180" t="inlineStr"/>
      <c r="J2338" s="392">
        <f>IF(AND(B2338="",C2338=""),"",ROUND(M2338*N2338,2))</f>
        <v/>
      </c>
      <c r="K2338" s="393">
        <f>IF(AND(B2338="",C2338=""),"",ROUND(J2338*F2338,2))</f>
        <v/>
      </c>
      <c r="L2338" s="141" t="n">
        <v>1</v>
      </c>
      <c r="M2338" s="394" t="n">
        <v>1e-07</v>
      </c>
      <c r="N2338" s="220" t="n">
        <v>1</v>
      </c>
      <c r="O2338" s="221">
        <f>IF(AND(B2338="",C2338=""),"",IF(G2338&gt;=20000,0.05,IF(G2338&gt;=10000,0.1,IF(G2338&gt;=5000,0.2,IF(G2338&gt;=1000,0.3,IF(G2338&gt;=0,0.4,{0}))))))</f>
        <v/>
      </c>
      <c r="P2338" s="419">
        <f>IF(AND(B2338="",C2338=""),"",ROUND(H2338*O2338,2))</f>
        <v/>
      </c>
      <c r="Q2338" s="420" t="inlineStr">
        <is>
          <t>元件</t>
        </is>
      </c>
      <c r="R2338" s="231" t="inlineStr"/>
      <c r="S2338" s="231" t="inlineStr"/>
      <c r="T2338" s="231" t="inlineStr">
        <is>
          <t>0</t>
        </is>
      </c>
      <c r="U2338" s="231" t="inlineStr">
        <is>
          <t>XB2BVM4LC</t>
        </is>
      </c>
      <c r="V2338" s="421" t="n"/>
      <c r="W2338" s="421" t="n"/>
      <c r="X2338" s="166" t="inlineStr">
        <is>
          <t>XA2EVM4LC</t>
        </is>
      </c>
    </row>
    <row r="2339" s="308">
      <c r="A2339" s="64">
        <f>ROW()-ROW(A$2333)</f>
        <v/>
      </c>
      <c r="B2339" s="112" t="inlineStr">
        <is>
          <t>温湿度控制器</t>
        </is>
      </c>
      <c r="C2339" s="112" t="inlineStr">
        <is>
          <t>ATH48G-11</t>
        </is>
      </c>
      <c r="D2339" s="22" t="inlineStr">
        <is>
          <t>杭州安廷</t>
        </is>
      </c>
      <c r="E2339" s="23" t="inlineStr">
        <is>
          <t>套</t>
        </is>
      </c>
      <c r="F2339" s="23" t="n">
        <v>1</v>
      </c>
      <c r="G2339" s="349">
        <f>IF(AND(B2339="",C2339=""),"",ROUND(M2339*L2339*N2339,2))</f>
        <v/>
      </c>
      <c r="H2339" s="396">
        <f>IF(AND(B2339="",C2339=""),"",ROUND(F2339*G2339,2))</f>
        <v/>
      </c>
      <c r="I2339" s="150" t="inlineStr"/>
      <c r="J2339" s="397">
        <f>IF(AND(B2339="",C2339=""),"",ROUND(M2339*N2339,2))</f>
        <v/>
      </c>
      <c r="K2339" s="398">
        <f>IF(AND(B2339="",C2339=""),"",ROUND(J2339*F2339,2))</f>
        <v/>
      </c>
      <c r="L2339" s="141" t="n">
        <v>1</v>
      </c>
      <c r="M2339" s="399" t="n">
        <v>450</v>
      </c>
      <c r="N2339" s="154" t="n">
        <v>1</v>
      </c>
      <c r="O2339" s="155">
        <f>IF(AND(B2339="",C2339=""),"",IF(G2339&gt;=20000,0.05,IF(G2339&gt;=10000,0.1,IF(G2339&gt;=5000,0.2,IF(G2339&gt;=1000,0.3,IF(G2339&gt;=0,0.4,{0}))))))</f>
        <v/>
      </c>
      <c r="P2339" s="400">
        <f>IF(AND(B2339="",C2339=""),"",ROUND(H2339*O2339,2))</f>
        <v/>
      </c>
      <c r="Q2339" s="401" t="inlineStr">
        <is>
          <t>元件</t>
        </is>
      </c>
      <c r="R2339" s="168" t="inlineStr"/>
      <c r="S2339" s="168" t="inlineStr"/>
      <c r="T2339" s="168" t="inlineStr">
        <is>
          <t>0</t>
        </is>
      </c>
      <c r="U2339" s="168" t="inlineStr"/>
      <c r="V2339" s="402" t="n"/>
      <c r="W2339" s="402" t="n"/>
      <c r="X2339" s="170" t="inlineStr"/>
    </row>
    <row r="2340" s="308">
      <c r="A2340" s="64">
        <f>ROW()-ROW(A$2333)</f>
        <v/>
      </c>
      <c r="B2340" s="22" t="inlineStr">
        <is>
          <t>中间继电器</t>
        </is>
      </c>
      <c r="C2340" s="22" t="inlineStr">
        <is>
          <t>RXM4AB2P7+RXZE2S114M+RXZ400</t>
        </is>
      </c>
      <c r="D2340" s="22" t="inlineStr">
        <is>
          <t>甲供/施耐德电气</t>
        </is>
      </c>
      <c r="E2340" s="23" t="inlineStr">
        <is>
          <t>只</t>
        </is>
      </c>
      <c r="F2340" s="23" t="n">
        <v>14</v>
      </c>
      <c r="G2340" s="349">
        <f>IF(AND(B2340="",C2340=""),"",ROUND(M2340*L2340*N2340,2))</f>
        <v/>
      </c>
      <c r="H2340" s="349">
        <f>IF(AND(B2340="",C2340=""),"",ROUND(F2340*G2340,2))</f>
        <v/>
      </c>
      <c r="I2340" s="45" t="inlineStr"/>
      <c r="J2340" s="397">
        <f>IF(AND(B2340="",C2340=""),"",ROUND(M2340*N2340,2))</f>
        <v/>
      </c>
      <c r="K2340" s="398">
        <f>IF(AND(B2340="",C2340=""),"",ROUND(J2340*F2340,2))</f>
        <v/>
      </c>
      <c r="L2340" s="141" t="n">
        <v>1</v>
      </c>
      <c r="M2340" s="399" t="n">
        <v>1e-07</v>
      </c>
      <c r="N2340" s="154" t="n">
        <v>1</v>
      </c>
      <c r="O2340" s="155">
        <f>IF(AND(B2340="",C2340=""),"",IF(G2340&gt;=20000,0.05,IF(G2340&gt;=10000,0.1,IF(G2340&gt;=5000,0.2,IF(G2340&gt;=1000,0.3,IF(G2340&gt;=0,0.4,{0}))))))</f>
        <v/>
      </c>
      <c r="P2340" s="400">
        <f>IF(AND(B2340="",C2340=""),"",ROUND(H2340*O2340,2))</f>
        <v/>
      </c>
      <c r="Q2340" s="401" t="inlineStr">
        <is>
          <t>元件</t>
        </is>
      </c>
      <c r="R2340" s="168" t="inlineStr"/>
      <c r="S2340" s="168" t="inlineStr"/>
      <c r="T2340" s="168" t="inlineStr">
        <is>
          <t>0</t>
        </is>
      </c>
      <c r="U2340" s="168" t="inlineStr">
        <is>
          <t>RXM4AB2P7+RXZE2S114M+RXZ400</t>
        </is>
      </c>
      <c r="V2340" s="402" t="n"/>
      <c r="W2340" s="402" t="n"/>
      <c r="X2340" s="170" t="inlineStr">
        <is>
          <t>REL-IR-BL/L-230AC/4X21，含底座→RXM4AB2P7+RXZE2S114M+RXZ400→REL-IR-BL/L-230AC/4X21，含底座</t>
        </is>
      </c>
    </row>
    <row r="2341" customFormat="1" s="3">
      <c r="A2341" s="64">
        <f>ROW()-ROW(A$2333)</f>
        <v/>
      </c>
      <c r="B2341" s="22" t="inlineStr">
        <is>
          <t>带熔丝端子</t>
        </is>
      </c>
      <c r="C2341" s="22" t="inlineStr">
        <is>
          <t>UK 5-HESI</t>
        </is>
      </c>
      <c r="D2341" s="22" t="inlineStr">
        <is>
          <t>菲尼克斯</t>
        </is>
      </c>
      <c r="E2341" s="23" t="inlineStr">
        <is>
          <t>只</t>
        </is>
      </c>
      <c r="F2341" s="23" t="n">
        <v>28</v>
      </c>
      <c r="G2341" s="349">
        <f>IF(AND(B2341="",C2341=""),"",ROUND(M2341*L2341*N2341,2))</f>
        <v/>
      </c>
      <c r="H2341" s="349">
        <f>IF(AND(B2341="",C2341=""),"",ROUND(F2341*G2341,2))</f>
        <v/>
      </c>
      <c r="I2341" s="45" t="inlineStr"/>
      <c r="J2341" s="392">
        <f>IF(AND(B2341="",C2341=""),"",ROUND(M2341*N2341,2))</f>
        <v/>
      </c>
      <c r="K2341" s="393">
        <f>IF(AND(B2341="",C2341=""),"",ROUND(J2341*F2341,2))</f>
        <v/>
      </c>
      <c r="L2341" s="141" t="n">
        <v>1</v>
      </c>
      <c r="M2341" s="394" t="n">
        <v>7</v>
      </c>
      <c r="N2341" s="220" t="n">
        <v>1</v>
      </c>
      <c r="O2341" s="221">
        <f>IF(AND(B2341="",C2341=""),"",IF(G2341&gt;=20000,0.05,IF(G2341&gt;=10000,0.1,IF(G2341&gt;=5000,0.2,IF(G2341&gt;=1000,0.3,IF(G2341&gt;=0,0.4,{0}))))))</f>
        <v/>
      </c>
      <c r="P2341" s="419">
        <f>IF(AND(B2341="",C2341=""),"",ROUND(H2341*O2341,2))</f>
        <v/>
      </c>
      <c r="Q2341" s="420" t="inlineStr">
        <is>
          <t>元件</t>
        </is>
      </c>
      <c r="R2341" s="231" t="inlineStr"/>
      <c r="S2341" s="231" t="inlineStr"/>
      <c r="T2341" s="231" t="inlineStr">
        <is>
          <t>0</t>
        </is>
      </c>
      <c r="U2341" s="231" t="inlineStr">
        <is>
          <t>True</t>
        </is>
      </c>
      <c r="V2341" s="421" t="n"/>
      <c r="W2341" s="421" t="n"/>
      <c r="X2341" s="166" t="inlineStr"/>
    </row>
    <row r="2342" s="308">
      <c r="A2342" s="64">
        <f>ROW()-ROW(A$2333)</f>
        <v/>
      </c>
      <c r="B2342" s="22" t="inlineStr">
        <is>
          <t>水平母排</t>
        </is>
      </c>
      <c r="C2342" s="22" t="inlineStr">
        <is>
          <t>TMY 4*(3*125*5)+2*50*5</t>
        </is>
      </c>
      <c r="D2342" s="22" t="inlineStr">
        <is>
          <t>国产优质</t>
        </is>
      </c>
      <c r="E2342" s="23" t="inlineStr">
        <is>
          <t>米</t>
        </is>
      </c>
      <c r="F2342" s="23" t="n">
        <v>0.7</v>
      </c>
      <c r="G2342" s="349">
        <f>IF(AND(B2342="",C2342=""),"",ROUND(M2342*L2342*N2342,2))</f>
        <v/>
      </c>
      <c r="H2342" s="349">
        <f>IF(AND(B2342="",C2342=""),"",ROUND(F2342*G2342,2))</f>
        <v/>
      </c>
      <c r="I2342" s="45" t="inlineStr"/>
      <c r="J2342" s="397">
        <f>IF(AND(B2342="",C2342=""),"",ROUND(M2342*N2342,2))</f>
        <v/>
      </c>
      <c r="K2342" s="398">
        <f>IF(AND(B2342="",C2342=""),"",ROUND(J2342*F2342,2))</f>
        <v/>
      </c>
      <c r="L2342" s="200" t="n">
        <v>1</v>
      </c>
      <c r="M2342" s="399" t="n">
        <v>7697.076</v>
      </c>
      <c r="N2342" s="154">
        <f>(6317.932*1*1+2684.8*1*1)/9002.732</f>
        <v/>
      </c>
      <c r="O2342" s="155">
        <f>IF(AND(B2342="",C2342=""),"",IF(J2342&gt;=20000,0.05,IF(J2342&gt;=10000,0.1,IF(J2342&gt;=5000,0.2,IF(J2342&gt;=1000,0.3,IF(J2342&gt;=0,0.4,{0}))))))</f>
        <v/>
      </c>
      <c r="P2342" s="400">
        <f>IF(AND(B2342="",C2342=""),"",ROUND(H2342*O2342,2))</f>
        <v/>
      </c>
      <c r="Q2342" s="401" t="inlineStr">
        <is>
          <t>母排</t>
        </is>
      </c>
      <c r="R2342" s="168" t="inlineStr"/>
      <c r="S2342" s="168" t="inlineStr"/>
      <c r="T2342" s="168" t="inlineStr">
        <is>
          <t>0</t>
        </is>
      </c>
      <c r="U2342" s="168" t="inlineStr"/>
      <c r="V2342" s="402" t="n"/>
      <c r="W2342" s="402" t="n"/>
      <c r="X2342" s="170" t="inlineStr"/>
    </row>
    <row r="2343" customFormat="1" s="5">
      <c r="A2343" s="64">
        <f>ROW()-ROW(A$2333)</f>
        <v/>
      </c>
      <c r="B2343" s="22" t="inlineStr">
        <is>
          <t>垂直排</t>
        </is>
      </c>
      <c r="C2343" s="22" t="inlineStr">
        <is>
          <t>TMY 3*3*80*5</t>
        </is>
      </c>
      <c r="D2343" s="22" t="inlineStr">
        <is>
          <t>国产优质</t>
        </is>
      </c>
      <c r="E2343" s="23" t="inlineStr">
        <is>
          <t>米</t>
        </is>
      </c>
      <c r="F2343" s="23" t="n">
        <v>2</v>
      </c>
      <c r="G2343" s="349">
        <f>IF(AND(B2343="",C2343=""),"",ROUND(M2343*L2343*N2343,2))</f>
        <v/>
      </c>
      <c r="H2343" s="349">
        <f>IF(AND(B2343="",C2343=""),"",ROUND(F2343*G2343,2))</f>
        <v/>
      </c>
      <c r="I2343" s="45" t="inlineStr"/>
      <c r="J2343" s="422">
        <f>IF(AND(B2343="",C2343=""),"",ROUND(M2343*N2343,2))</f>
        <v/>
      </c>
      <c r="K2343" s="423">
        <f>IF(AND(B2343="",C2343=""),"",ROUND(J2343*F2343,2))</f>
        <v/>
      </c>
      <c r="L2343" s="225" t="n">
        <v>1</v>
      </c>
      <c r="M2343" s="424" t="n">
        <v>3463.6842</v>
      </c>
      <c r="N2343" s="227" t="n">
        <v>1</v>
      </c>
      <c r="O2343" s="228">
        <f>IF(AND(B2343="",C2343=""),"",IF(G2343&gt;=20000,0.05,IF(G2343&gt;=10000,0.1,IF(G2343&gt;=5000,0.2,IF(G2343&gt;=1000,0.3,IF(G2343&gt;=0,0.4,{0}))))))</f>
        <v/>
      </c>
      <c r="P2343" s="425">
        <f>IF(AND(B2343="",C2343=""),"",ROUND(H2343*O2343,2))</f>
        <v/>
      </c>
      <c r="Q2343" s="426" t="inlineStr">
        <is>
          <t>母排</t>
        </is>
      </c>
      <c r="R2343" s="234" t="inlineStr"/>
      <c r="S2343" s="234" t="inlineStr"/>
      <c r="T2343" s="235" t="inlineStr">
        <is>
          <t>0</t>
        </is>
      </c>
      <c r="U2343" s="235" t="inlineStr"/>
      <c r="V2343" s="427" t="n"/>
      <c r="W2343" s="427" t="n"/>
      <c r="X2343" s="237" t="inlineStr">
        <is>
          <t>TMY 2*30*5→TMY 30*8</t>
        </is>
      </c>
    </row>
    <row r="2344" customFormat="1" s="5">
      <c r="A2344" s="64">
        <f>ROW()-ROW(A$2333)</f>
        <v/>
      </c>
      <c r="B2344" s="22" t="inlineStr">
        <is>
          <t>N排</t>
        </is>
      </c>
      <c r="C2344" s="22" t="inlineStr">
        <is>
          <t>TMY 3*80*5</t>
        </is>
      </c>
      <c r="D2344" s="22" t="inlineStr">
        <is>
          <t>国产优质</t>
        </is>
      </c>
      <c r="E2344" s="23" t="inlineStr">
        <is>
          <t>米</t>
        </is>
      </c>
      <c r="F2344" s="23" t="n">
        <v>3</v>
      </c>
      <c r="G2344" s="349">
        <f>IF(AND(B2344="",C2344=""),"",ROUND(M2344*L2344*N2344,2))</f>
        <v/>
      </c>
      <c r="H2344" s="349">
        <f>IF(AND(B2344="",C2344=""),"",ROUND(F2344*G2344,2))</f>
        <v/>
      </c>
      <c r="I2344" s="45" t="inlineStr"/>
      <c r="J2344" s="422">
        <f>IF(AND(B2344="",C2344=""),"",ROUND(M2344*N2344,2))</f>
        <v/>
      </c>
      <c r="K2344" s="423">
        <f>IF(AND(B2344="",C2344=""),"",ROUND(J2344*F2344,2))</f>
        <v/>
      </c>
      <c r="L2344" s="225" t="n">
        <v>1</v>
      </c>
      <c r="M2344" s="424" t="n">
        <v>1154.5614</v>
      </c>
      <c r="N2344" s="227" t="n">
        <v>1</v>
      </c>
      <c r="O2344" s="228">
        <f>IF(AND(B2344="",C2344=""),"",IF(G2344&gt;=20000,0.05,IF(G2344&gt;=10000,0.1,IF(G2344&gt;=5000,0.2,IF(G2344&gt;=1000,0.3,IF(G2344&gt;=0,0.4,{0}))))))</f>
        <v/>
      </c>
      <c r="P2344" s="425">
        <f>IF(AND(B2344="",C2344=""),"",ROUND(H2344*O2344,2))</f>
        <v/>
      </c>
      <c r="Q2344" s="426" t="inlineStr">
        <is>
          <t>母排</t>
        </is>
      </c>
      <c r="R2344" s="234" t="inlineStr"/>
      <c r="S2344" s="234" t="inlineStr"/>
      <c r="T2344" s="235" t="inlineStr">
        <is>
          <t>0</t>
        </is>
      </c>
      <c r="U2344" s="235" t="inlineStr"/>
      <c r="V2344" s="427" t="n"/>
      <c r="W2344" s="427" t="n"/>
      <c r="X2344" s="237" t="inlineStr">
        <is>
          <t>TMY 2*30*5→TMY 30*8</t>
        </is>
      </c>
    </row>
    <row r="2345" customFormat="1" s="5">
      <c r="A2345" s="64">
        <f>ROW()-ROW(A$2333)</f>
        <v/>
      </c>
      <c r="B2345" s="22" t="inlineStr">
        <is>
          <t>PE排</t>
        </is>
      </c>
      <c r="C2345" s="22" t="inlineStr">
        <is>
          <t>TMY 2*50*5</t>
        </is>
      </c>
      <c r="D2345" s="22" t="inlineStr">
        <is>
          <t>国产优质</t>
        </is>
      </c>
      <c r="E2345" s="23" t="inlineStr">
        <is>
          <t>米</t>
        </is>
      </c>
      <c r="F2345" s="23" t="n">
        <v>2</v>
      </c>
      <c r="G2345" s="349">
        <f>IF(AND(B2345="",C2345=""),"",ROUND(M2345*L2345*N2345,2))</f>
        <v/>
      </c>
      <c r="H2345" s="349">
        <f>IF(AND(B2345="",C2345=""),"",ROUND(F2345*G2345,2))</f>
        <v/>
      </c>
      <c r="I2345" s="45" t="inlineStr"/>
      <c r="J2345" s="422">
        <f>IF(AND(B2345="",C2345=""),"",ROUND(M2345*N2345,2))</f>
        <v/>
      </c>
      <c r="K2345" s="423">
        <f>IF(AND(B2345="",C2345=""),"",ROUND(J2345*F2345,2))</f>
        <v/>
      </c>
      <c r="L2345" s="225" t="n">
        <v>1</v>
      </c>
      <c r="M2345" s="424" t="n">
        <v>481.06725</v>
      </c>
      <c r="N2345" s="227" t="n">
        <v>1</v>
      </c>
      <c r="O2345" s="228">
        <f>IF(AND(B2345="",C2345=""),"",IF(G2345&gt;=20000,0.05,IF(G2345&gt;=10000,0.1,IF(G2345&gt;=5000,0.2,IF(G2345&gt;=1000,0.3,IF(G2345&gt;=0,0.4,{0}))))))</f>
        <v/>
      </c>
      <c r="P2345" s="425">
        <f>IF(AND(B2345="",C2345=""),"",ROUND(H2345*O2345,2))</f>
        <v/>
      </c>
      <c r="Q2345" s="426" t="inlineStr">
        <is>
          <t>母排</t>
        </is>
      </c>
      <c r="R2345" s="234" t="inlineStr"/>
      <c r="S2345" s="234" t="inlineStr"/>
      <c r="T2345" s="235" t="inlineStr">
        <is>
          <t>0</t>
        </is>
      </c>
      <c r="U2345" s="235" t="inlineStr"/>
      <c r="V2345" s="427" t="n"/>
      <c r="W2345" s="427" t="n"/>
      <c r="X2345" s="237" t="inlineStr">
        <is>
          <t>TMY 2*30*5→TMY 30*8</t>
        </is>
      </c>
    </row>
    <row r="2346" customFormat="1" s="5">
      <c r="A2346" s="64">
        <f>ROW()-ROW(A$2333)</f>
        <v/>
      </c>
      <c r="B2346" s="22" t="inlineStr">
        <is>
          <t>400A铜排</t>
        </is>
      </c>
      <c r="C2346" s="22" t="inlineStr">
        <is>
          <t>TMY 30*5</t>
        </is>
      </c>
      <c r="D2346" s="22" t="inlineStr">
        <is>
          <t>国产优质</t>
        </is>
      </c>
      <c r="E2346" s="23" t="inlineStr">
        <is>
          <t>米</t>
        </is>
      </c>
      <c r="F2346" s="23" t="n">
        <v>22.4</v>
      </c>
      <c r="G2346" s="349">
        <f>IF(AND(B2346="",C2346=""),"",ROUND(M2346*L2346*N2346,2))</f>
        <v/>
      </c>
      <c r="H2346" s="349">
        <f>IF(AND(B2346="",C2346=""),"",ROUND(F2346*G2346,2))</f>
        <v/>
      </c>
      <c r="I2346" s="45" t="inlineStr"/>
      <c r="J2346" s="422">
        <f>IF(AND(B2346="",C2346=""),"",ROUND(M2346*N2346,2))</f>
        <v/>
      </c>
      <c r="K2346" s="423">
        <f>IF(AND(B2346="",C2346=""),"",ROUND(J2346*F2346,2))</f>
        <v/>
      </c>
      <c r="L2346" s="225" t="n">
        <v>1</v>
      </c>
      <c r="M2346" s="424" t="n">
        <v>144.320175</v>
      </c>
      <c r="N2346" s="227" t="n">
        <v>1</v>
      </c>
      <c r="O2346" s="228">
        <f>IF(AND(B2346="",C2346=""),"",IF(G2346&gt;=20000,0.05,IF(G2346&gt;=10000,0.1,IF(G2346&gt;=5000,0.2,IF(G2346&gt;=1000,0.3,IF(G2346&gt;=0,0.4,{0}))))))</f>
        <v/>
      </c>
      <c r="P2346" s="425">
        <f>IF(AND(B2346="",C2346=""),"",ROUND(H2346*O2346,2))</f>
        <v/>
      </c>
      <c r="Q2346" s="426" t="inlineStr">
        <is>
          <t>母排</t>
        </is>
      </c>
      <c r="R2346" s="234" t="inlineStr"/>
      <c r="S2346" s="234" t="inlineStr"/>
      <c r="T2346" s="235" t="inlineStr">
        <is>
          <t>0</t>
        </is>
      </c>
      <c r="U2346" s="235" t="inlineStr"/>
      <c r="V2346" s="427" t="n"/>
      <c r="W2346" s="427" t="n"/>
      <c r="X2346" s="237" t="inlineStr">
        <is>
          <t>TMY 2*30*5→TMY 30*8</t>
        </is>
      </c>
    </row>
    <row r="2347" s="308">
      <c r="A2347" s="64">
        <f>ROW()-ROW(A$2333)</f>
        <v/>
      </c>
      <c r="B2347" s="112" t="inlineStr">
        <is>
          <t>辅料</t>
        </is>
      </c>
      <c r="C2347" s="112" t="inlineStr"/>
      <c r="D2347" s="112" t="inlineStr"/>
      <c r="E2347" s="114" t="inlineStr">
        <is>
          <t>套</t>
        </is>
      </c>
      <c r="F2347" s="114" t="n">
        <v>1</v>
      </c>
      <c r="G2347" s="396">
        <f>IF(AND(B2347="",C2347=""),"",ROUND(M2347*L2347*N2347,2))</f>
        <v/>
      </c>
      <c r="H2347" s="396">
        <f>IF(AND(B2347="",C2347=""),"",ROUND(F2347*G2347,2))</f>
        <v/>
      </c>
      <c r="I2347" s="219" t="inlineStr"/>
      <c r="J2347" s="397">
        <f>IF(AND(B2347="",C2347=""),"",ROUND(M2347*N2347,2))</f>
        <v/>
      </c>
      <c r="K2347" s="398">
        <f>IF(AND(B2347="",C2347=""),"",ROUND(J2347*F2347,2))</f>
        <v/>
      </c>
      <c r="L2347" s="200" t="n">
        <v>1</v>
      </c>
      <c r="M2347" s="399" t="n">
        <v>778.02</v>
      </c>
      <c r="N2347" s="154" t="n">
        <v>1</v>
      </c>
      <c r="O2347" s="155">
        <f>IF(AND(B2347="",C2347=""),"",IF(G2347&gt;=20000,0.05,IF(G2347&gt;=10000,0.1,IF(G2347&gt;=5000,0.2,IF(G2347&gt;=1000,0.3,IF(G2347&gt;=0,0.4,{0}))))))</f>
        <v/>
      </c>
      <c r="P2347" s="400">
        <f>IF(AND(B2347="",C2347=""),"",ROUND(H2347*O2347,2))</f>
        <v/>
      </c>
      <c r="Q2347" s="401" t="inlineStr">
        <is>
          <t>辅料</t>
        </is>
      </c>
      <c r="R2347" s="168" t="inlineStr"/>
      <c r="S2347" s="168" t="inlineStr"/>
      <c r="T2347" s="168" t="inlineStr">
        <is>
          <t>0</t>
        </is>
      </c>
      <c r="U2347" s="168" t="inlineStr"/>
      <c r="V2347" s="402" t="n"/>
      <c r="W2347" s="402" t="n"/>
      <c r="X2347" s="170" t="inlineStr"/>
    </row>
    <row r="2348" s="308">
      <c r="A2348" s="64">
        <f>ROW()-ROW(A$2333)</f>
        <v/>
      </c>
      <c r="B2348" s="112" t="inlineStr">
        <is>
          <t>柜体Blokset</t>
        </is>
      </c>
      <c r="C2348" s="22" t="inlineStr">
        <is>
          <t>600W*1200D*2200H</t>
        </is>
      </c>
      <c r="D2348" s="112" t="inlineStr">
        <is>
          <t>清科</t>
        </is>
      </c>
      <c r="E2348" s="114" t="inlineStr">
        <is>
          <t>台</t>
        </is>
      </c>
      <c r="F2348" s="114" t="n">
        <v>1</v>
      </c>
      <c r="G2348" s="396">
        <f>IF(AND(B2348="",C2348=""),"",ROUND(M2348*L2348*N2348,2))</f>
        <v/>
      </c>
      <c r="H2348" s="396">
        <f>IF(AND(B2348="",C2348=""),"",ROUND(F2348*G2348,2))</f>
        <v/>
      </c>
      <c r="I2348" s="219" t="inlineStr"/>
      <c r="J2348" s="397">
        <f>IF(AND(B2348="",C2348=""),"",ROUND(M2348*N2348,2))</f>
        <v/>
      </c>
      <c r="K2348" s="398">
        <f>IF(AND(B2348="",C2348=""),"",ROUND(J2348*F2348,2))</f>
        <v/>
      </c>
      <c r="L2348" s="200" t="n">
        <v>1</v>
      </c>
      <c r="M2348" s="399" t="n">
        <v>5770</v>
      </c>
      <c r="N2348" s="154" t="n">
        <v>1</v>
      </c>
      <c r="O2348" s="155">
        <f>IF(AND(B2348="",C2348=""),"",IF(G2348&gt;=20000,0.05,IF(G2348&gt;=10000,0.1,IF(G2348&gt;=5000,0.2,IF(G2348&gt;=1000,0.3,IF(G2348&gt;=0,0.4,{0}))))))</f>
        <v/>
      </c>
      <c r="P2348" s="400">
        <f>IF(AND(B2348="",C2348=""),"",ROUND(H2348*O2348,2))</f>
        <v/>
      </c>
      <c r="Q2348" s="401" t="inlineStr">
        <is>
          <t>箱体</t>
        </is>
      </c>
      <c r="R2348" s="168" t="inlineStr"/>
      <c r="S2348" s="168" t="inlineStr"/>
      <c r="T2348" s="168" t="inlineStr">
        <is>
          <t>0</t>
        </is>
      </c>
      <c r="U2348" s="168" t="inlineStr"/>
      <c r="V2348" s="402" t="n"/>
      <c r="W2348" s="402" t="n"/>
      <c r="X2348" s="170" t="inlineStr">
        <is>
          <t>BlokSeT</t>
        </is>
      </c>
    </row>
    <row r="2349" s="308">
      <c r="A2349" s="64">
        <f>ROW()-ROW(A$2333)</f>
        <v/>
      </c>
      <c r="B2349" s="22" t="inlineStr"/>
      <c r="C2349" s="22" t="inlineStr"/>
      <c r="D2349" s="22" t="inlineStr"/>
      <c r="E2349" s="23" t="n"/>
      <c r="F2349" s="23">
        <f>IF(AND(B2349="",C2349=""),"",1)</f>
        <v/>
      </c>
      <c r="G2349" s="349">
        <f>IF(AND(B2349="",C2349=""),"",ROUND(M2349*L2349*N2349,2))</f>
        <v/>
      </c>
      <c r="H2349" s="349">
        <f>IF(AND(B2349="",C2349=""),"",ROUND(F2349*G2349,2))</f>
        <v/>
      </c>
      <c r="I2349" s="45" t="inlineStr"/>
      <c r="J2349" s="397">
        <f>IF(AND(B2349="",C2349=""),"",ROUND(M2349*N2349,2))</f>
        <v/>
      </c>
      <c r="K2349" s="398">
        <f>IF(AND(B2349="",C2349=""),"",ROUND(J2349*F2349,2))</f>
        <v/>
      </c>
      <c r="L2349" s="200">
        <f>IF(AND(B2349="",C2349=""),"",1)</f>
        <v/>
      </c>
      <c r="M2349" s="399" t="n"/>
      <c r="N2349" s="154">
        <f>IF(AND(B2349="",C2349=""),"",1)</f>
        <v/>
      </c>
      <c r="O2349" s="155">
        <f>IF(AND(B2349="",C2349=""),"",IF(J2349&gt;=20000,0.05,IF(J2349&gt;=10000,0.1,IF(J2349&gt;=5000,0.2,IF(J2349&gt;=1000,0.3,IF(J2349&gt;=0,0.4,{0}))))))</f>
        <v/>
      </c>
      <c r="P2349" s="400">
        <f>IF(AND(B2349="",C2349=""),"",ROUND(H2349*O2349,2))</f>
        <v/>
      </c>
      <c r="Q2349" s="401">
        <f>IF(AND(B2349="",C2349=""),"","元件")</f>
        <v/>
      </c>
      <c r="R2349" s="168" t="inlineStr"/>
      <c r="S2349" s="168" t="inlineStr"/>
      <c r="T2349" s="168" t="inlineStr"/>
      <c r="U2349" s="168" t="inlineStr"/>
      <c r="V2349" s="402" t="n"/>
      <c r="W2349" s="402" t="n"/>
      <c r="X2349" s="170" t="inlineStr"/>
    </row>
    <row r="2350" s="308">
      <c r="A2350" s="64">
        <f>ROW()-ROW(A$2333)</f>
        <v/>
      </c>
      <c r="B2350" s="171" t="inlineStr">
        <is>
          <t>小计</t>
        </is>
      </c>
      <c r="C2350" s="172" t="n"/>
      <c r="D2350" s="204" t="n"/>
      <c r="E2350" s="114" t="n"/>
      <c r="F2350" s="114" t="n"/>
      <c r="G2350" s="396" t="n"/>
      <c r="H2350" s="396">
        <f>ROUND(SUM(H2333:INDEX(H:H,ROW()-1)),2)</f>
        <v/>
      </c>
      <c r="I2350" s="45" t="inlineStr"/>
      <c r="J2350" s="397" t="n"/>
      <c r="K2350" s="398">
        <f>ROUND(SUM(K2333:INDEX(K:K,ROW()-1)),2)</f>
        <v/>
      </c>
      <c r="L2350" s="200" t="n"/>
      <c r="M2350" s="399" t="n"/>
      <c r="N2350" s="154" t="n"/>
      <c r="O2350" s="155" t="n"/>
      <c r="P2350" s="400" t="n"/>
      <c r="Q2350" s="401" t="n"/>
      <c r="R2350" s="168" t="inlineStr"/>
      <c r="S2350" s="168" t="inlineStr"/>
      <c r="T2350" s="168" t="inlineStr"/>
      <c r="U2350" s="168" t="inlineStr"/>
      <c r="V2350" s="402">
        <f>ROUND(SUMPRODUCT(F2333:INDEX(F:F,ROW()-1),V2333:INDEX(V:V,ROW()-1)),2)</f>
        <v/>
      </c>
      <c r="W2350" s="402">
        <f>ROUND(SUMPRODUCT(F2333:INDEX(F:F,ROW()-1),W2333:INDEX(W:W,ROW()-1)),2)</f>
        <v/>
      </c>
      <c r="X2350" s="170" t="inlineStr"/>
    </row>
    <row r="2351" s="308">
      <c r="A2351" s="64">
        <f>ROW()-ROW(A$2333)</f>
        <v/>
      </c>
      <c r="B2351" s="171" t="inlineStr">
        <is>
          <t>综合费(人工、管理、税金、利润等)</t>
        </is>
      </c>
      <c r="C2351" s="172" t="n"/>
      <c r="D2351" s="204" t="n"/>
      <c r="E2351" s="114" t="n"/>
      <c r="F2351" s="114" t="n"/>
      <c r="G2351" s="396" t="n"/>
      <c r="H2351" s="396">
        <f>2500</f>
        <v/>
      </c>
      <c r="I2351" s="45" t="inlineStr"/>
      <c r="J2351" s="397" t="n"/>
      <c r="K2351" s="398" t="n"/>
      <c r="L2351" s="200" t="n"/>
      <c r="M2351" s="399" t="n"/>
      <c r="N2351" s="154" t="n"/>
      <c r="O2351" s="155" t="n"/>
      <c r="P2351" s="400" t="n"/>
      <c r="Q2351" s="401" t="inlineStr">
        <is>
          <t>费用</t>
        </is>
      </c>
      <c r="R2351" s="168" t="inlineStr"/>
      <c r="S2351" s="168" t="inlineStr"/>
      <c r="T2351" s="168" t="inlineStr"/>
      <c r="U2351" s="168" t="inlineStr"/>
      <c r="V2351" s="402" t="n"/>
      <c r="W2351" s="402" t="n"/>
      <c r="X2351" s="170" t="inlineStr"/>
    </row>
    <row r="2352" s="308">
      <c r="A2352" s="64">
        <f>ROW()-ROW(A$2333)</f>
        <v/>
      </c>
      <c r="B2352" s="204" t="inlineStr">
        <is>
          <t>单台合计</t>
        </is>
      </c>
      <c r="C2352" s="172" t="n"/>
      <c r="D2352" s="204" t="n"/>
      <c r="E2352" s="114" t="n"/>
      <c r="F2352" s="114" t="n"/>
      <c r="G2352" s="396" t="n"/>
      <c r="H2352" s="396">
        <f>ROUND(SUM(H2350:H2351),2)</f>
        <v/>
      </c>
      <c r="I2352" s="181" t="n"/>
      <c r="J2352" s="397" t="n"/>
      <c r="K2352" s="398">
        <f>ROUND(SUM(K2350:K2351),2)</f>
        <v/>
      </c>
      <c r="L2352" s="209" t="n"/>
      <c r="M2352" s="399" t="n"/>
      <c r="N2352" s="210" t="n"/>
      <c r="O2352" s="211" t="n"/>
      <c r="P2352" s="400" t="n"/>
      <c r="Q2352" s="401" t="n"/>
      <c r="R2352" s="168" t="inlineStr"/>
      <c r="S2352" s="168" t="inlineStr"/>
      <c r="T2352" s="168" t="inlineStr"/>
      <c r="U2352" s="168" t="inlineStr"/>
      <c r="V2352" s="402" t="n"/>
      <c r="W2352" s="402" t="n"/>
      <c r="X2352" s="170" t="inlineStr"/>
    </row>
    <row r="2353" s="308">
      <c r="A2353" s="173" t="inlineStr">
        <is>
          <t>总计</t>
        </is>
      </c>
      <c r="B2353" s="205" t="n"/>
      <c r="C2353" s="175" t="n"/>
      <c r="D2353" s="206" t="n"/>
      <c r="E2353" s="206" t="inlineStr">
        <is>
          <t>台</t>
        </is>
      </c>
      <c r="F2353" s="206" t="n">
        <v>4</v>
      </c>
      <c r="G2353" s="414">
        <f>ROUND(H2352,2)</f>
        <v/>
      </c>
      <c r="H2353" s="414">
        <f>ROUND(F2353*G2353,2)</f>
        <v/>
      </c>
      <c r="I2353" s="185" t="n"/>
      <c r="J2353" s="415" t="n"/>
      <c r="K2353" s="416">
        <f>ROUND(K2352*F2353,2)</f>
        <v/>
      </c>
      <c r="L2353" s="214" t="n"/>
      <c r="M2353" s="417" t="n"/>
      <c r="N2353" s="216" t="n"/>
      <c r="O2353" s="217" t="n"/>
      <c r="P2353" s="418" t="n"/>
      <c r="Q2353" s="401" t="n"/>
      <c r="R2353" s="168" t="inlineStr"/>
      <c r="S2353" s="168" t="inlineStr"/>
      <c r="T2353" s="168" t="inlineStr"/>
      <c r="U2353" s="168" t="inlineStr"/>
      <c r="V2353" s="402" t="n"/>
      <c r="W2353" s="402" t="n"/>
      <c r="X2353" s="170" t="inlineStr"/>
    </row>
    <row r="2354" customFormat="1" s="4">
      <c r="A2354" s="6" t="n"/>
      <c r="B2354" s="195" t="inlineStr"/>
      <c r="C2354" s="195" t="inlineStr"/>
      <c r="D2354" s="195" t="inlineStr"/>
      <c r="Q2354" s="159" t="n"/>
      <c r="R2354" s="159" t="n"/>
      <c r="S2354" s="159" t="n"/>
      <c r="T2354" s="159" t="n"/>
      <c r="U2354" s="159" t="n"/>
      <c r="X2354" s="195" t="inlineStr"/>
    </row>
    <row r="2355" customFormat="1" s="4">
      <c r="A2355" s="6" t="n"/>
      <c r="B2355" s="195" t="inlineStr"/>
      <c r="C2355" s="195" t="inlineStr"/>
      <c r="D2355" s="195" t="inlineStr"/>
      <c r="Q2355" s="159" t="n"/>
      <c r="R2355" s="159" t="n"/>
      <c r="S2355" s="159" t="n"/>
      <c r="T2355" s="159" t="n"/>
      <c r="U2355" s="159" t="n"/>
      <c r="X2355" s="195" t="inlineStr"/>
    </row>
    <row r="2356" s="308">
      <c r="A2356" s="208">
        <f>CONCATENATE("报价人：",项目信息!$B$8)</f>
        <v/>
      </c>
      <c r="B2356" s="208" t="n"/>
      <c r="C2356" s="4" t="n"/>
      <c r="D2356" s="4" t="n"/>
      <c r="E2356" s="4" t="n"/>
      <c r="F2356" s="4" t="n"/>
      <c r="G2356" s="4" t="n"/>
      <c r="H2356" s="178">
        <f>项目信息!$B$9</f>
        <v/>
      </c>
      <c r="Q2356" s="159" t="n"/>
      <c r="R2356" s="159" t="n"/>
      <c r="S2356" s="159" t="n"/>
      <c r="T2356" s="159" t="n"/>
      <c r="U2356" s="159" t="n"/>
      <c r="X2356" s="203" t="inlineStr"/>
    </row>
    <row r="2357" s="308">
      <c r="A2357" s="8">
        <f>T(项目信息!$B$22)</f>
        <v/>
      </c>
      <c r="Q2357" s="159" t="n"/>
      <c r="R2357" s="159" t="n"/>
      <c r="S2357" s="159" t="n"/>
      <c r="T2357" s="159" t="n"/>
      <c r="U2357" s="159" t="n"/>
    </row>
    <row r="2358" s="308">
      <c r="A2358" s="9">
        <f>T(项目信息!$B$23)</f>
        <v/>
      </c>
      <c r="Q2358" s="159" t="n"/>
      <c r="R2358" s="159" t="n"/>
      <c r="S2358" s="159" t="n"/>
      <c r="T2358" s="159" t="n"/>
      <c r="U2358" s="159" t="n"/>
    </row>
    <row r="2359" s="308">
      <c r="A2359" s="97" t="inlineStr">
        <is>
          <t>成套产品报价明细表</t>
        </is>
      </c>
      <c r="B2359" s="378" t="n"/>
      <c r="C2359" s="378" t="n"/>
      <c r="D2359" s="378" t="n"/>
      <c r="E2359" s="378" t="n"/>
      <c r="F2359" s="378" t="n"/>
      <c r="G2359" s="378" t="n"/>
      <c r="H2359" s="378" t="n"/>
      <c r="I2359" s="378" t="n"/>
      <c r="Q2359" s="159" t="n"/>
      <c r="R2359" s="159" t="n"/>
      <c r="S2359" s="159" t="n"/>
      <c r="T2359" s="159" t="n"/>
      <c r="U2359" s="159" t="n"/>
    </row>
    <row r="2360" customFormat="1" s="4">
      <c r="A2360" s="98" t="inlineStr">
        <is>
          <t>柜号:</t>
        </is>
      </c>
      <c r="B2360" s="99" t="inlineStr">
        <is>
          <t>T11-AU21、T12-BU21</t>
        </is>
      </c>
      <c r="C2360" s="100" t="inlineStr">
        <is>
          <t>型号:</t>
        </is>
      </c>
      <c r="D2360" s="99" t="inlineStr">
        <is>
          <t>BlokSeT</t>
        </is>
      </c>
      <c r="E2360" s="379" t="n"/>
      <c r="F2360" s="101" t="inlineStr">
        <is>
          <t>名称:</t>
        </is>
      </c>
      <c r="G2360" s="99" t="inlineStr">
        <is>
          <t>进线柜</t>
        </is>
      </c>
      <c r="H2360" s="379" t="n"/>
      <c r="I2360" s="408" t="inlineStr"/>
      <c r="J2360" s="194" t="inlineStr">
        <is>
          <t>箱柜尺寸:</t>
        </is>
      </c>
      <c r="K2360" s="195" t="inlineStr">
        <is>
          <t>400W*1200D*2200H</t>
        </is>
      </c>
      <c r="L2360" s="194" t="inlineStr">
        <is>
          <t>类别:</t>
        </is>
      </c>
      <c r="M2360" s="195" t="inlineStr">
        <is>
          <t>低压固定柜</t>
        </is>
      </c>
      <c r="N2360" s="409" t="inlineStr"/>
      <c r="Q2360" s="159" t="n"/>
      <c r="R2360" s="159" t="n"/>
      <c r="S2360" s="159" t="n"/>
      <c r="T2360" s="159" t="n"/>
      <c r="U2360" s="159" t="n"/>
    </row>
    <row r="2361" ht="20.1" customHeight="1" s="308">
      <c r="A2361" s="102" t="inlineStr">
        <is>
          <t>序号</t>
        </is>
      </c>
      <c r="B2361" s="103" t="inlineStr">
        <is>
          <t>元件名称</t>
        </is>
      </c>
      <c r="C2361" s="103" t="inlineStr">
        <is>
          <t>型号规格</t>
        </is>
      </c>
      <c r="D2361" s="104" t="inlineStr">
        <is>
          <t>生产厂家</t>
        </is>
      </c>
      <c r="E2361" s="105" t="inlineStr">
        <is>
          <t>单位</t>
        </is>
      </c>
      <c r="F2361" s="105" t="inlineStr">
        <is>
          <t>数量</t>
        </is>
      </c>
      <c r="G2361" s="382" t="inlineStr">
        <is>
          <t>单   价</t>
        </is>
      </c>
      <c r="H2361" s="383" t="inlineStr">
        <is>
          <t>总   价</t>
        </is>
      </c>
      <c r="I2361" s="134" t="inlineStr">
        <is>
          <t>备注</t>
        </is>
      </c>
      <c r="J2361" s="384" t="inlineStr">
        <is>
          <t>成本单价</t>
        </is>
      </c>
      <c r="K2361" s="384" t="inlineStr">
        <is>
          <t>成本总价</t>
        </is>
      </c>
      <c r="L2361" s="136" t="inlineStr">
        <is>
          <t>报出
系数</t>
        </is>
      </c>
      <c r="M2361" s="384" t="inlineStr">
        <is>
          <t>表价</t>
        </is>
      </c>
      <c r="N2361" s="136" t="inlineStr">
        <is>
          <t>折扣
系数</t>
        </is>
      </c>
      <c r="O2361" s="137" t="inlineStr">
        <is>
          <t>取费
系数</t>
        </is>
      </c>
      <c r="P2361" s="384" t="inlineStr">
        <is>
          <t>成套费</t>
        </is>
      </c>
      <c r="Q2361" s="161" t="inlineStr">
        <is>
          <t>类别</t>
        </is>
      </c>
      <c r="R2361" s="161" t="inlineStr">
        <is>
          <t>物料编码</t>
        </is>
      </c>
      <c r="S2361" s="161" t="inlineStr">
        <is>
          <t>产地</t>
        </is>
      </c>
      <c r="T2361" s="161" t="inlineStr">
        <is>
          <t>加工费</t>
        </is>
      </c>
      <c r="U2361" s="161" t="inlineStr">
        <is>
          <t>订货号</t>
        </is>
      </c>
      <c r="V2361" s="161" t="inlineStr">
        <is>
          <t>人工</t>
        </is>
      </c>
      <c r="W2361" s="161" t="inlineStr">
        <is>
          <t>辅料</t>
        </is>
      </c>
      <c r="X2361" s="203" t="inlineStr"/>
    </row>
    <row r="2362" s="308">
      <c r="A2362" s="64">
        <f>ROW()-ROW(A$2361)</f>
        <v/>
      </c>
      <c r="B2362" s="22" t="inlineStr">
        <is>
          <t>框架断路器</t>
        </is>
      </c>
      <c r="C2362" s="22" t="inlineStr">
        <is>
          <t>MT12 N1b SG 3P MIC5.0 E</t>
        </is>
      </c>
      <c r="D2362" s="22" t="inlineStr">
        <is>
          <t>甲供/施耐德电气</t>
        </is>
      </c>
      <c r="E2362" s="23" t="inlineStr">
        <is>
          <t>只</t>
        </is>
      </c>
      <c r="F2362" s="23" t="n">
        <v>1</v>
      </c>
      <c r="G2362" s="349">
        <f>IF(AND(B2362="",C2362=""),"",ROUND(M2362*L2362*N2362,2))</f>
        <v/>
      </c>
      <c r="H2362" s="349">
        <f>IF(AND(B2362="",C2362=""),"",ROUND(F2362*G2362,2))</f>
        <v/>
      </c>
      <c r="I2362" s="45" t="inlineStr"/>
      <c r="J2362" s="397">
        <f>IF(AND(B2362="",C2362=""),"",ROUND(M2362*N2362,2))</f>
        <v/>
      </c>
      <c r="K2362" s="398">
        <f>IF(AND(B2362="",C2362=""),"",ROUND(J2362*F2362,2))</f>
        <v/>
      </c>
      <c r="L2362" s="200" t="n">
        <v>1</v>
      </c>
      <c r="M2362" s="399" t="n">
        <v>1e-07</v>
      </c>
      <c r="N2362" s="154" t="n">
        <v>1</v>
      </c>
      <c r="O2362" s="155">
        <f>IF(AND(B2362="",C2362=""),"",IF(G2362&gt;=20000,0.05,IF(G2362&gt;=10000,0.1,IF(G2362&gt;=5000,0.2,IF(G2362&gt;=1000,0.3,IF(G2362&gt;=0,0.4,{0}))))))</f>
        <v/>
      </c>
      <c r="P2362" s="400">
        <f>IF(AND(B2362="",C2362=""),"",ROUND(H2362*O2362,2))</f>
        <v/>
      </c>
      <c r="Q2362" s="401" t="inlineStr">
        <is>
          <t>元件</t>
        </is>
      </c>
      <c r="R2362" s="168" t="inlineStr"/>
      <c r="S2362" s="168" t="inlineStr"/>
      <c r="T2362" s="168" t="inlineStr">
        <is>
          <t>0</t>
        </is>
      </c>
      <c r="U2362" s="168" t="inlineStr">
        <is>
          <t>C16F32D160</t>
        </is>
      </c>
      <c r="V2362" s="402" t="n"/>
      <c r="W2362" s="402" t="n"/>
      <c r="X2362" s="170" t="inlineStr">
        <is>
          <t>NSX630N Mic2.3 630A 3P3D F→NSX630F MIC2.3 630 3P F→NSX630F MIC 2.3 630 3P F</t>
        </is>
      </c>
    </row>
    <row r="2363" s="308">
      <c r="A2363" s="64">
        <f>ROW()-ROW(A$2361)</f>
        <v/>
      </c>
      <c r="B2363" s="22" t="inlineStr">
        <is>
          <t>框架断路器</t>
        </is>
      </c>
      <c r="C2363" s="22" t="inlineStr">
        <is>
          <t>MT12 N1a SG 3P MIC5.0 E</t>
        </is>
      </c>
      <c r="D2363" s="22" t="inlineStr">
        <is>
          <t>甲供/施耐德电气</t>
        </is>
      </c>
      <c r="E2363" s="23" t="inlineStr">
        <is>
          <t>只</t>
        </is>
      </c>
      <c r="F2363" s="23" t="n">
        <v>1</v>
      </c>
      <c r="G2363" s="349">
        <f>IF(AND(B2363="",C2363=""),"",ROUND(M2363*L2363*N2363,2))</f>
        <v/>
      </c>
      <c r="H2363" s="349">
        <f>IF(AND(B2363="",C2363=""),"",ROUND(F2363*G2363,2))</f>
        <v/>
      </c>
      <c r="I2363" s="45" t="inlineStr"/>
      <c r="J2363" s="397">
        <f>IF(AND(B2363="",C2363=""),"",ROUND(M2363*N2363,2))</f>
        <v/>
      </c>
      <c r="K2363" s="398">
        <f>IF(AND(B2363="",C2363=""),"",ROUND(J2363*F2363,2))</f>
        <v/>
      </c>
      <c r="L2363" s="200" t="n">
        <v>1</v>
      </c>
      <c r="M2363" s="399" t="n">
        <v>1e-07</v>
      </c>
      <c r="N2363" s="154" t="n">
        <v>1</v>
      </c>
      <c r="O2363" s="155">
        <f>IF(AND(B2363="",C2363=""),"",IF(G2363&gt;=20000,0.05,IF(G2363&gt;=10000,0.1,IF(G2363&gt;=5000,0.2,IF(G2363&gt;=1000,0.3,IF(G2363&gt;=0,0.4,{0}))))))</f>
        <v/>
      </c>
      <c r="P2363" s="400">
        <f>IF(AND(B2363="",C2363=""),"",ROUND(H2363*O2363,2))</f>
        <v/>
      </c>
      <c r="Q2363" s="401" t="inlineStr">
        <is>
          <t>元件</t>
        </is>
      </c>
      <c r="R2363" s="168" t="inlineStr"/>
      <c r="S2363" s="168" t="inlineStr"/>
      <c r="T2363" s="168" t="inlineStr">
        <is>
          <t>0</t>
        </is>
      </c>
      <c r="U2363" s="168" t="inlineStr">
        <is>
          <t>C16F32D160</t>
        </is>
      </c>
      <c r="V2363" s="402" t="n"/>
      <c r="W2363" s="402" t="n"/>
      <c r="X2363" s="170" t="inlineStr">
        <is>
          <t>NSX630N Mic2.3 630A 3P3D F→NSX630F MIC2.3 630 3P F→NSX630F MIC 2.3 630 3P F</t>
        </is>
      </c>
    </row>
    <row r="2364" s="308">
      <c r="A2364" s="64">
        <f>ROW()-ROW(A$2361)</f>
        <v/>
      </c>
      <c r="B2364" s="22" t="inlineStr">
        <is>
          <t>电流互感器</t>
        </is>
      </c>
      <c r="C2364" s="22" t="inlineStr">
        <is>
          <t>SD-0.66-80II-V 1250/5A</t>
        </is>
      </c>
      <c r="D2364" s="22" t="inlineStr">
        <is>
          <t>桑迪</t>
        </is>
      </c>
      <c r="E2364" s="23" t="inlineStr">
        <is>
          <t>只</t>
        </is>
      </c>
      <c r="F2364" s="23" t="n">
        <v>6</v>
      </c>
      <c r="G2364" s="349">
        <f>IF(AND(B2364="",C2364=""),"",ROUND(M2364*L2364*N2364,2))</f>
        <v/>
      </c>
      <c r="H2364" s="396">
        <f>IF(AND(B2364="",C2364=""),"",ROUND(F2364*G2364,2))</f>
        <v/>
      </c>
      <c r="I2364" s="219" t="inlineStr"/>
      <c r="J2364" s="397">
        <f>IF(AND(B2364="",C2364=""),"",ROUND(M2364*N2364,2))</f>
        <v/>
      </c>
      <c r="K2364" s="398">
        <f>IF(AND(B2364="",C2364=""),"",ROUND(J2364*F2364,2))</f>
        <v/>
      </c>
      <c r="L2364" s="200" t="n">
        <v>1</v>
      </c>
      <c r="M2364" s="399" t="n">
        <v>115.7</v>
      </c>
      <c r="N2364" s="154" t="n">
        <v>1</v>
      </c>
      <c r="O2364" s="155">
        <f>IF(AND(B2364="",C2364=""),"",IF(G2364&gt;=20000,0.05,IF(G2364&gt;=10000,0.1,IF(G2364&gt;=5000,0.2,IF(G2364&gt;=1000,0.3,IF(G2364&gt;=0,0.4,{0}))))))</f>
        <v/>
      </c>
      <c r="P2364" s="400">
        <f>IF(AND(B2364="",C2364=""),"",ROUND(H2364*O2364,2))</f>
        <v/>
      </c>
      <c r="Q2364" s="401" t="inlineStr">
        <is>
          <t>元件</t>
        </is>
      </c>
      <c r="R2364" s="168" t="inlineStr"/>
      <c r="S2364" s="168" t="inlineStr"/>
      <c r="T2364" s="168" t="inlineStr">
        <is>
          <t>0</t>
        </is>
      </c>
      <c r="U2364" s="168" t="inlineStr">
        <is>
          <t>710141426552500</t>
        </is>
      </c>
      <c r="V2364" s="402" t="n"/>
      <c r="W2364" s="402" t="n"/>
      <c r="X2364" s="170" t="inlineStr">
        <is>
          <t>SD→SD-0.66-40II-C 400/5A→SD-0.66-30I 250/5A→SD-0.66-30I 150/5A→SD-0.66-60II-C 750/5A→SD-0.66-60II-C 600/5A→SD-0.66-30I 150/5A→SD-0.66-40II-C 400/5A→SD-0.66-100II-C 1600/5A→SD-0.66-80II-V 1000/5A→SD-0.66-80II-V 1250/5A→SD-0.66-80II-V 1000/5A</t>
        </is>
      </c>
    </row>
    <row r="2365" s="308">
      <c r="A2365" s="64">
        <f>ROW()-ROW(A$2361)</f>
        <v/>
      </c>
      <c r="B2365" s="112" t="inlineStr">
        <is>
          <t>多功能表</t>
        </is>
      </c>
      <c r="C2365" s="112" t="inlineStr">
        <is>
          <t>PM4101</t>
        </is>
      </c>
      <c r="D2365" s="112" t="inlineStr">
        <is>
          <t>甲供/施耐德电气</t>
        </is>
      </c>
      <c r="E2365" s="114" t="inlineStr">
        <is>
          <t>只</t>
        </is>
      </c>
      <c r="F2365" s="114" t="n">
        <v>2</v>
      </c>
      <c r="G2365" s="396">
        <f>IF(AND(B2365="",C2365=""),"",ROUND(M2365*L2365*N2365,2))</f>
        <v/>
      </c>
      <c r="H2365" s="349">
        <f>IF(AND(B2365="",C2365=""),"",ROUND(F2365*G2365,2))</f>
        <v/>
      </c>
      <c r="I2365" s="45" t="inlineStr"/>
      <c r="J2365" s="397">
        <f>IF(AND(B2365="",C2365=""),"",ROUND(M2365*N2365,2))</f>
        <v/>
      </c>
      <c r="K2365" s="398">
        <f>IF(AND(B2365="",C2365=""),"",ROUND(J2365*F2365,2))</f>
        <v/>
      </c>
      <c r="L2365" s="200" t="n">
        <v>1</v>
      </c>
      <c r="M2365" s="399" t="n">
        <v>1e-07</v>
      </c>
      <c r="N2365" s="154" t="n">
        <v>1</v>
      </c>
      <c r="O2365" s="155">
        <f>IF(AND(B2365="",C2365=""),"",IF(J2365&gt;=20000,0.05,IF(J2365&gt;=10000,0.1,IF(J2365&gt;=5000,0.2,IF(J2365&gt;=1000,0.3,IF(J2365&gt;=0,0.4,{0}))))))</f>
        <v/>
      </c>
      <c r="P2365" s="400">
        <f>IF(AND(B2365="",C2365=""),"",ROUND(H2365*O2365,2))</f>
        <v/>
      </c>
      <c r="Q2365" s="401" t="inlineStr">
        <is>
          <t>元件</t>
        </is>
      </c>
      <c r="R2365" s="168" t="inlineStr"/>
      <c r="S2365" s="168" t="inlineStr"/>
      <c r="T2365" s="168" t="inlineStr">
        <is>
          <t>0</t>
        </is>
      </c>
      <c r="U2365" s="168" t="inlineStr"/>
      <c r="V2365" s="402" t="n"/>
      <c r="W2365" s="402" t="n"/>
      <c r="X2365" s="170" t="inlineStr"/>
    </row>
    <row r="2366" customFormat="1" s="3">
      <c r="A2366" s="64">
        <f>ROW()-ROW(A$2361)</f>
        <v/>
      </c>
      <c r="B2366" s="27" t="inlineStr">
        <is>
          <t>后备保护器</t>
        </is>
      </c>
      <c r="C2366" s="22" t="inlineStr">
        <is>
          <t>iSCB2 40H2 4P</t>
        </is>
      </c>
      <c r="D2366" s="22" t="inlineStr">
        <is>
          <t>甲供/施耐德万高</t>
        </is>
      </c>
      <c r="E2366" s="110" t="inlineStr">
        <is>
          <t>只</t>
        </is>
      </c>
      <c r="F2366" s="23" t="n">
        <v>1</v>
      </c>
      <c r="G2366" s="349">
        <f>IF(AND(B2366="",C2366=""),"",ROUND(M2366*L2366*N2366,2))</f>
        <v/>
      </c>
      <c r="H2366" s="349">
        <f>IF(AND(B2366="",C2366=""),"",ROUND(F2366*G2366,2))</f>
        <v/>
      </c>
      <c r="I2366" s="45" t="inlineStr"/>
      <c r="J2366" s="392">
        <f>IF(AND(B2366="",C2366=""),"",ROUND(M2366*N2366,2))</f>
        <v/>
      </c>
      <c r="K2366" s="393">
        <f>IF(AND(B2366="",C2366=""),"",ROUND(J2366*F2366,2))</f>
        <v/>
      </c>
      <c r="L2366" s="141" t="n">
        <v>1</v>
      </c>
      <c r="M2366" s="394" t="n">
        <v>1e-07</v>
      </c>
      <c r="N2366" s="143" t="n">
        <v>1</v>
      </c>
      <c r="O2366" s="144">
        <f>IF(AND(B2366="",C2366=""),"",IF(G2366&gt;=20000,0.05,IF(G2366&gt;=10000,0.1,IF(G2366&gt;=5000,0.2,IF(G2366&gt;=1000,0.3,IF(G2366&gt;=0,0.4,{0}))))))</f>
        <v/>
      </c>
      <c r="P2366" s="395">
        <f>IF(AND(B2366="",C2366=""),"",ROUND(H2366*O2366,2))</f>
        <v/>
      </c>
      <c r="Q2366" s="390" t="inlineStr">
        <is>
          <t>元件</t>
        </is>
      </c>
      <c r="R2366" s="164" t="inlineStr"/>
      <c r="S2366" s="164" t="inlineStr"/>
      <c r="T2366" s="164" t="inlineStr">
        <is>
          <t>0</t>
        </is>
      </c>
      <c r="U2366" s="164" t="inlineStr">
        <is>
          <t>A9L102554</t>
        </is>
      </c>
      <c r="V2366" s="391" t="n"/>
      <c r="W2366" s="391" t="n"/>
      <c r="X2366" s="166" t="inlineStr">
        <is>
          <t>iSCB1 25L1 4P→iSCB2 40H2 4P</t>
        </is>
      </c>
    </row>
    <row r="2367" customFormat="1" s="3">
      <c r="A2367" s="64">
        <f>ROW()-ROW(A$2361)</f>
        <v/>
      </c>
      <c r="B2367" s="27" t="inlineStr">
        <is>
          <t>电涌保护器</t>
        </is>
      </c>
      <c r="C2367" s="22" t="inlineStr">
        <is>
          <t>iPRU 40r 3P+N</t>
        </is>
      </c>
      <c r="D2367" s="22" t="inlineStr">
        <is>
          <t>甲供/施耐德万高</t>
        </is>
      </c>
      <c r="E2367" s="110" t="inlineStr">
        <is>
          <t>只</t>
        </is>
      </c>
      <c r="F2367" s="23" t="n">
        <v>1</v>
      </c>
      <c r="G2367" s="349">
        <f>IF(AND(B2367="",C2367=""),"",ROUND(M2367*L2367*N2367,2))</f>
        <v/>
      </c>
      <c r="H2367" s="349">
        <f>IF(AND(B2367="",C2367=""),"",ROUND(F2367*G2367,2))</f>
        <v/>
      </c>
      <c r="I2367" s="45" t="inlineStr"/>
      <c r="J2367" s="392">
        <f>IF(AND(B2367="",C2367=""),"",ROUND(M2367*N2367,2))</f>
        <v/>
      </c>
      <c r="K2367" s="393">
        <f>IF(AND(B2367="",C2367=""),"",ROUND(J2367*F2367,2))</f>
        <v/>
      </c>
      <c r="L2367" s="141" t="n">
        <v>1</v>
      </c>
      <c r="M2367" s="394" t="n">
        <v>1e-07</v>
      </c>
      <c r="N2367" s="143" t="n">
        <v>1</v>
      </c>
      <c r="O2367" s="144">
        <f>IF(AND(B2367="",C2367=""),"",IF(G2367&gt;=20000,0.05,IF(G2367&gt;=10000,0.1,IF(G2367&gt;=5000,0.2,IF(G2367&gt;=1000,0.3,IF(G2367&gt;=0,0.4,{0}))))))</f>
        <v/>
      </c>
      <c r="P2367" s="395">
        <f>IF(AND(B2367="",C2367=""),"",ROUND(H2367*O2367,2))</f>
        <v/>
      </c>
      <c r="Q2367" s="390" t="inlineStr">
        <is>
          <t>元件</t>
        </is>
      </c>
      <c r="R2367" s="164" t="inlineStr"/>
      <c r="S2367" s="164" t="inlineStr"/>
      <c r="T2367" s="164" t="inlineStr">
        <is>
          <t>0</t>
        </is>
      </c>
      <c r="U2367" s="164" t="inlineStr">
        <is>
          <t>A9L620601</t>
        </is>
      </c>
      <c r="V2367" s="391" t="n"/>
      <c r="W2367" s="391" t="n"/>
      <c r="X2367" s="166" t="inlineStr">
        <is>
          <t>iPRF1 12.5r 3P+N→iPRU 40r 3P→iPRF1 12.5r 3P+N</t>
        </is>
      </c>
    </row>
    <row r="2368" customFormat="1" s="3">
      <c r="A2368" s="64">
        <f>ROW()-ROW(A$2361)</f>
        <v/>
      </c>
      <c r="B2368" s="27" t="inlineStr">
        <is>
          <t>微型断路器</t>
        </is>
      </c>
      <c r="C2368" s="22" t="inlineStr">
        <is>
          <t>iC65H 2P C16A</t>
        </is>
      </c>
      <c r="D2368" s="22" t="inlineStr">
        <is>
          <t>甲供/施耐德电气</t>
        </is>
      </c>
      <c r="E2368" s="110" t="inlineStr">
        <is>
          <t>只</t>
        </is>
      </c>
      <c r="F2368" s="23" t="n">
        <v>2</v>
      </c>
      <c r="G2368" s="349">
        <f>IF(AND(B2368="",C2368=""),"",ROUND(M2368*L2368*N2368,2))</f>
        <v/>
      </c>
      <c r="H2368" s="349">
        <f>IF(AND(B2368="",C2368=""),"",ROUND(F2368*G2368,2))</f>
        <v/>
      </c>
      <c r="I2368" s="45" t="inlineStr"/>
      <c r="J2368" s="392">
        <f>IF(AND(B2368="",C2368=""),"",ROUND(M2368*N2368,2))</f>
        <v/>
      </c>
      <c r="K2368" s="393">
        <f>IF(AND(B2368="",C2368=""),"",ROUND(J2368*F2368,2))</f>
        <v/>
      </c>
      <c r="L2368" s="141" t="n">
        <v>1</v>
      </c>
      <c r="M2368" s="394" t="n">
        <v>1e-07</v>
      </c>
      <c r="N2368" s="143" t="n">
        <v>1</v>
      </c>
      <c r="O2368" s="144">
        <f>IF(AND(B2368="",C2368=""),"",IF(G2368&gt;=20000,0.05,IF(G2368&gt;=10000,0.1,IF(G2368&gt;=5000,0.2,IF(G2368&gt;=1000,0.3,IF(G2368&gt;=0,0.4,{0}))))))</f>
        <v/>
      </c>
      <c r="P2368" s="395">
        <f>IF(AND(B2368="",C2368=""),"",ROUND(H2368*O2368,2))</f>
        <v/>
      </c>
      <c r="Q2368" s="390" t="inlineStr">
        <is>
          <t>元件</t>
        </is>
      </c>
      <c r="R2368" s="164" t="inlineStr"/>
      <c r="S2368" s="164" t="inlineStr"/>
      <c r="T2368" s="164" t="n">
        <v>0</v>
      </c>
      <c r="U2368" s="164" t="inlineStr"/>
      <c r="V2368" s="391" t="n"/>
      <c r="W2368" s="391" t="n"/>
      <c r="X2368" s="166" t="inlineStr"/>
    </row>
    <row r="2369" customFormat="1" s="3">
      <c r="A2369" s="64">
        <f>ROW()-ROW(A$2361)</f>
        <v/>
      </c>
      <c r="B2369" s="22" t="inlineStr">
        <is>
          <t>指示灯</t>
        </is>
      </c>
      <c r="C2369" s="22" t="inlineStr">
        <is>
          <t>XB2BVM3LC</t>
        </is>
      </c>
      <c r="D2369" s="22" t="inlineStr">
        <is>
          <t>甲供/施耐德电气</t>
        </is>
      </c>
      <c r="E2369" s="23" t="inlineStr">
        <is>
          <t>只</t>
        </is>
      </c>
      <c r="F2369" s="23" t="n">
        <v>2</v>
      </c>
      <c r="G2369" s="349">
        <f>IF(AND(B2369="",C2369=""),"",ROUND(M2369*L2369*N2369,2))</f>
        <v/>
      </c>
      <c r="H2369" s="353">
        <f>IF(AND(B2369="",C2369=""),"",ROUND(F2369*G2369,2))</f>
        <v/>
      </c>
      <c r="I2369" s="180" t="inlineStr"/>
      <c r="J2369" s="392">
        <f>IF(AND(B2369="",C2369=""),"",ROUND(M2369*N2369,2))</f>
        <v/>
      </c>
      <c r="K2369" s="393">
        <f>IF(AND(B2369="",C2369=""),"",ROUND(J2369*F2369,2))</f>
        <v/>
      </c>
      <c r="L2369" s="141" t="n">
        <v>1</v>
      </c>
      <c r="M2369" s="394" t="n">
        <v>1e-07</v>
      </c>
      <c r="N2369" s="220" t="n">
        <v>1</v>
      </c>
      <c r="O2369" s="221">
        <f>IF(AND(B2369="",C2369=""),"",IF(G2369&gt;=20000,0.05,IF(G2369&gt;=10000,0.1,IF(G2369&gt;=5000,0.2,IF(G2369&gt;=1000,0.3,IF(G2369&gt;=0,0.4,{0}))))))</f>
        <v/>
      </c>
      <c r="P2369" s="419">
        <f>IF(AND(B2369="",C2369=""),"",ROUND(H2369*O2369,2))</f>
        <v/>
      </c>
      <c r="Q2369" s="420" t="inlineStr">
        <is>
          <t>元件</t>
        </is>
      </c>
      <c r="R2369" s="231" t="inlineStr"/>
      <c r="S2369" s="231" t="inlineStr"/>
      <c r="T2369" s="231" t="inlineStr">
        <is>
          <t>0</t>
        </is>
      </c>
      <c r="U2369" s="231" t="inlineStr">
        <is>
          <t>XB2BVM3LC</t>
        </is>
      </c>
      <c r="V2369" s="421" t="n"/>
      <c r="W2369" s="421" t="n"/>
      <c r="X2369" s="166" t="inlineStr">
        <is>
          <t>XA2EVM3LC</t>
        </is>
      </c>
    </row>
    <row r="2370" customFormat="1" s="3">
      <c r="A2370" s="64">
        <f>ROW()-ROW(A$2361)</f>
        <v/>
      </c>
      <c r="B2370" s="22" t="inlineStr">
        <is>
          <t>指示灯</t>
        </is>
      </c>
      <c r="C2370" s="22" t="inlineStr">
        <is>
          <t>XB2BVM4LC</t>
        </is>
      </c>
      <c r="D2370" s="22" t="inlineStr">
        <is>
          <t>甲供/施耐德电气</t>
        </is>
      </c>
      <c r="E2370" s="23" t="inlineStr">
        <is>
          <t>只</t>
        </is>
      </c>
      <c r="F2370" s="23" t="n">
        <v>2</v>
      </c>
      <c r="G2370" s="349">
        <f>IF(AND(B2370="",C2370=""),"",ROUND(M2370*L2370*N2370,2))</f>
        <v/>
      </c>
      <c r="H2370" s="353">
        <f>IF(AND(B2370="",C2370=""),"",ROUND(F2370*G2370,2))</f>
        <v/>
      </c>
      <c r="I2370" s="180" t="inlineStr"/>
      <c r="J2370" s="392">
        <f>IF(AND(B2370="",C2370=""),"",ROUND(M2370*N2370,2))</f>
        <v/>
      </c>
      <c r="K2370" s="393">
        <f>IF(AND(B2370="",C2370=""),"",ROUND(J2370*F2370,2))</f>
        <v/>
      </c>
      <c r="L2370" s="141" t="n">
        <v>1</v>
      </c>
      <c r="M2370" s="394" t="n">
        <v>1e-07</v>
      </c>
      <c r="N2370" s="220" t="n">
        <v>1</v>
      </c>
      <c r="O2370" s="221">
        <f>IF(AND(B2370="",C2370=""),"",IF(G2370&gt;=20000,0.05,IF(G2370&gt;=10000,0.1,IF(G2370&gt;=5000,0.2,IF(G2370&gt;=1000,0.3,IF(G2370&gt;=0,0.4,{0}))))))</f>
        <v/>
      </c>
      <c r="P2370" s="419">
        <f>IF(AND(B2370="",C2370=""),"",ROUND(H2370*O2370,2))</f>
        <v/>
      </c>
      <c r="Q2370" s="420" t="inlineStr">
        <is>
          <t>元件</t>
        </is>
      </c>
      <c r="R2370" s="231" t="inlineStr"/>
      <c r="S2370" s="231" t="inlineStr"/>
      <c r="T2370" s="231" t="inlineStr">
        <is>
          <t>0</t>
        </is>
      </c>
      <c r="U2370" s="231" t="inlineStr">
        <is>
          <t>XB2BVM4LC</t>
        </is>
      </c>
      <c r="V2370" s="421" t="n"/>
      <c r="W2370" s="421" t="n"/>
      <c r="X2370" s="166" t="inlineStr">
        <is>
          <t>XA2EVM4LC</t>
        </is>
      </c>
    </row>
    <row r="2371" s="308">
      <c r="A2371" s="64">
        <f>ROW()-ROW(A$2361)</f>
        <v/>
      </c>
      <c r="B2371" s="112" t="inlineStr">
        <is>
          <t>指示灯</t>
        </is>
      </c>
      <c r="C2371" s="112" t="inlineStr">
        <is>
          <t>XB2BVM5LC</t>
        </is>
      </c>
      <c r="D2371" s="112" t="inlineStr">
        <is>
          <t>甲供/施耐德电气</t>
        </is>
      </c>
      <c r="E2371" s="114" t="inlineStr">
        <is>
          <t>只</t>
        </is>
      </c>
      <c r="F2371" s="114" t="n">
        <v>2</v>
      </c>
      <c r="G2371" s="396">
        <f>IF(AND(B2371="",C2371=""),"",ROUND(M2371*L2371*N2371,2))</f>
        <v/>
      </c>
      <c r="H2371" s="396">
        <f>IF(AND(B2371="",C2371=""),"",ROUND(F2371*G2371,2))</f>
        <v/>
      </c>
      <c r="I2371" s="150" t="inlineStr"/>
      <c r="J2371" s="397">
        <f>IF(AND(B2371="",C2371=""),"",ROUND(M2371*N2371,2))</f>
        <v/>
      </c>
      <c r="K2371" s="398">
        <f>IF(AND(B2371="",C2371=""),"",ROUND(J2371*F2371,2))</f>
        <v/>
      </c>
      <c r="L2371" s="141" t="n">
        <v>1</v>
      </c>
      <c r="M2371" s="399" t="n">
        <v>1e-07</v>
      </c>
      <c r="N2371" s="154" t="n">
        <v>1</v>
      </c>
      <c r="O2371" s="155">
        <f>IF(AND(B2371="",C2371=""),"",IF(G2371&gt;=20000,0.05,IF(G2371&gt;=10000,0.1,IF(G2371&gt;=5000,0.2,IF(G2371&gt;=1000,0.3,IF(G2371&gt;=0,0.4,{0}))))))</f>
        <v/>
      </c>
      <c r="P2371" s="400">
        <f>IF(AND(B2371="",C2371=""),"",ROUND(H2371*O2371,2))</f>
        <v/>
      </c>
      <c r="Q2371" s="401" t="inlineStr">
        <is>
          <t>元件</t>
        </is>
      </c>
      <c r="R2371" s="168" t="inlineStr"/>
      <c r="S2371" s="168" t="inlineStr"/>
      <c r="T2371" s="168" t="inlineStr">
        <is>
          <t>0</t>
        </is>
      </c>
      <c r="U2371" s="168" t="inlineStr">
        <is>
          <t>XA2EVM5LC</t>
        </is>
      </c>
      <c r="V2371" s="402" t="n"/>
      <c r="W2371" s="402" t="n"/>
      <c r="X2371" s="170" t="inlineStr"/>
    </row>
    <row r="2372" s="308">
      <c r="A2372" s="64">
        <f>ROW()-ROW(A$2361)</f>
        <v/>
      </c>
      <c r="B2372" s="112" t="inlineStr">
        <is>
          <t>按钮</t>
        </is>
      </c>
      <c r="C2372" s="112" t="inlineStr">
        <is>
          <t>XB2BA31C</t>
        </is>
      </c>
      <c r="D2372" s="112" t="inlineStr">
        <is>
          <t>甲供/施耐德电气</t>
        </is>
      </c>
      <c r="E2372" s="114" t="inlineStr">
        <is>
          <t>只</t>
        </is>
      </c>
      <c r="F2372" s="114" t="n">
        <v>2</v>
      </c>
      <c r="G2372" s="396">
        <f>IF(AND(B2372="",C2372=""),"",ROUND(M2372*L2372*N2372,2))</f>
        <v/>
      </c>
      <c r="H2372" s="396">
        <f>IF(AND(B2372="",C2372=""),"",ROUND(F2372*G2372,2))</f>
        <v/>
      </c>
      <c r="I2372" s="150" t="inlineStr"/>
      <c r="J2372" s="397">
        <f>IF(AND(B2372="",C2372=""),"",ROUND(M2372*N2372,2))</f>
        <v/>
      </c>
      <c r="K2372" s="398">
        <f>IF(AND(B2372="",C2372=""),"",ROUND(J2372*F2372,2))</f>
        <v/>
      </c>
      <c r="L2372" s="141" t="n">
        <v>1</v>
      </c>
      <c r="M2372" s="399" t="n">
        <v>1e-07</v>
      </c>
      <c r="N2372" s="154" t="n">
        <v>1</v>
      </c>
      <c r="O2372" s="155">
        <f>IF(AND(B2372="",C2372=""),"",IF(G2372&gt;=20000,0.05,IF(G2372&gt;=10000,0.1,IF(G2372&gt;=5000,0.2,IF(G2372&gt;=1000,0.3,IF(G2372&gt;=0,0.4,{0}))))))</f>
        <v/>
      </c>
      <c r="P2372" s="400">
        <f>IF(AND(B2372="",C2372=""),"",ROUND(H2372*O2372,2))</f>
        <v/>
      </c>
      <c r="Q2372" s="401" t="inlineStr">
        <is>
          <t>元件</t>
        </is>
      </c>
      <c r="R2372" s="168" t="inlineStr"/>
      <c r="S2372" s="168" t="inlineStr"/>
      <c r="T2372" s="168" t="inlineStr">
        <is>
          <t>0</t>
        </is>
      </c>
      <c r="U2372" s="168" t="inlineStr">
        <is>
          <t>XB2BA31C</t>
        </is>
      </c>
      <c r="V2372" s="402" t="n"/>
      <c r="W2372" s="402" t="n"/>
      <c r="X2372" s="170" t="inlineStr">
        <is>
          <t>XA2EA31</t>
        </is>
      </c>
    </row>
    <row r="2373" s="308">
      <c r="A2373" s="64">
        <f>ROW()-ROW(A$2361)</f>
        <v/>
      </c>
      <c r="B2373" s="22" t="inlineStr">
        <is>
          <t>按钮</t>
        </is>
      </c>
      <c r="C2373" s="22" t="inlineStr">
        <is>
          <t>XB2BA42C</t>
        </is>
      </c>
      <c r="D2373" s="22" t="inlineStr">
        <is>
          <t>甲供/施耐德电气</t>
        </is>
      </c>
      <c r="E2373" s="23" t="inlineStr">
        <is>
          <t>只</t>
        </is>
      </c>
      <c r="F2373" s="23" t="n">
        <v>2</v>
      </c>
      <c r="G2373" s="349">
        <f>IF(AND(B2373="",C2373=""),"",ROUND(M2373*L2373*N2373,2))</f>
        <v/>
      </c>
      <c r="H2373" s="396">
        <f>IF(AND(B2373="",C2373=""),"",ROUND(F2373*G2373,2))</f>
        <v/>
      </c>
      <c r="I2373" s="150" t="inlineStr"/>
      <c r="J2373" s="397">
        <f>IF(AND(B2373="",C2373=""),"",ROUND(M2373*N2373,2))</f>
        <v/>
      </c>
      <c r="K2373" s="398">
        <f>IF(AND(B2373="",C2373=""),"",ROUND(J2373*F2373,2))</f>
        <v/>
      </c>
      <c r="L2373" s="141" t="n">
        <v>1</v>
      </c>
      <c r="M2373" s="399" t="n">
        <v>1e-07</v>
      </c>
      <c r="N2373" s="154" t="n">
        <v>1</v>
      </c>
      <c r="O2373" s="155">
        <f>IF(AND(B2373="",C2373=""),"",IF(G2373&gt;=20000,0.05,IF(G2373&gt;=10000,0.1,IF(G2373&gt;=5000,0.2,IF(G2373&gt;=1000,0.3,IF(G2373&gt;=0,0.4,{0}))))))</f>
        <v/>
      </c>
      <c r="P2373" s="400">
        <f>IF(AND(B2373="",C2373=""),"",ROUND(H2373*O2373,2))</f>
        <v/>
      </c>
      <c r="Q2373" s="401" t="inlineStr">
        <is>
          <t>元件</t>
        </is>
      </c>
      <c r="R2373" s="168" t="inlineStr"/>
      <c r="S2373" s="168" t="inlineStr"/>
      <c r="T2373" s="168" t="inlineStr">
        <is>
          <t>0</t>
        </is>
      </c>
      <c r="U2373" s="168" t="inlineStr">
        <is>
          <t>XB2BA42C</t>
        </is>
      </c>
      <c r="V2373" s="402" t="n"/>
      <c r="W2373" s="402" t="n"/>
      <c r="X2373" s="170" t="inlineStr">
        <is>
          <t>XA2EA41</t>
        </is>
      </c>
    </row>
    <row r="2374" s="308">
      <c r="A2374" s="64">
        <f>ROW()-ROW(A$2361)</f>
        <v/>
      </c>
      <c r="B2374" s="112" t="inlineStr">
        <is>
          <t>温湿度控制器</t>
        </is>
      </c>
      <c r="C2374" s="112" t="inlineStr">
        <is>
          <t>ATH48G-11</t>
        </is>
      </c>
      <c r="D2374" s="22" t="inlineStr">
        <is>
          <t>杭州安廷</t>
        </is>
      </c>
      <c r="E2374" s="23" t="inlineStr">
        <is>
          <t>套</t>
        </is>
      </c>
      <c r="F2374" s="23" t="n">
        <v>1</v>
      </c>
      <c r="G2374" s="349">
        <f>IF(AND(B2374="",C2374=""),"",ROUND(M2374*L2374*N2374,2))</f>
        <v/>
      </c>
      <c r="H2374" s="396">
        <f>IF(AND(B2374="",C2374=""),"",ROUND(F2374*G2374,2))</f>
        <v/>
      </c>
      <c r="I2374" s="150" t="inlineStr"/>
      <c r="J2374" s="397">
        <f>IF(AND(B2374="",C2374=""),"",ROUND(M2374*N2374,2))</f>
        <v/>
      </c>
      <c r="K2374" s="398">
        <f>IF(AND(B2374="",C2374=""),"",ROUND(J2374*F2374,2))</f>
        <v/>
      </c>
      <c r="L2374" s="141" t="n">
        <v>1</v>
      </c>
      <c r="M2374" s="399" t="n">
        <v>450</v>
      </c>
      <c r="N2374" s="154" t="n">
        <v>1</v>
      </c>
      <c r="O2374" s="155">
        <f>IF(AND(B2374="",C2374=""),"",IF(G2374&gt;=20000,0.05,IF(G2374&gt;=10000,0.1,IF(G2374&gt;=5000,0.2,IF(G2374&gt;=1000,0.3,IF(G2374&gt;=0,0.4,{0}))))))</f>
        <v/>
      </c>
      <c r="P2374" s="400">
        <f>IF(AND(B2374="",C2374=""),"",ROUND(H2374*O2374,2))</f>
        <v/>
      </c>
      <c r="Q2374" s="401" t="inlineStr">
        <is>
          <t>元件</t>
        </is>
      </c>
      <c r="R2374" s="168" t="inlineStr"/>
      <c r="S2374" s="168" t="inlineStr"/>
      <c r="T2374" s="168" t="inlineStr">
        <is>
          <t>0</t>
        </is>
      </c>
      <c r="U2374" s="168" t="inlineStr"/>
      <c r="V2374" s="402" t="n"/>
      <c r="W2374" s="402" t="n"/>
      <c r="X2374" s="170" t="inlineStr"/>
    </row>
    <row r="2375" s="308">
      <c r="A2375" s="64">
        <f>ROW()-ROW(A$2361)</f>
        <v/>
      </c>
      <c r="B2375" s="22" t="inlineStr">
        <is>
          <t>中间继电器</t>
        </is>
      </c>
      <c r="C2375" s="22" t="inlineStr">
        <is>
          <t>RXM4AB2P7+RXZE2S114M+RXZ400</t>
        </is>
      </c>
      <c r="D2375" s="22" t="inlineStr">
        <is>
          <t>甲供/施耐德电气</t>
        </is>
      </c>
      <c r="E2375" s="23" t="inlineStr">
        <is>
          <t>只</t>
        </is>
      </c>
      <c r="F2375" s="23" t="n">
        <v>4</v>
      </c>
      <c r="G2375" s="349">
        <f>IF(AND(B2375="",C2375=""),"",ROUND(M2375*L2375*N2375,2))</f>
        <v/>
      </c>
      <c r="H2375" s="349">
        <f>IF(AND(B2375="",C2375=""),"",ROUND(F2375*G2375,2))</f>
        <v/>
      </c>
      <c r="I2375" s="45" t="inlineStr"/>
      <c r="J2375" s="397">
        <f>IF(AND(B2375="",C2375=""),"",ROUND(M2375*N2375,2))</f>
        <v/>
      </c>
      <c r="K2375" s="398">
        <f>IF(AND(B2375="",C2375=""),"",ROUND(J2375*F2375,2))</f>
        <v/>
      </c>
      <c r="L2375" s="141" t="n">
        <v>1</v>
      </c>
      <c r="M2375" s="399" t="n">
        <v>1e-07</v>
      </c>
      <c r="N2375" s="154" t="n">
        <v>1</v>
      </c>
      <c r="O2375" s="155">
        <f>IF(AND(B2375="",C2375=""),"",IF(G2375&gt;=20000,0.05,IF(G2375&gt;=10000,0.1,IF(G2375&gt;=5000,0.2,IF(G2375&gt;=1000,0.3,IF(G2375&gt;=0,0.4,{0}))))))</f>
        <v/>
      </c>
      <c r="P2375" s="400">
        <f>IF(AND(B2375="",C2375=""),"",ROUND(H2375*O2375,2))</f>
        <v/>
      </c>
      <c r="Q2375" s="401" t="inlineStr">
        <is>
          <t>元件</t>
        </is>
      </c>
      <c r="R2375" s="168" t="inlineStr"/>
      <c r="S2375" s="168" t="inlineStr"/>
      <c r="T2375" s="168" t="inlineStr">
        <is>
          <t>0</t>
        </is>
      </c>
      <c r="U2375" s="168" t="inlineStr">
        <is>
          <t>RXM4AB2P7+RXZE2S114M+RXZ400</t>
        </is>
      </c>
      <c r="V2375" s="402" t="n"/>
      <c r="W2375" s="402" t="n"/>
      <c r="X2375" s="170" t="inlineStr">
        <is>
          <t>REL-IR-BL/L-230AC/4X21，含底座→RXM4AB2P7+RXZE2S114M+RXZ400→REL-IR-BL/L-230AC/4X21，含底座</t>
        </is>
      </c>
    </row>
    <row r="2376" customFormat="1" s="3">
      <c r="A2376" s="64">
        <f>ROW()-ROW(A$2361)</f>
        <v/>
      </c>
      <c r="B2376" s="22" t="inlineStr">
        <is>
          <t>带熔丝端子</t>
        </is>
      </c>
      <c r="C2376" s="22" t="inlineStr">
        <is>
          <t>UK 5-HESI</t>
        </is>
      </c>
      <c r="D2376" s="22" t="inlineStr">
        <is>
          <t>菲尼克斯</t>
        </is>
      </c>
      <c r="E2376" s="23" t="inlineStr">
        <is>
          <t>只</t>
        </is>
      </c>
      <c r="F2376" s="23" t="n">
        <v>8</v>
      </c>
      <c r="G2376" s="349">
        <f>IF(AND(B2376="",C2376=""),"",ROUND(M2376*L2376*N2376,2))</f>
        <v/>
      </c>
      <c r="H2376" s="349">
        <f>IF(AND(B2376="",C2376=""),"",ROUND(F2376*G2376,2))</f>
        <v/>
      </c>
      <c r="I2376" s="45" t="inlineStr"/>
      <c r="J2376" s="392">
        <f>IF(AND(B2376="",C2376=""),"",ROUND(M2376*N2376,2))</f>
        <v/>
      </c>
      <c r="K2376" s="393">
        <f>IF(AND(B2376="",C2376=""),"",ROUND(J2376*F2376,2))</f>
        <v/>
      </c>
      <c r="L2376" s="141" t="n">
        <v>1</v>
      </c>
      <c r="M2376" s="394" t="n">
        <v>7</v>
      </c>
      <c r="N2376" s="220" t="n">
        <v>1</v>
      </c>
      <c r="O2376" s="221">
        <f>IF(AND(B2376="",C2376=""),"",IF(G2376&gt;=20000,0.05,IF(G2376&gt;=10000,0.1,IF(G2376&gt;=5000,0.2,IF(G2376&gt;=1000,0.3,IF(G2376&gt;=0,0.4,{0}))))))</f>
        <v/>
      </c>
      <c r="P2376" s="419">
        <f>IF(AND(B2376="",C2376=""),"",ROUND(H2376*O2376,2))</f>
        <v/>
      </c>
      <c r="Q2376" s="420" t="inlineStr">
        <is>
          <t>元件</t>
        </is>
      </c>
      <c r="R2376" s="231" t="inlineStr"/>
      <c r="S2376" s="231" t="inlineStr"/>
      <c r="T2376" s="231" t="inlineStr">
        <is>
          <t>0</t>
        </is>
      </c>
      <c r="U2376" s="231" t="inlineStr">
        <is>
          <t>True</t>
        </is>
      </c>
      <c r="V2376" s="421" t="n"/>
      <c r="W2376" s="421" t="n"/>
      <c r="X2376" s="166" t="inlineStr"/>
    </row>
    <row r="2377" s="308">
      <c r="A2377" s="64">
        <f>ROW()-ROW(A$2361)</f>
        <v/>
      </c>
      <c r="B2377" s="22" t="inlineStr">
        <is>
          <t>水平母排</t>
        </is>
      </c>
      <c r="C2377" s="22" t="inlineStr">
        <is>
          <t>TMY 4*(2*100*5)+2*50*5</t>
        </is>
      </c>
      <c r="D2377" s="22" t="inlineStr">
        <is>
          <t>国产优质</t>
        </is>
      </c>
      <c r="E2377" s="23" t="inlineStr">
        <is>
          <t>米</t>
        </is>
      </c>
      <c r="F2377" s="23" t="n">
        <v>0.4</v>
      </c>
      <c r="G2377" s="349">
        <f>IF(AND(B2377="",C2377=""),"",ROUND(M2377*L2377*N2377,2))</f>
        <v/>
      </c>
      <c r="H2377" s="349">
        <f>IF(AND(B2377="",C2377=""),"",ROUND(F2377*G2377,2))</f>
        <v/>
      </c>
      <c r="I2377" s="45" t="inlineStr"/>
      <c r="J2377" s="397">
        <f>IF(AND(B2377="",C2377=""),"",ROUND(M2377*N2377,2))</f>
        <v/>
      </c>
      <c r="K2377" s="398">
        <f>IF(AND(B2377="",C2377=""),"",ROUND(J2377*F2377,2))</f>
        <v/>
      </c>
      <c r="L2377" s="200" t="n">
        <v>1</v>
      </c>
      <c r="M2377" s="399" t="n">
        <v>4329.60525</v>
      </c>
      <c r="N2377" s="154">
        <f>(6317.932*1*1+2684.8*1*1)/9002.732</f>
        <v/>
      </c>
      <c r="O2377" s="155">
        <f>IF(AND(B2377="",C2377=""),"",IF(J2377&gt;=20000,0.05,IF(J2377&gt;=10000,0.1,IF(J2377&gt;=5000,0.2,IF(J2377&gt;=1000,0.3,IF(J2377&gt;=0,0.4,{0}))))))</f>
        <v/>
      </c>
      <c r="P2377" s="400">
        <f>IF(AND(B2377="",C2377=""),"",ROUND(H2377*O2377,2))</f>
        <v/>
      </c>
      <c r="Q2377" s="401" t="inlineStr">
        <is>
          <t>母排</t>
        </is>
      </c>
      <c r="R2377" s="168" t="inlineStr"/>
      <c r="S2377" s="168" t="inlineStr"/>
      <c r="T2377" s="168" t="inlineStr">
        <is>
          <t>0</t>
        </is>
      </c>
      <c r="U2377" s="168" t="inlineStr"/>
      <c r="V2377" s="402" t="n"/>
      <c r="W2377" s="402" t="n"/>
      <c r="X2377" s="170" t="inlineStr"/>
    </row>
    <row r="2378" customFormat="1" s="5">
      <c r="A2378" s="64">
        <f>ROW()-ROW(A$2361)</f>
        <v/>
      </c>
      <c r="B2378" s="22" t="inlineStr">
        <is>
          <t>桩头排</t>
        </is>
      </c>
      <c r="C2378" s="22" t="inlineStr">
        <is>
          <t>TMY 3*2*60*5</t>
        </is>
      </c>
      <c r="D2378" s="22" t="inlineStr">
        <is>
          <t>国产优质</t>
        </is>
      </c>
      <c r="E2378" s="23" t="inlineStr">
        <is>
          <t>米</t>
        </is>
      </c>
      <c r="F2378" s="23" t="n">
        <v>3</v>
      </c>
      <c r="G2378" s="349">
        <f>IF(AND(B2378="",C2378=""),"",ROUND(M2378*L2378*N2378,2))</f>
        <v/>
      </c>
      <c r="H2378" s="349">
        <f>IF(AND(B2378="",C2378=""),"",ROUND(F2378*G2378,2))</f>
        <v/>
      </c>
      <c r="I2378" s="45" t="inlineStr"/>
      <c r="J2378" s="422">
        <f>IF(AND(B2378="",C2378=""),"",ROUND(M2378*N2378,2))</f>
        <v/>
      </c>
      <c r="K2378" s="423">
        <f>IF(AND(B2378="",C2378=""),"",ROUND(J2378*F2378,2))</f>
        <v/>
      </c>
      <c r="L2378" s="225" t="n">
        <v>1</v>
      </c>
      <c r="M2378" s="424" t="n">
        <v>1731.8421</v>
      </c>
      <c r="N2378" s="227" t="n">
        <v>1</v>
      </c>
      <c r="O2378" s="228">
        <f>IF(AND(B2378="",C2378=""),"",IF(G2378&gt;=20000,0.05,IF(G2378&gt;=10000,0.1,IF(G2378&gt;=5000,0.2,IF(G2378&gt;=1000,0.3,IF(G2378&gt;=0,0.4,{0}))))))</f>
        <v/>
      </c>
      <c r="P2378" s="425">
        <f>IF(AND(B2378="",C2378=""),"",ROUND(H2378*O2378,2))</f>
        <v/>
      </c>
      <c r="Q2378" s="426" t="inlineStr">
        <is>
          <t>母排</t>
        </is>
      </c>
      <c r="R2378" s="234" t="inlineStr"/>
      <c r="S2378" s="234" t="inlineStr"/>
      <c r="T2378" s="235" t="inlineStr">
        <is>
          <t>0</t>
        </is>
      </c>
      <c r="U2378" s="235" t="inlineStr"/>
      <c r="V2378" s="427" t="n"/>
      <c r="W2378" s="427" t="n"/>
      <c r="X2378" s="237" t="inlineStr">
        <is>
          <t>TMY 2*30*5→TMY 30*8</t>
        </is>
      </c>
    </row>
    <row r="2379" customFormat="1" s="5">
      <c r="A2379" s="64">
        <f>ROW()-ROW(A$2361)</f>
        <v/>
      </c>
      <c r="B2379" s="22" t="inlineStr">
        <is>
          <t>垂直排</t>
        </is>
      </c>
      <c r="C2379" s="22" t="inlineStr">
        <is>
          <t>TMY 3*2*60*5</t>
        </is>
      </c>
      <c r="D2379" s="22" t="inlineStr">
        <is>
          <t>国产优质</t>
        </is>
      </c>
      <c r="E2379" s="23" t="inlineStr">
        <is>
          <t>米</t>
        </is>
      </c>
      <c r="F2379" s="23" t="n">
        <v>2</v>
      </c>
      <c r="G2379" s="349">
        <f>IF(AND(B2379="",C2379=""),"",ROUND(M2379*L2379*N2379,2))</f>
        <v/>
      </c>
      <c r="H2379" s="349">
        <f>IF(AND(B2379="",C2379=""),"",ROUND(F2379*G2379,2))</f>
        <v/>
      </c>
      <c r="I2379" s="45" t="inlineStr"/>
      <c r="J2379" s="422">
        <f>IF(AND(B2379="",C2379=""),"",ROUND(M2379*N2379,2))</f>
        <v/>
      </c>
      <c r="K2379" s="423">
        <f>IF(AND(B2379="",C2379=""),"",ROUND(J2379*F2379,2))</f>
        <v/>
      </c>
      <c r="L2379" s="225" t="n">
        <v>1</v>
      </c>
      <c r="M2379" s="424" t="n">
        <v>1731.8421</v>
      </c>
      <c r="N2379" s="227" t="n">
        <v>1</v>
      </c>
      <c r="O2379" s="228">
        <f>IF(AND(B2379="",C2379=""),"",IF(G2379&gt;=20000,0.05,IF(G2379&gt;=10000,0.1,IF(G2379&gt;=5000,0.2,IF(G2379&gt;=1000,0.3,IF(G2379&gt;=0,0.4,{0}))))))</f>
        <v/>
      </c>
      <c r="P2379" s="425">
        <f>IF(AND(B2379="",C2379=""),"",ROUND(H2379*O2379,2))</f>
        <v/>
      </c>
      <c r="Q2379" s="426" t="inlineStr">
        <is>
          <t>母排</t>
        </is>
      </c>
      <c r="R2379" s="234" t="inlineStr"/>
      <c r="S2379" s="234" t="inlineStr"/>
      <c r="T2379" s="235" t="inlineStr">
        <is>
          <t>0</t>
        </is>
      </c>
      <c r="U2379" s="235" t="inlineStr"/>
      <c r="V2379" s="427" t="n"/>
      <c r="W2379" s="427" t="n"/>
      <c r="X2379" s="237" t="inlineStr">
        <is>
          <t>TMY 2*30*5→TMY 30*8</t>
        </is>
      </c>
    </row>
    <row r="2380" customFormat="1" s="5">
      <c r="A2380" s="64">
        <f>ROW()-ROW(A$2361)</f>
        <v/>
      </c>
      <c r="B2380" s="22" t="inlineStr">
        <is>
          <t>N排</t>
        </is>
      </c>
      <c r="C2380" s="22" t="inlineStr">
        <is>
          <t>TMY 2*60*10</t>
        </is>
      </c>
      <c r="D2380" s="22" t="inlineStr">
        <is>
          <t>国产优质</t>
        </is>
      </c>
      <c r="E2380" s="23" t="inlineStr">
        <is>
          <t>米</t>
        </is>
      </c>
      <c r="F2380" s="23" t="n">
        <v>3</v>
      </c>
      <c r="G2380" s="349">
        <f>IF(AND(B2380="",C2380=""),"",ROUND(M2380*L2380*N2380,2))</f>
        <v/>
      </c>
      <c r="H2380" s="349">
        <f>IF(AND(B2380="",C2380=""),"",ROUND(F2380*G2380,2))</f>
        <v/>
      </c>
      <c r="I2380" s="45" t="inlineStr"/>
      <c r="J2380" s="422">
        <f>IF(AND(B2380="",C2380=""),"",ROUND(M2380*N2380,2))</f>
        <v/>
      </c>
      <c r="K2380" s="423">
        <f>IF(AND(B2380="",C2380=""),"",ROUND(J2380*F2380,2))</f>
        <v/>
      </c>
      <c r="L2380" s="225" t="n">
        <v>1</v>
      </c>
      <c r="M2380" s="424" t="n">
        <v>1154.5614</v>
      </c>
      <c r="N2380" s="227" t="n">
        <v>1</v>
      </c>
      <c r="O2380" s="228">
        <f>IF(AND(B2380="",C2380=""),"",IF(G2380&gt;=20000,0.05,IF(G2380&gt;=10000,0.1,IF(G2380&gt;=5000,0.2,IF(G2380&gt;=1000,0.3,IF(G2380&gt;=0,0.4,{0}))))))</f>
        <v/>
      </c>
      <c r="P2380" s="425">
        <f>IF(AND(B2380="",C2380=""),"",ROUND(H2380*O2380,2))</f>
        <v/>
      </c>
      <c r="Q2380" s="426" t="inlineStr">
        <is>
          <t>母排</t>
        </is>
      </c>
      <c r="R2380" s="234" t="inlineStr"/>
      <c r="S2380" s="234" t="inlineStr"/>
      <c r="T2380" s="235" t="inlineStr">
        <is>
          <t>0</t>
        </is>
      </c>
      <c r="U2380" s="235" t="inlineStr"/>
      <c r="V2380" s="427" t="n"/>
      <c r="W2380" s="427" t="n"/>
      <c r="X2380" s="237" t="inlineStr">
        <is>
          <t>TMY 2*30*5→TMY 30*8</t>
        </is>
      </c>
    </row>
    <row r="2381" customFormat="1" s="5">
      <c r="A2381" s="64">
        <f>ROW()-ROW(A$2361)</f>
        <v/>
      </c>
      <c r="B2381" s="22" t="inlineStr">
        <is>
          <t>PE排</t>
        </is>
      </c>
      <c r="C2381" s="22" t="inlineStr">
        <is>
          <t>TMY 2*50*5</t>
        </is>
      </c>
      <c r="D2381" s="22" t="inlineStr">
        <is>
          <t>国产优质</t>
        </is>
      </c>
      <c r="E2381" s="23" t="inlineStr">
        <is>
          <t>米</t>
        </is>
      </c>
      <c r="F2381" s="23" t="n">
        <v>2</v>
      </c>
      <c r="G2381" s="349">
        <f>IF(AND(B2381="",C2381=""),"",ROUND(M2381*L2381*N2381,2))</f>
        <v/>
      </c>
      <c r="H2381" s="349">
        <f>IF(AND(B2381="",C2381=""),"",ROUND(F2381*G2381,2))</f>
        <v/>
      </c>
      <c r="I2381" s="45" t="inlineStr"/>
      <c r="J2381" s="422">
        <f>IF(AND(B2381="",C2381=""),"",ROUND(M2381*N2381,2))</f>
        <v/>
      </c>
      <c r="K2381" s="423">
        <f>IF(AND(B2381="",C2381=""),"",ROUND(J2381*F2381,2))</f>
        <v/>
      </c>
      <c r="L2381" s="225" t="n">
        <v>1</v>
      </c>
      <c r="M2381" s="424" t="n">
        <v>481.06725</v>
      </c>
      <c r="N2381" s="227" t="n">
        <v>1</v>
      </c>
      <c r="O2381" s="228">
        <f>IF(AND(B2381="",C2381=""),"",IF(G2381&gt;=20000,0.05,IF(G2381&gt;=10000,0.1,IF(G2381&gt;=5000,0.2,IF(G2381&gt;=1000,0.3,IF(G2381&gt;=0,0.4,{0}))))))</f>
        <v/>
      </c>
      <c r="P2381" s="425">
        <f>IF(AND(B2381="",C2381=""),"",ROUND(H2381*O2381,2))</f>
        <v/>
      </c>
      <c r="Q2381" s="426" t="inlineStr">
        <is>
          <t>母排</t>
        </is>
      </c>
      <c r="R2381" s="234" t="inlineStr"/>
      <c r="S2381" s="234" t="inlineStr"/>
      <c r="T2381" s="235" t="inlineStr">
        <is>
          <t>0</t>
        </is>
      </c>
      <c r="U2381" s="235" t="inlineStr"/>
      <c r="V2381" s="427" t="n"/>
      <c r="W2381" s="427" t="n"/>
      <c r="X2381" s="237" t="inlineStr">
        <is>
          <t>TMY 2*30*5→TMY 30*8</t>
        </is>
      </c>
    </row>
    <row r="2382" s="308">
      <c r="A2382" s="64">
        <f>ROW()-ROW(A$2361)</f>
        <v/>
      </c>
      <c r="B2382" s="112" t="inlineStr">
        <is>
          <t>辅料</t>
        </is>
      </c>
      <c r="C2382" s="112" t="inlineStr"/>
      <c r="D2382" s="112" t="inlineStr"/>
      <c r="E2382" s="114" t="inlineStr">
        <is>
          <t>套</t>
        </is>
      </c>
      <c r="F2382" s="114" t="n">
        <v>1</v>
      </c>
      <c r="G2382" s="396">
        <f>IF(AND(B2382="",C2382=""),"",ROUND(M2382*L2382*N2382,2))</f>
        <v/>
      </c>
      <c r="H2382" s="396">
        <f>IF(AND(B2382="",C2382=""),"",ROUND(F2382*G2382,2))</f>
        <v/>
      </c>
      <c r="I2382" s="219" t="inlineStr"/>
      <c r="J2382" s="397">
        <f>IF(AND(B2382="",C2382=""),"",ROUND(M2382*N2382,2))</f>
        <v/>
      </c>
      <c r="K2382" s="398">
        <f>IF(AND(B2382="",C2382=""),"",ROUND(J2382*F2382,2))</f>
        <v/>
      </c>
      <c r="L2382" s="200" t="n">
        <v>1</v>
      </c>
      <c r="M2382" s="399" t="n">
        <v>800</v>
      </c>
      <c r="N2382" s="154" t="n">
        <v>1</v>
      </c>
      <c r="O2382" s="155">
        <f>IF(AND(B2382="",C2382=""),"",IF(G2382&gt;=20000,0.05,IF(G2382&gt;=10000,0.1,IF(G2382&gt;=5000,0.2,IF(G2382&gt;=1000,0.3,IF(G2382&gt;=0,0.4,{0}))))))</f>
        <v/>
      </c>
      <c r="P2382" s="400">
        <f>IF(AND(B2382="",C2382=""),"",ROUND(H2382*O2382,2))</f>
        <v/>
      </c>
      <c r="Q2382" s="401" t="inlineStr">
        <is>
          <t>辅料</t>
        </is>
      </c>
      <c r="R2382" s="168" t="inlineStr"/>
      <c r="S2382" s="168" t="inlineStr"/>
      <c r="T2382" s="168" t="inlineStr">
        <is>
          <t>0</t>
        </is>
      </c>
      <c r="U2382" s="168" t="inlineStr"/>
      <c r="V2382" s="402" t="n"/>
      <c r="W2382" s="402" t="n"/>
      <c r="X2382" s="170" t="inlineStr"/>
    </row>
    <row r="2383" s="308">
      <c r="A2383" s="64">
        <f>ROW()-ROW(A$2361)</f>
        <v/>
      </c>
      <c r="B2383" s="112" t="inlineStr">
        <is>
          <t>柜体Blokset</t>
        </is>
      </c>
      <c r="C2383" s="22" t="inlineStr">
        <is>
          <t>400W*1200D*2200H</t>
        </is>
      </c>
      <c r="D2383" s="112" t="inlineStr">
        <is>
          <t>清科</t>
        </is>
      </c>
      <c r="E2383" s="114" t="inlineStr">
        <is>
          <t>台</t>
        </is>
      </c>
      <c r="F2383" s="114" t="n">
        <v>1</v>
      </c>
      <c r="G2383" s="396">
        <f>IF(AND(B2383="",C2383=""),"",ROUND(M2383*L2383*N2383,2))</f>
        <v/>
      </c>
      <c r="H2383" s="396">
        <f>IF(AND(B2383="",C2383=""),"",ROUND(F2383*G2383,2))</f>
        <v/>
      </c>
      <c r="I2383" s="219" t="inlineStr"/>
      <c r="J2383" s="397">
        <f>IF(AND(B2383="",C2383=""),"",ROUND(M2383*N2383,2))</f>
        <v/>
      </c>
      <c r="K2383" s="398">
        <f>IF(AND(B2383="",C2383=""),"",ROUND(J2383*F2383,2))</f>
        <v/>
      </c>
      <c r="L2383" s="200" t="n">
        <v>1</v>
      </c>
      <c r="M2383" s="399" t="n">
        <v>4916</v>
      </c>
      <c r="N2383" s="154" t="n">
        <v>1</v>
      </c>
      <c r="O2383" s="155">
        <f>IF(AND(B2383="",C2383=""),"",IF(G2383&gt;=20000,0.05,IF(G2383&gt;=10000,0.1,IF(G2383&gt;=5000,0.2,IF(G2383&gt;=1000,0.3,IF(G2383&gt;=0,0.4,{0}))))))</f>
        <v/>
      </c>
      <c r="P2383" s="400">
        <f>IF(AND(B2383="",C2383=""),"",ROUND(H2383*O2383,2))</f>
        <v/>
      </c>
      <c r="Q2383" s="401" t="inlineStr">
        <is>
          <t>箱体</t>
        </is>
      </c>
      <c r="R2383" s="168" t="inlineStr"/>
      <c r="S2383" s="168" t="inlineStr"/>
      <c r="T2383" s="168" t="inlineStr">
        <is>
          <t>0</t>
        </is>
      </c>
      <c r="U2383" s="168" t="inlineStr"/>
      <c r="V2383" s="402" t="n"/>
      <c r="W2383" s="402" t="n"/>
      <c r="X2383" s="170" t="inlineStr">
        <is>
          <t>BlokSeT</t>
        </is>
      </c>
    </row>
    <row r="2384" s="308">
      <c r="A2384" s="64">
        <f>ROW()-ROW(A$2361)</f>
        <v/>
      </c>
      <c r="B2384" s="22" t="inlineStr"/>
      <c r="C2384" s="22" t="inlineStr"/>
      <c r="D2384" s="22" t="inlineStr"/>
      <c r="E2384" s="23" t="n"/>
      <c r="F2384" s="23">
        <f>IF(AND(B2384="",C2384=""),"",1)</f>
        <v/>
      </c>
      <c r="G2384" s="349">
        <f>IF(AND(B2384="",C2384=""),"",ROUND(M2384*L2384*N2384,2))</f>
        <v/>
      </c>
      <c r="H2384" s="349">
        <f>IF(AND(B2384="",C2384=""),"",ROUND(F2384*G2384,2))</f>
        <v/>
      </c>
      <c r="I2384" s="45" t="inlineStr"/>
      <c r="J2384" s="397">
        <f>IF(AND(B2384="",C2384=""),"",ROUND(M2384*N2384,2))</f>
        <v/>
      </c>
      <c r="K2384" s="398">
        <f>IF(AND(B2384="",C2384=""),"",ROUND(J2384*F2384,2))</f>
        <v/>
      </c>
      <c r="L2384" s="200">
        <f>IF(AND(B2384="",C2384=""),"",1)</f>
        <v/>
      </c>
      <c r="M2384" s="399" t="n"/>
      <c r="N2384" s="154">
        <f>IF(AND(B2384="",C2384=""),"",1)</f>
        <v/>
      </c>
      <c r="O2384" s="155">
        <f>IF(AND(B2384="",C2384=""),"",IF(J2384&gt;=20000,0.05,IF(J2384&gt;=10000,0.1,IF(J2384&gt;=5000,0.2,IF(J2384&gt;=1000,0.3,IF(J2384&gt;=0,0.4,{0}))))))</f>
        <v/>
      </c>
      <c r="P2384" s="400">
        <f>IF(AND(B2384="",C2384=""),"",ROUND(H2384*O2384,2))</f>
        <v/>
      </c>
      <c r="Q2384" s="401">
        <f>IF(AND(B2384="",C2384=""),"","元件")</f>
        <v/>
      </c>
      <c r="R2384" s="168" t="inlineStr"/>
      <c r="S2384" s="168" t="inlineStr"/>
      <c r="T2384" s="168" t="inlineStr"/>
      <c r="U2384" s="168" t="inlineStr"/>
      <c r="V2384" s="402" t="n"/>
      <c r="W2384" s="402" t="n"/>
      <c r="X2384" s="170" t="inlineStr"/>
    </row>
    <row r="2385" s="308">
      <c r="A2385" s="64">
        <f>ROW()-ROW(A$2361)</f>
        <v/>
      </c>
      <c r="B2385" s="171" t="inlineStr">
        <is>
          <t>小计</t>
        </is>
      </c>
      <c r="C2385" s="172" t="n"/>
      <c r="D2385" s="204" t="n"/>
      <c r="E2385" s="114" t="n"/>
      <c r="F2385" s="114" t="n"/>
      <c r="G2385" s="396" t="n"/>
      <c r="H2385" s="396">
        <f>ROUND(SUM(H2361:INDEX(H:H,ROW()-1)),2)</f>
        <v/>
      </c>
      <c r="I2385" s="45" t="inlineStr"/>
      <c r="J2385" s="397" t="n"/>
      <c r="K2385" s="398">
        <f>ROUND(SUM(K2361:INDEX(K:K,ROW()-1)),2)</f>
        <v/>
      </c>
      <c r="L2385" s="200" t="n"/>
      <c r="M2385" s="399" t="n"/>
      <c r="N2385" s="154" t="n"/>
      <c r="O2385" s="155" t="n"/>
      <c r="P2385" s="400" t="n"/>
      <c r="Q2385" s="401" t="n"/>
      <c r="R2385" s="168" t="inlineStr"/>
      <c r="S2385" s="168" t="inlineStr"/>
      <c r="T2385" s="168" t="inlineStr"/>
      <c r="U2385" s="168" t="inlineStr"/>
      <c r="V2385" s="402">
        <f>ROUND(SUMPRODUCT(F2361:INDEX(F:F,ROW()-1),V2361:INDEX(V:V,ROW()-1)),2)</f>
        <v/>
      </c>
      <c r="W2385" s="402">
        <f>ROUND(SUMPRODUCT(F2361:INDEX(F:F,ROW()-1),W2361:INDEX(W:W,ROW()-1)),2)</f>
        <v/>
      </c>
      <c r="X2385" s="170" t="inlineStr"/>
    </row>
    <row r="2386" s="308">
      <c r="A2386" s="64">
        <f>ROW()-ROW(A$2361)</f>
        <v/>
      </c>
      <c r="B2386" s="171" t="inlineStr">
        <is>
          <t>综合费(人工、管理、税金、利润等)</t>
        </is>
      </c>
      <c r="C2386" s="172" t="n"/>
      <c r="D2386" s="204" t="n"/>
      <c r="E2386" s="114" t="n"/>
      <c r="F2386" s="114" t="n"/>
      <c r="G2386" s="396" t="n"/>
      <c r="H2386" s="396">
        <f>2500</f>
        <v/>
      </c>
      <c r="I2386" s="45" t="inlineStr"/>
      <c r="J2386" s="397" t="n"/>
      <c r="K2386" s="398" t="n"/>
      <c r="L2386" s="200" t="n"/>
      <c r="M2386" s="399" t="n"/>
      <c r="N2386" s="154" t="n"/>
      <c r="O2386" s="155" t="n"/>
      <c r="P2386" s="400" t="n"/>
      <c r="Q2386" s="401" t="inlineStr">
        <is>
          <t>费用</t>
        </is>
      </c>
      <c r="R2386" s="168" t="inlineStr"/>
      <c r="S2386" s="168" t="inlineStr"/>
      <c r="T2386" s="168" t="inlineStr"/>
      <c r="U2386" s="168" t="inlineStr"/>
      <c r="V2386" s="402" t="n"/>
      <c r="W2386" s="402" t="n"/>
      <c r="X2386" s="170" t="inlineStr"/>
    </row>
    <row r="2387" s="308">
      <c r="A2387" s="64">
        <f>ROW()-ROW(A$2361)</f>
        <v/>
      </c>
      <c r="B2387" s="204" t="inlineStr">
        <is>
          <t>单台合计</t>
        </is>
      </c>
      <c r="C2387" s="172" t="n"/>
      <c r="D2387" s="204" t="n"/>
      <c r="E2387" s="114" t="n"/>
      <c r="F2387" s="114" t="n"/>
      <c r="G2387" s="396" t="n"/>
      <c r="H2387" s="396">
        <f>ROUND(SUM(H2385:H2386),2)</f>
        <v/>
      </c>
      <c r="I2387" s="181" t="n"/>
      <c r="J2387" s="397" t="n"/>
      <c r="K2387" s="398">
        <f>ROUND(SUM(K2385:K2386),2)</f>
        <v/>
      </c>
      <c r="L2387" s="209" t="n"/>
      <c r="M2387" s="399" t="n"/>
      <c r="N2387" s="210" t="n"/>
      <c r="O2387" s="211" t="n"/>
      <c r="P2387" s="400" t="n"/>
      <c r="Q2387" s="401" t="n"/>
      <c r="R2387" s="168" t="inlineStr"/>
      <c r="S2387" s="168" t="inlineStr"/>
      <c r="T2387" s="168" t="inlineStr"/>
      <c r="U2387" s="168" t="inlineStr"/>
      <c r="V2387" s="402" t="n"/>
      <c r="W2387" s="402" t="n"/>
      <c r="X2387" s="170" t="inlineStr"/>
    </row>
    <row r="2388" s="308">
      <c r="A2388" s="173" t="inlineStr">
        <is>
          <t>总计</t>
        </is>
      </c>
      <c r="B2388" s="205" t="n"/>
      <c r="C2388" s="175" t="n"/>
      <c r="D2388" s="206" t="n"/>
      <c r="E2388" s="206" t="inlineStr">
        <is>
          <t>台</t>
        </is>
      </c>
      <c r="F2388" s="206" t="n">
        <v>2</v>
      </c>
      <c r="G2388" s="414">
        <f>ROUND(H2387,2)</f>
        <v/>
      </c>
      <c r="H2388" s="414">
        <f>ROUND(F2388*G2388,2)</f>
        <v/>
      </c>
      <c r="I2388" s="185" t="n"/>
      <c r="J2388" s="415" t="n"/>
      <c r="K2388" s="416">
        <f>ROUND(K2387*F2388,2)</f>
        <v/>
      </c>
      <c r="L2388" s="214" t="n"/>
      <c r="M2388" s="417" t="n"/>
      <c r="N2388" s="216" t="n"/>
      <c r="O2388" s="217" t="n"/>
      <c r="P2388" s="418" t="n"/>
      <c r="Q2388" s="401" t="n"/>
      <c r="R2388" s="168" t="inlineStr"/>
      <c r="S2388" s="168" t="inlineStr"/>
      <c r="T2388" s="168" t="inlineStr"/>
      <c r="U2388" s="168" t="inlineStr"/>
      <c r="V2388" s="402" t="n"/>
      <c r="W2388" s="402" t="n"/>
      <c r="X2388" s="170" t="inlineStr"/>
    </row>
    <row r="2389" customFormat="1" s="4">
      <c r="A2389" s="6" t="n"/>
      <c r="B2389" s="195" t="inlineStr"/>
      <c r="C2389" s="195" t="inlineStr"/>
      <c r="D2389" s="195" t="inlineStr"/>
      <c r="Q2389" s="159" t="n"/>
      <c r="R2389" s="159" t="n"/>
      <c r="S2389" s="159" t="n"/>
      <c r="T2389" s="159" t="n"/>
      <c r="U2389" s="159" t="n"/>
      <c r="X2389" s="195" t="inlineStr"/>
    </row>
    <row r="2390" customFormat="1" s="4">
      <c r="A2390" s="6" t="n"/>
      <c r="B2390" s="195" t="inlineStr"/>
      <c r="C2390" s="195" t="inlineStr"/>
      <c r="D2390" s="195" t="inlineStr"/>
      <c r="Q2390" s="159" t="n"/>
      <c r="R2390" s="159" t="n"/>
      <c r="S2390" s="159" t="n"/>
      <c r="T2390" s="159" t="n"/>
      <c r="U2390" s="159" t="n"/>
      <c r="X2390" s="195" t="inlineStr"/>
    </row>
    <row r="2391" s="308">
      <c r="A2391" s="208">
        <f>CONCATENATE("报价人：",项目信息!$B$8)</f>
        <v/>
      </c>
      <c r="B2391" s="208" t="n"/>
      <c r="C2391" s="4" t="n"/>
      <c r="D2391" s="4" t="n"/>
      <c r="E2391" s="4" t="n"/>
      <c r="F2391" s="4" t="n"/>
      <c r="G2391" s="4" t="n"/>
      <c r="H2391" s="178">
        <f>项目信息!$B$9</f>
        <v/>
      </c>
      <c r="Q2391" s="159" t="n"/>
      <c r="R2391" s="159" t="n"/>
      <c r="S2391" s="159" t="n"/>
      <c r="T2391" s="159" t="n"/>
      <c r="U2391" s="159" t="n"/>
      <c r="X2391" s="203" t="inlineStr"/>
    </row>
    <row r="2392" s="308">
      <c r="A2392" s="8">
        <f>T(项目信息!$B$22)</f>
        <v/>
      </c>
      <c r="Q2392" s="159" t="n"/>
      <c r="R2392" s="159" t="n"/>
      <c r="S2392" s="159" t="n"/>
      <c r="T2392" s="159" t="n"/>
      <c r="U2392" s="159" t="n"/>
    </row>
    <row r="2393" s="308">
      <c r="A2393" s="9">
        <f>T(项目信息!$B$23)</f>
        <v/>
      </c>
      <c r="Q2393" s="159" t="n"/>
      <c r="R2393" s="159" t="n"/>
      <c r="S2393" s="159" t="n"/>
      <c r="T2393" s="159" t="n"/>
      <c r="U2393" s="159" t="n"/>
    </row>
    <row r="2394" s="308">
      <c r="A2394" s="97" t="inlineStr">
        <is>
          <t>成套产品报价明细表</t>
        </is>
      </c>
      <c r="B2394" s="378" t="n"/>
      <c r="C2394" s="378" t="n"/>
      <c r="D2394" s="378" t="n"/>
      <c r="E2394" s="378" t="n"/>
      <c r="F2394" s="378" t="n"/>
      <c r="G2394" s="378" t="n"/>
      <c r="H2394" s="378" t="n"/>
      <c r="I2394" s="378" t="n"/>
      <c r="Q2394" s="159" t="n"/>
      <c r="R2394" s="159" t="n"/>
      <c r="S2394" s="159" t="n"/>
      <c r="T2394" s="159" t="n"/>
      <c r="U2394" s="159" t="n"/>
    </row>
    <row r="2395" customFormat="1" s="4">
      <c r="A2395" s="98" t="inlineStr">
        <is>
          <t>柜号:</t>
        </is>
      </c>
      <c r="B2395" s="99" t="inlineStr">
        <is>
          <t>T11-AU22、T12-BU22</t>
        </is>
      </c>
      <c r="C2395" s="100" t="inlineStr">
        <is>
          <t>型号:</t>
        </is>
      </c>
      <c r="D2395" s="99" t="inlineStr">
        <is>
          <t>BlokSeT</t>
        </is>
      </c>
      <c r="E2395" s="379" t="n"/>
      <c r="F2395" s="101" t="inlineStr">
        <is>
          <t>名称:</t>
        </is>
      </c>
      <c r="G2395" s="99" t="inlineStr">
        <is>
          <t>馈线柜</t>
        </is>
      </c>
      <c r="H2395" s="379" t="n"/>
      <c r="I2395" s="408" t="inlineStr"/>
      <c r="J2395" s="194" t="inlineStr">
        <is>
          <t>箱柜尺寸:</t>
        </is>
      </c>
      <c r="K2395" s="195" t="inlineStr">
        <is>
          <t>600W*1200D*2200H</t>
        </is>
      </c>
      <c r="L2395" s="194" t="inlineStr">
        <is>
          <t>类别:</t>
        </is>
      </c>
      <c r="M2395" s="195" t="inlineStr">
        <is>
          <t>低压固定柜</t>
        </is>
      </c>
      <c r="N2395" s="409" t="inlineStr"/>
      <c r="Q2395" s="159" t="n"/>
      <c r="R2395" s="159" t="n"/>
      <c r="S2395" s="159" t="n"/>
      <c r="T2395" s="159" t="n"/>
      <c r="U2395" s="159" t="n"/>
    </row>
    <row r="2396" ht="20.1" customHeight="1" s="308">
      <c r="A2396" s="102" t="inlineStr">
        <is>
          <t>序号</t>
        </is>
      </c>
      <c r="B2396" s="103" t="inlineStr">
        <is>
          <t>元件名称</t>
        </is>
      </c>
      <c r="C2396" s="103" t="inlineStr">
        <is>
          <t>型号规格</t>
        </is>
      </c>
      <c r="D2396" s="104" t="inlineStr">
        <is>
          <t>生产厂家</t>
        </is>
      </c>
      <c r="E2396" s="105" t="inlineStr">
        <is>
          <t>单位</t>
        </is>
      </c>
      <c r="F2396" s="105" t="inlineStr">
        <is>
          <t>数量</t>
        </is>
      </c>
      <c r="G2396" s="382" t="inlineStr">
        <is>
          <t>单   价</t>
        </is>
      </c>
      <c r="H2396" s="383" t="inlineStr">
        <is>
          <t>总   价</t>
        </is>
      </c>
      <c r="I2396" s="134" t="inlineStr">
        <is>
          <t>备注</t>
        </is>
      </c>
      <c r="J2396" s="384" t="inlineStr">
        <is>
          <t>成本单价</t>
        </is>
      </c>
      <c r="K2396" s="384" t="inlineStr">
        <is>
          <t>成本总价</t>
        </is>
      </c>
      <c r="L2396" s="136" t="inlineStr">
        <is>
          <t>报出
系数</t>
        </is>
      </c>
      <c r="M2396" s="384" t="inlineStr">
        <is>
          <t>表价</t>
        </is>
      </c>
      <c r="N2396" s="136" t="inlineStr">
        <is>
          <t>折扣
系数</t>
        </is>
      </c>
      <c r="O2396" s="137" t="inlineStr">
        <is>
          <t>取费
系数</t>
        </is>
      </c>
      <c r="P2396" s="384" t="inlineStr">
        <is>
          <t>成套费</t>
        </is>
      </c>
      <c r="Q2396" s="161" t="inlineStr">
        <is>
          <t>类别</t>
        </is>
      </c>
      <c r="R2396" s="161" t="inlineStr">
        <is>
          <t>物料编码</t>
        </is>
      </c>
      <c r="S2396" s="161" t="inlineStr">
        <is>
          <t>产地</t>
        </is>
      </c>
      <c r="T2396" s="161" t="inlineStr">
        <is>
          <t>加工费</t>
        </is>
      </c>
      <c r="U2396" s="161" t="inlineStr">
        <is>
          <t>订货号</t>
        </is>
      </c>
      <c r="V2396" s="161" t="inlineStr">
        <is>
          <t>人工</t>
        </is>
      </c>
      <c r="W2396" s="161" t="inlineStr">
        <is>
          <t>辅料</t>
        </is>
      </c>
      <c r="X2396" s="203" t="inlineStr"/>
    </row>
    <row r="2397" s="308">
      <c r="A2397" s="64">
        <f>ROW()-ROW(A$2396)</f>
        <v/>
      </c>
      <c r="B2397" s="22" t="inlineStr">
        <is>
          <t>塑壳断路器</t>
        </is>
      </c>
      <c r="C2397" s="22" t="inlineStr">
        <is>
          <t>NSX400H Mic2.3 400A 3P3D P</t>
        </is>
      </c>
      <c r="D2397" s="22" t="inlineStr">
        <is>
          <t>甲供/施耐德电气</t>
        </is>
      </c>
      <c r="E2397" s="23" t="inlineStr">
        <is>
          <t>只</t>
        </is>
      </c>
      <c r="F2397" s="23" t="n">
        <v>6</v>
      </c>
      <c r="G2397" s="349">
        <f>IF(AND(B2397="",C2397=""),"",ROUND(M2397*L2397*N2397,2))</f>
        <v/>
      </c>
      <c r="H2397" s="349">
        <f>IF(AND(B2397="",C2397=""),"",ROUND(F2397*G2397,2))</f>
        <v/>
      </c>
      <c r="I2397" s="45" t="inlineStr"/>
      <c r="J2397" s="397">
        <f>IF(AND(B2397="",C2397=""),"",ROUND(M2397*N2397,2))</f>
        <v/>
      </c>
      <c r="K2397" s="398">
        <f>IF(AND(B2397="",C2397=""),"",ROUND(J2397*F2397,2))</f>
        <v/>
      </c>
      <c r="L2397" s="200" t="n">
        <v>1</v>
      </c>
      <c r="M2397" s="399" t="n">
        <v>1e-07</v>
      </c>
      <c r="N2397" s="154" t="n">
        <v>1</v>
      </c>
      <c r="O2397" s="155">
        <f>IF(AND(B2397="",C2397=""),"",IF(G2397&gt;=20000,0.05,IF(G2397&gt;=10000,0.1,IF(G2397&gt;=5000,0.2,IF(G2397&gt;=1000,0.3,IF(G2397&gt;=0,0.4,{0}))))))</f>
        <v/>
      </c>
      <c r="P2397" s="400">
        <f>IF(AND(B2397="",C2397=""),"",ROUND(H2397*O2397,2))</f>
        <v/>
      </c>
      <c r="Q2397" s="401" t="inlineStr">
        <is>
          <t>元件</t>
        </is>
      </c>
      <c r="R2397" s="168" t="inlineStr"/>
      <c r="S2397" s="168" t="inlineStr"/>
      <c r="T2397" s="168" t="inlineStr">
        <is>
          <t>0</t>
        </is>
      </c>
      <c r="U2397" s="168" t="inlineStr"/>
      <c r="V2397" s="402" t="n"/>
      <c r="W2397" s="402" t="n"/>
      <c r="X2397" s="170" t="inlineStr"/>
    </row>
    <row r="2398" s="308">
      <c r="A2398" s="64">
        <f>ROW()-ROW(A$2396)</f>
        <v/>
      </c>
      <c r="B2398" s="22" t="inlineStr">
        <is>
          <t>电流互感器</t>
        </is>
      </c>
      <c r="C2398" s="22" t="inlineStr">
        <is>
          <t>SD-0.66-40II-C 400/5A</t>
        </is>
      </c>
      <c r="D2398" s="22" t="inlineStr">
        <is>
          <t>桑迪</t>
        </is>
      </c>
      <c r="E2398" s="23" t="inlineStr">
        <is>
          <t>只</t>
        </is>
      </c>
      <c r="F2398" s="23" t="n">
        <v>18</v>
      </c>
      <c r="G2398" s="349">
        <f>IF(AND(B2398="",C2398=""),"",ROUND(M2398*L2398*N2398,2))</f>
        <v/>
      </c>
      <c r="H2398" s="396">
        <f>IF(AND(B2398="",C2398=""),"",ROUND(F2398*G2398,2))</f>
        <v/>
      </c>
      <c r="I2398" s="219" t="inlineStr"/>
      <c r="J2398" s="397">
        <f>IF(AND(B2398="",C2398=""),"",ROUND(M2398*N2398,2))</f>
        <v/>
      </c>
      <c r="K2398" s="398">
        <f>IF(AND(B2398="",C2398=""),"",ROUND(J2398*F2398,2))</f>
        <v/>
      </c>
      <c r="L2398" s="200" t="n">
        <v>1</v>
      </c>
      <c r="M2398" s="399" t="n">
        <v>52</v>
      </c>
      <c r="N2398" s="154" t="n">
        <v>1</v>
      </c>
      <c r="O2398" s="155">
        <f>IF(AND(B2398="",C2398=""),"",IF(G2398&gt;=20000,0.05,IF(G2398&gt;=10000,0.1,IF(G2398&gt;=5000,0.2,IF(G2398&gt;=1000,0.3,IF(G2398&gt;=0,0.4,{0}))))))</f>
        <v/>
      </c>
      <c r="P2398" s="400">
        <f>IF(AND(B2398="",C2398=""),"",ROUND(H2398*O2398,2))</f>
        <v/>
      </c>
      <c r="Q2398" s="401" t="inlineStr">
        <is>
          <t>元件</t>
        </is>
      </c>
      <c r="R2398" s="168" t="inlineStr"/>
      <c r="S2398" s="168" t="inlineStr"/>
      <c r="T2398" s="168" t="inlineStr">
        <is>
          <t>0</t>
        </is>
      </c>
      <c r="U2398" s="168" t="inlineStr">
        <is>
          <t>710140200000049</t>
        </is>
      </c>
      <c r="V2398" s="402" t="n"/>
      <c r="W2398" s="402" t="n"/>
      <c r="X2398" s="170" t="inlineStr">
        <is>
          <t>SD→SD-0.66-40II-C 400/5A→SD-0.66-30I 250/5A→SD-0.66-30I 150/5A→SD-0.66-60II-C 750/5A→SD-0.66-60II-C 600/5A→SD-0.66-30I 150/5A→SD-0.66-40II-C 400/5A→SD-0.66-100II-C 1600/5A→SD-0.66-80II-V 1000/5A</t>
        </is>
      </c>
    </row>
    <row r="2399" s="308">
      <c r="A2399" s="64">
        <f>ROW()-ROW(A$2396)</f>
        <v/>
      </c>
      <c r="B2399" s="112" t="inlineStr">
        <is>
          <t>多功能表</t>
        </is>
      </c>
      <c r="C2399" s="112" t="inlineStr">
        <is>
          <t>PM4101</t>
        </is>
      </c>
      <c r="D2399" s="112" t="inlineStr">
        <is>
          <t>甲供/施耐德电气</t>
        </is>
      </c>
      <c r="E2399" s="114" t="inlineStr">
        <is>
          <t>只</t>
        </is>
      </c>
      <c r="F2399" s="114" t="n">
        <v>6</v>
      </c>
      <c r="G2399" s="396">
        <f>IF(AND(B2399="",C2399=""),"",ROUND(M2399*L2399*N2399,2))</f>
        <v/>
      </c>
      <c r="H2399" s="349">
        <f>IF(AND(B2399="",C2399=""),"",ROUND(F2399*G2399,2))</f>
        <v/>
      </c>
      <c r="I2399" s="45" t="inlineStr"/>
      <c r="J2399" s="397">
        <f>IF(AND(B2399="",C2399=""),"",ROUND(M2399*N2399,2))</f>
        <v/>
      </c>
      <c r="K2399" s="398">
        <f>IF(AND(B2399="",C2399=""),"",ROUND(J2399*F2399,2))</f>
        <v/>
      </c>
      <c r="L2399" s="200" t="n">
        <v>1</v>
      </c>
      <c r="M2399" s="399" t="n">
        <v>1e-07</v>
      </c>
      <c r="N2399" s="154" t="n">
        <v>1</v>
      </c>
      <c r="O2399" s="155">
        <f>IF(AND(B2399="",C2399=""),"",IF(J2399&gt;=20000,0.05,IF(J2399&gt;=10000,0.1,IF(J2399&gt;=5000,0.2,IF(J2399&gt;=1000,0.3,IF(J2399&gt;=0,0.4,{0}))))))</f>
        <v/>
      </c>
      <c r="P2399" s="400">
        <f>IF(AND(B2399="",C2399=""),"",ROUND(H2399*O2399,2))</f>
        <v/>
      </c>
      <c r="Q2399" s="401" t="inlineStr">
        <is>
          <t>元件</t>
        </is>
      </c>
      <c r="R2399" s="168" t="inlineStr"/>
      <c r="S2399" s="168" t="inlineStr"/>
      <c r="T2399" s="168" t="inlineStr">
        <is>
          <t>0</t>
        </is>
      </c>
      <c r="U2399" s="168" t="inlineStr"/>
      <c r="V2399" s="402" t="n"/>
      <c r="W2399" s="402" t="n"/>
      <c r="X2399" s="170" t="inlineStr"/>
    </row>
    <row r="2400" customFormat="1" s="3">
      <c r="A2400" s="64">
        <f>ROW()-ROW(A$2396)</f>
        <v/>
      </c>
      <c r="B2400" s="22" t="inlineStr">
        <is>
          <t>指示灯</t>
        </is>
      </c>
      <c r="C2400" s="22" t="inlineStr">
        <is>
          <t>XB2BVM3LC</t>
        </is>
      </c>
      <c r="D2400" s="22" t="inlineStr">
        <is>
          <t>甲供/施耐德电气</t>
        </is>
      </c>
      <c r="E2400" s="23" t="inlineStr">
        <is>
          <t>只</t>
        </is>
      </c>
      <c r="F2400" s="23" t="n">
        <v>6</v>
      </c>
      <c r="G2400" s="349">
        <f>IF(AND(B2400="",C2400=""),"",ROUND(M2400*L2400*N2400,2))</f>
        <v/>
      </c>
      <c r="H2400" s="353">
        <f>IF(AND(B2400="",C2400=""),"",ROUND(F2400*G2400,2))</f>
        <v/>
      </c>
      <c r="I2400" s="180" t="inlineStr"/>
      <c r="J2400" s="392">
        <f>IF(AND(B2400="",C2400=""),"",ROUND(M2400*N2400,2))</f>
        <v/>
      </c>
      <c r="K2400" s="393">
        <f>IF(AND(B2400="",C2400=""),"",ROUND(J2400*F2400,2))</f>
        <v/>
      </c>
      <c r="L2400" s="141" t="n">
        <v>1</v>
      </c>
      <c r="M2400" s="394" t="n">
        <v>1e-07</v>
      </c>
      <c r="N2400" s="220" t="n">
        <v>1</v>
      </c>
      <c r="O2400" s="221">
        <f>IF(AND(B2400="",C2400=""),"",IF(G2400&gt;=20000,0.05,IF(G2400&gt;=10000,0.1,IF(G2400&gt;=5000,0.2,IF(G2400&gt;=1000,0.3,IF(G2400&gt;=0,0.4,{0}))))))</f>
        <v/>
      </c>
      <c r="P2400" s="419">
        <f>IF(AND(B2400="",C2400=""),"",ROUND(H2400*O2400,2))</f>
        <v/>
      </c>
      <c r="Q2400" s="420" t="inlineStr">
        <is>
          <t>元件</t>
        </is>
      </c>
      <c r="R2400" s="231" t="inlineStr"/>
      <c r="S2400" s="231" t="inlineStr"/>
      <c r="T2400" s="231" t="inlineStr">
        <is>
          <t>0</t>
        </is>
      </c>
      <c r="U2400" s="231" t="inlineStr">
        <is>
          <t>XB2BVM3LC</t>
        </is>
      </c>
      <c r="V2400" s="421" t="n"/>
      <c r="W2400" s="421" t="n"/>
      <c r="X2400" s="166" t="inlineStr">
        <is>
          <t>XA2EVM3LC</t>
        </is>
      </c>
    </row>
    <row r="2401" customFormat="1" s="3">
      <c r="A2401" s="64">
        <f>ROW()-ROW(A$2396)</f>
        <v/>
      </c>
      <c r="B2401" s="22" t="inlineStr">
        <is>
          <t>指示灯</t>
        </is>
      </c>
      <c r="C2401" s="22" t="inlineStr">
        <is>
          <t>XB2BVM4LC</t>
        </is>
      </c>
      <c r="D2401" s="22" t="inlineStr">
        <is>
          <t>甲供/施耐德电气</t>
        </is>
      </c>
      <c r="E2401" s="23" t="inlineStr">
        <is>
          <t>只</t>
        </is>
      </c>
      <c r="F2401" s="23" t="n">
        <v>6</v>
      </c>
      <c r="G2401" s="349">
        <f>IF(AND(B2401="",C2401=""),"",ROUND(M2401*L2401*N2401,2))</f>
        <v/>
      </c>
      <c r="H2401" s="353">
        <f>IF(AND(B2401="",C2401=""),"",ROUND(F2401*G2401,2))</f>
        <v/>
      </c>
      <c r="I2401" s="180" t="inlineStr"/>
      <c r="J2401" s="392">
        <f>IF(AND(B2401="",C2401=""),"",ROUND(M2401*N2401,2))</f>
        <v/>
      </c>
      <c r="K2401" s="393">
        <f>IF(AND(B2401="",C2401=""),"",ROUND(J2401*F2401,2))</f>
        <v/>
      </c>
      <c r="L2401" s="141" t="n">
        <v>1</v>
      </c>
      <c r="M2401" s="394" t="n">
        <v>1e-07</v>
      </c>
      <c r="N2401" s="220" t="n">
        <v>1</v>
      </c>
      <c r="O2401" s="221">
        <f>IF(AND(B2401="",C2401=""),"",IF(G2401&gt;=20000,0.05,IF(G2401&gt;=10000,0.1,IF(G2401&gt;=5000,0.2,IF(G2401&gt;=1000,0.3,IF(G2401&gt;=0,0.4,{0}))))))</f>
        <v/>
      </c>
      <c r="P2401" s="419">
        <f>IF(AND(B2401="",C2401=""),"",ROUND(H2401*O2401,2))</f>
        <v/>
      </c>
      <c r="Q2401" s="420" t="inlineStr">
        <is>
          <t>元件</t>
        </is>
      </c>
      <c r="R2401" s="231" t="inlineStr"/>
      <c r="S2401" s="231" t="inlineStr"/>
      <c r="T2401" s="231" t="inlineStr">
        <is>
          <t>0</t>
        </is>
      </c>
      <c r="U2401" s="231" t="inlineStr">
        <is>
          <t>XB2BVM4LC</t>
        </is>
      </c>
      <c r="V2401" s="421" t="n"/>
      <c r="W2401" s="421" t="n"/>
      <c r="X2401" s="166" t="inlineStr">
        <is>
          <t>XA2EVM4LC</t>
        </is>
      </c>
    </row>
    <row r="2402" s="308">
      <c r="A2402" s="64">
        <f>ROW()-ROW(A$2396)</f>
        <v/>
      </c>
      <c r="B2402" s="112" t="inlineStr">
        <is>
          <t>温湿度控制器</t>
        </is>
      </c>
      <c r="C2402" s="112" t="inlineStr">
        <is>
          <t>ATH48G-11</t>
        </is>
      </c>
      <c r="D2402" s="22" t="inlineStr">
        <is>
          <t>杭州安廷</t>
        </is>
      </c>
      <c r="E2402" s="23" t="inlineStr">
        <is>
          <t>套</t>
        </is>
      </c>
      <c r="F2402" s="23" t="n">
        <v>1</v>
      </c>
      <c r="G2402" s="349">
        <f>IF(AND(B2402="",C2402=""),"",ROUND(M2402*L2402*N2402,2))</f>
        <v/>
      </c>
      <c r="H2402" s="396">
        <f>IF(AND(B2402="",C2402=""),"",ROUND(F2402*G2402,2))</f>
        <v/>
      </c>
      <c r="I2402" s="150" t="inlineStr"/>
      <c r="J2402" s="397">
        <f>IF(AND(B2402="",C2402=""),"",ROUND(M2402*N2402,2))</f>
        <v/>
      </c>
      <c r="K2402" s="398">
        <f>IF(AND(B2402="",C2402=""),"",ROUND(J2402*F2402,2))</f>
        <v/>
      </c>
      <c r="L2402" s="141" t="n">
        <v>1</v>
      </c>
      <c r="M2402" s="399" t="n">
        <v>450</v>
      </c>
      <c r="N2402" s="154" t="n">
        <v>1</v>
      </c>
      <c r="O2402" s="155">
        <f>IF(AND(B2402="",C2402=""),"",IF(G2402&gt;=20000,0.05,IF(G2402&gt;=10000,0.1,IF(G2402&gt;=5000,0.2,IF(G2402&gt;=1000,0.3,IF(G2402&gt;=0,0.4,{0}))))))</f>
        <v/>
      </c>
      <c r="P2402" s="400">
        <f>IF(AND(B2402="",C2402=""),"",ROUND(H2402*O2402,2))</f>
        <v/>
      </c>
      <c r="Q2402" s="401" t="inlineStr">
        <is>
          <t>元件</t>
        </is>
      </c>
      <c r="R2402" s="168" t="inlineStr"/>
      <c r="S2402" s="168" t="inlineStr"/>
      <c r="T2402" s="168" t="inlineStr">
        <is>
          <t>0</t>
        </is>
      </c>
      <c r="U2402" s="168" t="inlineStr"/>
      <c r="V2402" s="402" t="n"/>
      <c r="W2402" s="402" t="n"/>
      <c r="X2402" s="170" t="inlineStr"/>
    </row>
    <row r="2403" s="308">
      <c r="A2403" s="64">
        <f>ROW()-ROW(A$2396)</f>
        <v/>
      </c>
      <c r="B2403" s="22" t="inlineStr">
        <is>
          <t>中间继电器</t>
        </is>
      </c>
      <c r="C2403" s="22" t="inlineStr">
        <is>
          <t>RXM4AB2P7+RXZE2S114M+RXZ400</t>
        </is>
      </c>
      <c r="D2403" s="22" t="inlineStr">
        <is>
          <t>甲供/施耐德电气</t>
        </is>
      </c>
      <c r="E2403" s="23" t="inlineStr">
        <is>
          <t>只</t>
        </is>
      </c>
      <c r="F2403" s="23" t="n">
        <v>12</v>
      </c>
      <c r="G2403" s="349">
        <f>IF(AND(B2403="",C2403=""),"",ROUND(M2403*L2403*N2403,2))</f>
        <v/>
      </c>
      <c r="H2403" s="349">
        <f>IF(AND(B2403="",C2403=""),"",ROUND(F2403*G2403,2))</f>
        <v/>
      </c>
      <c r="I2403" s="45" t="inlineStr"/>
      <c r="J2403" s="397">
        <f>IF(AND(B2403="",C2403=""),"",ROUND(M2403*N2403,2))</f>
        <v/>
      </c>
      <c r="K2403" s="398">
        <f>IF(AND(B2403="",C2403=""),"",ROUND(J2403*F2403,2))</f>
        <v/>
      </c>
      <c r="L2403" s="141" t="n">
        <v>1</v>
      </c>
      <c r="M2403" s="399" t="n">
        <v>1e-07</v>
      </c>
      <c r="N2403" s="154" t="n">
        <v>1</v>
      </c>
      <c r="O2403" s="155">
        <f>IF(AND(B2403="",C2403=""),"",IF(G2403&gt;=20000,0.05,IF(G2403&gt;=10000,0.1,IF(G2403&gt;=5000,0.2,IF(G2403&gt;=1000,0.3,IF(G2403&gt;=0,0.4,{0}))))))</f>
        <v/>
      </c>
      <c r="P2403" s="400">
        <f>IF(AND(B2403="",C2403=""),"",ROUND(H2403*O2403,2))</f>
        <v/>
      </c>
      <c r="Q2403" s="401" t="inlineStr">
        <is>
          <t>元件</t>
        </is>
      </c>
      <c r="R2403" s="168" t="inlineStr"/>
      <c r="S2403" s="168" t="inlineStr"/>
      <c r="T2403" s="168" t="inlineStr">
        <is>
          <t>0</t>
        </is>
      </c>
      <c r="U2403" s="168" t="inlineStr">
        <is>
          <t>RXM4AB2P7+RXZE2S114M+RXZ400</t>
        </is>
      </c>
      <c r="V2403" s="402" t="n"/>
      <c r="W2403" s="402" t="n"/>
      <c r="X2403" s="170" t="inlineStr">
        <is>
          <t>REL-IR-BL/L-230AC/4X21，含底座→RXM4AB2P7+RXZE2S114M+RXZ400→REL-IR-BL/L-230AC/4X21，含底座</t>
        </is>
      </c>
    </row>
    <row r="2404" customFormat="1" s="3">
      <c r="A2404" s="64">
        <f>ROW()-ROW(A$2396)</f>
        <v/>
      </c>
      <c r="B2404" s="22" t="inlineStr">
        <is>
          <t>带熔丝端子</t>
        </is>
      </c>
      <c r="C2404" s="22" t="inlineStr">
        <is>
          <t>UK 5-HESI</t>
        </is>
      </c>
      <c r="D2404" s="22" t="inlineStr">
        <is>
          <t>菲尼克斯</t>
        </is>
      </c>
      <c r="E2404" s="23" t="inlineStr">
        <is>
          <t>只</t>
        </is>
      </c>
      <c r="F2404" s="23" t="n">
        <v>24</v>
      </c>
      <c r="G2404" s="349">
        <f>IF(AND(B2404="",C2404=""),"",ROUND(M2404*L2404*N2404,2))</f>
        <v/>
      </c>
      <c r="H2404" s="349">
        <f>IF(AND(B2404="",C2404=""),"",ROUND(F2404*G2404,2))</f>
        <v/>
      </c>
      <c r="I2404" s="45" t="inlineStr"/>
      <c r="J2404" s="392">
        <f>IF(AND(B2404="",C2404=""),"",ROUND(M2404*N2404,2))</f>
        <v/>
      </c>
      <c r="K2404" s="393">
        <f>IF(AND(B2404="",C2404=""),"",ROUND(J2404*F2404,2))</f>
        <v/>
      </c>
      <c r="L2404" s="141" t="n">
        <v>1</v>
      </c>
      <c r="M2404" s="394" t="n">
        <v>7</v>
      </c>
      <c r="N2404" s="220" t="n">
        <v>1</v>
      </c>
      <c r="O2404" s="221">
        <f>IF(AND(B2404="",C2404=""),"",IF(G2404&gt;=20000,0.05,IF(G2404&gt;=10000,0.1,IF(G2404&gt;=5000,0.2,IF(G2404&gt;=1000,0.3,IF(G2404&gt;=0,0.4,{0}))))))</f>
        <v/>
      </c>
      <c r="P2404" s="419">
        <f>IF(AND(B2404="",C2404=""),"",ROUND(H2404*O2404,2))</f>
        <v/>
      </c>
      <c r="Q2404" s="420" t="inlineStr">
        <is>
          <t>元件</t>
        </is>
      </c>
      <c r="R2404" s="231" t="inlineStr"/>
      <c r="S2404" s="231" t="inlineStr"/>
      <c r="T2404" s="231" t="inlineStr">
        <is>
          <t>0</t>
        </is>
      </c>
      <c r="U2404" s="231" t="inlineStr">
        <is>
          <t>True</t>
        </is>
      </c>
      <c r="V2404" s="421" t="n"/>
      <c r="W2404" s="421" t="n"/>
      <c r="X2404" s="166" t="inlineStr"/>
    </row>
    <row r="2405" s="308">
      <c r="A2405" s="64">
        <f>ROW()-ROW(A$2396)</f>
        <v/>
      </c>
      <c r="B2405" s="22" t="inlineStr">
        <is>
          <t>水平母排</t>
        </is>
      </c>
      <c r="C2405" s="22" t="inlineStr">
        <is>
          <t>TMY 4*(2*100*5)+2*50*5</t>
        </is>
      </c>
      <c r="D2405" s="22" t="inlineStr">
        <is>
          <t>国产优质</t>
        </is>
      </c>
      <c r="E2405" s="23" t="inlineStr">
        <is>
          <t>米</t>
        </is>
      </c>
      <c r="F2405" s="23" t="n">
        <v>0.7</v>
      </c>
      <c r="G2405" s="349">
        <f>IF(AND(B2405="",C2405=""),"",ROUND(M2405*L2405*N2405,2))</f>
        <v/>
      </c>
      <c r="H2405" s="349">
        <f>IF(AND(B2405="",C2405=""),"",ROUND(F2405*G2405,2))</f>
        <v/>
      </c>
      <c r="I2405" s="45" t="inlineStr"/>
      <c r="J2405" s="397">
        <f>IF(AND(B2405="",C2405=""),"",ROUND(M2405*N2405,2))</f>
        <v/>
      </c>
      <c r="K2405" s="398">
        <f>IF(AND(B2405="",C2405=""),"",ROUND(J2405*F2405,2))</f>
        <v/>
      </c>
      <c r="L2405" s="200" t="n">
        <v>1</v>
      </c>
      <c r="M2405" s="399" t="n">
        <v>4329.60525</v>
      </c>
      <c r="N2405" s="154">
        <f>(6317.932*1*1+2684.8*1*1)/9002.732</f>
        <v/>
      </c>
      <c r="O2405" s="155">
        <f>IF(AND(B2405="",C2405=""),"",IF(J2405&gt;=20000,0.05,IF(J2405&gt;=10000,0.1,IF(J2405&gt;=5000,0.2,IF(J2405&gt;=1000,0.3,IF(J2405&gt;=0,0.4,{0}))))))</f>
        <v/>
      </c>
      <c r="P2405" s="400">
        <f>IF(AND(B2405="",C2405=""),"",ROUND(H2405*O2405,2))</f>
        <v/>
      </c>
      <c r="Q2405" s="401" t="inlineStr">
        <is>
          <t>母排</t>
        </is>
      </c>
      <c r="R2405" s="168" t="inlineStr"/>
      <c r="S2405" s="168" t="inlineStr"/>
      <c r="T2405" s="168" t="inlineStr">
        <is>
          <t>0</t>
        </is>
      </c>
      <c r="U2405" s="168" t="inlineStr"/>
      <c r="V2405" s="402" t="n"/>
      <c r="W2405" s="402" t="n"/>
      <c r="X2405" s="170" t="inlineStr"/>
    </row>
    <row r="2406" customFormat="1" s="5">
      <c r="A2406" s="64">
        <f>ROW()-ROW(A$2396)</f>
        <v/>
      </c>
      <c r="B2406" s="22" t="inlineStr">
        <is>
          <t>垂直排</t>
        </is>
      </c>
      <c r="C2406" s="22" t="inlineStr">
        <is>
          <t>TMY 3*2*80*5</t>
        </is>
      </c>
      <c r="D2406" s="22" t="inlineStr">
        <is>
          <t>国产优质</t>
        </is>
      </c>
      <c r="E2406" s="23" t="inlineStr">
        <is>
          <t>米</t>
        </is>
      </c>
      <c r="F2406" s="23" t="n">
        <v>2</v>
      </c>
      <c r="G2406" s="349">
        <f>IF(AND(B2406="",C2406=""),"",ROUND(M2406*L2406*N2406,2))</f>
        <v/>
      </c>
      <c r="H2406" s="349">
        <f>IF(AND(B2406="",C2406=""),"",ROUND(F2406*G2406,2))</f>
        <v/>
      </c>
      <c r="I2406" s="45" t="inlineStr"/>
      <c r="J2406" s="422">
        <f>IF(AND(B2406="",C2406=""),"",ROUND(M2406*N2406,2))</f>
        <v/>
      </c>
      <c r="K2406" s="423">
        <f>IF(AND(B2406="",C2406=""),"",ROUND(J2406*F2406,2))</f>
        <v/>
      </c>
      <c r="L2406" s="225" t="n">
        <v>1</v>
      </c>
      <c r="M2406" s="424" t="n">
        <v>2309.1228</v>
      </c>
      <c r="N2406" s="227" t="n">
        <v>1</v>
      </c>
      <c r="O2406" s="228">
        <f>IF(AND(B2406="",C2406=""),"",IF(G2406&gt;=20000,0.05,IF(G2406&gt;=10000,0.1,IF(G2406&gt;=5000,0.2,IF(G2406&gt;=1000,0.3,IF(G2406&gt;=0,0.4,{0}))))))</f>
        <v/>
      </c>
      <c r="P2406" s="425">
        <f>IF(AND(B2406="",C2406=""),"",ROUND(H2406*O2406,2))</f>
        <v/>
      </c>
      <c r="Q2406" s="426" t="inlineStr">
        <is>
          <t>母排</t>
        </is>
      </c>
      <c r="R2406" s="234" t="inlineStr"/>
      <c r="S2406" s="234" t="inlineStr"/>
      <c r="T2406" s="235" t="inlineStr">
        <is>
          <t>0</t>
        </is>
      </c>
      <c r="U2406" s="235" t="inlineStr"/>
      <c r="V2406" s="427" t="n"/>
      <c r="W2406" s="427" t="n"/>
      <c r="X2406" s="237" t="inlineStr">
        <is>
          <t>TMY 2*30*5→TMY 30*8</t>
        </is>
      </c>
    </row>
    <row r="2407" customFormat="1" s="5">
      <c r="A2407" s="64">
        <f>ROW()-ROW(A$2396)</f>
        <v/>
      </c>
      <c r="B2407" s="22" t="inlineStr">
        <is>
          <t>N排</t>
        </is>
      </c>
      <c r="C2407" s="22" t="inlineStr">
        <is>
          <t>TMY 80*10</t>
        </is>
      </c>
      <c r="D2407" s="22" t="inlineStr">
        <is>
          <t>国产优质</t>
        </is>
      </c>
      <c r="E2407" s="23" t="inlineStr">
        <is>
          <t>米</t>
        </is>
      </c>
      <c r="F2407" s="23" t="n">
        <v>3</v>
      </c>
      <c r="G2407" s="349">
        <f>IF(AND(B2407="",C2407=""),"",ROUND(M2407*L2407*N2407,2))</f>
        <v/>
      </c>
      <c r="H2407" s="349">
        <f>IF(AND(B2407="",C2407=""),"",ROUND(F2407*G2407,2))</f>
        <v/>
      </c>
      <c r="I2407" s="45" t="inlineStr"/>
      <c r="J2407" s="422">
        <f>IF(AND(B2407="",C2407=""),"",ROUND(M2407*N2407,2))</f>
        <v/>
      </c>
      <c r="K2407" s="423">
        <f>IF(AND(B2407="",C2407=""),"",ROUND(J2407*F2407,2))</f>
        <v/>
      </c>
      <c r="L2407" s="225" t="n">
        <v>1</v>
      </c>
      <c r="M2407" s="424" t="n">
        <v>769.7076</v>
      </c>
      <c r="N2407" s="227" t="n">
        <v>1</v>
      </c>
      <c r="O2407" s="228">
        <f>IF(AND(B2407="",C2407=""),"",IF(G2407&gt;=20000,0.05,IF(G2407&gt;=10000,0.1,IF(G2407&gt;=5000,0.2,IF(G2407&gt;=1000,0.3,IF(G2407&gt;=0,0.4,{0}))))))</f>
        <v/>
      </c>
      <c r="P2407" s="425">
        <f>IF(AND(B2407="",C2407=""),"",ROUND(H2407*O2407,2))</f>
        <v/>
      </c>
      <c r="Q2407" s="426" t="inlineStr">
        <is>
          <t>母排</t>
        </is>
      </c>
      <c r="R2407" s="234" t="inlineStr"/>
      <c r="S2407" s="234" t="inlineStr"/>
      <c r="T2407" s="235" t="inlineStr">
        <is>
          <t>0</t>
        </is>
      </c>
      <c r="U2407" s="235" t="inlineStr"/>
      <c r="V2407" s="427" t="n"/>
      <c r="W2407" s="427" t="n"/>
      <c r="X2407" s="237" t="inlineStr">
        <is>
          <t>TMY 2*30*5→TMY 30*8</t>
        </is>
      </c>
    </row>
    <row r="2408" customFormat="1" s="5">
      <c r="A2408" s="64">
        <f>ROW()-ROW(A$2396)</f>
        <v/>
      </c>
      <c r="B2408" s="22" t="inlineStr">
        <is>
          <t>PE排</t>
        </is>
      </c>
      <c r="C2408" s="22" t="inlineStr">
        <is>
          <t>TMY 2*50*5</t>
        </is>
      </c>
      <c r="D2408" s="22" t="inlineStr">
        <is>
          <t>国产优质</t>
        </is>
      </c>
      <c r="E2408" s="23" t="inlineStr">
        <is>
          <t>米</t>
        </is>
      </c>
      <c r="F2408" s="23" t="n">
        <v>2</v>
      </c>
      <c r="G2408" s="349">
        <f>IF(AND(B2408="",C2408=""),"",ROUND(M2408*L2408*N2408,2))</f>
        <v/>
      </c>
      <c r="H2408" s="349">
        <f>IF(AND(B2408="",C2408=""),"",ROUND(F2408*G2408,2))</f>
        <v/>
      </c>
      <c r="I2408" s="45" t="inlineStr"/>
      <c r="J2408" s="422">
        <f>IF(AND(B2408="",C2408=""),"",ROUND(M2408*N2408,2))</f>
        <v/>
      </c>
      <c r="K2408" s="423">
        <f>IF(AND(B2408="",C2408=""),"",ROUND(J2408*F2408,2))</f>
        <v/>
      </c>
      <c r="L2408" s="225" t="n">
        <v>1</v>
      </c>
      <c r="M2408" s="424" t="n">
        <v>481.06725</v>
      </c>
      <c r="N2408" s="227" t="n">
        <v>1</v>
      </c>
      <c r="O2408" s="228">
        <f>IF(AND(B2408="",C2408=""),"",IF(G2408&gt;=20000,0.05,IF(G2408&gt;=10000,0.1,IF(G2408&gt;=5000,0.2,IF(G2408&gt;=1000,0.3,IF(G2408&gt;=0,0.4,{0}))))))</f>
        <v/>
      </c>
      <c r="P2408" s="425">
        <f>IF(AND(B2408="",C2408=""),"",ROUND(H2408*O2408,2))</f>
        <v/>
      </c>
      <c r="Q2408" s="426" t="inlineStr">
        <is>
          <t>母排</t>
        </is>
      </c>
      <c r="R2408" s="234" t="inlineStr"/>
      <c r="S2408" s="234" t="inlineStr"/>
      <c r="T2408" s="235" t="inlineStr">
        <is>
          <t>0</t>
        </is>
      </c>
      <c r="U2408" s="235" t="inlineStr"/>
      <c r="V2408" s="427" t="n"/>
      <c r="W2408" s="427" t="n"/>
      <c r="X2408" s="237" t="inlineStr">
        <is>
          <t>TMY 2*30*5→TMY 30*8</t>
        </is>
      </c>
    </row>
    <row r="2409" customFormat="1" s="5">
      <c r="A2409" s="64">
        <f>ROW()-ROW(A$2396)</f>
        <v/>
      </c>
      <c r="B2409" s="22" t="inlineStr">
        <is>
          <t>400A铜排</t>
        </is>
      </c>
      <c r="C2409" s="22" t="inlineStr">
        <is>
          <t>TMY 30*5</t>
        </is>
      </c>
      <c r="D2409" s="22" t="inlineStr">
        <is>
          <t>国产优质</t>
        </is>
      </c>
      <c r="E2409" s="23" t="inlineStr">
        <is>
          <t>米</t>
        </is>
      </c>
      <c r="F2409" s="23" t="n">
        <v>19.2</v>
      </c>
      <c r="G2409" s="349">
        <f>IF(AND(B2409="",C2409=""),"",ROUND(M2409*L2409*N2409,2))</f>
        <v/>
      </c>
      <c r="H2409" s="349">
        <f>IF(AND(B2409="",C2409=""),"",ROUND(F2409*G2409,2))</f>
        <v/>
      </c>
      <c r="I2409" s="45" t="inlineStr"/>
      <c r="J2409" s="422">
        <f>IF(AND(B2409="",C2409=""),"",ROUND(M2409*N2409,2))</f>
        <v/>
      </c>
      <c r="K2409" s="423">
        <f>IF(AND(B2409="",C2409=""),"",ROUND(J2409*F2409,2))</f>
        <v/>
      </c>
      <c r="L2409" s="225" t="n">
        <v>1</v>
      </c>
      <c r="M2409" s="424" t="n">
        <v>144.320175</v>
      </c>
      <c r="N2409" s="227" t="n">
        <v>1</v>
      </c>
      <c r="O2409" s="228">
        <f>IF(AND(B2409="",C2409=""),"",IF(G2409&gt;=20000,0.05,IF(G2409&gt;=10000,0.1,IF(G2409&gt;=5000,0.2,IF(G2409&gt;=1000,0.3,IF(G2409&gt;=0,0.4,{0}))))))</f>
        <v/>
      </c>
      <c r="P2409" s="425">
        <f>IF(AND(B2409="",C2409=""),"",ROUND(H2409*O2409,2))</f>
        <v/>
      </c>
      <c r="Q2409" s="426" t="inlineStr">
        <is>
          <t>母排</t>
        </is>
      </c>
      <c r="R2409" s="234" t="inlineStr"/>
      <c r="S2409" s="234" t="inlineStr"/>
      <c r="T2409" s="235" t="inlineStr">
        <is>
          <t>0</t>
        </is>
      </c>
      <c r="U2409" s="235" t="inlineStr"/>
      <c r="V2409" s="427" t="n"/>
      <c r="W2409" s="427" t="n"/>
      <c r="X2409" s="237" t="inlineStr">
        <is>
          <t>TMY 2*30*5→TMY 30*8</t>
        </is>
      </c>
    </row>
    <row r="2410" s="308">
      <c r="A2410" s="64">
        <f>ROW()-ROW(A$2396)</f>
        <v/>
      </c>
      <c r="B2410" s="112" t="inlineStr">
        <is>
          <t>辅料</t>
        </is>
      </c>
      <c r="C2410" s="112" t="inlineStr"/>
      <c r="D2410" s="112" t="inlineStr"/>
      <c r="E2410" s="114" t="inlineStr">
        <is>
          <t>套</t>
        </is>
      </c>
      <c r="F2410" s="114" t="n">
        <v>1</v>
      </c>
      <c r="G2410" s="396">
        <f>IF(AND(B2410="",C2410=""),"",ROUND(M2410*L2410*N2410,2))</f>
        <v/>
      </c>
      <c r="H2410" s="396">
        <f>IF(AND(B2410="",C2410=""),"",ROUND(F2410*G2410,2))</f>
        <v/>
      </c>
      <c r="I2410" s="219" t="inlineStr"/>
      <c r="J2410" s="397">
        <f>IF(AND(B2410="",C2410=""),"",ROUND(M2410*N2410,2))</f>
        <v/>
      </c>
      <c r="K2410" s="398">
        <f>IF(AND(B2410="",C2410=""),"",ROUND(J2410*F2410,2))</f>
        <v/>
      </c>
      <c r="L2410" s="200" t="n">
        <v>1</v>
      </c>
      <c r="M2410" s="399" t="n">
        <v>681.16</v>
      </c>
      <c r="N2410" s="154" t="n">
        <v>1</v>
      </c>
      <c r="O2410" s="155">
        <f>IF(AND(B2410="",C2410=""),"",IF(G2410&gt;=20000,0.05,IF(G2410&gt;=10000,0.1,IF(G2410&gt;=5000,0.2,IF(G2410&gt;=1000,0.3,IF(G2410&gt;=0,0.4,{0}))))))</f>
        <v/>
      </c>
      <c r="P2410" s="400">
        <f>IF(AND(B2410="",C2410=""),"",ROUND(H2410*O2410,2))</f>
        <v/>
      </c>
      <c r="Q2410" s="401" t="inlineStr">
        <is>
          <t>辅料</t>
        </is>
      </c>
      <c r="R2410" s="168" t="inlineStr"/>
      <c r="S2410" s="168" t="inlineStr"/>
      <c r="T2410" s="168" t="inlineStr">
        <is>
          <t>0</t>
        </is>
      </c>
      <c r="U2410" s="168" t="inlineStr"/>
      <c r="V2410" s="402" t="n"/>
      <c r="W2410" s="402" t="n"/>
      <c r="X2410" s="170" t="inlineStr"/>
    </row>
    <row r="2411" s="308">
      <c r="A2411" s="64">
        <f>ROW()-ROW(A$2396)</f>
        <v/>
      </c>
      <c r="B2411" s="112" t="inlineStr">
        <is>
          <t>柜体Blokset</t>
        </is>
      </c>
      <c r="C2411" s="22" t="inlineStr">
        <is>
          <t>600W*1200D*2200H</t>
        </is>
      </c>
      <c r="D2411" s="112" t="inlineStr">
        <is>
          <t>清科</t>
        </is>
      </c>
      <c r="E2411" s="114" t="inlineStr">
        <is>
          <t>台</t>
        </is>
      </c>
      <c r="F2411" s="114" t="n">
        <v>1</v>
      </c>
      <c r="G2411" s="396">
        <f>IF(AND(B2411="",C2411=""),"",ROUND(M2411*L2411*N2411,2))</f>
        <v/>
      </c>
      <c r="H2411" s="396">
        <f>IF(AND(B2411="",C2411=""),"",ROUND(F2411*G2411,2))</f>
        <v/>
      </c>
      <c r="I2411" s="219" t="inlineStr"/>
      <c r="J2411" s="397">
        <f>IF(AND(B2411="",C2411=""),"",ROUND(M2411*N2411,2))</f>
        <v/>
      </c>
      <c r="K2411" s="398">
        <f>IF(AND(B2411="",C2411=""),"",ROUND(J2411*F2411,2))</f>
        <v/>
      </c>
      <c r="L2411" s="200" t="n">
        <v>1</v>
      </c>
      <c r="M2411" s="399" t="n">
        <v>5521</v>
      </c>
      <c r="N2411" s="154" t="n">
        <v>1</v>
      </c>
      <c r="O2411" s="155">
        <f>IF(AND(B2411="",C2411=""),"",IF(G2411&gt;=20000,0.05,IF(G2411&gt;=10000,0.1,IF(G2411&gt;=5000,0.2,IF(G2411&gt;=1000,0.3,IF(G2411&gt;=0,0.4,{0}))))))</f>
        <v/>
      </c>
      <c r="P2411" s="400">
        <f>IF(AND(B2411="",C2411=""),"",ROUND(H2411*O2411,2))</f>
        <v/>
      </c>
      <c r="Q2411" s="401" t="inlineStr">
        <is>
          <t>箱体</t>
        </is>
      </c>
      <c r="R2411" s="168" t="inlineStr"/>
      <c r="S2411" s="168" t="inlineStr"/>
      <c r="T2411" s="168" t="inlineStr">
        <is>
          <t>0</t>
        </is>
      </c>
      <c r="U2411" s="168" t="inlineStr"/>
      <c r="V2411" s="402" t="n"/>
      <c r="W2411" s="402" t="n"/>
      <c r="X2411" s="170" t="inlineStr">
        <is>
          <t>BlokSeT</t>
        </is>
      </c>
    </row>
    <row r="2412" s="308">
      <c r="A2412" s="64">
        <f>ROW()-ROW(A$2396)</f>
        <v/>
      </c>
      <c r="B2412" s="22" t="inlineStr"/>
      <c r="C2412" s="22" t="inlineStr"/>
      <c r="D2412" s="22" t="inlineStr"/>
      <c r="E2412" s="23" t="n"/>
      <c r="F2412" s="23">
        <f>IF(AND(B2412="",C2412=""),"",1)</f>
        <v/>
      </c>
      <c r="G2412" s="349">
        <f>IF(AND(B2412="",C2412=""),"",ROUND(M2412*L2412*N2412,2))</f>
        <v/>
      </c>
      <c r="H2412" s="349">
        <f>IF(AND(B2412="",C2412=""),"",ROUND(F2412*G2412,2))</f>
        <v/>
      </c>
      <c r="I2412" s="45" t="inlineStr"/>
      <c r="J2412" s="397">
        <f>IF(AND(B2412="",C2412=""),"",ROUND(M2412*N2412,2))</f>
        <v/>
      </c>
      <c r="K2412" s="398">
        <f>IF(AND(B2412="",C2412=""),"",ROUND(J2412*F2412,2))</f>
        <v/>
      </c>
      <c r="L2412" s="200">
        <f>IF(AND(B2412="",C2412=""),"",1)</f>
        <v/>
      </c>
      <c r="M2412" s="399" t="n"/>
      <c r="N2412" s="154">
        <f>IF(AND(B2412="",C2412=""),"",1)</f>
        <v/>
      </c>
      <c r="O2412" s="155">
        <f>IF(AND(B2412="",C2412=""),"",IF(J2412&gt;=20000,0.05,IF(J2412&gt;=10000,0.1,IF(J2412&gt;=5000,0.2,IF(J2412&gt;=1000,0.3,IF(J2412&gt;=0,0.4,{0}))))))</f>
        <v/>
      </c>
      <c r="P2412" s="400">
        <f>IF(AND(B2412="",C2412=""),"",ROUND(H2412*O2412,2))</f>
        <v/>
      </c>
      <c r="Q2412" s="401">
        <f>IF(AND(B2412="",C2412=""),"","元件")</f>
        <v/>
      </c>
      <c r="R2412" s="168" t="inlineStr"/>
      <c r="S2412" s="168" t="inlineStr"/>
      <c r="T2412" s="168" t="inlineStr"/>
      <c r="U2412" s="168" t="inlineStr"/>
      <c r="V2412" s="402" t="n"/>
      <c r="W2412" s="402" t="n"/>
      <c r="X2412" s="170" t="inlineStr"/>
    </row>
    <row r="2413" s="308">
      <c r="A2413" s="64">
        <f>ROW()-ROW(A$2396)</f>
        <v/>
      </c>
      <c r="B2413" s="171" t="inlineStr">
        <is>
          <t>小计</t>
        </is>
      </c>
      <c r="C2413" s="172" t="n"/>
      <c r="D2413" s="204" t="n"/>
      <c r="E2413" s="114" t="n"/>
      <c r="F2413" s="114" t="n"/>
      <c r="G2413" s="396" t="n"/>
      <c r="H2413" s="396">
        <f>ROUND(SUM(H2396:INDEX(H:H,ROW()-1)),2)</f>
        <v/>
      </c>
      <c r="I2413" s="45" t="inlineStr"/>
      <c r="J2413" s="397" t="n"/>
      <c r="K2413" s="398">
        <f>ROUND(SUM(K2396:INDEX(K:K,ROW()-1)),2)</f>
        <v/>
      </c>
      <c r="L2413" s="200" t="n"/>
      <c r="M2413" s="399" t="n"/>
      <c r="N2413" s="154" t="n"/>
      <c r="O2413" s="155" t="n"/>
      <c r="P2413" s="400" t="n"/>
      <c r="Q2413" s="401" t="n"/>
      <c r="R2413" s="168" t="inlineStr"/>
      <c r="S2413" s="168" t="inlineStr"/>
      <c r="T2413" s="168" t="inlineStr"/>
      <c r="U2413" s="168" t="inlineStr"/>
      <c r="V2413" s="402">
        <f>ROUND(SUMPRODUCT(F2396:INDEX(F:F,ROW()-1),V2396:INDEX(V:V,ROW()-1)),2)</f>
        <v/>
      </c>
      <c r="W2413" s="402">
        <f>ROUND(SUMPRODUCT(F2396:INDEX(F:F,ROW()-1),W2396:INDEX(W:W,ROW()-1)),2)</f>
        <v/>
      </c>
      <c r="X2413" s="170" t="inlineStr"/>
    </row>
    <row r="2414" s="308">
      <c r="A2414" s="64">
        <f>ROW()-ROW(A$2396)</f>
        <v/>
      </c>
      <c r="B2414" s="171" t="inlineStr">
        <is>
          <t>综合费(人工、管理、税金、利润等)</t>
        </is>
      </c>
      <c r="C2414" s="172" t="n"/>
      <c r="D2414" s="204" t="n"/>
      <c r="E2414" s="114" t="n"/>
      <c r="F2414" s="114" t="n"/>
      <c r="G2414" s="396" t="n"/>
      <c r="H2414" s="396">
        <f>2500</f>
        <v/>
      </c>
      <c r="I2414" s="45" t="inlineStr"/>
      <c r="J2414" s="397" t="n"/>
      <c r="K2414" s="398" t="n"/>
      <c r="L2414" s="200" t="n"/>
      <c r="M2414" s="399" t="n"/>
      <c r="N2414" s="154" t="n"/>
      <c r="O2414" s="155" t="n"/>
      <c r="P2414" s="400" t="n"/>
      <c r="Q2414" s="401" t="inlineStr">
        <is>
          <t>费用</t>
        </is>
      </c>
      <c r="R2414" s="168" t="inlineStr"/>
      <c r="S2414" s="168" t="inlineStr"/>
      <c r="T2414" s="168" t="inlineStr"/>
      <c r="U2414" s="168" t="inlineStr"/>
      <c r="V2414" s="402" t="n"/>
      <c r="W2414" s="402" t="n"/>
      <c r="X2414" s="170" t="inlineStr"/>
    </row>
    <row r="2415" s="308">
      <c r="A2415" s="64">
        <f>ROW()-ROW(A$2396)</f>
        <v/>
      </c>
      <c r="B2415" s="204" t="inlineStr">
        <is>
          <t>单台合计</t>
        </is>
      </c>
      <c r="C2415" s="172" t="n"/>
      <c r="D2415" s="204" t="n"/>
      <c r="E2415" s="114" t="n"/>
      <c r="F2415" s="114" t="n"/>
      <c r="G2415" s="396" t="n"/>
      <c r="H2415" s="396">
        <f>ROUND(SUM(H2413:H2414),2)</f>
        <v/>
      </c>
      <c r="I2415" s="181" t="n"/>
      <c r="J2415" s="397" t="n"/>
      <c r="K2415" s="398">
        <f>ROUND(SUM(K2413:K2414),2)</f>
        <v/>
      </c>
      <c r="L2415" s="209" t="n"/>
      <c r="M2415" s="399" t="n"/>
      <c r="N2415" s="210" t="n"/>
      <c r="O2415" s="211" t="n"/>
      <c r="P2415" s="400" t="n"/>
      <c r="Q2415" s="401" t="n"/>
      <c r="R2415" s="168" t="inlineStr"/>
      <c r="S2415" s="168" t="inlineStr"/>
      <c r="T2415" s="168" t="inlineStr"/>
      <c r="U2415" s="168" t="inlineStr"/>
      <c r="V2415" s="402" t="n"/>
      <c r="W2415" s="402" t="n"/>
      <c r="X2415" s="170" t="inlineStr"/>
    </row>
    <row r="2416" s="308">
      <c r="A2416" s="173" t="inlineStr">
        <is>
          <t>总计</t>
        </is>
      </c>
      <c r="B2416" s="205" t="n"/>
      <c r="C2416" s="175" t="n"/>
      <c r="D2416" s="206" t="n"/>
      <c r="E2416" s="206" t="inlineStr">
        <is>
          <t>台</t>
        </is>
      </c>
      <c r="F2416" s="206" t="n">
        <v>2</v>
      </c>
      <c r="G2416" s="414">
        <f>ROUND(H2415,2)</f>
        <v/>
      </c>
      <c r="H2416" s="414">
        <f>ROUND(F2416*G2416,2)</f>
        <v/>
      </c>
      <c r="I2416" s="185" t="n"/>
      <c r="J2416" s="415" t="n"/>
      <c r="K2416" s="416">
        <f>ROUND(K2415*F2416,2)</f>
        <v/>
      </c>
      <c r="L2416" s="214" t="n"/>
      <c r="M2416" s="417" t="n"/>
      <c r="N2416" s="216" t="n"/>
      <c r="O2416" s="217" t="n"/>
      <c r="P2416" s="418" t="n"/>
      <c r="Q2416" s="401" t="n"/>
      <c r="R2416" s="168" t="inlineStr"/>
      <c r="S2416" s="168" t="inlineStr"/>
      <c r="T2416" s="168" t="inlineStr"/>
      <c r="U2416" s="168" t="inlineStr"/>
      <c r="V2416" s="402" t="n"/>
      <c r="W2416" s="402" t="n"/>
      <c r="X2416" s="170" t="inlineStr"/>
    </row>
    <row r="2417" customFormat="1" s="4">
      <c r="A2417" s="6" t="n"/>
      <c r="B2417" s="195" t="inlineStr"/>
      <c r="C2417" s="195" t="inlineStr"/>
      <c r="D2417" s="195" t="inlineStr"/>
      <c r="Q2417" s="159" t="n"/>
      <c r="R2417" s="159" t="n"/>
      <c r="S2417" s="159" t="n"/>
      <c r="T2417" s="159" t="n"/>
      <c r="U2417" s="159" t="n"/>
      <c r="X2417" s="195" t="inlineStr"/>
    </row>
    <row r="2418" customFormat="1" s="4">
      <c r="A2418" s="6" t="n"/>
      <c r="B2418" s="195" t="inlineStr"/>
      <c r="C2418" s="195" t="inlineStr"/>
      <c r="D2418" s="195" t="inlineStr"/>
      <c r="Q2418" s="159" t="n"/>
      <c r="R2418" s="159" t="n"/>
      <c r="S2418" s="159" t="n"/>
      <c r="T2418" s="159" t="n"/>
      <c r="U2418" s="159" t="n"/>
      <c r="X2418" s="195" t="inlineStr"/>
    </row>
    <row r="2419" s="308">
      <c r="A2419" s="208">
        <f>CONCATENATE("报价人：",项目信息!$B$8)</f>
        <v/>
      </c>
      <c r="B2419" s="208" t="n"/>
      <c r="C2419" s="4" t="n"/>
      <c r="D2419" s="4" t="n"/>
      <c r="E2419" s="4" t="n"/>
      <c r="F2419" s="4" t="n"/>
      <c r="G2419" s="4" t="n"/>
      <c r="H2419" s="178">
        <f>项目信息!$B$9</f>
        <v/>
      </c>
      <c r="Q2419" s="159" t="n"/>
      <c r="R2419" s="159" t="n"/>
      <c r="S2419" s="159" t="n"/>
      <c r="T2419" s="159" t="n"/>
      <c r="U2419" s="159" t="n"/>
      <c r="X2419" s="203" t="inlineStr"/>
    </row>
    <row r="2420" s="308">
      <c r="A2420" s="8">
        <f>T(项目信息!$B$22)</f>
        <v/>
      </c>
      <c r="Q2420" s="159" t="n"/>
      <c r="R2420" s="159" t="n"/>
      <c r="S2420" s="159" t="n"/>
      <c r="T2420" s="159" t="n"/>
      <c r="U2420" s="159" t="n"/>
    </row>
    <row r="2421" s="308">
      <c r="A2421" s="9">
        <f>T(项目信息!$B$23)</f>
        <v/>
      </c>
      <c r="Q2421" s="159" t="n"/>
      <c r="R2421" s="159" t="n"/>
      <c r="S2421" s="159" t="n"/>
      <c r="T2421" s="159" t="n"/>
      <c r="U2421" s="159" t="n"/>
    </row>
    <row r="2422" s="308">
      <c r="A2422" s="97" t="inlineStr">
        <is>
          <t>成套产品报价明细表</t>
        </is>
      </c>
      <c r="B2422" s="378" t="n"/>
      <c r="C2422" s="378" t="n"/>
      <c r="D2422" s="378" t="n"/>
      <c r="E2422" s="378" t="n"/>
      <c r="F2422" s="378" t="n"/>
      <c r="G2422" s="378" t="n"/>
      <c r="H2422" s="378" t="n"/>
      <c r="I2422" s="378" t="n"/>
      <c r="Q2422" s="159" t="n"/>
      <c r="R2422" s="159" t="n"/>
      <c r="S2422" s="159" t="n"/>
      <c r="T2422" s="159" t="n"/>
      <c r="U2422" s="159" t="n"/>
    </row>
    <row r="2423" customFormat="1" s="4">
      <c r="A2423" s="98" t="inlineStr">
        <is>
          <t>柜号:</t>
        </is>
      </c>
      <c r="B2423" s="99" t="inlineStr">
        <is>
          <t>T13-AU11、T14-BU11</t>
        </is>
      </c>
      <c r="C2423" s="100" t="inlineStr">
        <is>
          <t>型号:</t>
        </is>
      </c>
      <c r="D2423" s="99" t="inlineStr">
        <is>
          <t>BlokSeT</t>
        </is>
      </c>
      <c r="E2423" s="379" t="n"/>
      <c r="F2423" s="101" t="inlineStr">
        <is>
          <t>名称:</t>
        </is>
      </c>
      <c r="G2423" s="99" t="inlineStr">
        <is>
          <t>进线柜</t>
        </is>
      </c>
      <c r="H2423" s="379" t="n"/>
      <c r="I2423" s="408" t="inlineStr"/>
      <c r="J2423" s="194" t="inlineStr">
        <is>
          <t>箱柜尺寸:</t>
        </is>
      </c>
      <c r="K2423" s="195" t="inlineStr">
        <is>
          <t>400W*1200D*2200H</t>
        </is>
      </c>
      <c r="L2423" s="194" t="inlineStr">
        <is>
          <t>类别:</t>
        </is>
      </c>
      <c r="M2423" s="195" t="inlineStr">
        <is>
          <t>低压固定柜</t>
        </is>
      </c>
      <c r="N2423" s="409" t="inlineStr"/>
      <c r="Q2423" s="159" t="n"/>
      <c r="R2423" s="159" t="n"/>
      <c r="S2423" s="159" t="n"/>
      <c r="T2423" s="159" t="n"/>
      <c r="U2423" s="159" t="n"/>
    </row>
    <row r="2424" ht="20.1" customHeight="1" s="308">
      <c r="A2424" s="102" t="inlineStr">
        <is>
          <t>序号</t>
        </is>
      </c>
      <c r="B2424" s="103" t="inlineStr">
        <is>
          <t>元件名称</t>
        </is>
      </c>
      <c r="C2424" s="103" t="inlineStr">
        <is>
          <t>型号规格</t>
        </is>
      </c>
      <c r="D2424" s="104" t="inlineStr">
        <is>
          <t>生产厂家</t>
        </is>
      </c>
      <c r="E2424" s="105" t="inlineStr">
        <is>
          <t>单位</t>
        </is>
      </c>
      <c r="F2424" s="105" t="inlineStr">
        <is>
          <t>数量</t>
        </is>
      </c>
      <c r="G2424" s="382" t="inlineStr">
        <is>
          <t>单   价</t>
        </is>
      </c>
      <c r="H2424" s="383" t="inlineStr">
        <is>
          <t>总   价</t>
        </is>
      </c>
      <c r="I2424" s="134" t="inlineStr">
        <is>
          <t>备注</t>
        </is>
      </c>
      <c r="J2424" s="384" t="inlineStr">
        <is>
          <t>成本单价</t>
        </is>
      </c>
      <c r="K2424" s="384" t="inlineStr">
        <is>
          <t>成本总价</t>
        </is>
      </c>
      <c r="L2424" s="136" t="inlineStr">
        <is>
          <t>报出
系数</t>
        </is>
      </c>
      <c r="M2424" s="384" t="inlineStr">
        <is>
          <t>表价</t>
        </is>
      </c>
      <c r="N2424" s="136" t="inlineStr">
        <is>
          <t>折扣
系数</t>
        </is>
      </c>
      <c r="O2424" s="137" t="inlineStr">
        <is>
          <t>取费
系数</t>
        </is>
      </c>
      <c r="P2424" s="384" t="inlineStr">
        <is>
          <t>成套费</t>
        </is>
      </c>
      <c r="Q2424" s="161" t="inlineStr">
        <is>
          <t>类别</t>
        </is>
      </c>
      <c r="R2424" s="161" t="inlineStr">
        <is>
          <t>物料编码</t>
        </is>
      </c>
      <c r="S2424" s="161" t="inlineStr">
        <is>
          <t>产地</t>
        </is>
      </c>
      <c r="T2424" s="161" t="inlineStr">
        <is>
          <t>加工费</t>
        </is>
      </c>
      <c r="U2424" s="161" t="inlineStr">
        <is>
          <t>订货号</t>
        </is>
      </c>
      <c r="V2424" s="161" t="inlineStr">
        <is>
          <t>人工</t>
        </is>
      </c>
      <c r="W2424" s="161" t="inlineStr">
        <is>
          <t>辅料</t>
        </is>
      </c>
      <c r="X2424" s="203" t="inlineStr"/>
    </row>
    <row r="2425" s="308">
      <c r="A2425" s="64">
        <f>ROW()-ROW(A$2424)</f>
        <v/>
      </c>
      <c r="B2425" s="22" t="inlineStr">
        <is>
          <t>框架断路器</t>
        </is>
      </c>
      <c r="C2425" s="22" t="inlineStr">
        <is>
          <t>MT10 N1a SG 3P MIC5.0 E</t>
        </is>
      </c>
      <c r="D2425" s="22" t="inlineStr">
        <is>
          <t>甲供/施耐德电气</t>
        </is>
      </c>
      <c r="E2425" s="23" t="inlineStr">
        <is>
          <t>只</t>
        </is>
      </c>
      <c r="F2425" s="23" t="n">
        <v>2</v>
      </c>
      <c r="G2425" s="349">
        <f>IF(AND(B2425="",C2425=""),"",ROUND(M2425*L2425*N2425,2))</f>
        <v/>
      </c>
      <c r="H2425" s="349">
        <f>IF(AND(B2425="",C2425=""),"",ROUND(F2425*G2425,2))</f>
        <v/>
      </c>
      <c r="I2425" s="45" t="inlineStr"/>
      <c r="J2425" s="397">
        <f>IF(AND(B2425="",C2425=""),"",ROUND(M2425*N2425,2))</f>
        <v/>
      </c>
      <c r="K2425" s="398">
        <f>IF(AND(B2425="",C2425=""),"",ROUND(J2425*F2425,2))</f>
        <v/>
      </c>
      <c r="L2425" s="200" t="n">
        <v>1</v>
      </c>
      <c r="M2425" s="399" t="n">
        <v>1e-07</v>
      </c>
      <c r="N2425" s="154" t="n">
        <v>1</v>
      </c>
      <c r="O2425" s="155">
        <f>IF(AND(B2425="",C2425=""),"",IF(G2425&gt;=20000,0.05,IF(G2425&gt;=10000,0.1,IF(G2425&gt;=5000,0.2,IF(G2425&gt;=1000,0.3,IF(G2425&gt;=0,0.4,{0}))))))</f>
        <v/>
      </c>
      <c r="P2425" s="400">
        <f>IF(AND(B2425="",C2425=""),"",ROUND(H2425*O2425,2))</f>
        <v/>
      </c>
      <c r="Q2425" s="401" t="inlineStr">
        <is>
          <t>元件</t>
        </is>
      </c>
      <c r="R2425" s="168" t="inlineStr"/>
      <c r="S2425" s="168" t="inlineStr"/>
      <c r="T2425" s="168" t="inlineStr">
        <is>
          <t>0</t>
        </is>
      </c>
      <c r="U2425" s="168" t="inlineStr">
        <is>
          <t>C16F32D160</t>
        </is>
      </c>
      <c r="V2425" s="402" t="n"/>
      <c r="W2425" s="402" t="n"/>
      <c r="X2425" s="170" t="inlineStr">
        <is>
          <t>NSX630N Mic2.3 630A 3P3D F→NSX630F MIC2.3 630 3P F→NSX630F MIC 2.3 630 3P F</t>
        </is>
      </c>
    </row>
    <row r="2426" s="308">
      <c r="A2426" s="64">
        <f>ROW()-ROW(A$2424)</f>
        <v/>
      </c>
      <c r="B2426" s="22" t="inlineStr">
        <is>
          <t>电流互感器</t>
        </is>
      </c>
      <c r="C2426" s="22" t="inlineStr">
        <is>
          <t>SD-0.66-80II-V 1000/5A</t>
        </is>
      </c>
      <c r="D2426" s="22" t="inlineStr">
        <is>
          <t>桑迪</t>
        </is>
      </c>
      <c r="E2426" s="23" t="inlineStr">
        <is>
          <t>只</t>
        </is>
      </c>
      <c r="F2426" s="23" t="n">
        <v>6</v>
      </c>
      <c r="G2426" s="349">
        <f>IF(AND(B2426="",C2426=""),"",ROUND(M2426*L2426*N2426,2))</f>
        <v/>
      </c>
      <c r="H2426" s="396">
        <f>IF(AND(B2426="",C2426=""),"",ROUND(F2426*G2426,2))</f>
        <v/>
      </c>
      <c r="I2426" s="219" t="inlineStr"/>
      <c r="J2426" s="397">
        <f>IF(AND(B2426="",C2426=""),"",ROUND(M2426*N2426,2))</f>
        <v/>
      </c>
      <c r="K2426" s="398">
        <f>IF(AND(B2426="",C2426=""),"",ROUND(J2426*F2426,2))</f>
        <v/>
      </c>
      <c r="L2426" s="200" t="n">
        <v>1</v>
      </c>
      <c r="M2426" s="399" t="n">
        <v>91.65000000000001</v>
      </c>
      <c r="N2426" s="154" t="n">
        <v>1</v>
      </c>
      <c r="O2426" s="155">
        <f>IF(AND(B2426="",C2426=""),"",IF(G2426&gt;=20000,0.05,IF(G2426&gt;=10000,0.1,IF(G2426&gt;=5000,0.2,IF(G2426&gt;=1000,0.3,IF(G2426&gt;=0,0.4,{0}))))))</f>
        <v/>
      </c>
      <c r="P2426" s="400">
        <f>IF(AND(B2426="",C2426=""),"",ROUND(H2426*O2426,2))</f>
        <v/>
      </c>
      <c r="Q2426" s="401" t="inlineStr">
        <is>
          <t>元件</t>
        </is>
      </c>
      <c r="R2426" s="168" t="inlineStr"/>
      <c r="S2426" s="168" t="inlineStr"/>
      <c r="T2426" s="168" t="inlineStr">
        <is>
          <t>0</t>
        </is>
      </c>
      <c r="U2426" s="168" t="inlineStr">
        <is>
          <t>710141426552500</t>
        </is>
      </c>
      <c r="V2426" s="402" t="n"/>
      <c r="W2426" s="402" t="n"/>
      <c r="X2426" s="170" t="inlineStr">
        <is>
          <t>SD→SD-0.66-40II-C 400/5A→SD-0.66-30I 250/5A→SD-0.66-30I 150/5A→SD-0.66-60II-C 750/5A→SD-0.66-60II-C 600/5A→SD-0.66-30I 150/5A→SD-0.66-40II-C 400/5A→SD-0.66-100II-C 1600/5A→SD-0.66-80II-V 1000/5A→SD-0.66-80II-V 1250/5A</t>
        </is>
      </c>
    </row>
    <row r="2427" s="308">
      <c r="A2427" s="64">
        <f>ROW()-ROW(A$2424)</f>
        <v/>
      </c>
      <c r="B2427" s="112" t="inlineStr">
        <is>
          <t>多功能表</t>
        </is>
      </c>
      <c r="C2427" s="112" t="inlineStr">
        <is>
          <t>PM4101</t>
        </is>
      </c>
      <c r="D2427" s="112" t="inlineStr">
        <is>
          <t>甲供/施耐德电气</t>
        </is>
      </c>
      <c r="E2427" s="114" t="inlineStr">
        <is>
          <t>只</t>
        </is>
      </c>
      <c r="F2427" s="114" t="n">
        <v>2</v>
      </c>
      <c r="G2427" s="396">
        <f>IF(AND(B2427="",C2427=""),"",ROUND(M2427*L2427*N2427,2))</f>
        <v/>
      </c>
      <c r="H2427" s="349">
        <f>IF(AND(B2427="",C2427=""),"",ROUND(F2427*G2427,2))</f>
        <v/>
      </c>
      <c r="I2427" s="45" t="inlineStr"/>
      <c r="J2427" s="397">
        <f>IF(AND(B2427="",C2427=""),"",ROUND(M2427*N2427,2))</f>
        <v/>
      </c>
      <c r="K2427" s="398">
        <f>IF(AND(B2427="",C2427=""),"",ROUND(J2427*F2427,2))</f>
        <v/>
      </c>
      <c r="L2427" s="200" t="n">
        <v>1</v>
      </c>
      <c r="M2427" s="399" t="n">
        <v>1e-07</v>
      </c>
      <c r="N2427" s="154" t="n">
        <v>1</v>
      </c>
      <c r="O2427" s="155">
        <f>IF(AND(B2427="",C2427=""),"",IF(J2427&gt;=20000,0.05,IF(J2427&gt;=10000,0.1,IF(J2427&gt;=5000,0.2,IF(J2427&gt;=1000,0.3,IF(J2427&gt;=0,0.4,{0}))))))</f>
        <v/>
      </c>
      <c r="P2427" s="400">
        <f>IF(AND(B2427="",C2427=""),"",ROUND(H2427*O2427,2))</f>
        <v/>
      </c>
      <c r="Q2427" s="401" t="inlineStr">
        <is>
          <t>元件</t>
        </is>
      </c>
      <c r="R2427" s="168" t="inlineStr"/>
      <c r="S2427" s="168" t="inlineStr"/>
      <c r="T2427" s="168" t="inlineStr">
        <is>
          <t>0</t>
        </is>
      </c>
      <c r="U2427" s="168" t="inlineStr"/>
      <c r="V2427" s="402" t="n"/>
      <c r="W2427" s="402" t="n"/>
      <c r="X2427" s="170" t="inlineStr"/>
    </row>
    <row r="2428" customFormat="1" s="3">
      <c r="A2428" s="64">
        <f>ROW()-ROW(A$2424)</f>
        <v/>
      </c>
      <c r="B2428" s="27" t="inlineStr">
        <is>
          <t>后备保护器</t>
        </is>
      </c>
      <c r="C2428" s="22" t="inlineStr">
        <is>
          <t>iSCB2 40H2 4P</t>
        </is>
      </c>
      <c r="D2428" s="22" t="inlineStr">
        <is>
          <t>甲供/施耐德万高</t>
        </is>
      </c>
      <c r="E2428" s="110" t="inlineStr">
        <is>
          <t>只</t>
        </is>
      </c>
      <c r="F2428" s="23" t="n">
        <v>1</v>
      </c>
      <c r="G2428" s="349">
        <f>IF(AND(B2428="",C2428=""),"",ROUND(M2428*L2428*N2428,2))</f>
        <v/>
      </c>
      <c r="H2428" s="349">
        <f>IF(AND(B2428="",C2428=""),"",ROUND(F2428*G2428,2))</f>
        <v/>
      </c>
      <c r="I2428" s="45" t="inlineStr"/>
      <c r="J2428" s="392">
        <f>IF(AND(B2428="",C2428=""),"",ROUND(M2428*N2428,2))</f>
        <v/>
      </c>
      <c r="K2428" s="393">
        <f>IF(AND(B2428="",C2428=""),"",ROUND(J2428*F2428,2))</f>
        <v/>
      </c>
      <c r="L2428" s="141" t="n">
        <v>1</v>
      </c>
      <c r="M2428" s="394" t="n">
        <v>1e-07</v>
      </c>
      <c r="N2428" s="143" t="n">
        <v>1</v>
      </c>
      <c r="O2428" s="144">
        <f>IF(AND(B2428="",C2428=""),"",IF(G2428&gt;=20000,0.05,IF(G2428&gt;=10000,0.1,IF(G2428&gt;=5000,0.2,IF(G2428&gt;=1000,0.3,IF(G2428&gt;=0,0.4,{0}))))))</f>
        <v/>
      </c>
      <c r="P2428" s="395">
        <f>IF(AND(B2428="",C2428=""),"",ROUND(H2428*O2428,2))</f>
        <v/>
      </c>
      <c r="Q2428" s="390" t="inlineStr">
        <is>
          <t>元件</t>
        </is>
      </c>
      <c r="R2428" s="164" t="inlineStr"/>
      <c r="S2428" s="164" t="inlineStr"/>
      <c r="T2428" s="164" t="inlineStr">
        <is>
          <t>0</t>
        </is>
      </c>
      <c r="U2428" s="164" t="inlineStr">
        <is>
          <t>A9L102554</t>
        </is>
      </c>
      <c r="V2428" s="391" t="n"/>
      <c r="W2428" s="391" t="n"/>
      <c r="X2428" s="166" t="inlineStr">
        <is>
          <t>iSCB1 25L1 4P→iSCB2 40H2 4P</t>
        </is>
      </c>
    </row>
    <row r="2429" customFormat="1" s="3">
      <c r="A2429" s="64">
        <f>ROW()-ROW(A$2424)</f>
        <v/>
      </c>
      <c r="B2429" s="27" t="inlineStr">
        <is>
          <t>电涌保护器</t>
        </is>
      </c>
      <c r="C2429" s="22" t="inlineStr">
        <is>
          <t>iPRU 40r 3P+N</t>
        </is>
      </c>
      <c r="D2429" s="22" t="inlineStr">
        <is>
          <t>甲供/施耐德万高</t>
        </is>
      </c>
      <c r="E2429" s="110" t="inlineStr">
        <is>
          <t>只</t>
        </is>
      </c>
      <c r="F2429" s="23" t="n">
        <v>1</v>
      </c>
      <c r="G2429" s="349">
        <f>IF(AND(B2429="",C2429=""),"",ROUND(M2429*L2429*N2429,2))</f>
        <v/>
      </c>
      <c r="H2429" s="349">
        <f>IF(AND(B2429="",C2429=""),"",ROUND(F2429*G2429,2))</f>
        <v/>
      </c>
      <c r="I2429" s="45" t="inlineStr"/>
      <c r="J2429" s="392">
        <f>IF(AND(B2429="",C2429=""),"",ROUND(M2429*N2429,2))</f>
        <v/>
      </c>
      <c r="K2429" s="393">
        <f>IF(AND(B2429="",C2429=""),"",ROUND(J2429*F2429,2))</f>
        <v/>
      </c>
      <c r="L2429" s="141" t="n">
        <v>1</v>
      </c>
      <c r="M2429" s="394" t="n">
        <v>1e-07</v>
      </c>
      <c r="N2429" s="143" t="n">
        <v>1</v>
      </c>
      <c r="O2429" s="144">
        <f>IF(AND(B2429="",C2429=""),"",IF(G2429&gt;=20000,0.05,IF(G2429&gt;=10000,0.1,IF(G2429&gt;=5000,0.2,IF(G2429&gt;=1000,0.3,IF(G2429&gt;=0,0.4,{0}))))))</f>
        <v/>
      </c>
      <c r="P2429" s="395">
        <f>IF(AND(B2429="",C2429=""),"",ROUND(H2429*O2429,2))</f>
        <v/>
      </c>
      <c r="Q2429" s="390" t="inlineStr">
        <is>
          <t>元件</t>
        </is>
      </c>
      <c r="R2429" s="164" t="inlineStr"/>
      <c r="S2429" s="164" t="inlineStr"/>
      <c r="T2429" s="164" t="inlineStr">
        <is>
          <t>0</t>
        </is>
      </c>
      <c r="U2429" s="164" t="inlineStr">
        <is>
          <t>A9L620601</t>
        </is>
      </c>
      <c r="V2429" s="391" t="n"/>
      <c r="W2429" s="391" t="n"/>
      <c r="X2429" s="166" t="inlineStr">
        <is>
          <t>iPRF1 12.5r 3P+N→iPRU 40r 3P→iPRF1 12.5r 3P+N</t>
        </is>
      </c>
    </row>
    <row r="2430" customFormat="1" s="3">
      <c r="A2430" s="64">
        <f>ROW()-ROW(A$2424)</f>
        <v/>
      </c>
      <c r="B2430" s="27" t="inlineStr">
        <is>
          <t>微型断路器</t>
        </is>
      </c>
      <c r="C2430" s="22" t="inlineStr">
        <is>
          <t>iC65H 2P C16A</t>
        </is>
      </c>
      <c r="D2430" s="22" t="inlineStr">
        <is>
          <t>甲供/施耐德电气</t>
        </is>
      </c>
      <c r="E2430" s="110" t="inlineStr">
        <is>
          <t>只</t>
        </is>
      </c>
      <c r="F2430" s="23" t="n">
        <v>2</v>
      </c>
      <c r="G2430" s="349">
        <f>IF(AND(B2430="",C2430=""),"",ROUND(M2430*L2430*N2430,2))</f>
        <v/>
      </c>
      <c r="H2430" s="349">
        <f>IF(AND(B2430="",C2430=""),"",ROUND(F2430*G2430,2))</f>
        <v/>
      </c>
      <c r="I2430" s="45" t="inlineStr"/>
      <c r="J2430" s="392">
        <f>IF(AND(B2430="",C2430=""),"",ROUND(M2430*N2430,2))</f>
        <v/>
      </c>
      <c r="K2430" s="393">
        <f>IF(AND(B2430="",C2430=""),"",ROUND(J2430*F2430,2))</f>
        <v/>
      </c>
      <c r="L2430" s="141" t="n">
        <v>1</v>
      </c>
      <c r="M2430" s="394" t="n">
        <v>1e-07</v>
      </c>
      <c r="N2430" s="143" t="n">
        <v>1</v>
      </c>
      <c r="O2430" s="144">
        <f>IF(AND(B2430="",C2430=""),"",IF(G2430&gt;=20000,0.05,IF(G2430&gt;=10000,0.1,IF(G2430&gt;=5000,0.2,IF(G2430&gt;=1000,0.3,IF(G2430&gt;=0,0.4,{0}))))))</f>
        <v/>
      </c>
      <c r="P2430" s="395">
        <f>IF(AND(B2430="",C2430=""),"",ROUND(H2430*O2430,2))</f>
        <v/>
      </c>
      <c r="Q2430" s="390" t="inlineStr">
        <is>
          <t>元件</t>
        </is>
      </c>
      <c r="R2430" s="164" t="inlineStr"/>
      <c r="S2430" s="164" t="inlineStr"/>
      <c r="T2430" s="164" t="n">
        <v>0</v>
      </c>
      <c r="U2430" s="164" t="inlineStr"/>
      <c r="V2430" s="391" t="n"/>
      <c r="W2430" s="391" t="n"/>
      <c r="X2430" s="166" t="inlineStr"/>
    </row>
    <row r="2431" customFormat="1" s="3">
      <c r="A2431" s="64">
        <f>ROW()-ROW(A$2424)</f>
        <v/>
      </c>
      <c r="B2431" s="22" t="inlineStr">
        <is>
          <t>指示灯</t>
        </is>
      </c>
      <c r="C2431" s="22" t="inlineStr">
        <is>
          <t>XB2BVM3LC</t>
        </is>
      </c>
      <c r="D2431" s="22" t="inlineStr">
        <is>
          <t>甲供/施耐德电气</t>
        </is>
      </c>
      <c r="E2431" s="23" t="inlineStr">
        <is>
          <t>只</t>
        </is>
      </c>
      <c r="F2431" s="23" t="n">
        <v>2</v>
      </c>
      <c r="G2431" s="349">
        <f>IF(AND(B2431="",C2431=""),"",ROUND(M2431*L2431*N2431,2))</f>
        <v/>
      </c>
      <c r="H2431" s="353">
        <f>IF(AND(B2431="",C2431=""),"",ROUND(F2431*G2431,2))</f>
        <v/>
      </c>
      <c r="I2431" s="180" t="inlineStr"/>
      <c r="J2431" s="392">
        <f>IF(AND(B2431="",C2431=""),"",ROUND(M2431*N2431,2))</f>
        <v/>
      </c>
      <c r="K2431" s="393">
        <f>IF(AND(B2431="",C2431=""),"",ROUND(J2431*F2431,2))</f>
        <v/>
      </c>
      <c r="L2431" s="141" t="n">
        <v>1</v>
      </c>
      <c r="M2431" s="394" t="n">
        <v>1e-07</v>
      </c>
      <c r="N2431" s="220" t="n">
        <v>1</v>
      </c>
      <c r="O2431" s="221">
        <f>IF(AND(B2431="",C2431=""),"",IF(G2431&gt;=20000,0.05,IF(G2431&gt;=10000,0.1,IF(G2431&gt;=5000,0.2,IF(G2431&gt;=1000,0.3,IF(G2431&gt;=0,0.4,{0}))))))</f>
        <v/>
      </c>
      <c r="P2431" s="419">
        <f>IF(AND(B2431="",C2431=""),"",ROUND(H2431*O2431,2))</f>
        <v/>
      </c>
      <c r="Q2431" s="420" t="inlineStr">
        <is>
          <t>元件</t>
        </is>
      </c>
      <c r="R2431" s="231" t="inlineStr"/>
      <c r="S2431" s="231" t="inlineStr"/>
      <c r="T2431" s="231" t="inlineStr">
        <is>
          <t>0</t>
        </is>
      </c>
      <c r="U2431" s="231" t="inlineStr">
        <is>
          <t>XB2BVM3LC</t>
        </is>
      </c>
      <c r="V2431" s="421" t="n"/>
      <c r="W2431" s="421" t="n"/>
      <c r="X2431" s="166" t="inlineStr">
        <is>
          <t>XA2EVM3LC</t>
        </is>
      </c>
    </row>
    <row r="2432" customFormat="1" s="3">
      <c r="A2432" s="64">
        <f>ROW()-ROW(A$2424)</f>
        <v/>
      </c>
      <c r="B2432" s="22" t="inlineStr">
        <is>
          <t>指示灯</t>
        </is>
      </c>
      <c r="C2432" s="22" t="inlineStr">
        <is>
          <t>XB2BVM4LC</t>
        </is>
      </c>
      <c r="D2432" s="22" t="inlineStr">
        <is>
          <t>甲供/施耐德电气</t>
        </is>
      </c>
      <c r="E2432" s="23" t="inlineStr">
        <is>
          <t>只</t>
        </is>
      </c>
      <c r="F2432" s="23" t="n">
        <v>2</v>
      </c>
      <c r="G2432" s="349">
        <f>IF(AND(B2432="",C2432=""),"",ROUND(M2432*L2432*N2432,2))</f>
        <v/>
      </c>
      <c r="H2432" s="353">
        <f>IF(AND(B2432="",C2432=""),"",ROUND(F2432*G2432,2))</f>
        <v/>
      </c>
      <c r="I2432" s="180" t="inlineStr"/>
      <c r="J2432" s="392">
        <f>IF(AND(B2432="",C2432=""),"",ROUND(M2432*N2432,2))</f>
        <v/>
      </c>
      <c r="K2432" s="393">
        <f>IF(AND(B2432="",C2432=""),"",ROUND(J2432*F2432,2))</f>
        <v/>
      </c>
      <c r="L2432" s="141" t="n">
        <v>1</v>
      </c>
      <c r="M2432" s="394" t="n">
        <v>1e-07</v>
      </c>
      <c r="N2432" s="220" t="n">
        <v>1</v>
      </c>
      <c r="O2432" s="221">
        <f>IF(AND(B2432="",C2432=""),"",IF(G2432&gt;=20000,0.05,IF(G2432&gt;=10000,0.1,IF(G2432&gt;=5000,0.2,IF(G2432&gt;=1000,0.3,IF(G2432&gt;=0,0.4,{0}))))))</f>
        <v/>
      </c>
      <c r="P2432" s="419">
        <f>IF(AND(B2432="",C2432=""),"",ROUND(H2432*O2432,2))</f>
        <v/>
      </c>
      <c r="Q2432" s="420" t="inlineStr">
        <is>
          <t>元件</t>
        </is>
      </c>
      <c r="R2432" s="231" t="inlineStr"/>
      <c r="S2432" s="231" t="inlineStr"/>
      <c r="T2432" s="231" t="inlineStr">
        <is>
          <t>0</t>
        </is>
      </c>
      <c r="U2432" s="231" t="inlineStr">
        <is>
          <t>XB2BVM4LC</t>
        </is>
      </c>
      <c r="V2432" s="421" t="n"/>
      <c r="W2432" s="421" t="n"/>
      <c r="X2432" s="166" t="inlineStr">
        <is>
          <t>XA2EVM4LC</t>
        </is>
      </c>
    </row>
    <row r="2433" s="308">
      <c r="A2433" s="64">
        <f>ROW()-ROW(A$2424)</f>
        <v/>
      </c>
      <c r="B2433" s="112" t="inlineStr">
        <is>
          <t>指示灯</t>
        </is>
      </c>
      <c r="C2433" s="112" t="inlineStr">
        <is>
          <t>XB2BVM5LC</t>
        </is>
      </c>
      <c r="D2433" s="112" t="inlineStr">
        <is>
          <t>甲供/施耐德电气</t>
        </is>
      </c>
      <c r="E2433" s="114" t="inlineStr">
        <is>
          <t>只</t>
        </is>
      </c>
      <c r="F2433" s="114" t="n">
        <v>2</v>
      </c>
      <c r="G2433" s="396">
        <f>IF(AND(B2433="",C2433=""),"",ROUND(M2433*L2433*N2433,2))</f>
        <v/>
      </c>
      <c r="H2433" s="396">
        <f>IF(AND(B2433="",C2433=""),"",ROUND(F2433*G2433,2))</f>
        <v/>
      </c>
      <c r="I2433" s="150" t="inlineStr"/>
      <c r="J2433" s="397">
        <f>IF(AND(B2433="",C2433=""),"",ROUND(M2433*N2433,2))</f>
        <v/>
      </c>
      <c r="K2433" s="398">
        <f>IF(AND(B2433="",C2433=""),"",ROUND(J2433*F2433,2))</f>
        <v/>
      </c>
      <c r="L2433" s="141" t="n">
        <v>1</v>
      </c>
      <c r="M2433" s="399" t="n">
        <v>1e-07</v>
      </c>
      <c r="N2433" s="154" t="n">
        <v>1</v>
      </c>
      <c r="O2433" s="155">
        <f>IF(AND(B2433="",C2433=""),"",IF(G2433&gt;=20000,0.05,IF(G2433&gt;=10000,0.1,IF(G2433&gt;=5000,0.2,IF(G2433&gt;=1000,0.3,IF(G2433&gt;=0,0.4,{0}))))))</f>
        <v/>
      </c>
      <c r="P2433" s="400">
        <f>IF(AND(B2433="",C2433=""),"",ROUND(H2433*O2433,2))</f>
        <v/>
      </c>
      <c r="Q2433" s="401" t="inlineStr">
        <is>
          <t>元件</t>
        </is>
      </c>
      <c r="R2433" s="168" t="inlineStr"/>
      <c r="S2433" s="168" t="inlineStr"/>
      <c r="T2433" s="168" t="inlineStr">
        <is>
          <t>0</t>
        </is>
      </c>
      <c r="U2433" s="168" t="inlineStr">
        <is>
          <t>XA2EVM5LC</t>
        </is>
      </c>
      <c r="V2433" s="402" t="n"/>
      <c r="W2433" s="402" t="n"/>
      <c r="X2433" s="170" t="inlineStr"/>
    </row>
    <row r="2434" s="308">
      <c r="A2434" s="64">
        <f>ROW()-ROW(A$2424)</f>
        <v/>
      </c>
      <c r="B2434" s="112" t="inlineStr">
        <is>
          <t>按钮</t>
        </is>
      </c>
      <c r="C2434" s="112" t="inlineStr">
        <is>
          <t>XB2BA31C</t>
        </is>
      </c>
      <c r="D2434" s="112" t="inlineStr">
        <is>
          <t>甲供/施耐德电气</t>
        </is>
      </c>
      <c r="E2434" s="114" t="inlineStr">
        <is>
          <t>只</t>
        </is>
      </c>
      <c r="F2434" s="114" t="n">
        <v>2</v>
      </c>
      <c r="G2434" s="396">
        <f>IF(AND(B2434="",C2434=""),"",ROUND(M2434*L2434*N2434,2))</f>
        <v/>
      </c>
      <c r="H2434" s="396">
        <f>IF(AND(B2434="",C2434=""),"",ROUND(F2434*G2434,2))</f>
        <v/>
      </c>
      <c r="I2434" s="150" t="inlineStr"/>
      <c r="J2434" s="397">
        <f>IF(AND(B2434="",C2434=""),"",ROUND(M2434*N2434,2))</f>
        <v/>
      </c>
      <c r="K2434" s="398">
        <f>IF(AND(B2434="",C2434=""),"",ROUND(J2434*F2434,2))</f>
        <v/>
      </c>
      <c r="L2434" s="141" t="n">
        <v>1</v>
      </c>
      <c r="M2434" s="399" t="n">
        <v>1e-07</v>
      </c>
      <c r="N2434" s="154" t="n">
        <v>1</v>
      </c>
      <c r="O2434" s="155">
        <f>IF(AND(B2434="",C2434=""),"",IF(G2434&gt;=20000,0.05,IF(G2434&gt;=10000,0.1,IF(G2434&gt;=5000,0.2,IF(G2434&gt;=1000,0.3,IF(G2434&gt;=0,0.4,{0}))))))</f>
        <v/>
      </c>
      <c r="P2434" s="400">
        <f>IF(AND(B2434="",C2434=""),"",ROUND(H2434*O2434,2))</f>
        <v/>
      </c>
      <c r="Q2434" s="401" t="inlineStr">
        <is>
          <t>元件</t>
        </is>
      </c>
      <c r="R2434" s="168" t="inlineStr"/>
      <c r="S2434" s="168" t="inlineStr"/>
      <c r="T2434" s="168" t="inlineStr">
        <is>
          <t>0</t>
        </is>
      </c>
      <c r="U2434" s="168" t="inlineStr">
        <is>
          <t>XB2BA31C</t>
        </is>
      </c>
      <c r="V2434" s="402" t="n"/>
      <c r="W2434" s="402" t="n"/>
      <c r="X2434" s="170" t="inlineStr">
        <is>
          <t>XA2EA31</t>
        </is>
      </c>
    </row>
    <row r="2435" s="308">
      <c r="A2435" s="64">
        <f>ROW()-ROW(A$2424)</f>
        <v/>
      </c>
      <c r="B2435" s="22" t="inlineStr">
        <is>
          <t>按钮</t>
        </is>
      </c>
      <c r="C2435" s="22" t="inlineStr">
        <is>
          <t>XB2BA42C</t>
        </is>
      </c>
      <c r="D2435" s="22" t="inlineStr">
        <is>
          <t>甲供/施耐德电气</t>
        </is>
      </c>
      <c r="E2435" s="23" t="inlineStr">
        <is>
          <t>只</t>
        </is>
      </c>
      <c r="F2435" s="23" t="n">
        <v>2</v>
      </c>
      <c r="G2435" s="349">
        <f>IF(AND(B2435="",C2435=""),"",ROUND(M2435*L2435*N2435,2))</f>
        <v/>
      </c>
      <c r="H2435" s="396">
        <f>IF(AND(B2435="",C2435=""),"",ROUND(F2435*G2435,2))</f>
        <v/>
      </c>
      <c r="I2435" s="150" t="inlineStr"/>
      <c r="J2435" s="397">
        <f>IF(AND(B2435="",C2435=""),"",ROUND(M2435*N2435,2))</f>
        <v/>
      </c>
      <c r="K2435" s="398">
        <f>IF(AND(B2435="",C2435=""),"",ROUND(J2435*F2435,2))</f>
        <v/>
      </c>
      <c r="L2435" s="141" t="n">
        <v>1</v>
      </c>
      <c r="M2435" s="399" t="n">
        <v>1e-07</v>
      </c>
      <c r="N2435" s="154" t="n">
        <v>1</v>
      </c>
      <c r="O2435" s="155">
        <f>IF(AND(B2435="",C2435=""),"",IF(G2435&gt;=20000,0.05,IF(G2435&gt;=10000,0.1,IF(G2435&gt;=5000,0.2,IF(G2435&gt;=1000,0.3,IF(G2435&gt;=0,0.4,{0}))))))</f>
        <v/>
      </c>
      <c r="P2435" s="400">
        <f>IF(AND(B2435="",C2435=""),"",ROUND(H2435*O2435,2))</f>
        <v/>
      </c>
      <c r="Q2435" s="401" t="inlineStr">
        <is>
          <t>元件</t>
        </is>
      </c>
      <c r="R2435" s="168" t="inlineStr"/>
      <c r="S2435" s="168" t="inlineStr"/>
      <c r="T2435" s="168" t="inlineStr">
        <is>
          <t>0</t>
        </is>
      </c>
      <c r="U2435" s="168" t="inlineStr">
        <is>
          <t>XB2BA42C</t>
        </is>
      </c>
      <c r="V2435" s="402" t="n"/>
      <c r="W2435" s="402" t="n"/>
      <c r="X2435" s="170" t="inlineStr">
        <is>
          <t>XA2EA41</t>
        </is>
      </c>
    </row>
    <row r="2436" s="308">
      <c r="A2436" s="64">
        <f>ROW()-ROW(A$2424)</f>
        <v/>
      </c>
      <c r="B2436" s="112" t="inlineStr">
        <is>
          <t>温湿度控制器</t>
        </is>
      </c>
      <c r="C2436" s="112" t="inlineStr">
        <is>
          <t>ATH48G-11</t>
        </is>
      </c>
      <c r="D2436" s="22" t="inlineStr">
        <is>
          <t>杭州安廷</t>
        </is>
      </c>
      <c r="E2436" s="23" t="inlineStr">
        <is>
          <t>套</t>
        </is>
      </c>
      <c r="F2436" s="23" t="n">
        <v>1</v>
      </c>
      <c r="G2436" s="349">
        <f>IF(AND(B2436="",C2436=""),"",ROUND(M2436*L2436*N2436,2))</f>
        <v/>
      </c>
      <c r="H2436" s="396">
        <f>IF(AND(B2436="",C2436=""),"",ROUND(F2436*G2436,2))</f>
        <v/>
      </c>
      <c r="I2436" s="150" t="inlineStr"/>
      <c r="J2436" s="397">
        <f>IF(AND(B2436="",C2436=""),"",ROUND(M2436*N2436,2))</f>
        <v/>
      </c>
      <c r="K2436" s="398">
        <f>IF(AND(B2436="",C2436=""),"",ROUND(J2436*F2436,2))</f>
        <v/>
      </c>
      <c r="L2436" s="141" t="n">
        <v>1</v>
      </c>
      <c r="M2436" s="399" t="n">
        <v>450</v>
      </c>
      <c r="N2436" s="154" t="n">
        <v>1</v>
      </c>
      <c r="O2436" s="155">
        <f>IF(AND(B2436="",C2436=""),"",IF(G2436&gt;=20000,0.05,IF(G2436&gt;=10000,0.1,IF(G2436&gt;=5000,0.2,IF(G2436&gt;=1000,0.3,IF(G2436&gt;=0,0.4,{0}))))))</f>
        <v/>
      </c>
      <c r="P2436" s="400">
        <f>IF(AND(B2436="",C2436=""),"",ROUND(H2436*O2436,2))</f>
        <v/>
      </c>
      <c r="Q2436" s="401" t="inlineStr">
        <is>
          <t>元件</t>
        </is>
      </c>
      <c r="R2436" s="168" t="inlineStr"/>
      <c r="S2436" s="168" t="inlineStr"/>
      <c r="T2436" s="168" t="inlineStr">
        <is>
          <t>0</t>
        </is>
      </c>
      <c r="U2436" s="168" t="inlineStr"/>
      <c r="V2436" s="402" t="n"/>
      <c r="W2436" s="402" t="n"/>
      <c r="X2436" s="170" t="inlineStr"/>
    </row>
    <row r="2437" s="308">
      <c r="A2437" s="64">
        <f>ROW()-ROW(A$2424)</f>
        <v/>
      </c>
      <c r="B2437" s="22" t="inlineStr">
        <is>
          <t>中间继电器</t>
        </is>
      </c>
      <c r="C2437" s="22" t="inlineStr">
        <is>
          <t>RXM4AB2P7+RXZE2S114M+RXZ400</t>
        </is>
      </c>
      <c r="D2437" s="22" t="inlineStr">
        <is>
          <t>甲供/施耐德电气</t>
        </is>
      </c>
      <c r="E2437" s="23" t="inlineStr">
        <is>
          <t>只</t>
        </is>
      </c>
      <c r="F2437" s="23" t="n">
        <v>4</v>
      </c>
      <c r="G2437" s="349">
        <f>IF(AND(B2437="",C2437=""),"",ROUND(M2437*L2437*N2437,2))</f>
        <v/>
      </c>
      <c r="H2437" s="349">
        <f>IF(AND(B2437="",C2437=""),"",ROUND(F2437*G2437,2))</f>
        <v/>
      </c>
      <c r="I2437" s="45" t="inlineStr"/>
      <c r="J2437" s="397">
        <f>IF(AND(B2437="",C2437=""),"",ROUND(M2437*N2437,2))</f>
        <v/>
      </c>
      <c r="K2437" s="398">
        <f>IF(AND(B2437="",C2437=""),"",ROUND(J2437*F2437,2))</f>
        <v/>
      </c>
      <c r="L2437" s="141" t="n">
        <v>1</v>
      </c>
      <c r="M2437" s="399" t="n">
        <v>1e-07</v>
      </c>
      <c r="N2437" s="154" t="n">
        <v>1</v>
      </c>
      <c r="O2437" s="155">
        <f>IF(AND(B2437="",C2437=""),"",IF(G2437&gt;=20000,0.05,IF(G2437&gt;=10000,0.1,IF(G2437&gt;=5000,0.2,IF(G2437&gt;=1000,0.3,IF(G2437&gt;=0,0.4,{0}))))))</f>
        <v/>
      </c>
      <c r="P2437" s="400">
        <f>IF(AND(B2437="",C2437=""),"",ROUND(H2437*O2437,2))</f>
        <v/>
      </c>
      <c r="Q2437" s="401" t="inlineStr">
        <is>
          <t>元件</t>
        </is>
      </c>
      <c r="R2437" s="168" t="inlineStr"/>
      <c r="S2437" s="168" t="inlineStr"/>
      <c r="T2437" s="168" t="inlineStr">
        <is>
          <t>0</t>
        </is>
      </c>
      <c r="U2437" s="168" t="inlineStr">
        <is>
          <t>RXM4AB2P7+RXZE2S114M+RXZ400</t>
        </is>
      </c>
      <c r="V2437" s="402" t="n"/>
      <c r="W2437" s="402" t="n"/>
      <c r="X2437" s="170" t="inlineStr">
        <is>
          <t>REL-IR-BL/L-230AC/4X21，含底座→RXM4AB2P7+RXZE2S114M+RXZ400→REL-IR-BL/L-230AC/4X21，含底座</t>
        </is>
      </c>
    </row>
    <row r="2438" customFormat="1" s="3">
      <c r="A2438" s="64">
        <f>ROW()-ROW(A$2424)</f>
        <v/>
      </c>
      <c r="B2438" s="22" t="inlineStr">
        <is>
          <t>带熔丝端子</t>
        </is>
      </c>
      <c r="C2438" s="22" t="inlineStr">
        <is>
          <t>UK 5-HESI</t>
        </is>
      </c>
      <c r="D2438" s="22" t="inlineStr">
        <is>
          <t>菲尼克斯</t>
        </is>
      </c>
      <c r="E2438" s="23" t="inlineStr">
        <is>
          <t>只</t>
        </is>
      </c>
      <c r="F2438" s="23" t="n">
        <v>8</v>
      </c>
      <c r="G2438" s="349">
        <f>IF(AND(B2438="",C2438=""),"",ROUND(M2438*L2438*N2438,2))</f>
        <v/>
      </c>
      <c r="H2438" s="349">
        <f>IF(AND(B2438="",C2438=""),"",ROUND(F2438*G2438,2))</f>
        <v/>
      </c>
      <c r="I2438" s="45" t="inlineStr"/>
      <c r="J2438" s="392">
        <f>IF(AND(B2438="",C2438=""),"",ROUND(M2438*N2438,2))</f>
        <v/>
      </c>
      <c r="K2438" s="393">
        <f>IF(AND(B2438="",C2438=""),"",ROUND(J2438*F2438,2))</f>
        <v/>
      </c>
      <c r="L2438" s="141" t="n">
        <v>1</v>
      </c>
      <c r="M2438" s="394" t="n">
        <v>7</v>
      </c>
      <c r="N2438" s="220" t="n">
        <v>1</v>
      </c>
      <c r="O2438" s="221">
        <f>IF(AND(B2438="",C2438=""),"",IF(G2438&gt;=20000,0.05,IF(G2438&gt;=10000,0.1,IF(G2438&gt;=5000,0.2,IF(G2438&gt;=1000,0.3,IF(G2438&gt;=0,0.4,{0}))))))</f>
        <v/>
      </c>
      <c r="P2438" s="419">
        <f>IF(AND(B2438="",C2438=""),"",ROUND(H2438*O2438,2))</f>
        <v/>
      </c>
      <c r="Q2438" s="420" t="inlineStr">
        <is>
          <t>元件</t>
        </is>
      </c>
      <c r="R2438" s="231" t="inlineStr"/>
      <c r="S2438" s="231" t="inlineStr"/>
      <c r="T2438" s="231" t="inlineStr">
        <is>
          <t>0</t>
        </is>
      </c>
      <c r="U2438" s="231" t="inlineStr">
        <is>
          <t>True</t>
        </is>
      </c>
      <c r="V2438" s="421" t="n"/>
      <c r="W2438" s="421" t="n"/>
      <c r="X2438" s="166" t="inlineStr"/>
    </row>
    <row r="2439" s="308">
      <c r="A2439" s="64">
        <f>ROW()-ROW(A$2424)</f>
        <v/>
      </c>
      <c r="B2439" s="22" t="inlineStr">
        <is>
          <t>水平母排</t>
        </is>
      </c>
      <c r="C2439" s="22" t="inlineStr">
        <is>
          <t>TMY 4*(2*100*5)+2*50*5</t>
        </is>
      </c>
      <c r="D2439" s="22" t="inlineStr">
        <is>
          <t>国产优质</t>
        </is>
      </c>
      <c r="E2439" s="23" t="inlineStr">
        <is>
          <t>米</t>
        </is>
      </c>
      <c r="F2439" s="23" t="n">
        <v>0.4</v>
      </c>
      <c r="G2439" s="349">
        <f>IF(AND(B2439="",C2439=""),"",ROUND(M2439*L2439*N2439,2))</f>
        <v/>
      </c>
      <c r="H2439" s="349">
        <f>IF(AND(B2439="",C2439=""),"",ROUND(F2439*G2439,2))</f>
        <v/>
      </c>
      <c r="I2439" s="45" t="inlineStr"/>
      <c r="J2439" s="397">
        <f>IF(AND(B2439="",C2439=""),"",ROUND(M2439*N2439,2))</f>
        <v/>
      </c>
      <c r="K2439" s="398">
        <f>IF(AND(B2439="",C2439=""),"",ROUND(J2439*F2439,2))</f>
        <v/>
      </c>
      <c r="L2439" s="200" t="n">
        <v>1</v>
      </c>
      <c r="M2439" s="399" t="n">
        <v>4329.60525</v>
      </c>
      <c r="N2439" s="154">
        <f>(6317.932*1*1+2684.8*1*1)/9002.732</f>
        <v/>
      </c>
      <c r="O2439" s="155">
        <f>IF(AND(B2439="",C2439=""),"",IF(J2439&gt;=20000,0.05,IF(J2439&gt;=10000,0.1,IF(J2439&gt;=5000,0.2,IF(J2439&gt;=1000,0.3,IF(J2439&gt;=0,0.4,{0}))))))</f>
        <v/>
      </c>
      <c r="P2439" s="400">
        <f>IF(AND(B2439="",C2439=""),"",ROUND(H2439*O2439,2))</f>
        <v/>
      </c>
      <c r="Q2439" s="401" t="inlineStr">
        <is>
          <t>母排</t>
        </is>
      </c>
      <c r="R2439" s="168" t="inlineStr"/>
      <c r="S2439" s="168" t="inlineStr"/>
      <c r="T2439" s="168" t="inlineStr">
        <is>
          <t>0</t>
        </is>
      </c>
      <c r="U2439" s="168" t="inlineStr"/>
      <c r="V2439" s="402" t="n"/>
      <c r="W2439" s="402" t="n"/>
      <c r="X2439" s="170" t="inlineStr"/>
    </row>
    <row r="2440" customFormat="1" s="5">
      <c r="A2440" s="64">
        <f>ROW()-ROW(A$2424)</f>
        <v/>
      </c>
      <c r="B2440" s="22" t="inlineStr">
        <is>
          <t>桩头排</t>
        </is>
      </c>
      <c r="C2440" s="22" t="inlineStr">
        <is>
          <t>TMY 3*80*5</t>
        </is>
      </c>
      <c r="D2440" s="22" t="inlineStr">
        <is>
          <t>国产优质</t>
        </is>
      </c>
      <c r="E2440" s="23" t="inlineStr">
        <is>
          <t>米</t>
        </is>
      </c>
      <c r="F2440" s="23" t="n">
        <v>3</v>
      </c>
      <c r="G2440" s="349">
        <f>IF(AND(B2440="",C2440=""),"",ROUND(M2440*L2440*N2440,2))</f>
        <v/>
      </c>
      <c r="H2440" s="349">
        <f>IF(AND(B2440="",C2440=""),"",ROUND(F2440*G2440,2))</f>
        <v/>
      </c>
      <c r="I2440" s="45" t="inlineStr"/>
      <c r="J2440" s="422">
        <f>IF(AND(B2440="",C2440=""),"",ROUND(M2440*N2440,2))</f>
        <v/>
      </c>
      <c r="K2440" s="423">
        <f>IF(AND(B2440="",C2440=""),"",ROUND(J2440*F2440,2))</f>
        <v/>
      </c>
      <c r="L2440" s="225" t="n">
        <v>1</v>
      </c>
      <c r="M2440" s="424" t="n">
        <v>1154.5614</v>
      </c>
      <c r="N2440" s="227" t="n">
        <v>1</v>
      </c>
      <c r="O2440" s="228">
        <f>IF(AND(B2440="",C2440=""),"",IF(G2440&gt;=20000,0.05,IF(G2440&gt;=10000,0.1,IF(G2440&gt;=5000,0.2,IF(G2440&gt;=1000,0.3,IF(G2440&gt;=0,0.4,{0}))))))</f>
        <v/>
      </c>
      <c r="P2440" s="425">
        <f>IF(AND(B2440="",C2440=""),"",ROUND(H2440*O2440,2))</f>
        <v/>
      </c>
      <c r="Q2440" s="426" t="inlineStr">
        <is>
          <t>母排</t>
        </is>
      </c>
      <c r="R2440" s="234" t="inlineStr"/>
      <c r="S2440" s="234" t="inlineStr"/>
      <c r="T2440" s="235" t="inlineStr">
        <is>
          <t>0</t>
        </is>
      </c>
      <c r="U2440" s="235" t="inlineStr"/>
      <c r="V2440" s="427" t="n"/>
      <c r="W2440" s="427" t="n"/>
      <c r="X2440" s="237" t="inlineStr">
        <is>
          <t>TMY 2*30*5→TMY 30*8</t>
        </is>
      </c>
    </row>
    <row r="2441" customFormat="1" s="5">
      <c r="A2441" s="64">
        <f>ROW()-ROW(A$2424)</f>
        <v/>
      </c>
      <c r="B2441" s="22" t="inlineStr">
        <is>
          <t>垂直排</t>
        </is>
      </c>
      <c r="C2441" s="22" t="inlineStr">
        <is>
          <t>TMY 3*80*5</t>
        </is>
      </c>
      <c r="D2441" s="22" t="inlineStr">
        <is>
          <t>国产优质</t>
        </is>
      </c>
      <c r="E2441" s="23" t="inlineStr">
        <is>
          <t>米</t>
        </is>
      </c>
      <c r="F2441" s="23" t="n">
        <v>2</v>
      </c>
      <c r="G2441" s="349">
        <f>IF(AND(B2441="",C2441=""),"",ROUND(M2441*L2441*N2441,2))</f>
        <v/>
      </c>
      <c r="H2441" s="349">
        <f>IF(AND(B2441="",C2441=""),"",ROUND(F2441*G2441,2))</f>
        <v/>
      </c>
      <c r="I2441" s="45" t="inlineStr"/>
      <c r="J2441" s="422">
        <f>IF(AND(B2441="",C2441=""),"",ROUND(M2441*N2441,2))</f>
        <v/>
      </c>
      <c r="K2441" s="423">
        <f>IF(AND(B2441="",C2441=""),"",ROUND(J2441*F2441,2))</f>
        <v/>
      </c>
      <c r="L2441" s="225" t="n">
        <v>1</v>
      </c>
      <c r="M2441" s="424" t="n">
        <v>1154.5614</v>
      </c>
      <c r="N2441" s="227" t="n">
        <v>1</v>
      </c>
      <c r="O2441" s="228">
        <f>IF(AND(B2441="",C2441=""),"",IF(G2441&gt;=20000,0.05,IF(G2441&gt;=10000,0.1,IF(G2441&gt;=5000,0.2,IF(G2441&gt;=1000,0.3,IF(G2441&gt;=0,0.4,{0}))))))</f>
        <v/>
      </c>
      <c r="P2441" s="425">
        <f>IF(AND(B2441="",C2441=""),"",ROUND(H2441*O2441,2))</f>
        <v/>
      </c>
      <c r="Q2441" s="426" t="inlineStr">
        <is>
          <t>母排</t>
        </is>
      </c>
      <c r="R2441" s="234" t="inlineStr"/>
      <c r="S2441" s="234" t="inlineStr"/>
      <c r="T2441" s="235" t="inlineStr">
        <is>
          <t>0</t>
        </is>
      </c>
      <c r="U2441" s="235" t="inlineStr"/>
      <c r="V2441" s="427" t="n"/>
      <c r="W2441" s="427" t="n"/>
      <c r="X2441" s="237" t="inlineStr">
        <is>
          <t>TMY 2*30*5→TMY 30*8</t>
        </is>
      </c>
    </row>
    <row r="2442" customFormat="1" s="5">
      <c r="A2442" s="64">
        <f>ROW()-ROW(A$2424)</f>
        <v/>
      </c>
      <c r="B2442" s="22" t="inlineStr">
        <is>
          <t>N排</t>
        </is>
      </c>
      <c r="C2442" s="22" t="inlineStr">
        <is>
          <t>TMY 80*10</t>
        </is>
      </c>
      <c r="D2442" s="22" t="inlineStr">
        <is>
          <t>国产优质</t>
        </is>
      </c>
      <c r="E2442" s="23" t="inlineStr">
        <is>
          <t>米</t>
        </is>
      </c>
      <c r="F2442" s="23" t="n">
        <v>3</v>
      </c>
      <c r="G2442" s="349">
        <f>IF(AND(B2442="",C2442=""),"",ROUND(M2442*L2442*N2442,2))</f>
        <v/>
      </c>
      <c r="H2442" s="349">
        <f>IF(AND(B2442="",C2442=""),"",ROUND(F2442*G2442,2))</f>
        <v/>
      </c>
      <c r="I2442" s="45" t="inlineStr"/>
      <c r="J2442" s="422">
        <f>IF(AND(B2442="",C2442=""),"",ROUND(M2442*N2442,2))</f>
        <v/>
      </c>
      <c r="K2442" s="423">
        <f>IF(AND(B2442="",C2442=""),"",ROUND(J2442*F2442,2))</f>
        <v/>
      </c>
      <c r="L2442" s="225" t="n">
        <v>1</v>
      </c>
      <c r="M2442" s="424" t="n">
        <v>769.7076</v>
      </c>
      <c r="N2442" s="227" t="n">
        <v>1</v>
      </c>
      <c r="O2442" s="228">
        <f>IF(AND(B2442="",C2442=""),"",IF(G2442&gt;=20000,0.05,IF(G2442&gt;=10000,0.1,IF(G2442&gt;=5000,0.2,IF(G2442&gt;=1000,0.3,IF(G2442&gt;=0,0.4,{0}))))))</f>
        <v/>
      </c>
      <c r="P2442" s="425">
        <f>IF(AND(B2442="",C2442=""),"",ROUND(H2442*O2442,2))</f>
        <v/>
      </c>
      <c r="Q2442" s="426" t="inlineStr">
        <is>
          <t>母排</t>
        </is>
      </c>
      <c r="R2442" s="234" t="inlineStr"/>
      <c r="S2442" s="234" t="inlineStr"/>
      <c r="T2442" s="235" t="inlineStr">
        <is>
          <t>0</t>
        </is>
      </c>
      <c r="U2442" s="235" t="inlineStr"/>
      <c r="V2442" s="427" t="n"/>
      <c r="W2442" s="427" t="n"/>
      <c r="X2442" s="237" t="inlineStr">
        <is>
          <t>TMY 2*30*5→TMY 30*8</t>
        </is>
      </c>
    </row>
    <row r="2443" customFormat="1" s="5">
      <c r="A2443" s="64">
        <f>ROW()-ROW(A$2424)</f>
        <v/>
      </c>
      <c r="B2443" s="22" t="inlineStr">
        <is>
          <t>PE排</t>
        </is>
      </c>
      <c r="C2443" s="22" t="inlineStr">
        <is>
          <t>TMY 2*50*5</t>
        </is>
      </c>
      <c r="D2443" s="22" t="inlineStr">
        <is>
          <t>国产优质</t>
        </is>
      </c>
      <c r="E2443" s="23" t="inlineStr">
        <is>
          <t>米</t>
        </is>
      </c>
      <c r="F2443" s="23" t="n">
        <v>2</v>
      </c>
      <c r="G2443" s="349">
        <f>IF(AND(B2443="",C2443=""),"",ROUND(M2443*L2443*N2443,2))</f>
        <v/>
      </c>
      <c r="H2443" s="349">
        <f>IF(AND(B2443="",C2443=""),"",ROUND(F2443*G2443,2))</f>
        <v/>
      </c>
      <c r="I2443" s="45" t="inlineStr"/>
      <c r="J2443" s="422">
        <f>IF(AND(B2443="",C2443=""),"",ROUND(M2443*N2443,2))</f>
        <v/>
      </c>
      <c r="K2443" s="423">
        <f>IF(AND(B2443="",C2443=""),"",ROUND(J2443*F2443,2))</f>
        <v/>
      </c>
      <c r="L2443" s="225" t="n">
        <v>1</v>
      </c>
      <c r="M2443" s="424" t="n">
        <v>481.06725</v>
      </c>
      <c r="N2443" s="227" t="n">
        <v>1</v>
      </c>
      <c r="O2443" s="228">
        <f>IF(AND(B2443="",C2443=""),"",IF(G2443&gt;=20000,0.05,IF(G2443&gt;=10000,0.1,IF(G2443&gt;=5000,0.2,IF(G2443&gt;=1000,0.3,IF(G2443&gt;=0,0.4,{0}))))))</f>
        <v/>
      </c>
      <c r="P2443" s="425">
        <f>IF(AND(B2443="",C2443=""),"",ROUND(H2443*O2443,2))</f>
        <v/>
      </c>
      <c r="Q2443" s="426" t="inlineStr">
        <is>
          <t>母排</t>
        </is>
      </c>
      <c r="R2443" s="234" t="inlineStr"/>
      <c r="S2443" s="234" t="inlineStr"/>
      <c r="T2443" s="235" t="inlineStr">
        <is>
          <t>0</t>
        </is>
      </c>
      <c r="U2443" s="235" t="inlineStr"/>
      <c r="V2443" s="427" t="n"/>
      <c r="W2443" s="427" t="n"/>
      <c r="X2443" s="237" t="inlineStr">
        <is>
          <t>TMY 2*30*5→TMY 30*8</t>
        </is>
      </c>
    </row>
    <row r="2444" s="308">
      <c r="A2444" s="64">
        <f>ROW()-ROW(A$2424)</f>
        <v/>
      </c>
      <c r="B2444" s="112" t="inlineStr">
        <is>
          <t>辅料</t>
        </is>
      </c>
      <c r="C2444" s="112" t="inlineStr"/>
      <c r="D2444" s="112" t="inlineStr"/>
      <c r="E2444" s="114" t="inlineStr">
        <is>
          <t>套</t>
        </is>
      </c>
      <c r="F2444" s="114" t="n">
        <v>1</v>
      </c>
      <c r="G2444" s="396">
        <f>IF(AND(B2444="",C2444=""),"",ROUND(M2444*L2444*N2444,2))</f>
        <v/>
      </c>
      <c r="H2444" s="396">
        <f>IF(AND(B2444="",C2444=""),"",ROUND(F2444*G2444,2))</f>
        <v/>
      </c>
      <c r="I2444" s="219" t="inlineStr"/>
      <c r="J2444" s="397">
        <f>IF(AND(B2444="",C2444=""),"",ROUND(M2444*N2444,2))</f>
        <v/>
      </c>
      <c r="K2444" s="398">
        <f>IF(AND(B2444="",C2444=""),"",ROUND(J2444*F2444,2))</f>
        <v/>
      </c>
      <c r="L2444" s="200" t="n">
        <v>1</v>
      </c>
      <c r="M2444" s="399" t="n">
        <v>800</v>
      </c>
      <c r="N2444" s="154" t="n">
        <v>1</v>
      </c>
      <c r="O2444" s="155">
        <f>IF(AND(B2444="",C2444=""),"",IF(G2444&gt;=20000,0.05,IF(G2444&gt;=10000,0.1,IF(G2444&gt;=5000,0.2,IF(G2444&gt;=1000,0.3,IF(G2444&gt;=0,0.4,{0}))))))</f>
        <v/>
      </c>
      <c r="P2444" s="400">
        <f>IF(AND(B2444="",C2444=""),"",ROUND(H2444*O2444,2))</f>
        <v/>
      </c>
      <c r="Q2444" s="401" t="inlineStr">
        <is>
          <t>辅料</t>
        </is>
      </c>
      <c r="R2444" s="168" t="inlineStr"/>
      <c r="S2444" s="168" t="inlineStr"/>
      <c r="T2444" s="168" t="inlineStr">
        <is>
          <t>0</t>
        </is>
      </c>
      <c r="U2444" s="168" t="inlineStr"/>
      <c r="V2444" s="402" t="n"/>
      <c r="W2444" s="402" t="n"/>
      <c r="X2444" s="170" t="inlineStr"/>
    </row>
    <row r="2445" s="308">
      <c r="A2445" s="64">
        <f>ROW()-ROW(A$2424)</f>
        <v/>
      </c>
      <c r="B2445" s="112" t="inlineStr">
        <is>
          <t>柜体Blokset</t>
        </is>
      </c>
      <c r="C2445" s="22" t="inlineStr">
        <is>
          <t>400W*1200D*2200H</t>
        </is>
      </c>
      <c r="D2445" s="112" t="inlineStr">
        <is>
          <t>清科</t>
        </is>
      </c>
      <c r="E2445" s="114" t="inlineStr">
        <is>
          <t>台</t>
        </is>
      </c>
      <c r="F2445" s="114" t="n">
        <v>1</v>
      </c>
      <c r="G2445" s="396">
        <f>IF(AND(B2445="",C2445=""),"",ROUND(M2445*L2445*N2445,2))</f>
        <v/>
      </c>
      <c r="H2445" s="396">
        <f>IF(AND(B2445="",C2445=""),"",ROUND(F2445*G2445,2))</f>
        <v/>
      </c>
      <c r="I2445" s="219" t="inlineStr"/>
      <c r="J2445" s="397">
        <f>IF(AND(B2445="",C2445=""),"",ROUND(M2445*N2445,2))</f>
        <v/>
      </c>
      <c r="K2445" s="398">
        <f>IF(AND(B2445="",C2445=""),"",ROUND(J2445*F2445,2))</f>
        <v/>
      </c>
      <c r="L2445" s="200" t="n">
        <v>1</v>
      </c>
      <c r="M2445" s="399" t="n">
        <v>4916</v>
      </c>
      <c r="N2445" s="154" t="n">
        <v>1</v>
      </c>
      <c r="O2445" s="155">
        <f>IF(AND(B2445="",C2445=""),"",IF(G2445&gt;=20000,0.05,IF(G2445&gt;=10000,0.1,IF(G2445&gt;=5000,0.2,IF(G2445&gt;=1000,0.3,IF(G2445&gt;=0,0.4,{0}))))))</f>
        <v/>
      </c>
      <c r="P2445" s="400">
        <f>IF(AND(B2445="",C2445=""),"",ROUND(H2445*O2445,2))</f>
        <v/>
      </c>
      <c r="Q2445" s="401" t="inlineStr">
        <is>
          <t>箱体</t>
        </is>
      </c>
      <c r="R2445" s="168" t="inlineStr"/>
      <c r="S2445" s="168" t="inlineStr"/>
      <c r="T2445" s="168" t="inlineStr">
        <is>
          <t>0</t>
        </is>
      </c>
      <c r="U2445" s="168" t="inlineStr"/>
      <c r="V2445" s="402" t="n"/>
      <c r="W2445" s="402" t="n"/>
      <c r="X2445" s="170" t="inlineStr">
        <is>
          <t>BlokSeT</t>
        </is>
      </c>
    </row>
    <row r="2446" s="308">
      <c r="A2446" s="64">
        <f>ROW()-ROW(A$2424)</f>
        <v/>
      </c>
      <c r="B2446" s="22" t="inlineStr"/>
      <c r="C2446" s="22" t="inlineStr"/>
      <c r="D2446" s="22" t="inlineStr"/>
      <c r="E2446" s="23" t="n"/>
      <c r="F2446" s="23">
        <f>IF(AND(B2446="",C2446=""),"",1)</f>
        <v/>
      </c>
      <c r="G2446" s="349">
        <f>IF(AND(B2446="",C2446=""),"",ROUND(M2446*L2446*N2446,2))</f>
        <v/>
      </c>
      <c r="H2446" s="349">
        <f>IF(AND(B2446="",C2446=""),"",ROUND(F2446*G2446,2))</f>
        <v/>
      </c>
      <c r="I2446" s="45" t="inlineStr"/>
      <c r="J2446" s="397">
        <f>IF(AND(B2446="",C2446=""),"",ROUND(M2446*N2446,2))</f>
        <v/>
      </c>
      <c r="K2446" s="398">
        <f>IF(AND(B2446="",C2446=""),"",ROUND(J2446*F2446,2))</f>
        <v/>
      </c>
      <c r="L2446" s="200">
        <f>IF(AND(B2446="",C2446=""),"",1)</f>
        <v/>
      </c>
      <c r="M2446" s="399" t="n"/>
      <c r="N2446" s="154">
        <f>IF(AND(B2446="",C2446=""),"",1)</f>
        <v/>
      </c>
      <c r="O2446" s="155">
        <f>IF(AND(B2446="",C2446=""),"",IF(J2446&gt;=20000,0.05,IF(J2446&gt;=10000,0.1,IF(J2446&gt;=5000,0.2,IF(J2446&gt;=1000,0.3,IF(J2446&gt;=0,0.4,{0}))))))</f>
        <v/>
      </c>
      <c r="P2446" s="400">
        <f>IF(AND(B2446="",C2446=""),"",ROUND(H2446*O2446,2))</f>
        <v/>
      </c>
      <c r="Q2446" s="401">
        <f>IF(AND(B2446="",C2446=""),"","元件")</f>
        <v/>
      </c>
      <c r="R2446" s="168" t="inlineStr"/>
      <c r="S2446" s="168" t="inlineStr"/>
      <c r="T2446" s="168" t="inlineStr"/>
      <c r="U2446" s="168" t="inlineStr"/>
      <c r="V2446" s="402" t="n"/>
      <c r="W2446" s="402" t="n"/>
      <c r="X2446" s="170" t="inlineStr"/>
    </row>
    <row r="2447" s="308">
      <c r="A2447" s="64">
        <f>ROW()-ROW(A$2424)</f>
        <v/>
      </c>
      <c r="B2447" s="171" t="inlineStr">
        <is>
          <t>小计</t>
        </is>
      </c>
      <c r="C2447" s="172" t="n"/>
      <c r="D2447" s="204" t="n"/>
      <c r="E2447" s="114" t="n"/>
      <c r="F2447" s="114" t="n"/>
      <c r="G2447" s="396" t="n"/>
      <c r="H2447" s="396">
        <f>ROUND(SUM(H2424:INDEX(H:H,ROW()-1)),2)</f>
        <v/>
      </c>
      <c r="I2447" s="45" t="inlineStr"/>
      <c r="J2447" s="397" t="n"/>
      <c r="K2447" s="398">
        <f>ROUND(SUM(K2424:INDEX(K:K,ROW()-1)),2)</f>
        <v/>
      </c>
      <c r="L2447" s="200" t="n"/>
      <c r="M2447" s="399" t="n"/>
      <c r="N2447" s="154" t="n"/>
      <c r="O2447" s="155" t="n"/>
      <c r="P2447" s="400" t="n"/>
      <c r="Q2447" s="401" t="n"/>
      <c r="R2447" s="168" t="inlineStr"/>
      <c r="S2447" s="168" t="inlineStr"/>
      <c r="T2447" s="168" t="inlineStr"/>
      <c r="U2447" s="168" t="inlineStr"/>
      <c r="V2447" s="402">
        <f>ROUND(SUMPRODUCT(F2424:INDEX(F:F,ROW()-1),V2424:INDEX(V:V,ROW()-1)),2)</f>
        <v/>
      </c>
      <c r="W2447" s="402">
        <f>ROUND(SUMPRODUCT(F2424:INDEX(F:F,ROW()-1),W2424:INDEX(W:W,ROW()-1)),2)</f>
        <v/>
      </c>
      <c r="X2447" s="170" t="inlineStr"/>
    </row>
    <row r="2448" s="308">
      <c r="A2448" s="64">
        <f>ROW()-ROW(A$2424)</f>
        <v/>
      </c>
      <c r="B2448" s="171" t="inlineStr">
        <is>
          <t>综合费(人工、管理、税金、利润等)</t>
        </is>
      </c>
      <c r="C2448" s="172" t="n"/>
      <c r="D2448" s="204" t="n"/>
      <c r="E2448" s="114" t="n"/>
      <c r="F2448" s="114" t="n"/>
      <c r="G2448" s="396" t="n"/>
      <c r="H2448" s="396">
        <f>2500</f>
        <v/>
      </c>
      <c r="I2448" s="45" t="inlineStr"/>
      <c r="J2448" s="397" t="n"/>
      <c r="K2448" s="398" t="n"/>
      <c r="L2448" s="200" t="n"/>
      <c r="M2448" s="399" t="n"/>
      <c r="N2448" s="154" t="n"/>
      <c r="O2448" s="155" t="n"/>
      <c r="P2448" s="400" t="n"/>
      <c r="Q2448" s="401" t="inlineStr">
        <is>
          <t>费用</t>
        </is>
      </c>
      <c r="R2448" s="168" t="inlineStr"/>
      <c r="S2448" s="168" t="inlineStr"/>
      <c r="T2448" s="168" t="inlineStr"/>
      <c r="U2448" s="168" t="inlineStr"/>
      <c r="V2448" s="402" t="n"/>
      <c r="W2448" s="402" t="n"/>
      <c r="X2448" s="170" t="inlineStr"/>
    </row>
    <row r="2449" s="308">
      <c r="A2449" s="64">
        <f>ROW()-ROW(A$2424)</f>
        <v/>
      </c>
      <c r="B2449" s="204" t="inlineStr">
        <is>
          <t>单台合计</t>
        </is>
      </c>
      <c r="C2449" s="172" t="n"/>
      <c r="D2449" s="204" t="n"/>
      <c r="E2449" s="114" t="n"/>
      <c r="F2449" s="114" t="n"/>
      <c r="G2449" s="396" t="n"/>
      <c r="H2449" s="396">
        <f>ROUND(SUM(H2447:H2448),2)</f>
        <v/>
      </c>
      <c r="I2449" s="181" t="n"/>
      <c r="J2449" s="397" t="n"/>
      <c r="K2449" s="398">
        <f>ROUND(SUM(K2447:K2448),2)</f>
        <v/>
      </c>
      <c r="L2449" s="209" t="n"/>
      <c r="M2449" s="399" t="n"/>
      <c r="N2449" s="210" t="n"/>
      <c r="O2449" s="211" t="n"/>
      <c r="P2449" s="400" t="n"/>
      <c r="Q2449" s="401" t="n"/>
      <c r="R2449" s="168" t="inlineStr"/>
      <c r="S2449" s="168" t="inlineStr"/>
      <c r="T2449" s="168" t="inlineStr"/>
      <c r="U2449" s="168" t="inlineStr"/>
      <c r="V2449" s="402" t="n"/>
      <c r="W2449" s="402" t="n"/>
      <c r="X2449" s="170" t="inlineStr"/>
    </row>
    <row r="2450" s="308">
      <c r="A2450" s="173" t="inlineStr">
        <is>
          <t>总计</t>
        </is>
      </c>
      <c r="B2450" s="205" t="n"/>
      <c r="C2450" s="175" t="n"/>
      <c r="D2450" s="206" t="n"/>
      <c r="E2450" s="206" t="inlineStr">
        <is>
          <t>台</t>
        </is>
      </c>
      <c r="F2450" s="206" t="n">
        <v>2</v>
      </c>
      <c r="G2450" s="414">
        <f>ROUND(H2449,2)</f>
        <v/>
      </c>
      <c r="H2450" s="414">
        <f>ROUND(F2450*G2450,2)</f>
        <v/>
      </c>
      <c r="I2450" s="185" t="n"/>
      <c r="J2450" s="415" t="n"/>
      <c r="K2450" s="416">
        <f>ROUND(K2449*F2450,2)</f>
        <v/>
      </c>
      <c r="L2450" s="214" t="n"/>
      <c r="M2450" s="417" t="n"/>
      <c r="N2450" s="216" t="n"/>
      <c r="O2450" s="217" t="n"/>
      <c r="P2450" s="418" t="n"/>
      <c r="Q2450" s="401" t="n"/>
      <c r="R2450" s="168" t="inlineStr"/>
      <c r="S2450" s="168" t="inlineStr"/>
      <c r="T2450" s="168" t="inlineStr"/>
      <c r="U2450" s="168" t="inlineStr"/>
      <c r="V2450" s="402" t="n"/>
      <c r="W2450" s="402" t="n"/>
      <c r="X2450" s="170" t="inlineStr"/>
    </row>
    <row r="2451" customFormat="1" s="4">
      <c r="A2451" s="6" t="n"/>
      <c r="B2451" s="195" t="inlineStr"/>
      <c r="C2451" s="195" t="inlineStr"/>
      <c r="D2451" s="195" t="inlineStr"/>
      <c r="Q2451" s="159" t="n"/>
      <c r="R2451" s="159" t="n"/>
      <c r="S2451" s="159" t="n"/>
      <c r="T2451" s="159" t="n"/>
      <c r="U2451" s="159" t="n"/>
      <c r="X2451" s="195" t="inlineStr"/>
    </row>
    <row r="2452" customFormat="1" s="4">
      <c r="A2452" s="6" t="n"/>
      <c r="B2452" s="195" t="inlineStr"/>
      <c r="C2452" s="195" t="inlineStr"/>
      <c r="D2452" s="195" t="inlineStr"/>
      <c r="Q2452" s="159" t="n"/>
      <c r="R2452" s="159" t="n"/>
      <c r="S2452" s="159" t="n"/>
      <c r="T2452" s="159" t="n"/>
      <c r="U2452" s="159" t="n"/>
      <c r="X2452" s="195" t="inlineStr"/>
    </row>
    <row r="2453" s="308">
      <c r="A2453" s="208">
        <f>CONCATENATE("报价人：",项目信息!$B$8)</f>
        <v/>
      </c>
      <c r="B2453" s="208" t="n"/>
      <c r="C2453" s="4" t="n"/>
      <c r="D2453" s="4" t="n"/>
      <c r="E2453" s="4" t="n"/>
      <c r="F2453" s="4" t="n"/>
      <c r="G2453" s="4" t="n"/>
      <c r="H2453" s="178">
        <f>项目信息!$B$9</f>
        <v/>
      </c>
      <c r="Q2453" s="159" t="n"/>
      <c r="R2453" s="159" t="n"/>
      <c r="S2453" s="159" t="n"/>
      <c r="T2453" s="159" t="n"/>
      <c r="U2453" s="159" t="n"/>
      <c r="X2453" s="203" t="inlineStr"/>
    </row>
    <row r="2454" s="308">
      <c r="A2454" s="8">
        <f>T(项目信息!$B$22)</f>
        <v/>
      </c>
      <c r="Q2454" s="159" t="n"/>
      <c r="R2454" s="159" t="n"/>
      <c r="S2454" s="159" t="n"/>
      <c r="T2454" s="159" t="n"/>
      <c r="U2454" s="159" t="n"/>
    </row>
    <row r="2455" s="308">
      <c r="A2455" s="9">
        <f>T(项目信息!$B$23)</f>
        <v/>
      </c>
      <c r="Q2455" s="159" t="n"/>
      <c r="R2455" s="159" t="n"/>
      <c r="S2455" s="159" t="n"/>
      <c r="T2455" s="159" t="n"/>
      <c r="U2455" s="159" t="n"/>
    </row>
    <row r="2456" s="308">
      <c r="A2456" s="97" t="inlineStr">
        <is>
          <t>成套产品报价明细表</t>
        </is>
      </c>
      <c r="B2456" s="378" t="n"/>
      <c r="C2456" s="378" t="n"/>
      <c r="D2456" s="378" t="n"/>
      <c r="E2456" s="378" t="n"/>
      <c r="F2456" s="378" t="n"/>
      <c r="G2456" s="378" t="n"/>
      <c r="H2456" s="378" t="n"/>
      <c r="I2456" s="378" t="n"/>
      <c r="Q2456" s="159" t="n"/>
      <c r="R2456" s="159" t="n"/>
      <c r="S2456" s="159" t="n"/>
      <c r="T2456" s="159" t="n"/>
      <c r="U2456" s="159" t="n"/>
    </row>
    <row r="2457" customFormat="1" s="4">
      <c r="A2457" s="98" t="inlineStr">
        <is>
          <t>柜号:</t>
        </is>
      </c>
      <c r="B2457" s="99" t="inlineStr">
        <is>
          <t>T13-AU12、T14-BU12</t>
        </is>
      </c>
      <c r="C2457" s="100" t="inlineStr">
        <is>
          <t>型号:</t>
        </is>
      </c>
      <c r="D2457" s="99" t="inlineStr">
        <is>
          <t>BlokSeT</t>
        </is>
      </c>
      <c r="E2457" s="379" t="n"/>
      <c r="F2457" s="101" t="inlineStr">
        <is>
          <t>名称:</t>
        </is>
      </c>
      <c r="G2457" s="99" t="inlineStr">
        <is>
          <t>馈线柜</t>
        </is>
      </c>
      <c r="H2457" s="379" t="n"/>
      <c r="I2457" s="408" t="inlineStr"/>
      <c r="J2457" s="194" t="inlineStr">
        <is>
          <t>箱柜尺寸:</t>
        </is>
      </c>
      <c r="K2457" s="195" t="inlineStr">
        <is>
          <t>600W*1200D*2200H</t>
        </is>
      </c>
      <c r="L2457" s="194" t="inlineStr">
        <is>
          <t>类别:</t>
        </is>
      </c>
      <c r="M2457" s="195" t="inlineStr">
        <is>
          <t>低压固定柜</t>
        </is>
      </c>
      <c r="N2457" s="409" t="inlineStr"/>
      <c r="Q2457" s="159" t="n"/>
      <c r="R2457" s="159" t="n"/>
      <c r="S2457" s="159" t="n"/>
      <c r="T2457" s="159" t="n"/>
      <c r="U2457" s="159" t="n"/>
    </row>
    <row r="2458" ht="20.1" customHeight="1" s="308">
      <c r="A2458" s="102" t="inlineStr">
        <is>
          <t>序号</t>
        </is>
      </c>
      <c r="B2458" s="103" t="inlineStr">
        <is>
          <t>元件名称</t>
        </is>
      </c>
      <c r="C2458" s="103" t="inlineStr">
        <is>
          <t>型号规格</t>
        </is>
      </c>
      <c r="D2458" s="104" t="inlineStr">
        <is>
          <t>生产厂家</t>
        </is>
      </c>
      <c r="E2458" s="105" t="inlineStr">
        <is>
          <t>单位</t>
        </is>
      </c>
      <c r="F2458" s="105" t="inlineStr">
        <is>
          <t>数量</t>
        </is>
      </c>
      <c r="G2458" s="382" t="inlineStr">
        <is>
          <t>单   价</t>
        </is>
      </c>
      <c r="H2458" s="383" t="inlineStr">
        <is>
          <t>总   价</t>
        </is>
      </c>
      <c r="I2458" s="134" t="inlineStr">
        <is>
          <t>备注</t>
        </is>
      </c>
      <c r="J2458" s="384" t="inlineStr">
        <is>
          <t>成本单价</t>
        </is>
      </c>
      <c r="K2458" s="384" t="inlineStr">
        <is>
          <t>成本总价</t>
        </is>
      </c>
      <c r="L2458" s="136" t="inlineStr">
        <is>
          <t>报出
系数</t>
        </is>
      </c>
      <c r="M2458" s="384" t="inlineStr">
        <is>
          <t>表价</t>
        </is>
      </c>
      <c r="N2458" s="136" t="inlineStr">
        <is>
          <t>折扣
系数</t>
        </is>
      </c>
      <c r="O2458" s="137" t="inlineStr">
        <is>
          <t>取费
系数</t>
        </is>
      </c>
      <c r="P2458" s="384" t="inlineStr">
        <is>
          <t>成套费</t>
        </is>
      </c>
      <c r="Q2458" s="161" t="inlineStr">
        <is>
          <t>类别</t>
        </is>
      </c>
      <c r="R2458" s="161" t="inlineStr">
        <is>
          <t>物料编码</t>
        </is>
      </c>
      <c r="S2458" s="161" t="inlineStr">
        <is>
          <t>产地</t>
        </is>
      </c>
      <c r="T2458" s="161" t="inlineStr">
        <is>
          <t>加工费</t>
        </is>
      </c>
      <c r="U2458" s="161" t="inlineStr">
        <is>
          <t>订货号</t>
        </is>
      </c>
      <c r="V2458" s="161" t="inlineStr">
        <is>
          <t>人工</t>
        </is>
      </c>
      <c r="W2458" s="161" t="inlineStr">
        <is>
          <t>辅料</t>
        </is>
      </c>
      <c r="X2458" s="203" t="inlineStr"/>
    </row>
    <row r="2459" s="308">
      <c r="A2459" s="64">
        <f>ROW()-ROW(A$2458)</f>
        <v/>
      </c>
      <c r="B2459" s="22" t="inlineStr">
        <is>
          <t>塑壳断路器</t>
        </is>
      </c>
      <c r="C2459" s="22" t="inlineStr">
        <is>
          <t>NSX250H TM250D 3P3D P</t>
        </is>
      </c>
      <c r="D2459" s="22" t="inlineStr">
        <is>
          <t>甲供/施耐德电气</t>
        </is>
      </c>
      <c r="E2459" s="23" t="inlineStr">
        <is>
          <t>只</t>
        </is>
      </c>
      <c r="F2459" s="23" t="n">
        <v>4</v>
      </c>
      <c r="G2459" s="349">
        <f>IF(AND(B2459="",C2459=""),"",ROUND(M2459*L2459*N2459,2))</f>
        <v/>
      </c>
      <c r="H2459" s="349">
        <f>IF(AND(B2459="",C2459=""),"",ROUND(F2459*G2459,2))</f>
        <v/>
      </c>
      <c r="I2459" s="45" t="inlineStr"/>
      <c r="J2459" s="397">
        <f>IF(AND(B2459="",C2459=""),"",ROUND(M2459*N2459,2))</f>
        <v/>
      </c>
      <c r="K2459" s="398">
        <f>IF(AND(B2459="",C2459=""),"",ROUND(J2459*F2459,2))</f>
        <v/>
      </c>
      <c r="L2459" s="200" t="n">
        <v>1</v>
      </c>
      <c r="M2459" s="399" t="n">
        <v>1e-07</v>
      </c>
      <c r="N2459" s="154" t="n">
        <v>1</v>
      </c>
      <c r="O2459" s="155">
        <f>IF(AND(B2459="",C2459=""),"",IF(G2459&gt;=20000,0.05,IF(G2459&gt;=10000,0.1,IF(G2459&gt;=5000,0.2,IF(G2459&gt;=1000,0.3,IF(G2459&gt;=0,0.4,{0}))))))</f>
        <v/>
      </c>
      <c r="P2459" s="400">
        <f>IF(AND(B2459="",C2459=""),"",ROUND(H2459*O2459,2))</f>
        <v/>
      </c>
      <c r="Q2459" s="401" t="inlineStr">
        <is>
          <t>元件</t>
        </is>
      </c>
      <c r="R2459" s="168" t="inlineStr"/>
      <c r="S2459" s="168" t="inlineStr"/>
      <c r="T2459" s="168" t="inlineStr">
        <is>
          <t>0</t>
        </is>
      </c>
      <c r="U2459" s="168" t="inlineStr">
        <is>
          <t>C16F32D160</t>
        </is>
      </c>
      <c r="V2459" s="402" t="n"/>
      <c r="W2459" s="402" t="n"/>
      <c r="X2459" s="170" t="inlineStr">
        <is>
          <t>NSX630N Mic2.3 630A 3P3D F→NSX630F MIC2.3 630 3P F→NSX630F MIC 2.3 630 3P F</t>
        </is>
      </c>
    </row>
    <row r="2460" s="308">
      <c r="A2460" s="64">
        <f>ROW()-ROW(A$2458)</f>
        <v/>
      </c>
      <c r="B2460" s="22" t="inlineStr">
        <is>
          <t>塑壳断路器</t>
        </is>
      </c>
      <c r="C2460" s="22" t="inlineStr">
        <is>
          <t>NSX400H Mic2.3 400A 3P3D P</t>
        </is>
      </c>
      <c r="D2460" s="22" t="inlineStr">
        <is>
          <t>甲供/施耐德电气</t>
        </is>
      </c>
      <c r="E2460" s="23" t="inlineStr">
        <is>
          <t>只</t>
        </is>
      </c>
      <c r="F2460" s="23" t="n">
        <v>1</v>
      </c>
      <c r="G2460" s="349">
        <f>IF(AND(B2460="",C2460=""),"",ROUND(M2460*L2460*N2460,2))</f>
        <v/>
      </c>
      <c r="H2460" s="349">
        <f>IF(AND(B2460="",C2460=""),"",ROUND(F2460*G2460,2))</f>
        <v/>
      </c>
      <c r="I2460" s="45" t="inlineStr"/>
      <c r="J2460" s="397">
        <f>IF(AND(B2460="",C2460=""),"",ROUND(M2460*N2460,2))</f>
        <v/>
      </c>
      <c r="K2460" s="398">
        <f>IF(AND(B2460="",C2460=""),"",ROUND(J2460*F2460,2))</f>
        <v/>
      </c>
      <c r="L2460" s="200" t="n">
        <v>1</v>
      </c>
      <c r="M2460" s="399" t="n">
        <v>1e-07</v>
      </c>
      <c r="N2460" s="154" t="n">
        <v>1</v>
      </c>
      <c r="O2460" s="155">
        <f>IF(AND(B2460="",C2460=""),"",IF(G2460&gt;=20000,0.05,IF(G2460&gt;=10000,0.1,IF(G2460&gt;=5000,0.2,IF(G2460&gt;=1000,0.3,IF(G2460&gt;=0,0.4,{0}))))))</f>
        <v/>
      </c>
      <c r="P2460" s="400">
        <f>IF(AND(B2460="",C2460=""),"",ROUND(H2460*O2460,2))</f>
        <v/>
      </c>
      <c r="Q2460" s="401" t="inlineStr">
        <is>
          <t>元件</t>
        </is>
      </c>
      <c r="R2460" s="168" t="inlineStr"/>
      <c r="S2460" s="168" t="inlineStr"/>
      <c r="T2460" s="168" t="inlineStr">
        <is>
          <t>0</t>
        </is>
      </c>
      <c r="U2460" s="168" t="inlineStr"/>
      <c r="V2460" s="402" t="n"/>
      <c r="W2460" s="402" t="n"/>
      <c r="X2460" s="170" t="inlineStr"/>
    </row>
    <row r="2461" s="308">
      <c r="A2461" s="64">
        <f>ROW()-ROW(A$2458)</f>
        <v/>
      </c>
      <c r="B2461" s="22" t="inlineStr">
        <is>
          <t>电流互感器</t>
        </is>
      </c>
      <c r="C2461" s="22" t="inlineStr">
        <is>
          <t>SD-0.66-30I 250/5A</t>
        </is>
      </c>
      <c r="D2461" s="22" t="inlineStr">
        <is>
          <t>桑迪</t>
        </is>
      </c>
      <c r="E2461" s="23" t="inlineStr">
        <is>
          <t>只</t>
        </is>
      </c>
      <c r="F2461" s="23" t="n">
        <v>12</v>
      </c>
      <c r="G2461" s="349">
        <f>IF(AND(B2461="",C2461=""),"",ROUND(M2461*L2461*N2461,2))</f>
        <v/>
      </c>
      <c r="H2461" s="396">
        <f>IF(AND(B2461="",C2461=""),"",ROUND(F2461*G2461,2))</f>
        <v/>
      </c>
      <c r="I2461" s="219" t="inlineStr"/>
      <c r="J2461" s="397">
        <f>IF(AND(B2461="",C2461=""),"",ROUND(M2461*N2461,2))</f>
        <v/>
      </c>
      <c r="K2461" s="398">
        <f>IF(AND(B2461="",C2461=""),"",ROUND(J2461*F2461,2))</f>
        <v/>
      </c>
      <c r="L2461" s="200" t="n">
        <v>1</v>
      </c>
      <c r="M2461" s="399" t="n">
        <v>26.65</v>
      </c>
      <c r="N2461" s="154" t="n">
        <v>1</v>
      </c>
      <c r="O2461" s="155">
        <f>IF(AND(B2461="",C2461=""),"",IF(G2461&gt;=20000,0.05,IF(G2461&gt;=10000,0.1,IF(G2461&gt;=5000,0.2,IF(G2461&gt;=1000,0.3,IF(G2461&gt;=0,0.4,{0}))))))</f>
        <v/>
      </c>
      <c r="P2461" s="400">
        <f>IF(AND(B2461="",C2461=""),"",ROUND(H2461*O2461,2))</f>
        <v/>
      </c>
      <c r="Q2461" s="401" t="inlineStr">
        <is>
          <t>元件</t>
        </is>
      </c>
      <c r="R2461" s="168" t="inlineStr"/>
      <c r="S2461" s="168" t="inlineStr"/>
      <c r="T2461" s="168" t="inlineStr">
        <is>
          <t>0</t>
        </is>
      </c>
      <c r="U2461" s="168" t="inlineStr">
        <is>
          <t>710140200000049</t>
        </is>
      </c>
      <c r="V2461" s="402" t="n"/>
      <c r="W2461" s="402" t="n"/>
      <c r="X2461" s="170" t="inlineStr">
        <is>
          <t>SD→SD-0.66-40II-C 400/5A→SD-0.66-30I 250/5A→SD-0.66-30I 150/5A→SD-0.66-60II-C 750/5A→SD-0.66-60II-C 600/5A→SD-0.66-30I 150/5A→SD-0.66-40II-C 400/5A→SD-0.66-100II-C 1600/5A→SD-0.66-80II-V 1000/5A</t>
        </is>
      </c>
    </row>
    <row r="2462" s="308">
      <c r="A2462" s="64">
        <f>ROW()-ROW(A$2458)</f>
        <v/>
      </c>
      <c r="B2462" s="22" t="inlineStr">
        <is>
          <t>电流互感器</t>
        </is>
      </c>
      <c r="C2462" s="22" t="inlineStr">
        <is>
          <t>SD-0.66-40II-C 400/5A</t>
        </is>
      </c>
      <c r="D2462" s="22" t="inlineStr">
        <is>
          <t>桑迪</t>
        </is>
      </c>
      <c r="E2462" s="23" t="inlineStr">
        <is>
          <t>只</t>
        </is>
      </c>
      <c r="F2462" s="23" t="n">
        <v>3</v>
      </c>
      <c r="G2462" s="349">
        <f>IF(AND(B2462="",C2462=""),"",ROUND(M2462*L2462*N2462,2))</f>
        <v/>
      </c>
      <c r="H2462" s="396">
        <f>IF(AND(B2462="",C2462=""),"",ROUND(F2462*G2462,2))</f>
        <v/>
      </c>
      <c r="I2462" s="219" t="inlineStr"/>
      <c r="J2462" s="397">
        <f>IF(AND(B2462="",C2462=""),"",ROUND(M2462*N2462,2))</f>
        <v/>
      </c>
      <c r="K2462" s="398">
        <f>IF(AND(B2462="",C2462=""),"",ROUND(J2462*F2462,2))</f>
        <v/>
      </c>
      <c r="L2462" s="200" t="n">
        <v>1</v>
      </c>
      <c r="M2462" s="399" t="n">
        <v>52</v>
      </c>
      <c r="N2462" s="154" t="n">
        <v>1</v>
      </c>
      <c r="O2462" s="155">
        <f>IF(AND(B2462="",C2462=""),"",IF(G2462&gt;=20000,0.05,IF(G2462&gt;=10000,0.1,IF(G2462&gt;=5000,0.2,IF(G2462&gt;=1000,0.3,IF(G2462&gt;=0,0.4,{0}))))))</f>
        <v/>
      </c>
      <c r="P2462" s="400">
        <f>IF(AND(B2462="",C2462=""),"",ROUND(H2462*O2462,2))</f>
        <v/>
      </c>
      <c r="Q2462" s="401" t="inlineStr">
        <is>
          <t>元件</t>
        </is>
      </c>
      <c r="R2462" s="168" t="inlineStr"/>
      <c r="S2462" s="168" t="inlineStr"/>
      <c r="T2462" s="168" t="inlineStr">
        <is>
          <t>0</t>
        </is>
      </c>
      <c r="U2462" s="168" t="inlineStr">
        <is>
          <t>710140200000049</t>
        </is>
      </c>
      <c r="V2462" s="402" t="n"/>
      <c r="W2462" s="402" t="n"/>
      <c r="X2462" s="170" t="inlineStr">
        <is>
          <t>SD→SD-0.66-40II-C 400/5A→SD-0.66-30I 250/5A→SD-0.66-30I 150/5A→SD-0.66-60II-C 750/5A→SD-0.66-60II-C 600/5A→SD-0.66-30I 150/5A→SD-0.66-40II-C 400/5A→SD-0.66-100II-C 1600/5A→SD-0.66-80II-V 1000/5A</t>
        </is>
      </c>
    </row>
    <row r="2463" s="308">
      <c r="A2463" s="64">
        <f>ROW()-ROW(A$2458)</f>
        <v/>
      </c>
      <c r="B2463" s="112" t="inlineStr">
        <is>
          <t>多功能表</t>
        </is>
      </c>
      <c r="C2463" s="112" t="inlineStr">
        <is>
          <t>PM4101</t>
        </is>
      </c>
      <c r="D2463" s="112" t="inlineStr">
        <is>
          <t>甲供/施耐德电气</t>
        </is>
      </c>
      <c r="E2463" s="114" t="inlineStr">
        <is>
          <t>只</t>
        </is>
      </c>
      <c r="F2463" s="114" t="n">
        <v>5</v>
      </c>
      <c r="G2463" s="396">
        <f>IF(AND(B2463="",C2463=""),"",ROUND(M2463*L2463*N2463,2))</f>
        <v/>
      </c>
      <c r="H2463" s="349">
        <f>IF(AND(B2463="",C2463=""),"",ROUND(F2463*G2463,2))</f>
        <v/>
      </c>
      <c r="I2463" s="45" t="inlineStr"/>
      <c r="J2463" s="397">
        <f>IF(AND(B2463="",C2463=""),"",ROUND(M2463*N2463,2))</f>
        <v/>
      </c>
      <c r="K2463" s="398">
        <f>IF(AND(B2463="",C2463=""),"",ROUND(J2463*F2463,2))</f>
        <v/>
      </c>
      <c r="L2463" s="200" t="n">
        <v>1</v>
      </c>
      <c r="M2463" s="399" t="n">
        <v>1e-07</v>
      </c>
      <c r="N2463" s="154" t="n">
        <v>1</v>
      </c>
      <c r="O2463" s="155">
        <f>IF(AND(B2463="",C2463=""),"",IF(J2463&gt;=20000,0.05,IF(J2463&gt;=10000,0.1,IF(J2463&gt;=5000,0.2,IF(J2463&gt;=1000,0.3,IF(J2463&gt;=0,0.4,{0}))))))</f>
        <v/>
      </c>
      <c r="P2463" s="400">
        <f>IF(AND(B2463="",C2463=""),"",ROUND(H2463*O2463,2))</f>
        <v/>
      </c>
      <c r="Q2463" s="401" t="inlineStr">
        <is>
          <t>元件</t>
        </is>
      </c>
      <c r="R2463" s="168" t="inlineStr"/>
      <c r="S2463" s="168" t="inlineStr"/>
      <c r="T2463" s="168" t="inlineStr">
        <is>
          <t>0</t>
        </is>
      </c>
      <c r="U2463" s="168" t="inlineStr"/>
      <c r="V2463" s="402" t="n"/>
      <c r="W2463" s="402" t="n"/>
      <c r="X2463" s="170" t="inlineStr"/>
    </row>
    <row r="2464" customFormat="1" s="3">
      <c r="A2464" s="64">
        <f>ROW()-ROW(A$2458)</f>
        <v/>
      </c>
      <c r="B2464" s="22" t="inlineStr">
        <is>
          <t>指示灯</t>
        </is>
      </c>
      <c r="C2464" s="22" t="inlineStr">
        <is>
          <t>XB2BVM3LC</t>
        </is>
      </c>
      <c r="D2464" s="22" t="inlineStr">
        <is>
          <t>甲供/施耐德电气</t>
        </is>
      </c>
      <c r="E2464" s="23" t="inlineStr">
        <is>
          <t>只</t>
        </is>
      </c>
      <c r="F2464" s="23" t="n">
        <v>5</v>
      </c>
      <c r="G2464" s="349">
        <f>IF(AND(B2464="",C2464=""),"",ROUND(M2464*L2464*N2464,2))</f>
        <v/>
      </c>
      <c r="H2464" s="353">
        <f>IF(AND(B2464="",C2464=""),"",ROUND(F2464*G2464,2))</f>
        <v/>
      </c>
      <c r="I2464" s="180" t="inlineStr"/>
      <c r="J2464" s="392">
        <f>IF(AND(B2464="",C2464=""),"",ROUND(M2464*N2464,2))</f>
        <v/>
      </c>
      <c r="K2464" s="393">
        <f>IF(AND(B2464="",C2464=""),"",ROUND(J2464*F2464,2))</f>
        <v/>
      </c>
      <c r="L2464" s="141" t="n">
        <v>1</v>
      </c>
      <c r="M2464" s="394" t="n">
        <v>1e-07</v>
      </c>
      <c r="N2464" s="220" t="n">
        <v>1</v>
      </c>
      <c r="O2464" s="221">
        <f>IF(AND(B2464="",C2464=""),"",IF(G2464&gt;=20000,0.05,IF(G2464&gt;=10000,0.1,IF(G2464&gt;=5000,0.2,IF(G2464&gt;=1000,0.3,IF(G2464&gt;=0,0.4,{0}))))))</f>
        <v/>
      </c>
      <c r="P2464" s="419">
        <f>IF(AND(B2464="",C2464=""),"",ROUND(H2464*O2464,2))</f>
        <v/>
      </c>
      <c r="Q2464" s="420" t="inlineStr">
        <is>
          <t>元件</t>
        </is>
      </c>
      <c r="R2464" s="231" t="inlineStr"/>
      <c r="S2464" s="231" t="inlineStr"/>
      <c r="T2464" s="231" t="inlineStr">
        <is>
          <t>0</t>
        </is>
      </c>
      <c r="U2464" s="231" t="inlineStr">
        <is>
          <t>XB2BVM3LC</t>
        </is>
      </c>
      <c r="V2464" s="421" t="n"/>
      <c r="W2464" s="421" t="n"/>
      <c r="X2464" s="166" t="inlineStr">
        <is>
          <t>XA2EVM3LC</t>
        </is>
      </c>
    </row>
    <row r="2465" customFormat="1" s="3">
      <c r="A2465" s="64">
        <f>ROW()-ROW(A$2458)</f>
        <v/>
      </c>
      <c r="B2465" s="22" t="inlineStr">
        <is>
          <t>指示灯</t>
        </is>
      </c>
      <c r="C2465" s="22" t="inlineStr">
        <is>
          <t>XB2BVM4LC</t>
        </is>
      </c>
      <c r="D2465" s="22" t="inlineStr">
        <is>
          <t>甲供/施耐德电气</t>
        </is>
      </c>
      <c r="E2465" s="23" t="inlineStr">
        <is>
          <t>只</t>
        </is>
      </c>
      <c r="F2465" s="23" t="n">
        <v>5</v>
      </c>
      <c r="G2465" s="349">
        <f>IF(AND(B2465="",C2465=""),"",ROUND(M2465*L2465*N2465,2))</f>
        <v/>
      </c>
      <c r="H2465" s="353">
        <f>IF(AND(B2465="",C2465=""),"",ROUND(F2465*G2465,2))</f>
        <v/>
      </c>
      <c r="I2465" s="180" t="inlineStr"/>
      <c r="J2465" s="392">
        <f>IF(AND(B2465="",C2465=""),"",ROUND(M2465*N2465,2))</f>
        <v/>
      </c>
      <c r="K2465" s="393">
        <f>IF(AND(B2465="",C2465=""),"",ROUND(J2465*F2465,2))</f>
        <v/>
      </c>
      <c r="L2465" s="141" t="n">
        <v>1</v>
      </c>
      <c r="M2465" s="394" t="n">
        <v>1e-07</v>
      </c>
      <c r="N2465" s="220" t="n">
        <v>1</v>
      </c>
      <c r="O2465" s="221">
        <f>IF(AND(B2465="",C2465=""),"",IF(G2465&gt;=20000,0.05,IF(G2465&gt;=10000,0.1,IF(G2465&gt;=5000,0.2,IF(G2465&gt;=1000,0.3,IF(G2465&gt;=0,0.4,{0}))))))</f>
        <v/>
      </c>
      <c r="P2465" s="419">
        <f>IF(AND(B2465="",C2465=""),"",ROUND(H2465*O2465,2))</f>
        <v/>
      </c>
      <c r="Q2465" s="420" t="inlineStr">
        <is>
          <t>元件</t>
        </is>
      </c>
      <c r="R2465" s="231" t="inlineStr"/>
      <c r="S2465" s="231" t="inlineStr"/>
      <c r="T2465" s="231" t="inlineStr">
        <is>
          <t>0</t>
        </is>
      </c>
      <c r="U2465" s="231" t="inlineStr">
        <is>
          <t>XB2BVM4LC</t>
        </is>
      </c>
      <c r="V2465" s="421" t="n"/>
      <c r="W2465" s="421" t="n"/>
      <c r="X2465" s="166" t="inlineStr">
        <is>
          <t>XA2EVM4LC</t>
        </is>
      </c>
    </row>
    <row r="2466" s="308">
      <c r="A2466" s="64">
        <f>ROW()-ROW(A$2458)</f>
        <v/>
      </c>
      <c r="B2466" s="112" t="inlineStr">
        <is>
          <t>温湿度控制器</t>
        </is>
      </c>
      <c r="C2466" s="112" t="inlineStr">
        <is>
          <t>ATH48G-11</t>
        </is>
      </c>
      <c r="D2466" s="22" t="inlineStr">
        <is>
          <t>杭州安廷</t>
        </is>
      </c>
      <c r="E2466" s="23" t="inlineStr">
        <is>
          <t>套</t>
        </is>
      </c>
      <c r="F2466" s="23" t="n">
        <v>1</v>
      </c>
      <c r="G2466" s="349">
        <f>IF(AND(B2466="",C2466=""),"",ROUND(M2466*L2466*N2466,2))</f>
        <v/>
      </c>
      <c r="H2466" s="396">
        <f>IF(AND(B2466="",C2466=""),"",ROUND(F2466*G2466,2))</f>
        <v/>
      </c>
      <c r="I2466" s="150" t="inlineStr"/>
      <c r="J2466" s="397">
        <f>IF(AND(B2466="",C2466=""),"",ROUND(M2466*N2466,2))</f>
        <v/>
      </c>
      <c r="K2466" s="398">
        <f>IF(AND(B2466="",C2466=""),"",ROUND(J2466*F2466,2))</f>
        <v/>
      </c>
      <c r="L2466" s="141" t="n">
        <v>1</v>
      </c>
      <c r="M2466" s="399" t="n">
        <v>450</v>
      </c>
      <c r="N2466" s="154" t="n">
        <v>1</v>
      </c>
      <c r="O2466" s="155">
        <f>IF(AND(B2466="",C2466=""),"",IF(G2466&gt;=20000,0.05,IF(G2466&gt;=10000,0.1,IF(G2466&gt;=5000,0.2,IF(G2466&gt;=1000,0.3,IF(G2466&gt;=0,0.4,{0}))))))</f>
        <v/>
      </c>
      <c r="P2466" s="400">
        <f>IF(AND(B2466="",C2466=""),"",ROUND(H2466*O2466,2))</f>
        <v/>
      </c>
      <c r="Q2466" s="401" t="inlineStr">
        <is>
          <t>元件</t>
        </is>
      </c>
      <c r="R2466" s="168" t="inlineStr"/>
      <c r="S2466" s="168" t="inlineStr"/>
      <c r="T2466" s="168" t="inlineStr">
        <is>
          <t>0</t>
        </is>
      </c>
      <c r="U2466" s="168" t="inlineStr"/>
      <c r="V2466" s="402" t="n"/>
      <c r="W2466" s="402" t="n"/>
      <c r="X2466" s="170" t="inlineStr"/>
    </row>
    <row r="2467" s="308">
      <c r="A2467" s="64">
        <f>ROW()-ROW(A$2458)</f>
        <v/>
      </c>
      <c r="B2467" s="22" t="inlineStr">
        <is>
          <t>中间继电器</t>
        </is>
      </c>
      <c r="C2467" s="22" t="inlineStr">
        <is>
          <t>RXM4AB2P7+RXZE2S114M+RXZ400</t>
        </is>
      </c>
      <c r="D2467" s="22" t="inlineStr">
        <is>
          <t>甲供/施耐德电气</t>
        </is>
      </c>
      <c r="E2467" s="23" t="inlineStr">
        <is>
          <t>只</t>
        </is>
      </c>
      <c r="F2467" s="23" t="n">
        <v>10</v>
      </c>
      <c r="G2467" s="349">
        <f>IF(AND(B2467="",C2467=""),"",ROUND(M2467*L2467*N2467,2))</f>
        <v/>
      </c>
      <c r="H2467" s="349">
        <f>IF(AND(B2467="",C2467=""),"",ROUND(F2467*G2467,2))</f>
        <v/>
      </c>
      <c r="I2467" s="45" t="inlineStr"/>
      <c r="J2467" s="397">
        <f>IF(AND(B2467="",C2467=""),"",ROUND(M2467*N2467,2))</f>
        <v/>
      </c>
      <c r="K2467" s="398">
        <f>IF(AND(B2467="",C2467=""),"",ROUND(J2467*F2467,2))</f>
        <v/>
      </c>
      <c r="L2467" s="141" t="n">
        <v>1</v>
      </c>
      <c r="M2467" s="399" t="n">
        <v>1e-07</v>
      </c>
      <c r="N2467" s="154" t="n">
        <v>1</v>
      </c>
      <c r="O2467" s="155">
        <f>IF(AND(B2467="",C2467=""),"",IF(G2467&gt;=20000,0.05,IF(G2467&gt;=10000,0.1,IF(G2467&gt;=5000,0.2,IF(G2467&gt;=1000,0.3,IF(G2467&gt;=0,0.4,{0}))))))</f>
        <v/>
      </c>
      <c r="P2467" s="400">
        <f>IF(AND(B2467="",C2467=""),"",ROUND(H2467*O2467,2))</f>
        <v/>
      </c>
      <c r="Q2467" s="401" t="inlineStr">
        <is>
          <t>元件</t>
        </is>
      </c>
      <c r="R2467" s="168" t="inlineStr"/>
      <c r="S2467" s="168" t="inlineStr"/>
      <c r="T2467" s="168" t="inlineStr">
        <is>
          <t>0</t>
        </is>
      </c>
      <c r="U2467" s="168" t="inlineStr">
        <is>
          <t>RXM4AB2P7+RXZE2S114M+RXZ400</t>
        </is>
      </c>
      <c r="V2467" s="402" t="n"/>
      <c r="W2467" s="402" t="n"/>
      <c r="X2467" s="170" t="inlineStr">
        <is>
          <t>REL-IR-BL/L-230AC/4X21，含底座→RXM4AB2P7+RXZE2S114M+RXZ400→REL-IR-BL/L-230AC/4X21，含底座</t>
        </is>
      </c>
    </row>
    <row r="2468" customFormat="1" s="3">
      <c r="A2468" s="64">
        <f>ROW()-ROW(A$2458)</f>
        <v/>
      </c>
      <c r="B2468" s="22" t="inlineStr">
        <is>
          <t>带熔丝端子</t>
        </is>
      </c>
      <c r="C2468" s="22" t="inlineStr">
        <is>
          <t>UK 5-HESI</t>
        </is>
      </c>
      <c r="D2468" s="22" t="inlineStr">
        <is>
          <t>菲尼克斯</t>
        </is>
      </c>
      <c r="E2468" s="23" t="inlineStr">
        <is>
          <t>只</t>
        </is>
      </c>
      <c r="F2468" s="23" t="n">
        <v>20</v>
      </c>
      <c r="G2468" s="349">
        <f>IF(AND(B2468="",C2468=""),"",ROUND(M2468*L2468*N2468,2))</f>
        <v/>
      </c>
      <c r="H2468" s="349">
        <f>IF(AND(B2468="",C2468=""),"",ROUND(F2468*G2468,2))</f>
        <v/>
      </c>
      <c r="I2468" s="45" t="inlineStr"/>
      <c r="J2468" s="392">
        <f>IF(AND(B2468="",C2468=""),"",ROUND(M2468*N2468,2))</f>
        <v/>
      </c>
      <c r="K2468" s="393">
        <f>IF(AND(B2468="",C2468=""),"",ROUND(J2468*F2468,2))</f>
        <v/>
      </c>
      <c r="L2468" s="141" t="n">
        <v>1</v>
      </c>
      <c r="M2468" s="394" t="n">
        <v>7</v>
      </c>
      <c r="N2468" s="220" t="n">
        <v>1</v>
      </c>
      <c r="O2468" s="221">
        <f>IF(AND(B2468="",C2468=""),"",IF(G2468&gt;=20000,0.05,IF(G2468&gt;=10000,0.1,IF(G2468&gt;=5000,0.2,IF(G2468&gt;=1000,0.3,IF(G2468&gt;=0,0.4,{0}))))))</f>
        <v/>
      </c>
      <c r="P2468" s="419">
        <f>IF(AND(B2468="",C2468=""),"",ROUND(H2468*O2468,2))</f>
        <v/>
      </c>
      <c r="Q2468" s="420" t="inlineStr">
        <is>
          <t>元件</t>
        </is>
      </c>
      <c r="R2468" s="231" t="inlineStr"/>
      <c r="S2468" s="231" t="inlineStr"/>
      <c r="T2468" s="231" t="inlineStr">
        <is>
          <t>0</t>
        </is>
      </c>
      <c r="U2468" s="231" t="inlineStr">
        <is>
          <t>True</t>
        </is>
      </c>
      <c r="V2468" s="421" t="n"/>
      <c r="W2468" s="421" t="n"/>
      <c r="X2468" s="166" t="inlineStr"/>
    </row>
    <row r="2469" s="308">
      <c r="A2469" s="64">
        <f>ROW()-ROW(A$2458)</f>
        <v/>
      </c>
      <c r="B2469" s="22" t="inlineStr">
        <is>
          <t>水平母排</t>
        </is>
      </c>
      <c r="C2469" s="22" t="inlineStr">
        <is>
          <t>TMY 4*(2*100*5)+2*50*5</t>
        </is>
      </c>
      <c r="D2469" s="22" t="inlineStr">
        <is>
          <t>国产优质</t>
        </is>
      </c>
      <c r="E2469" s="23" t="inlineStr">
        <is>
          <t>米</t>
        </is>
      </c>
      <c r="F2469" s="23" t="n">
        <v>0.7</v>
      </c>
      <c r="G2469" s="349">
        <f>IF(AND(B2469="",C2469=""),"",ROUND(M2469*L2469*N2469,2))</f>
        <v/>
      </c>
      <c r="H2469" s="349">
        <f>IF(AND(B2469="",C2469=""),"",ROUND(F2469*G2469,2))</f>
        <v/>
      </c>
      <c r="I2469" s="45" t="inlineStr"/>
      <c r="J2469" s="397">
        <f>IF(AND(B2469="",C2469=""),"",ROUND(M2469*N2469,2))</f>
        <v/>
      </c>
      <c r="K2469" s="398">
        <f>IF(AND(B2469="",C2469=""),"",ROUND(J2469*F2469,2))</f>
        <v/>
      </c>
      <c r="L2469" s="200" t="n">
        <v>1</v>
      </c>
      <c r="M2469" s="399" t="n">
        <v>4329.60525</v>
      </c>
      <c r="N2469" s="154">
        <f>(6317.932*1*1+2684.8*1*1)/9002.732</f>
        <v/>
      </c>
      <c r="O2469" s="155">
        <f>IF(AND(B2469="",C2469=""),"",IF(J2469&gt;=20000,0.05,IF(J2469&gt;=10000,0.1,IF(J2469&gt;=5000,0.2,IF(J2469&gt;=1000,0.3,IF(J2469&gt;=0,0.4,{0}))))))</f>
        <v/>
      </c>
      <c r="P2469" s="400">
        <f>IF(AND(B2469="",C2469=""),"",ROUND(H2469*O2469,2))</f>
        <v/>
      </c>
      <c r="Q2469" s="401" t="inlineStr">
        <is>
          <t>母排</t>
        </is>
      </c>
      <c r="R2469" s="168" t="inlineStr"/>
      <c r="S2469" s="168" t="inlineStr"/>
      <c r="T2469" s="168" t="inlineStr">
        <is>
          <t>0</t>
        </is>
      </c>
      <c r="U2469" s="168" t="inlineStr"/>
      <c r="V2469" s="402" t="n"/>
      <c r="W2469" s="402" t="n"/>
      <c r="X2469" s="170" t="inlineStr"/>
    </row>
    <row r="2470" customFormat="1" s="5">
      <c r="A2470" s="64">
        <f>ROW()-ROW(A$2458)</f>
        <v/>
      </c>
      <c r="B2470" s="22" t="inlineStr">
        <is>
          <t>垂直排</t>
        </is>
      </c>
      <c r="C2470" s="22" t="inlineStr">
        <is>
          <t>TMY 3*2*60*5</t>
        </is>
      </c>
      <c r="D2470" s="22" t="inlineStr">
        <is>
          <t>国产优质</t>
        </is>
      </c>
      <c r="E2470" s="23" t="inlineStr">
        <is>
          <t>米</t>
        </is>
      </c>
      <c r="F2470" s="23" t="n">
        <v>2</v>
      </c>
      <c r="G2470" s="349">
        <f>IF(AND(B2470="",C2470=""),"",ROUND(M2470*L2470*N2470,2))</f>
        <v/>
      </c>
      <c r="H2470" s="349">
        <f>IF(AND(B2470="",C2470=""),"",ROUND(F2470*G2470,2))</f>
        <v/>
      </c>
      <c r="I2470" s="45" t="inlineStr"/>
      <c r="J2470" s="422">
        <f>IF(AND(B2470="",C2470=""),"",ROUND(M2470*N2470,2))</f>
        <v/>
      </c>
      <c r="K2470" s="423">
        <f>IF(AND(B2470="",C2470=""),"",ROUND(J2470*F2470,2))</f>
        <v/>
      </c>
      <c r="L2470" s="225" t="n">
        <v>1</v>
      </c>
      <c r="M2470" s="424" t="n">
        <v>1731.8421</v>
      </c>
      <c r="N2470" s="227" t="n">
        <v>1</v>
      </c>
      <c r="O2470" s="228">
        <f>IF(AND(B2470="",C2470=""),"",IF(G2470&gt;=20000,0.05,IF(G2470&gt;=10000,0.1,IF(G2470&gt;=5000,0.2,IF(G2470&gt;=1000,0.3,IF(G2470&gt;=0,0.4,{0}))))))</f>
        <v/>
      </c>
      <c r="P2470" s="425">
        <f>IF(AND(B2470="",C2470=""),"",ROUND(H2470*O2470,2))</f>
        <v/>
      </c>
      <c r="Q2470" s="426" t="inlineStr">
        <is>
          <t>母排</t>
        </is>
      </c>
      <c r="R2470" s="234" t="inlineStr"/>
      <c r="S2470" s="234" t="inlineStr"/>
      <c r="T2470" s="235" t="inlineStr">
        <is>
          <t>0</t>
        </is>
      </c>
      <c r="U2470" s="235" t="inlineStr"/>
      <c r="V2470" s="427" t="n"/>
      <c r="W2470" s="427" t="n"/>
      <c r="X2470" s="237" t="inlineStr">
        <is>
          <t>TMY 2*30*5→TMY 30*8</t>
        </is>
      </c>
    </row>
    <row r="2471" customFormat="1" s="5">
      <c r="A2471" s="64">
        <f>ROW()-ROW(A$2458)</f>
        <v/>
      </c>
      <c r="B2471" s="22" t="inlineStr">
        <is>
          <t>N排</t>
        </is>
      </c>
      <c r="C2471" s="22" t="inlineStr">
        <is>
          <t>TMY 60*10</t>
        </is>
      </c>
      <c r="D2471" s="22" t="inlineStr">
        <is>
          <t>国产优质</t>
        </is>
      </c>
      <c r="E2471" s="23" t="inlineStr">
        <is>
          <t>米</t>
        </is>
      </c>
      <c r="F2471" s="23" t="n">
        <v>3</v>
      </c>
      <c r="G2471" s="349">
        <f>IF(AND(B2471="",C2471=""),"",ROUND(M2471*L2471*N2471,2))</f>
        <v/>
      </c>
      <c r="H2471" s="349">
        <f>IF(AND(B2471="",C2471=""),"",ROUND(F2471*G2471,2))</f>
        <v/>
      </c>
      <c r="I2471" s="45" t="inlineStr"/>
      <c r="J2471" s="422">
        <f>IF(AND(B2471="",C2471=""),"",ROUND(M2471*N2471,2))</f>
        <v/>
      </c>
      <c r="K2471" s="423">
        <f>IF(AND(B2471="",C2471=""),"",ROUND(J2471*F2471,2))</f>
        <v/>
      </c>
      <c r="L2471" s="225" t="n">
        <v>1</v>
      </c>
      <c r="M2471" s="424" t="n">
        <v>577.2807</v>
      </c>
      <c r="N2471" s="227" t="n">
        <v>1</v>
      </c>
      <c r="O2471" s="228">
        <f>IF(AND(B2471="",C2471=""),"",IF(G2471&gt;=20000,0.05,IF(G2471&gt;=10000,0.1,IF(G2471&gt;=5000,0.2,IF(G2471&gt;=1000,0.3,IF(G2471&gt;=0,0.4,{0}))))))</f>
        <v/>
      </c>
      <c r="P2471" s="425">
        <f>IF(AND(B2471="",C2471=""),"",ROUND(H2471*O2471,2))</f>
        <v/>
      </c>
      <c r="Q2471" s="426" t="inlineStr">
        <is>
          <t>母排</t>
        </is>
      </c>
      <c r="R2471" s="234" t="inlineStr"/>
      <c r="S2471" s="234" t="inlineStr"/>
      <c r="T2471" s="235" t="inlineStr">
        <is>
          <t>0</t>
        </is>
      </c>
      <c r="U2471" s="235" t="inlineStr"/>
      <c r="V2471" s="427" t="n"/>
      <c r="W2471" s="427" t="n"/>
      <c r="X2471" s="237" t="inlineStr">
        <is>
          <t>TMY 2*30*5→TMY 30*8</t>
        </is>
      </c>
    </row>
    <row r="2472" customFormat="1" s="5">
      <c r="A2472" s="64">
        <f>ROW()-ROW(A$2458)</f>
        <v/>
      </c>
      <c r="B2472" s="22" t="inlineStr">
        <is>
          <t>PE排</t>
        </is>
      </c>
      <c r="C2472" s="22" t="inlineStr">
        <is>
          <t>TMY 2*50*5</t>
        </is>
      </c>
      <c r="D2472" s="22" t="inlineStr">
        <is>
          <t>国产优质</t>
        </is>
      </c>
      <c r="E2472" s="23" t="inlineStr">
        <is>
          <t>米</t>
        </is>
      </c>
      <c r="F2472" s="23" t="n">
        <v>2</v>
      </c>
      <c r="G2472" s="349">
        <f>IF(AND(B2472="",C2472=""),"",ROUND(M2472*L2472*N2472,2))</f>
        <v/>
      </c>
      <c r="H2472" s="349">
        <f>IF(AND(B2472="",C2472=""),"",ROUND(F2472*G2472,2))</f>
        <v/>
      </c>
      <c r="I2472" s="45" t="inlineStr"/>
      <c r="J2472" s="422">
        <f>IF(AND(B2472="",C2472=""),"",ROUND(M2472*N2472,2))</f>
        <v/>
      </c>
      <c r="K2472" s="423">
        <f>IF(AND(B2472="",C2472=""),"",ROUND(J2472*F2472,2))</f>
        <v/>
      </c>
      <c r="L2472" s="225" t="n">
        <v>1</v>
      </c>
      <c r="M2472" s="424" t="n">
        <v>481.06725</v>
      </c>
      <c r="N2472" s="227" t="n">
        <v>1</v>
      </c>
      <c r="O2472" s="228">
        <f>IF(AND(B2472="",C2472=""),"",IF(G2472&gt;=20000,0.05,IF(G2472&gt;=10000,0.1,IF(G2472&gt;=5000,0.2,IF(G2472&gt;=1000,0.3,IF(G2472&gt;=0,0.4,{0}))))))</f>
        <v/>
      </c>
      <c r="P2472" s="425">
        <f>IF(AND(B2472="",C2472=""),"",ROUND(H2472*O2472,2))</f>
        <v/>
      </c>
      <c r="Q2472" s="426" t="inlineStr">
        <is>
          <t>母排</t>
        </is>
      </c>
      <c r="R2472" s="234" t="inlineStr"/>
      <c r="S2472" s="234" t="inlineStr"/>
      <c r="T2472" s="235" t="inlineStr">
        <is>
          <t>0</t>
        </is>
      </c>
      <c r="U2472" s="235" t="inlineStr"/>
      <c r="V2472" s="427" t="n"/>
      <c r="W2472" s="427" t="n"/>
      <c r="X2472" s="237" t="inlineStr">
        <is>
          <t>TMY 2*30*5→TMY 30*8</t>
        </is>
      </c>
    </row>
    <row r="2473" customFormat="1" s="5">
      <c r="A2473" s="64">
        <f>ROW()-ROW(A$2458)</f>
        <v/>
      </c>
      <c r="B2473" s="22" t="inlineStr">
        <is>
          <t>400A铜排</t>
        </is>
      </c>
      <c r="C2473" s="22" t="inlineStr">
        <is>
          <t>TMY 30*5</t>
        </is>
      </c>
      <c r="D2473" s="22" t="inlineStr">
        <is>
          <t>国产优质</t>
        </is>
      </c>
      <c r="E2473" s="23" t="inlineStr">
        <is>
          <t>米</t>
        </is>
      </c>
      <c r="F2473" s="23" t="n">
        <v>3.2</v>
      </c>
      <c r="G2473" s="349">
        <f>IF(AND(B2473="",C2473=""),"",ROUND(M2473*L2473*N2473,2))</f>
        <v/>
      </c>
      <c r="H2473" s="349">
        <f>IF(AND(B2473="",C2473=""),"",ROUND(F2473*G2473,2))</f>
        <v/>
      </c>
      <c r="I2473" s="45" t="inlineStr"/>
      <c r="J2473" s="422">
        <f>IF(AND(B2473="",C2473=""),"",ROUND(M2473*N2473,2))</f>
        <v/>
      </c>
      <c r="K2473" s="423">
        <f>IF(AND(B2473="",C2473=""),"",ROUND(J2473*F2473,2))</f>
        <v/>
      </c>
      <c r="L2473" s="225" t="n">
        <v>1</v>
      </c>
      <c r="M2473" s="424" t="n">
        <v>144.320175</v>
      </c>
      <c r="N2473" s="227" t="n">
        <v>1</v>
      </c>
      <c r="O2473" s="228">
        <f>IF(AND(B2473="",C2473=""),"",IF(G2473&gt;=20000,0.05,IF(G2473&gt;=10000,0.1,IF(G2473&gt;=5000,0.2,IF(G2473&gt;=1000,0.3,IF(G2473&gt;=0,0.4,{0}))))))</f>
        <v/>
      </c>
      <c r="P2473" s="425">
        <f>IF(AND(B2473="",C2473=""),"",ROUND(H2473*O2473,2))</f>
        <v/>
      </c>
      <c r="Q2473" s="426" t="inlineStr">
        <is>
          <t>母排</t>
        </is>
      </c>
      <c r="R2473" s="234" t="inlineStr"/>
      <c r="S2473" s="234" t="inlineStr"/>
      <c r="T2473" s="235" t="inlineStr">
        <is>
          <t>0</t>
        </is>
      </c>
      <c r="U2473" s="235" t="inlineStr"/>
      <c r="V2473" s="427" t="n"/>
      <c r="W2473" s="427" t="n"/>
      <c r="X2473" s="237" t="inlineStr">
        <is>
          <t>TMY 2*30*5→TMY 30*8</t>
        </is>
      </c>
    </row>
    <row r="2474" s="308">
      <c r="A2474" s="64">
        <f>ROW()-ROW(A$2458)</f>
        <v/>
      </c>
      <c r="B2474" s="112" t="inlineStr">
        <is>
          <t>辅料</t>
        </is>
      </c>
      <c r="C2474" s="112" t="inlineStr"/>
      <c r="D2474" s="112" t="inlineStr"/>
      <c r="E2474" s="114" t="inlineStr">
        <is>
          <t>套</t>
        </is>
      </c>
      <c r="F2474" s="114" t="n">
        <v>1</v>
      </c>
      <c r="G2474" s="396">
        <f>IF(AND(B2474="",C2474=""),"",ROUND(M2474*L2474*N2474,2))</f>
        <v/>
      </c>
      <c r="H2474" s="396">
        <f>IF(AND(B2474="",C2474=""),"",ROUND(F2474*G2474,2))</f>
        <v/>
      </c>
      <c r="I2474" s="219" t="inlineStr"/>
      <c r="J2474" s="397">
        <f>IF(AND(B2474="",C2474=""),"",ROUND(M2474*N2474,2))</f>
        <v/>
      </c>
      <c r="K2474" s="398">
        <f>IF(AND(B2474="",C2474=""),"",ROUND(J2474*F2474,2))</f>
        <v/>
      </c>
      <c r="L2474" s="200" t="n">
        <v>1</v>
      </c>
      <c r="M2474" s="399" t="n">
        <v>1454.1</v>
      </c>
      <c r="N2474" s="154" t="n">
        <v>1</v>
      </c>
      <c r="O2474" s="155">
        <f>IF(AND(B2474="",C2474=""),"",IF(G2474&gt;=20000,0.05,IF(G2474&gt;=10000,0.1,IF(G2474&gt;=5000,0.2,IF(G2474&gt;=1000,0.3,IF(G2474&gt;=0,0.4,{0}))))))</f>
        <v/>
      </c>
      <c r="P2474" s="400">
        <f>IF(AND(B2474="",C2474=""),"",ROUND(H2474*O2474,2))</f>
        <v/>
      </c>
      <c r="Q2474" s="401" t="inlineStr">
        <is>
          <t>辅料</t>
        </is>
      </c>
      <c r="R2474" s="168" t="inlineStr"/>
      <c r="S2474" s="168" t="inlineStr"/>
      <c r="T2474" s="168" t="inlineStr">
        <is>
          <t>0</t>
        </is>
      </c>
      <c r="U2474" s="168" t="inlineStr"/>
      <c r="V2474" s="402" t="n"/>
      <c r="W2474" s="402" t="n"/>
      <c r="X2474" s="170" t="inlineStr"/>
    </row>
    <row r="2475" s="308">
      <c r="A2475" s="64">
        <f>ROW()-ROW(A$2458)</f>
        <v/>
      </c>
      <c r="B2475" s="112" t="inlineStr">
        <is>
          <t>柜体Blokset</t>
        </is>
      </c>
      <c r="C2475" s="22" t="inlineStr">
        <is>
          <t>600W*1200D*2200H</t>
        </is>
      </c>
      <c r="D2475" s="112" t="inlineStr">
        <is>
          <t>清科</t>
        </is>
      </c>
      <c r="E2475" s="114" t="inlineStr">
        <is>
          <t>台</t>
        </is>
      </c>
      <c r="F2475" s="114" t="n">
        <v>1</v>
      </c>
      <c r="G2475" s="396">
        <f>IF(AND(B2475="",C2475=""),"",ROUND(M2475*L2475*N2475,2))</f>
        <v/>
      </c>
      <c r="H2475" s="396">
        <f>IF(AND(B2475="",C2475=""),"",ROUND(F2475*G2475,2))</f>
        <v/>
      </c>
      <c r="I2475" s="219" t="inlineStr"/>
      <c r="J2475" s="397">
        <f>IF(AND(B2475="",C2475=""),"",ROUND(M2475*N2475,2))</f>
        <v/>
      </c>
      <c r="K2475" s="398">
        <f>IF(AND(B2475="",C2475=""),"",ROUND(J2475*F2475,2))</f>
        <v/>
      </c>
      <c r="L2475" s="200" t="n">
        <v>1</v>
      </c>
      <c r="M2475" s="399" t="n">
        <v>5176</v>
      </c>
      <c r="N2475" s="154" t="n">
        <v>1</v>
      </c>
      <c r="O2475" s="155">
        <f>IF(AND(B2475="",C2475=""),"",IF(G2475&gt;=20000,0.05,IF(G2475&gt;=10000,0.1,IF(G2475&gt;=5000,0.2,IF(G2475&gt;=1000,0.3,IF(G2475&gt;=0,0.4,{0}))))))</f>
        <v/>
      </c>
      <c r="P2475" s="400">
        <f>IF(AND(B2475="",C2475=""),"",ROUND(H2475*O2475,2))</f>
        <v/>
      </c>
      <c r="Q2475" s="401" t="inlineStr">
        <is>
          <t>箱体</t>
        </is>
      </c>
      <c r="R2475" s="168" t="inlineStr"/>
      <c r="S2475" s="168" t="inlineStr"/>
      <c r="T2475" s="168" t="inlineStr">
        <is>
          <t>0</t>
        </is>
      </c>
      <c r="U2475" s="168" t="inlineStr"/>
      <c r="V2475" s="402" t="n"/>
      <c r="W2475" s="402" t="n"/>
      <c r="X2475" s="170" t="inlineStr">
        <is>
          <t>BlokSeT</t>
        </is>
      </c>
    </row>
    <row r="2476" s="308">
      <c r="A2476" s="64">
        <f>ROW()-ROW(A$2458)</f>
        <v/>
      </c>
      <c r="B2476" s="22" t="inlineStr"/>
      <c r="C2476" s="22" t="inlineStr"/>
      <c r="D2476" s="22" t="inlineStr"/>
      <c r="E2476" s="23" t="n"/>
      <c r="F2476" s="23">
        <f>IF(AND(B2476="",C2476=""),"",1)</f>
        <v/>
      </c>
      <c r="G2476" s="349">
        <f>IF(AND(B2476="",C2476=""),"",ROUND(M2476*L2476*N2476,2))</f>
        <v/>
      </c>
      <c r="H2476" s="349">
        <f>IF(AND(B2476="",C2476=""),"",ROUND(F2476*G2476,2))</f>
        <v/>
      </c>
      <c r="I2476" s="45" t="inlineStr"/>
      <c r="J2476" s="397">
        <f>IF(AND(B2476="",C2476=""),"",ROUND(M2476*N2476,2))</f>
        <v/>
      </c>
      <c r="K2476" s="398">
        <f>IF(AND(B2476="",C2476=""),"",ROUND(J2476*F2476,2))</f>
        <v/>
      </c>
      <c r="L2476" s="200">
        <f>IF(AND(B2476="",C2476=""),"",1)</f>
        <v/>
      </c>
      <c r="M2476" s="399" t="n"/>
      <c r="N2476" s="154">
        <f>IF(AND(B2476="",C2476=""),"",1)</f>
        <v/>
      </c>
      <c r="O2476" s="155">
        <f>IF(AND(B2476="",C2476=""),"",IF(J2476&gt;=20000,0.05,IF(J2476&gt;=10000,0.1,IF(J2476&gt;=5000,0.2,IF(J2476&gt;=1000,0.3,IF(J2476&gt;=0,0.4,{0}))))))</f>
        <v/>
      </c>
      <c r="P2476" s="400">
        <f>IF(AND(B2476="",C2476=""),"",ROUND(H2476*O2476,2))</f>
        <v/>
      </c>
      <c r="Q2476" s="401">
        <f>IF(AND(B2476="",C2476=""),"","元件")</f>
        <v/>
      </c>
      <c r="R2476" s="168" t="inlineStr"/>
      <c r="S2476" s="168" t="inlineStr"/>
      <c r="T2476" s="168" t="inlineStr"/>
      <c r="U2476" s="168" t="inlineStr"/>
      <c r="V2476" s="402" t="n"/>
      <c r="W2476" s="402" t="n"/>
      <c r="X2476" s="170" t="inlineStr"/>
    </row>
    <row r="2477" s="308">
      <c r="A2477" s="64">
        <f>ROW()-ROW(A$2458)</f>
        <v/>
      </c>
      <c r="B2477" s="171" t="inlineStr">
        <is>
          <t>小计</t>
        </is>
      </c>
      <c r="C2477" s="172" t="n"/>
      <c r="D2477" s="204" t="n"/>
      <c r="E2477" s="114" t="n"/>
      <c r="F2477" s="114" t="n"/>
      <c r="G2477" s="396" t="n"/>
      <c r="H2477" s="396">
        <f>ROUND(SUM(H2458:INDEX(H:H,ROW()-1)),2)</f>
        <v/>
      </c>
      <c r="I2477" s="45" t="inlineStr"/>
      <c r="J2477" s="397" t="n"/>
      <c r="K2477" s="398">
        <f>ROUND(SUM(K2458:INDEX(K:K,ROW()-1)),2)</f>
        <v/>
      </c>
      <c r="L2477" s="200" t="n"/>
      <c r="M2477" s="399" t="n"/>
      <c r="N2477" s="154" t="n"/>
      <c r="O2477" s="155" t="n"/>
      <c r="P2477" s="400" t="n"/>
      <c r="Q2477" s="401" t="n"/>
      <c r="R2477" s="168" t="inlineStr"/>
      <c r="S2477" s="168" t="inlineStr"/>
      <c r="T2477" s="168" t="inlineStr"/>
      <c r="U2477" s="168" t="inlineStr"/>
      <c r="V2477" s="402">
        <f>ROUND(SUMPRODUCT(F2458:INDEX(F:F,ROW()-1),V2458:INDEX(V:V,ROW()-1)),2)</f>
        <v/>
      </c>
      <c r="W2477" s="402">
        <f>ROUND(SUMPRODUCT(F2458:INDEX(F:F,ROW()-1),W2458:INDEX(W:W,ROW()-1)),2)</f>
        <v/>
      </c>
      <c r="X2477" s="170" t="inlineStr"/>
    </row>
    <row r="2478" s="308">
      <c r="A2478" s="64">
        <f>ROW()-ROW(A$2458)</f>
        <v/>
      </c>
      <c r="B2478" s="171" t="inlineStr">
        <is>
          <t>综合费(人工、管理、税金、利润等)</t>
        </is>
      </c>
      <c r="C2478" s="172" t="n"/>
      <c r="D2478" s="204" t="n"/>
      <c r="E2478" s="114" t="n"/>
      <c r="F2478" s="114" t="n"/>
      <c r="G2478" s="396" t="n"/>
      <c r="H2478" s="396">
        <f>2500</f>
        <v/>
      </c>
      <c r="I2478" s="45" t="inlineStr"/>
      <c r="J2478" s="397" t="n"/>
      <c r="K2478" s="398" t="n"/>
      <c r="L2478" s="200" t="n"/>
      <c r="M2478" s="399" t="n"/>
      <c r="N2478" s="154" t="n"/>
      <c r="O2478" s="155" t="n"/>
      <c r="P2478" s="400" t="n"/>
      <c r="Q2478" s="401" t="inlineStr">
        <is>
          <t>费用</t>
        </is>
      </c>
      <c r="R2478" s="168" t="inlineStr"/>
      <c r="S2478" s="168" t="inlineStr"/>
      <c r="T2478" s="168" t="inlineStr"/>
      <c r="U2478" s="168" t="inlineStr"/>
      <c r="V2478" s="402" t="n"/>
      <c r="W2478" s="402" t="n"/>
      <c r="X2478" s="170" t="inlineStr"/>
    </row>
    <row r="2479" s="308">
      <c r="A2479" s="64">
        <f>ROW()-ROW(A$2458)</f>
        <v/>
      </c>
      <c r="B2479" s="204" t="inlineStr">
        <is>
          <t>单台合计</t>
        </is>
      </c>
      <c r="C2479" s="172" t="n"/>
      <c r="D2479" s="204" t="n"/>
      <c r="E2479" s="114" t="n"/>
      <c r="F2479" s="114" t="n"/>
      <c r="G2479" s="396" t="n"/>
      <c r="H2479" s="396">
        <f>ROUND(SUM(H2477:H2478),2)</f>
        <v/>
      </c>
      <c r="I2479" s="181" t="n"/>
      <c r="J2479" s="397" t="n"/>
      <c r="K2479" s="398">
        <f>ROUND(SUM(K2477:K2478),2)</f>
        <v/>
      </c>
      <c r="L2479" s="209" t="n"/>
      <c r="M2479" s="399" t="n"/>
      <c r="N2479" s="210" t="n"/>
      <c r="O2479" s="211" t="n"/>
      <c r="P2479" s="400" t="n"/>
      <c r="Q2479" s="401" t="n"/>
      <c r="R2479" s="168" t="inlineStr"/>
      <c r="S2479" s="168" t="inlineStr"/>
      <c r="T2479" s="168" t="inlineStr"/>
      <c r="U2479" s="168" t="inlineStr"/>
      <c r="V2479" s="402" t="n"/>
      <c r="W2479" s="402" t="n"/>
      <c r="X2479" s="170" t="inlineStr"/>
    </row>
    <row r="2480" s="308">
      <c r="A2480" s="173" t="inlineStr">
        <is>
          <t>总计</t>
        </is>
      </c>
      <c r="B2480" s="205" t="n"/>
      <c r="C2480" s="175" t="n"/>
      <c r="D2480" s="206" t="n"/>
      <c r="E2480" s="206" t="inlineStr">
        <is>
          <t>台</t>
        </is>
      </c>
      <c r="F2480" s="206" t="n">
        <v>2</v>
      </c>
      <c r="G2480" s="414">
        <f>ROUND(H2479,2)</f>
        <v/>
      </c>
      <c r="H2480" s="414">
        <f>ROUND(F2480*G2480,2)</f>
        <v/>
      </c>
      <c r="I2480" s="185" t="n"/>
      <c r="J2480" s="415" t="n"/>
      <c r="K2480" s="416">
        <f>ROUND(K2479*F2480,2)</f>
        <v/>
      </c>
      <c r="L2480" s="214" t="n"/>
      <c r="M2480" s="417" t="n"/>
      <c r="N2480" s="216" t="n"/>
      <c r="O2480" s="217" t="n"/>
      <c r="P2480" s="418" t="n"/>
      <c r="Q2480" s="401" t="n"/>
      <c r="R2480" s="168" t="inlineStr"/>
      <c r="S2480" s="168" t="inlineStr"/>
      <c r="T2480" s="168" t="inlineStr"/>
      <c r="U2480" s="168" t="inlineStr"/>
      <c r="V2480" s="402" t="n"/>
      <c r="W2480" s="402" t="n"/>
      <c r="X2480" s="170" t="inlineStr"/>
    </row>
    <row r="2481" customFormat="1" s="4">
      <c r="A2481" s="6" t="n"/>
      <c r="B2481" s="195" t="inlineStr"/>
      <c r="C2481" s="195" t="inlineStr"/>
      <c r="D2481" s="195" t="inlineStr"/>
      <c r="Q2481" s="159" t="n"/>
      <c r="R2481" s="159" t="n"/>
      <c r="S2481" s="159" t="n"/>
      <c r="T2481" s="159" t="n"/>
      <c r="U2481" s="159" t="n"/>
      <c r="X2481" s="195" t="inlineStr"/>
    </row>
    <row r="2482" customFormat="1" s="4">
      <c r="A2482" s="6" t="n"/>
      <c r="B2482" s="195" t="inlineStr"/>
      <c r="C2482" s="195" t="inlineStr"/>
      <c r="D2482" s="195" t="inlineStr"/>
      <c r="Q2482" s="159" t="n"/>
      <c r="R2482" s="159" t="n"/>
      <c r="S2482" s="159" t="n"/>
      <c r="T2482" s="159" t="n"/>
      <c r="U2482" s="159" t="n"/>
      <c r="X2482" s="195" t="inlineStr"/>
    </row>
    <row r="2483" s="308">
      <c r="A2483" s="208">
        <f>CONCATENATE("报价人：",项目信息!$B$8)</f>
        <v/>
      </c>
      <c r="B2483" s="208" t="n"/>
      <c r="C2483" s="4" t="n"/>
      <c r="D2483" s="4" t="n"/>
      <c r="E2483" s="4" t="n"/>
      <c r="F2483" s="4" t="n"/>
      <c r="G2483" s="4" t="n"/>
      <c r="H2483" s="178">
        <f>项目信息!$B$9</f>
        <v/>
      </c>
      <c r="Q2483" s="159" t="n"/>
      <c r="R2483" s="159" t="n"/>
      <c r="S2483" s="159" t="n"/>
      <c r="T2483" s="159" t="n"/>
      <c r="U2483" s="159" t="n"/>
      <c r="X2483" s="203" t="inlineStr"/>
    </row>
    <row r="2484" s="308">
      <c r="A2484" s="8">
        <f>T(项目信息!$B$22)</f>
        <v/>
      </c>
      <c r="Q2484" s="159" t="n"/>
      <c r="R2484" s="159" t="n"/>
      <c r="S2484" s="159" t="n"/>
      <c r="T2484" s="159" t="n"/>
      <c r="U2484" s="159" t="n"/>
    </row>
    <row r="2485" s="308">
      <c r="A2485" s="9">
        <f>T(项目信息!$B$23)</f>
        <v/>
      </c>
      <c r="Q2485" s="159" t="n"/>
      <c r="R2485" s="159" t="n"/>
      <c r="S2485" s="159" t="n"/>
      <c r="T2485" s="159" t="n"/>
      <c r="U2485" s="159" t="n"/>
    </row>
    <row r="2486" s="308">
      <c r="A2486" s="97" t="inlineStr">
        <is>
          <t>成套产品报价明细表</t>
        </is>
      </c>
      <c r="B2486" s="378" t="n"/>
      <c r="C2486" s="378" t="n"/>
      <c r="D2486" s="378" t="n"/>
      <c r="E2486" s="378" t="n"/>
      <c r="F2486" s="378" t="n"/>
      <c r="G2486" s="378" t="n"/>
      <c r="H2486" s="378" t="n"/>
      <c r="I2486" s="378" t="n"/>
      <c r="Q2486" s="159" t="n"/>
      <c r="R2486" s="159" t="n"/>
      <c r="S2486" s="159" t="n"/>
      <c r="T2486" s="159" t="n"/>
      <c r="U2486" s="159" t="n"/>
    </row>
    <row r="2487" customFormat="1" s="4">
      <c r="A2487" s="98" t="inlineStr">
        <is>
          <t>柜号:</t>
        </is>
      </c>
      <c r="B2487" s="99" t="inlineStr">
        <is>
          <t>T13-AU13、T14-BU13</t>
        </is>
      </c>
      <c r="C2487" s="100" t="inlineStr">
        <is>
          <t>型号:</t>
        </is>
      </c>
      <c r="D2487" s="99" t="inlineStr">
        <is>
          <t>BlokSeT</t>
        </is>
      </c>
      <c r="E2487" s="379" t="n"/>
      <c r="F2487" s="101" t="inlineStr">
        <is>
          <t>名称:</t>
        </is>
      </c>
      <c r="G2487" s="99" t="inlineStr">
        <is>
          <t>馈线柜</t>
        </is>
      </c>
      <c r="H2487" s="379" t="n"/>
      <c r="I2487" s="408" t="inlineStr"/>
      <c r="J2487" s="194" t="inlineStr">
        <is>
          <t>箱柜尺寸:</t>
        </is>
      </c>
      <c r="K2487" s="195" t="inlineStr">
        <is>
          <t>600W*1200D*2200H</t>
        </is>
      </c>
      <c r="L2487" s="194" t="inlineStr">
        <is>
          <t>类别:</t>
        </is>
      </c>
      <c r="M2487" s="195" t="inlineStr">
        <is>
          <t>低压固定柜</t>
        </is>
      </c>
      <c r="N2487" s="409" t="inlineStr"/>
      <c r="Q2487" s="159" t="n"/>
      <c r="R2487" s="159" t="n"/>
      <c r="S2487" s="159" t="n"/>
      <c r="T2487" s="159" t="n"/>
      <c r="U2487" s="159" t="n"/>
    </row>
    <row r="2488" ht="20.1" customHeight="1" s="308">
      <c r="A2488" s="102" t="inlineStr">
        <is>
          <t>序号</t>
        </is>
      </c>
      <c r="B2488" s="103" t="inlineStr">
        <is>
          <t>元件名称</t>
        </is>
      </c>
      <c r="C2488" s="103" t="inlineStr">
        <is>
          <t>型号规格</t>
        </is>
      </c>
      <c r="D2488" s="104" t="inlineStr">
        <is>
          <t>生产厂家</t>
        </is>
      </c>
      <c r="E2488" s="105" t="inlineStr">
        <is>
          <t>单位</t>
        </is>
      </c>
      <c r="F2488" s="105" t="inlineStr">
        <is>
          <t>数量</t>
        </is>
      </c>
      <c r="G2488" s="382" t="inlineStr">
        <is>
          <t>单   价</t>
        </is>
      </c>
      <c r="H2488" s="383" t="inlineStr">
        <is>
          <t>总   价</t>
        </is>
      </c>
      <c r="I2488" s="134" t="inlineStr">
        <is>
          <t>备注</t>
        </is>
      </c>
      <c r="J2488" s="384" t="inlineStr">
        <is>
          <t>成本单价</t>
        </is>
      </c>
      <c r="K2488" s="384" t="inlineStr">
        <is>
          <t>成本总价</t>
        </is>
      </c>
      <c r="L2488" s="136" t="inlineStr">
        <is>
          <t>报出
系数</t>
        </is>
      </c>
      <c r="M2488" s="384" t="inlineStr">
        <is>
          <t>表价</t>
        </is>
      </c>
      <c r="N2488" s="136" t="inlineStr">
        <is>
          <t>折扣
系数</t>
        </is>
      </c>
      <c r="O2488" s="137" t="inlineStr">
        <is>
          <t>取费
系数</t>
        </is>
      </c>
      <c r="P2488" s="384" t="inlineStr">
        <is>
          <t>成套费</t>
        </is>
      </c>
      <c r="Q2488" s="161" t="inlineStr">
        <is>
          <t>类别</t>
        </is>
      </c>
      <c r="R2488" s="161" t="inlineStr">
        <is>
          <t>物料编码</t>
        </is>
      </c>
      <c r="S2488" s="161" t="inlineStr">
        <is>
          <t>产地</t>
        </is>
      </c>
      <c r="T2488" s="161" t="inlineStr">
        <is>
          <t>加工费</t>
        </is>
      </c>
      <c r="U2488" s="161" t="inlineStr">
        <is>
          <t>订货号</t>
        </is>
      </c>
      <c r="V2488" s="161" t="inlineStr">
        <is>
          <t>人工</t>
        </is>
      </c>
      <c r="W2488" s="161" t="inlineStr">
        <is>
          <t>辅料</t>
        </is>
      </c>
      <c r="X2488" s="203" t="inlineStr"/>
    </row>
    <row r="2489" s="308">
      <c r="A2489" s="64">
        <f>ROW()-ROW(A$2488)</f>
        <v/>
      </c>
      <c r="B2489" s="22" t="inlineStr">
        <is>
          <t>塑壳断路器</t>
        </is>
      </c>
      <c r="C2489" s="22" t="inlineStr">
        <is>
          <t>NSX250H TM250D 3P3D P</t>
        </is>
      </c>
      <c r="D2489" s="22" t="inlineStr">
        <is>
          <t>甲供/施耐德电气</t>
        </is>
      </c>
      <c r="E2489" s="23" t="inlineStr">
        <is>
          <t>只</t>
        </is>
      </c>
      <c r="F2489" s="23" t="n">
        <v>3</v>
      </c>
      <c r="G2489" s="349">
        <f>IF(AND(B2489="",C2489=""),"",ROUND(M2489*L2489*N2489,2))</f>
        <v/>
      </c>
      <c r="H2489" s="349">
        <f>IF(AND(B2489="",C2489=""),"",ROUND(F2489*G2489,2))</f>
        <v/>
      </c>
      <c r="I2489" s="45" t="inlineStr"/>
      <c r="J2489" s="397">
        <f>IF(AND(B2489="",C2489=""),"",ROUND(M2489*N2489,2))</f>
        <v/>
      </c>
      <c r="K2489" s="398">
        <f>IF(AND(B2489="",C2489=""),"",ROUND(J2489*F2489,2))</f>
        <v/>
      </c>
      <c r="L2489" s="200" t="n">
        <v>1</v>
      </c>
      <c r="M2489" s="399" t="n">
        <v>1e-07</v>
      </c>
      <c r="N2489" s="154" t="n">
        <v>1</v>
      </c>
      <c r="O2489" s="155">
        <f>IF(AND(B2489="",C2489=""),"",IF(G2489&gt;=20000,0.05,IF(G2489&gt;=10000,0.1,IF(G2489&gt;=5000,0.2,IF(G2489&gt;=1000,0.3,IF(G2489&gt;=0,0.4,{0}))))))</f>
        <v/>
      </c>
      <c r="P2489" s="400">
        <f>IF(AND(B2489="",C2489=""),"",ROUND(H2489*O2489,2))</f>
        <v/>
      </c>
      <c r="Q2489" s="401" t="inlineStr">
        <is>
          <t>元件</t>
        </is>
      </c>
      <c r="R2489" s="168" t="inlineStr"/>
      <c r="S2489" s="168" t="inlineStr"/>
      <c r="T2489" s="168" t="inlineStr">
        <is>
          <t>0</t>
        </is>
      </c>
      <c r="U2489" s="168" t="inlineStr">
        <is>
          <t>C16F32D160</t>
        </is>
      </c>
      <c r="V2489" s="402" t="n"/>
      <c r="W2489" s="402" t="n"/>
      <c r="X2489" s="170" t="inlineStr">
        <is>
          <t>NSX630N Mic2.3 630A 3P3D F→NSX630F MIC2.3 630 3P F→NSX630F MIC 2.3 630 3P F</t>
        </is>
      </c>
    </row>
    <row r="2490" s="308">
      <c r="A2490" s="64">
        <f>ROW()-ROW(A$2488)</f>
        <v/>
      </c>
      <c r="B2490" s="22" t="inlineStr">
        <is>
          <t>塑壳断路器</t>
        </is>
      </c>
      <c r="C2490" s="22" t="inlineStr">
        <is>
          <t>NSX400H Mic2.3 400A 3P3D P</t>
        </is>
      </c>
      <c r="D2490" s="22" t="inlineStr">
        <is>
          <t>甲供/施耐德电气</t>
        </is>
      </c>
      <c r="E2490" s="23" t="inlineStr">
        <is>
          <t>只</t>
        </is>
      </c>
      <c r="F2490" s="23" t="n">
        <v>2</v>
      </c>
      <c r="G2490" s="349">
        <f>IF(AND(B2490="",C2490=""),"",ROUND(M2490*L2490*N2490,2))</f>
        <v/>
      </c>
      <c r="H2490" s="349">
        <f>IF(AND(B2490="",C2490=""),"",ROUND(F2490*G2490,2))</f>
        <v/>
      </c>
      <c r="I2490" s="45" t="inlineStr"/>
      <c r="J2490" s="397">
        <f>IF(AND(B2490="",C2490=""),"",ROUND(M2490*N2490,2))</f>
        <v/>
      </c>
      <c r="K2490" s="398">
        <f>IF(AND(B2490="",C2490=""),"",ROUND(J2490*F2490,2))</f>
        <v/>
      </c>
      <c r="L2490" s="200" t="n">
        <v>1</v>
      </c>
      <c r="M2490" s="399" t="n">
        <v>1e-07</v>
      </c>
      <c r="N2490" s="154" t="n">
        <v>1</v>
      </c>
      <c r="O2490" s="155">
        <f>IF(AND(B2490="",C2490=""),"",IF(G2490&gt;=20000,0.05,IF(G2490&gt;=10000,0.1,IF(G2490&gt;=5000,0.2,IF(G2490&gt;=1000,0.3,IF(G2490&gt;=0,0.4,{0}))))))</f>
        <v/>
      </c>
      <c r="P2490" s="400">
        <f>IF(AND(B2490="",C2490=""),"",ROUND(H2490*O2490,2))</f>
        <v/>
      </c>
      <c r="Q2490" s="401" t="inlineStr">
        <is>
          <t>元件</t>
        </is>
      </c>
      <c r="R2490" s="168" t="inlineStr"/>
      <c r="S2490" s="168" t="inlineStr"/>
      <c r="T2490" s="168" t="inlineStr">
        <is>
          <t>0</t>
        </is>
      </c>
      <c r="U2490" s="168" t="inlineStr"/>
      <c r="V2490" s="402" t="n"/>
      <c r="W2490" s="402" t="n"/>
      <c r="X2490" s="170" t="inlineStr"/>
    </row>
    <row r="2491" s="308">
      <c r="A2491" s="64">
        <f>ROW()-ROW(A$2488)</f>
        <v/>
      </c>
      <c r="B2491" s="22" t="inlineStr">
        <is>
          <t>电流互感器</t>
        </is>
      </c>
      <c r="C2491" s="22" t="inlineStr">
        <is>
          <t>SD-0.66-30I 250/5A</t>
        </is>
      </c>
      <c r="D2491" s="22" t="inlineStr">
        <is>
          <t>桑迪</t>
        </is>
      </c>
      <c r="E2491" s="23" t="inlineStr">
        <is>
          <t>只</t>
        </is>
      </c>
      <c r="F2491" s="23" t="n">
        <v>9</v>
      </c>
      <c r="G2491" s="349">
        <f>IF(AND(B2491="",C2491=""),"",ROUND(M2491*L2491*N2491,2))</f>
        <v/>
      </c>
      <c r="H2491" s="396">
        <f>IF(AND(B2491="",C2491=""),"",ROUND(F2491*G2491,2))</f>
        <v/>
      </c>
      <c r="I2491" s="219" t="inlineStr"/>
      <c r="J2491" s="397">
        <f>IF(AND(B2491="",C2491=""),"",ROUND(M2491*N2491,2))</f>
        <v/>
      </c>
      <c r="K2491" s="398">
        <f>IF(AND(B2491="",C2491=""),"",ROUND(J2491*F2491,2))</f>
        <v/>
      </c>
      <c r="L2491" s="200" t="n">
        <v>1</v>
      </c>
      <c r="M2491" s="399" t="n">
        <v>26.65</v>
      </c>
      <c r="N2491" s="154" t="n">
        <v>1</v>
      </c>
      <c r="O2491" s="155">
        <f>IF(AND(B2491="",C2491=""),"",IF(G2491&gt;=20000,0.05,IF(G2491&gt;=10000,0.1,IF(G2491&gt;=5000,0.2,IF(G2491&gt;=1000,0.3,IF(G2491&gt;=0,0.4,{0}))))))</f>
        <v/>
      </c>
      <c r="P2491" s="400">
        <f>IF(AND(B2491="",C2491=""),"",ROUND(H2491*O2491,2))</f>
        <v/>
      </c>
      <c r="Q2491" s="401" t="inlineStr">
        <is>
          <t>元件</t>
        </is>
      </c>
      <c r="R2491" s="168" t="inlineStr"/>
      <c r="S2491" s="168" t="inlineStr"/>
      <c r="T2491" s="168" t="inlineStr">
        <is>
          <t>0</t>
        </is>
      </c>
      <c r="U2491" s="168" t="inlineStr">
        <is>
          <t>710140200000049</t>
        </is>
      </c>
      <c r="V2491" s="402" t="n"/>
      <c r="W2491" s="402" t="n"/>
      <c r="X2491" s="170" t="inlineStr">
        <is>
          <t>SD→SD-0.66-40II-C 400/5A→SD-0.66-30I 250/5A→SD-0.66-30I 150/5A→SD-0.66-60II-C 750/5A→SD-0.66-60II-C 600/5A→SD-0.66-30I 150/5A→SD-0.66-40II-C 400/5A→SD-0.66-100II-C 1600/5A→SD-0.66-80II-V 1000/5A</t>
        </is>
      </c>
    </row>
    <row r="2492" s="308">
      <c r="A2492" s="64">
        <f>ROW()-ROW(A$2488)</f>
        <v/>
      </c>
      <c r="B2492" s="22" t="inlineStr">
        <is>
          <t>电流互感器</t>
        </is>
      </c>
      <c r="C2492" s="22" t="inlineStr">
        <is>
          <t>SD-0.66-40II-C 400/5A</t>
        </is>
      </c>
      <c r="D2492" s="22" t="inlineStr">
        <is>
          <t>桑迪</t>
        </is>
      </c>
      <c r="E2492" s="23" t="inlineStr">
        <is>
          <t>只</t>
        </is>
      </c>
      <c r="F2492" s="23" t="n">
        <v>6</v>
      </c>
      <c r="G2492" s="349">
        <f>IF(AND(B2492="",C2492=""),"",ROUND(M2492*L2492*N2492,2))</f>
        <v/>
      </c>
      <c r="H2492" s="396">
        <f>IF(AND(B2492="",C2492=""),"",ROUND(F2492*G2492,2))</f>
        <v/>
      </c>
      <c r="I2492" s="219" t="inlineStr"/>
      <c r="J2492" s="397">
        <f>IF(AND(B2492="",C2492=""),"",ROUND(M2492*N2492,2))</f>
        <v/>
      </c>
      <c r="K2492" s="398">
        <f>IF(AND(B2492="",C2492=""),"",ROUND(J2492*F2492,2))</f>
        <v/>
      </c>
      <c r="L2492" s="200" t="n">
        <v>1</v>
      </c>
      <c r="M2492" s="399" t="n">
        <v>52</v>
      </c>
      <c r="N2492" s="154" t="n">
        <v>1</v>
      </c>
      <c r="O2492" s="155">
        <f>IF(AND(B2492="",C2492=""),"",IF(G2492&gt;=20000,0.05,IF(G2492&gt;=10000,0.1,IF(G2492&gt;=5000,0.2,IF(G2492&gt;=1000,0.3,IF(G2492&gt;=0,0.4,{0}))))))</f>
        <v/>
      </c>
      <c r="P2492" s="400">
        <f>IF(AND(B2492="",C2492=""),"",ROUND(H2492*O2492,2))</f>
        <v/>
      </c>
      <c r="Q2492" s="401" t="inlineStr">
        <is>
          <t>元件</t>
        </is>
      </c>
      <c r="R2492" s="168" t="inlineStr"/>
      <c r="S2492" s="168" t="inlineStr"/>
      <c r="T2492" s="168" t="inlineStr">
        <is>
          <t>0</t>
        </is>
      </c>
      <c r="U2492" s="168" t="inlineStr">
        <is>
          <t>710140200000049</t>
        </is>
      </c>
      <c r="V2492" s="402" t="n"/>
      <c r="W2492" s="402" t="n"/>
      <c r="X2492" s="170" t="inlineStr">
        <is>
          <t>SD→SD-0.66-40II-C 400/5A→SD-0.66-30I 250/5A→SD-0.66-30I 150/5A→SD-0.66-60II-C 750/5A→SD-0.66-60II-C 600/5A→SD-0.66-30I 150/5A→SD-0.66-40II-C 400/5A→SD-0.66-100II-C 1600/5A→SD-0.66-80II-V 1000/5A</t>
        </is>
      </c>
    </row>
    <row r="2493" s="308">
      <c r="A2493" s="64">
        <f>ROW()-ROW(A$2488)</f>
        <v/>
      </c>
      <c r="B2493" s="112" t="inlineStr">
        <is>
          <t>多功能表</t>
        </is>
      </c>
      <c r="C2493" s="112" t="inlineStr">
        <is>
          <t>PM4101</t>
        </is>
      </c>
      <c r="D2493" s="112" t="inlineStr">
        <is>
          <t>甲供/施耐德电气</t>
        </is>
      </c>
      <c r="E2493" s="114" t="inlineStr">
        <is>
          <t>只</t>
        </is>
      </c>
      <c r="F2493" s="114" t="n">
        <v>5</v>
      </c>
      <c r="G2493" s="396">
        <f>IF(AND(B2493="",C2493=""),"",ROUND(M2493*L2493*N2493,2))</f>
        <v/>
      </c>
      <c r="H2493" s="349">
        <f>IF(AND(B2493="",C2493=""),"",ROUND(F2493*G2493,2))</f>
        <v/>
      </c>
      <c r="I2493" s="45" t="inlineStr"/>
      <c r="J2493" s="397">
        <f>IF(AND(B2493="",C2493=""),"",ROUND(M2493*N2493,2))</f>
        <v/>
      </c>
      <c r="K2493" s="398">
        <f>IF(AND(B2493="",C2493=""),"",ROUND(J2493*F2493,2))</f>
        <v/>
      </c>
      <c r="L2493" s="200" t="n">
        <v>1</v>
      </c>
      <c r="M2493" s="399" t="n">
        <v>1e-07</v>
      </c>
      <c r="N2493" s="154" t="n">
        <v>1</v>
      </c>
      <c r="O2493" s="155">
        <f>IF(AND(B2493="",C2493=""),"",IF(J2493&gt;=20000,0.05,IF(J2493&gt;=10000,0.1,IF(J2493&gt;=5000,0.2,IF(J2493&gt;=1000,0.3,IF(J2493&gt;=0,0.4,{0}))))))</f>
        <v/>
      </c>
      <c r="P2493" s="400">
        <f>IF(AND(B2493="",C2493=""),"",ROUND(H2493*O2493,2))</f>
        <v/>
      </c>
      <c r="Q2493" s="401" t="inlineStr">
        <is>
          <t>元件</t>
        </is>
      </c>
      <c r="R2493" s="168" t="inlineStr"/>
      <c r="S2493" s="168" t="inlineStr"/>
      <c r="T2493" s="168" t="inlineStr">
        <is>
          <t>0</t>
        </is>
      </c>
      <c r="U2493" s="168" t="inlineStr"/>
      <c r="V2493" s="402" t="n"/>
      <c r="W2493" s="402" t="n"/>
      <c r="X2493" s="170" t="inlineStr"/>
    </row>
    <row r="2494" customFormat="1" s="3">
      <c r="A2494" s="64">
        <f>ROW()-ROW(A$2488)</f>
        <v/>
      </c>
      <c r="B2494" s="22" t="inlineStr">
        <is>
          <t>指示灯</t>
        </is>
      </c>
      <c r="C2494" s="22" t="inlineStr">
        <is>
          <t>XB2BVM3LC</t>
        </is>
      </c>
      <c r="D2494" s="22" t="inlineStr">
        <is>
          <t>甲供/施耐德电气</t>
        </is>
      </c>
      <c r="E2494" s="23" t="inlineStr">
        <is>
          <t>只</t>
        </is>
      </c>
      <c r="F2494" s="23" t="n">
        <v>5</v>
      </c>
      <c r="G2494" s="349">
        <f>IF(AND(B2494="",C2494=""),"",ROUND(M2494*L2494*N2494,2))</f>
        <v/>
      </c>
      <c r="H2494" s="353">
        <f>IF(AND(B2494="",C2494=""),"",ROUND(F2494*G2494,2))</f>
        <v/>
      </c>
      <c r="I2494" s="180" t="inlineStr"/>
      <c r="J2494" s="392">
        <f>IF(AND(B2494="",C2494=""),"",ROUND(M2494*N2494,2))</f>
        <v/>
      </c>
      <c r="K2494" s="393">
        <f>IF(AND(B2494="",C2494=""),"",ROUND(J2494*F2494,2))</f>
        <v/>
      </c>
      <c r="L2494" s="141" t="n">
        <v>1</v>
      </c>
      <c r="M2494" s="394" t="n">
        <v>1e-07</v>
      </c>
      <c r="N2494" s="220" t="n">
        <v>1</v>
      </c>
      <c r="O2494" s="221">
        <f>IF(AND(B2494="",C2494=""),"",IF(G2494&gt;=20000,0.05,IF(G2494&gt;=10000,0.1,IF(G2494&gt;=5000,0.2,IF(G2494&gt;=1000,0.3,IF(G2494&gt;=0,0.4,{0}))))))</f>
        <v/>
      </c>
      <c r="P2494" s="419">
        <f>IF(AND(B2494="",C2494=""),"",ROUND(H2494*O2494,2))</f>
        <v/>
      </c>
      <c r="Q2494" s="420" t="inlineStr">
        <is>
          <t>元件</t>
        </is>
      </c>
      <c r="R2494" s="231" t="inlineStr"/>
      <c r="S2494" s="231" t="inlineStr"/>
      <c r="T2494" s="231" t="inlineStr">
        <is>
          <t>0</t>
        </is>
      </c>
      <c r="U2494" s="231" t="inlineStr">
        <is>
          <t>XB2BVM3LC</t>
        </is>
      </c>
      <c r="V2494" s="421" t="n"/>
      <c r="W2494" s="421" t="n"/>
      <c r="X2494" s="166" t="inlineStr">
        <is>
          <t>XA2EVM3LC</t>
        </is>
      </c>
    </row>
    <row r="2495" customFormat="1" s="3">
      <c r="A2495" s="64">
        <f>ROW()-ROW(A$2488)</f>
        <v/>
      </c>
      <c r="B2495" s="22" t="inlineStr">
        <is>
          <t>指示灯</t>
        </is>
      </c>
      <c r="C2495" s="22" t="inlineStr">
        <is>
          <t>XB2BVM4LC</t>
        </is>
      </c>
      <c r="D2495" s="22" t="inlineStr">
        <is>
          <t>甲供/施耐德电气</t>
        </is>
      </c>
      <c r="E2495" s="23" t="inlineStr">
        <is>
          <t>只</t>
        </is>
      </c>
      <c r="F2495" s="23" t="n">
        <v>5</v>
      </c>
      <c r="G2495" s="349">
        <f>IF(AND(B2495="",C2495=""),"",ROUND(M2495*L2495*N2495,2))</f>
        <v/>
      </c>
      <c r="H2495" s="353">
        <f>IF(AND(B2495="",C2495=""),"",ROUND(F2495*G2495,2))</f>
        <v/>
      </c>
      <c r="I2495" s="180" t="inlineStr"/>
      <c r="J2495" s="392">
        <f>IF(AND(B2495="",C2495=""),"",ROUND(M2495*N2495,2))</f>
        <v/>
      </c>
      <c r="K2495" s="393">
        <f>IF(AND(B2495="",C2495=""),"",ROUND(J2495*F2495,2))</f>
        <v/>
      </c>
      <c r="L2495" s="141" t="n">
        <v>1</v>
      </c>
      <c r="M2495" s="394" t="n">
        <v>1e-07</v>
      </c>
      <c r="N2495" s="220" t="n">
        <v>1</v>
      </c>
      <c r="O2495" s="221">
        <f>IF(AND(B2495="",C2495=""),"",IF(G2495&gt;=20000,0.05,IF(G2495&gt;=10000,0.1,IF(G2495&gt;=5000,0.2,IF(G2495&gt;=1000,0.3,IF(G2495&gt;=0,0.4,{0}))))))</f>
        <v/>
      </c>
      <c r="P2495" s="419">
        <f>IF(AND(B2495="",C2495=""),"",ROUND(H2495*O2495,2))</f>
        <v/>
      </c>
      <c r="Q2495" s="420" t="inlineStr">
        <is>
          <t>元件</t>
        </is>
      </c>
      <c r="R2495" s="231" t="inlineStr"/>
      <c r="S2495" s="231" t="inlineStr"/>
      <c r="T2495" s="231" t="inlineStr">
        <is>
          <t>0</t>
        </is>
      </c>
      <c r="U2495" s="231" t="inlineStr">
        <is>
          <t>XB2BVM4LC</t>
        </is>
      </c>
      <c r="V2495" s="421" t="n"/>
      <c r="W2495" s="421" t="n"/>
      <c r="X2495" s="166" t="inlineStr">
        <is>
          <t>XA2EVM4LC</t>
        </is>
      </c>
    </row>
    <row r="2496" s="308">
      <c r="A2496" s="64">
        <f>ROW()-ROW(A$2488)</f>
        <v/>
      </c>
      <c r="B2496" s="112" t="inlineStr">
        <is>
          <t>温湿度控制器</t>
        </is>
      </c>
      <c r="C2496" s="112" t="inlineStr">
        <is>
          <t>ATH48G-11</t>
        </is>
      </c>
      <c r="D2496" s="22" t="inlineStr">
        <is>
          <t>杭州安廷</t>
        </is>
      </c>
      <c r="E2496" s="23" t="inlineStr">
        <is>
          <t>套</t>
        </is>
      </c>
      <c r="F2496" s="23" t="n">
        <v>1</v>
      </c>
      <c r="G2496" s="349">
        <f>IF(AND(B2496="",C2496=""),"",ROUND(M2496*L2496*N2496,2))</f>
        <v/>
      </c>
      <c r="H2496" s="396">
        <f>IF(AND(B2496="",C2496=""),"",ROUND(F2496*G2496,2))</f>
        <v/>
      </c>
      <c r="I2496" s="150" t="inlineStr"/>
      <c r="J2496" s="397">
        <f>IF(AND(B2496="",C2496=""),"",ROUND(M2496*N2496,2))</f>
        <v/>
      </c>
      <c r="K2496" s="398">
        <f>IF(AND(B2496="",C2496=""),"",ROUND(J2496*F2496,2))</f>
        <v/>
      </c>
      <c r="L2496" s="141" t="n">
        <v>1</v>
      </c>
      <c r="M2496" s="399" t="n">
        <v>450</v>
      </c>
      <c r="N2496" s="154" t="n">
        <v>1</v>
      </c>
      <c r="O2496" s="155">
        <f>IF(AND(B2496="",C2496=""),"",IF(G2496&gt;=20000,0.05,IF(G2496&gt;=10000,0.1,IF(G2496&gt;=5000,0.2,IF(G2496&gt;=1000,0.3,IF(G2496&gt;=0,0.4,{0}))))))</f>
        <v/>
      </c>
      <c r="P2496" s="400">
        <f>IF(AND(B2496="",C2496=""),"",ROUND(H2496*O2496,2))</f>
        <v/>
      </c>
      <c r="Q2496" s="401" t="inlineStr">
        <is>
          <t>元件</t>
        </is>
      </c>
      <c r="R2496" s="168" t="inlineStr"/>
      <c r="S2496" s="168" t="inlineStr"/>
      <c r="T2496" s="168" t="inlineStr">
        <is>
          <t>0</t>
        </is>
      </c>
      <c r="U2496" s="168" t="inlineStr"/>
      <c r="V2496" s="402" t="n"/>
      <c r="W2496" s="402" t="n"/>
      <c r="X2496" s="170" t="inlineStr"/>
    </row>
    <row r="2497" s="308">
      <c r="A2497" s="64">
        <f>ROW()-ROW(A$2488)</f>
        <v/>
      </c>
      <c r="B2497" s="22" t="inlineStr">
        <is>
          <t>中间继电器</t>
        </is>
      </c>
      <c r="C2497" s="22" t="inlineStr">
        <is>
          <t>RXM4AB2P7+RXZE2S114M+RXZ400</t>
        </is>
      </c>
      <c r="D2497" s="22" t="inlineStr">
        <is>
          <t>甲供/施耐德电气</t>
        </is>
      </c>
      <c r="E2497" s="23" t="inlineStr">
        <is>
          <t>只</t>
        </is>
      </c>
      <c r="F2497" s="23" t="n">
        <v>10</v>
      </c>
      <c r="G2497" s="349">
        <f>IF(AND(B2497="",C2497=""),"",ROUND(M2497*L2497*N2497,2))</f>
        <v/>
      </c>
      <c r="H2497" s="349">
        <f>IF(AND(B2497="",C2497=""),"",ROUND(F2497*G2497,2))</f>
        <v/>
      </c>
      <c r="I2497" s="45" t="inlineStr"/>
      <c r="J2497" s="397">
        <f>IF(AND(B2497="",C2497=""),"",ROUND(M2497*N2497,2))</f>
        <v/>
      </c>
      <c r="K2497" s="398">
        <f>IF(AND(B2497="",C2497=""),"",ROUND(J2497*F2497,2))</f>
        <v/>
      </c>
      <c r="L2497" s="141" t="n">
        <v>1</v>
      </c>
      <c r="M2497" s="399" t="n">
        <v>1e-07</v>
      </c>
      <c r="N2497" s="154" t="n">
        <v>1</v>
      </c>
      <c r="O2497" s="155">
        <f>IF(AND(B2497="",C2497=""),"",IF(G2497&gt;=20000,0.05,IF(G2497&gt;=10000,0.1,IF(G2497&gt;=5000,0.2,IF(G2497&gt;=1000,0.3,IF(G2497&gt;=0,0.4,{0}))))))</f>
        <v/>
      </c>
      <c r="P2497" s="400">
        <f>IF(AND(B2497="",C2497=""),"",ROUND(H2497*O2497,2))</f>
        <v/>
      </c>
      <c r="Q2497" s="401" t="inlineStr">
        <is>
          <t>元件</t>
        </is>
      </c>
      <c r="R2497" s="168" t="inlineStr"/>
      <c r="S2497" s="168" t="inlineStr"/>
      <c r="T2497" s="168" t="inlineStr">
        <is>
          <t>0</t>
        </is>
      </c>
      <c r="U2497" s="168" t="inlineStr">
        <is>
          <t>RXM4AB2P7+RXZE2S114M+RXZ400</t>
        </is>
      </c>
      <c r="V2497" s="402" t="n"/>
      <c r="W2497" s="402" t="n"/>
      <c r="X2497" s="170" t="inlineStr">
        <is>
          <t>REL-IR-BL/L-230AC/4X21，含底座→RXM4AB2P7+RXZE2S114M+RXZ400→REL-IR-BL/L-230AC/4X21，含底座</t>
        </is>
      </c>
    </row>
    <row r="2498" customFormat="1" s="3">
      <c r="A2498" s="64">
        <f>ROW()-ROW(A$2488)</f>
        <v/>
      </c>
      <c r="B2498" s="22" t="inlineStr">
        <is>
          <t>带熔丝端子</t>
        </is>
      </c>
      <c r="C2498" s="22" t="inlineStr">
        <is>
          <t>UK 5-HESI</t>
        </is>
      </c>
      <c r="D2498" s="22" t="inlineStr">
        <is>
          <t>菲尼克斯</t>
        </is>
      </c>
      <c r="E2498" s="23" t="inlineStr">
        <is>
          <t>只</t>
        </is>
      </c>
      <c r="F2498" s="23" t="n">
        <v>20</v>
      </c>
      <c r="G2498" s="349">
        <f>IF(AND(B2498="",C2498=""),"",ROUND(M2498*L2498*N2498,2))</f>
        <v/>
      </c>
      <c r="H2498" s="349">
        <f>IF(AND(B2498="",C2498=""),"",ROUND(F2498*G2498,2))</f>
        <v/>
      </c>
      <c r="I2498" s="45" t="inlineStr"/>
      <c r="J2498" s="392">
        <f>IF(AND(B2498="",C2498=""),"",ROUND(M2498*N2498,2))</f>
        <v/>
      </c>
      <c r="K2498" s="393">
        <f>IF(AND(B2498="",C2498=""),"",ROUND(J2498*F2498,2))</f>
        <v/>
      </c>
      <c r="L2498" s="141" t="n">
        <v>1</v>
      </c>
      <c r="M2498" s="394" t="n">
        <v>7</v>
      </c>
      <c r="N2498" s="220" t="n">
        <v>1</v>
      </c>
      <c r="O2498" s="221">
        <f>IF(AND(B2498="",C2498=""),"",IF(G2498&gt;=20000,0.05,IF(G2498&gt;=10000,0.1,IF(G2498&gt;=5000,0.2,IF(G2498&gt;=1000,0.3,IF(G2498&gt;=0,0.4,{0}))))))</f>
        <v/>
      </c>
      <c r="P2498" s="419">
        <f>IF(AND(B2498="",C2498=""),"",ROUND(H2498*O2498,2))</f>
        <v/>
      </c>
      <c r="Q2498" s="420" t="inlineStr">
        <is>
          <t>元件</t>
        </is>
      </c>
      <c r="R2498" s="231" t="inlineStr"/>
      <c r="S2498" s="231" t="inlineStr"/>
      <c r="T2498" s="231" t="inlineStr">
        <is>
          <t>0</t>
        </is>
      </c>
      <c r="U2498" s="231" t="inlineStr">
        <is>
          <t>True</t>
        </is>
      </c>
      <c r="V2498" s="421" t="n"/>
      <c r="W2498" s="421" t="n"/>
      <c r="X2498" s="166" t="inlineStr"/>
    </row>
    <row r="2499" s="308">
      <c r="A2499" s="64">
        <f>ROW()-ROW(A$2488)</f>
        <v/>
      </c>
      <c r="B2499" s="22" t="inlineStr">
        <is>
          <t>水平母排</t>
        </is>
      </c>
      <c r="C2499" s="22" t="inlineStr">
        <is>
          <t>TMY 4*(2*100*5)+2*50*5</t>
        </is>
      </c>
      <c r="D2499" s="22" t="inlineStr">
        <is>
          <t>国产优质</t>
        </is>
      </c>
      <c r="E2499" s="23" t="inlineStr">
        <is>
          <t>米</t>
        </is>
      </c>
      <c r="F2499" s="23" t="n">
        <v>0.7</v>
      </c>
      <c r="G2499" s="349">
        <f>IF(AND(B2499="",C2499=""),"",ROUND(M2499*L2499*N2499,2))</f>
        <v/>
      </c>
      <c r="H2499" s="349">
        <f>IF(AND(B2499="",C2499=""),"",ROUND(F2499*G2499,2))</f>
        <v/>
      </c>
      <c r="I2499" s="45" t="inlineStr"/>
      <c r="J2499" s="397">
        <f>IF(AND(B2499="",C2499=""),"",ROUND(M2499*N2499,2))</f>
        <v/>
      </c>
      <c r="K2499" s="398">
        <f>IF(AND(B2499="",C2499=""),"",ROUND(J2499*F2499,2))</f>
        <v/>
      </c>
      <c r="L2499" s="200" t="n">
        <v>1</v>
      </c>
      <c r="M2499" s="399" t="n">
        <v>4329.60525</v>
      </c>
      <c r="N2499" s="154">
        <f>(6317.932*1*1+2684.8*1*1)/9002.732</f>
        <v/>
      </c>
      <c r="O2499" s="155">
        <f>IF(AND(B2499="",C2499=""),"",IF(J2499&gt;=20000,0.05,IF(J2499&gt;=10000,0.1,IF(J2499&gt;=5000,0.2,IF(J2499&gt;=1000,0.3,IF(J2499&gt;=0,0.4,{0}))))))</f>
        <v/>
      </c>
      <c r="P2499" s="400">
        <f>IF(AND(B2499="",C2499=""),"",ROUND(H2499*O2499,2))</f>
        <v/>
      </c>
      <c r="Q2499" s="401" t="inlineStr">
        <is>
          <t>母排</t>
        </is>
      </c>
      <c r="R2499" s="168" t="inlineStr"/>
      <c r="S2499" s="168" t="inlineStr"/>
      <c r="T2499" s="168" t="inlineStr">
        <is>
          <t>0</t>
        </is>
      </c>
      <c r="U2499" s="168" t="inlineStr"/>
      <c r="V2499" s="402" t="n"/>
      <c r="W2499" s="402" t="n"/>
      <c r="X2499" s="170" t="inlineStr"/>
    </row>
    <row r="2500" customFormat="1" s="5">
      <c r="A2500" s="64">
        <f>ROW()-ROW(A$2488)</f>
        <v/>
      </c>
      <c r="B2500" s="22" t="inlineStr">
        <is>
          <t>垂直排</t>
        </is>
      </c>
      <c r="C2500" s="22" t="inlineStr">
        <is>
          <t>TMY 3*2*60*5</t>
        </is>
      </c>
      <c r="D2500" s="22" t="inlineStr">
        <is>
          <t>国产优质</t>
        </is>
      </c>
      <c r="E2500" s="23" t="inlineStr">
        <is>
          <t>米</t>
        </is>
      </c>
      <c r="F2500" s="23" t="n">
        <v>2</v>
      </c>
      <c r="G2500" s="349">
        <f>IF(AND(B2500="",C2500=""),"",ROUND(M2500*L2500*N2500,2))</f>
        <v/>
      </c>
      <c r="H2500" s="349">
        <f>IF(AND(B2500="",C2500=""),"",ROUND(F2500*G2500,2))</f>
        <v/>
      </c>
      <c r="I2500" s="45" t="inlineStr"/>
      <c r="J2500" s="422">
        <f>IF(AND(B2500="",C2500=""),"",ROUND(M2500*N2500,2))</f>
        <v/>
      </c>
      <c r="K2500" s="423">
        <f>IF(AND(B2500="",C2500=""),"",ROUND(J2500*F2500,2))</f>
        <v/>
      </c>
      <c r="L2500" s="225" t="n">
        <v>1</v>
      </c>
      <c r="M2500" s="424" t="n">
        <v>1731.8421</v>
      </c>
      <c r="N2500" s="227" t="n">
        <v>1</v>
      </c>
      <c r="O2500" s="228">
        <f>IF(AND(B2500="",C2500=""),"",IF(G2500&gt;=20000,0.05,IF(G2500&gt;=10000,0.1,IF(G2500&gt;=5000,0.2,IF(G2500&gt;=1000,0.3,IF(G2500&gt;=0,0.4,{0}))))))</f>
        <v/>
      </c>
      <c r="P2500" s="425">
        <f>IF(AND(B2500="",C2500=""),"",ROUND(H2500*O2500,2))</f>
        <v/>
      </c>
      <c r="Q2500" s="426" t="inlineStr">
        <is>
          <t>母排</t>
        </is>
      </c>
      <c r="R2500" s="234" t="inlineStr"/>
      <c r="S2500" s="234" t="inlineStr"/>
      <c r="T2500" s="235" t="inlineStr">
        <is>
          <t>0</t>
        </is>
      </c>
      <c r="U2500" s="235" t="inlineStr"/>
      <c r="V2500" s="427" t="n"/>
      <c r="W2500" s="427" t="n"/>
      <c r="X2500" s="237" t="inlineStr">
        <is>
          <t>TMY 2*30*5→TMY 30*8</t>
        </is>
      </c>
    </row>
    <row r="2501" customFormat="1" s="5">
      <c r="A2501" s="64">
        <f>ROW()-ROW(A$2488)</f>
        <v/>
      </c>
      <c r="B2501" s="22" t="inlineStr">
        <is>
          <t>N排</t>
        </is>
      </c>
      <c r="C2501" s="22" t="inlineStr">
        <is>
          <t>TMY 60*10</t>
        </is>
      </c>
      <c r="D2501" s="22" t="inlineStr">
        <is>
          <t>国产优质</t>
        </is>
      </c>
      <c r="E2501" s="23" t="inlineStr">
        <is>
          <t>米</t>
        </is>
      </c>
      <c r="F2501" s="23" t="n">
        <v>3</v>
      </c>
      <c r="G2501" s="349">
        <f>IF(AND(B2501="",C2501=""),"",ROUND(M2501*L2501*N2501,2))</f>
        <v/>
      </c>
      <c r="H2501" s="349">
        <f>IF(AND(B2501="",C2501=""),"",ROUND(F2501*G2501,2))</f>
        <v/>
      </c>
      <c r="I2501" s="45" t="inlineStr"/>
      <c r="J2501" s="422">
        <f>IF(AND(B2501="",C2501=""),"",ROUND(M2501*N2501,2))</f>
        <v/>
      </c>
      <c r="K2501" s="423">
        <f>IF(AND(B2501="",C2501=""),"",ROUND(J2501*F2501,2))</f>
        <v/>
      </c>
      <c r="L2501" s="225" t="n">
        <v>1</v>
      </c>
      <c r="M2501" s="424" t="n">
        <v>577.2807</v>
      </c>
      <c r="N2501" s="227" t="n">
        <v>1</v>
      </c>
      <c r="O2501" s="228">
        <f>IF(AND(B2501="",C2501=""),"",IF(G2501&gt;=20000,0.05,IF(G2501&gt;=10000,0.1,IF(G2501&gt;=5000,0.2,IF(G2501&gt;=1000,0.3,IF(G2501&gt;=0,0.4,{0}))))))</f>
        <v/>
      </c>
      <c r="P2501" s="425">
        <f>IF(AND(B2501="",C2501=""),"",ROUND(H2501*O2501,2))</f>
        <v/>
      </c>
      <c r="Q2501" s="426" t="inlineStr">
        <is>
          <t>母排</t>
        </is>
      </c>
      <c r="R2501" s="234" t="inlineStr"/>
      <c r="S2501" s="234" t="inlineStr"/>
      <c r="T2501" s="235" t="inlineStr">
        <is>
          <t>0</t>
        </is>
      </c>
      <c r="U2501" s="235" t="inlineStr"/>
      <c r="V2501" s="427" t="n"/>
      <c r="W2501" s="427" t="n"/>
      <c r="X2501" s="237" t="inlineStr">
        <is>
          <t>TMY 2*30*5→TMY 30*8</t>
        </is>
      </c>
    </row>
    <row r="2502" customFormat="1" s="5">
      <c r="A2502" s="64">
        <f>ROW()-ROW(A$2488)</f>
        <v/>
      </c>
      <c r="B2502" s="22" t="inlineStr">
        <is>
          <t>PE排</t>
        </is>
      </c>
      <c r="C2502" s="22" t="inlineStr">
        <is>
          <t>TMY 2*50*5</t>
        </is>
      </c>
      <c r="D2502" s="22" t="inlineStr">
        <is>
          <t>国产优质</t>
        </is>
      </c>
      <c r="E2502" s="23" t="inlineStr">
        <is>
          <t>米</t>
        </is>
      </c>
      <c r="F2502" s="23" t="n">
        <v>2</v>
      </c>
      <c r="G2502" s="349">
        <f>IF(AND(B2502="",C2502=""),"",ROUND(M2502*L2502*N2502,2))</f>
        <v/>
      </c>
      <c r="H2502" s="349">
        <f>IF(AND(B2502="",C2502=""),"",ROUND(F2502*G2502,2))</f>
        <v/>
      </c>
      <c r="I2502" s="45" t="inlineStr"/>
      <c r="J2502" s="422">
        <f>IF(AND(B2502="",C2502=""),"",ROUND(M2502*N2502,2))</f>
        <v/>
      </c>
      <c r="K2502" s="423">
        <f>IF(AND(B2502="",C2502=""),"",ROUND(J2502*F2502,2))</f>
        <v/>
      </c>
      <c r="L2502" s="225" t="n">
        <v>1</v>
      </c>
      <c r="M2502" s="424" t="n">
        <v>481.06725</v>
      </c>
      <c r="N2502" s="227" t="n">
        <v>1</v>
      </c>
      <c r="O2502" s="228">
        <f>IF(AND(B2502="",C2502=""),"",IF(G2502&gt;=20000,0.05,IF(G2502&gt;=10000,0.1,IF(G2502&gt;=5000,0.2,IF(G2502&gt;=1000,0.3,IF(G2502&gt;=0,0.4,{0}))))))</f>
        <v/>
      </c>
      <c r="P2502" s="425">
        <f>IF(AND(B2502="",C2502=""),"",ROUND(H2502*O2502,2))</f>
        <v/>
      </c>
      <c r="Q2502" s="426" t="inlineStr">
        <is>
          <t>母排</t>
        </is>
      </c>
      <c r="R2502" s="234" t="inlineStr"/>
      <c r="S2502" s="234" t="inlineStr"/>
      <c r="T2502" s="235" t="inlineStr">
        <is>
          <t>0</t>
        </is>
      </c>
      <c r="U2502" s="235" t="inlineStr"/>
      <c r="V2502" s="427" t="n"/>
      <c r="W2502" s="427" t="n"/>
      <c r="X2502" s="237" t="inlineStr">
        <is>
          <t>TMY 2*30*5→TMY 30*8</t>
        </is>
      </c>
    </row>
    <row r="2503" customFormat="1" s="5">
      <c r="A2503" s="64">
        <f>ROW()-ROW(A$2488)</f>
        <v/>
      </c>
      <c r="B2503" s="22" t="inlineStr">
        <is>
          <t>400A铜排</t>
        </is>
      </c>
      <c r="C2503" s="22" t="inlineStr">
        <is>
          <t>TMY 30*5</t>
        </is>
      </c>
      <c r="D2503" s="22" t="inlineStr">
        <is>
          <t>国产优质</t>
        </is>
      </c>
      <c r="E2503" s="23" t="inlineStr">
        <is>
          <t>米</t>
        </is>
      </c>
      <c r="F2503" s="23" t="n">
        <v>6.4</v>
      </c>
      <c r="G2503" s="349">
        <f>IF(AND(B2503="",C2503=""),"",ROUND(M2503*L2503*N2503,2))</f>
        <v/>
      </c>
      <c r="H2503" s="349">
        <f>IF(AND(B2503="",C2503=""),"",ROUND(F2503*G2503,2))</f>
        <v/>
      </c>
      <c r="I2503" s="45" t="inlineStr"/>
      <c r="J2503" s="422">
        <f>IF(AND(B2503="",C2503=""),"",ROUND(M2503*N2503,2))</f>
        <v/>
      </c>
      <c r="K2503" s="423">
        <f>IF(AND(B2503="",C2503=""),"",ROUND(J2503*F2503,2))</f>
        <v/>
      </c>
      <c r="L2503" s="225" t="n">
        <v>1</v>
      </c>
      <c r="M2503" s="424" t="n">
        <v>144.320175</v>
      </c>
      <c r="N2503" s="227" t="n">
        <v>1</v>
      </c>
      <c r="O2503" s="228">
        <f>IF(AND(B2503="",C2503=""),"",IF(G2503&gt;=20000,0.05,IF(G2503&gt;=10000,0.1,IF(G2503&gt;=5000,0.2,IF(G2503&gt;=1000,0.3,IF(G2503&gt;=0,0.4,{0}))))))</f>
        <v/>
      </c>
      <c r="P2503" s="425">
        <f>IF(AND(B2503="",C2503=""),"",ROUND(H2503*O2503,2))</f>
        <v/>
      </c>
      <c r="Q2503" s="426" t="inlineStr">
        <is>
          <t>母排</t>
        </is>
      </c>
      <c r="R2503" s="234" t="inlineStr"/>
      <c r="S2503" s="234" t="inlineStr"/>
      <c r="T2503" s="235" t="inlineStr">
        <is>
          <t>0</t>
        </is>
      </c>
      <c r="U2503" s="235" t="inlineStr"/>
      <c r="V2503" s="427" t="n"/>
      <c r="W2503" s="427" t="n"/>
      <c r="X2503" s="237" t="inlineStr">
        <is>
          <t>TMY 2*30*5→TMY 30*8</t>
        </is>
      </c>
    </row>
    <row r="2504" s="308">
      <c r="A2504" s="64">
        <f>ROW()-ROW(A$2488)</f>
        <v/>
      </c>
      <c r="B2504" s="112" t="inlineStr">
        <is>
          <t>辅料</t>
        </is>
      </c>
      <c r="C2504" s="112" t="inlineStr"/>
      <c r="D2504" s="112" t="inlineStr"/>
      <c r="E2504" s="114" t="inlineStr">
        <is>
          <t>套</t>
        </is>
      </c>
      <c r="F2504" s="114" t="n">
        <v>1</v>
      </c>
      <c r="G2504" s="396">
        <f>IF(AND(B2504="",C2504=""),"",ROUND(M2504*L2504*N2504,2))</f>
        <v/>
      </c>
      <c r="H2504" s="396">
        <f>IF(AND(B2504="",C2504=""),"",ROUND(F2504*G2504,2))</f>
        <v/>
      </c>
      <c r="I2504" s="219" t="inlineStr"/>
      <c r="J2504" s="397">
        <f>IF(AND(B2504="",C2504=""),"",ROUND(M2504*N2504,2))</f>
        <v/>
      </c>
      <c r="K2504" s="398">
        <f>IF(AND(B2504="",C2504=""),"",ROUND(J2504*F2504,2))</f>
        <v/>
      </c>
      <c r="L2504" s="200" t="n">
        <v>1</v>
      </c>
      <c r="M2504" s="399" t="n">
        <v>1235.69</v>
      </c>
      <c r="N2504" s="154" t="n">
        <v>1</v>
      </c>
      <c r="O2504" s="155">
        <f>IF(AND(B2504="",C2504=""),"",IF(G2504&gt;=20000,0.05,IF(G2504&gt;=10000,0.1,IF(G2504&gt;=5000,0.2,IF(G2504&gt;=1000,0.3,IF(G2504&gt;=0,0.4,{0}))))))</f>
        <v/>
      </c>
      <c r="P2504" s="400">
        <f>IF(AND(B2504="",C2504=""),"",ROUND(H2504*O2504,2))</f>
        <v/>
      </c>
      <c r="Q2504" s="401" t="inlineStr">
        <is>
          <t>辅料</t>
        </is>
      </c>
      <c r="R2504" s="168" t="inlineStr"/>
      <c r="S2504" s="168" t="inlineStr"/>
      <c r="T2504" s="168" t="inlineStr">
        <is>
          <t>0</t>
        </is>
      </c>
      <c r="U2504" s="168" t="inlineStr"/>
      <c r="V2504" s="402" t="n"/>
      <c r="W2504" s="402" t="n"/>
      <c r="X2504" s="170" t="inlineStr"/>
    </row>
    <row r="2505" s="308">
      <c r="A2505" s="64">
        <f>ROW()-ROW(A$2488)</f>
        <v/>
      </c>
      <c r="B2505" s="112" t="inlineStr">
        <is>
          <t>柜体Blokset</t>
        </is>
      </c>
      <c r="C2505" s="22" t="inlineStr">
        <is>
          <t>600W*1200D*2200H</t>
        </is>
      </c>
      <c r="D2505" s="112" t="inlineStr">
        <is>
          <t>清科</t>
        </is>
      </c>
      <c r="E2505" s="114" t="inlineStr">
        <is>
          <t>台</t>
        </is>
      </c>
      <c r="F2505" s="114" t="n">
        <v>1</v>
      </c>
      <c r="G2505" s="396">
        <f>IF(AND(B2505="",C2505=""),"",ROUND(M2505*L2505*N2505,2))</f>
        <v/>
      </c>
      <c r="H2505" s="396">
        <f>IF(AND(B2505="",C2505=""),"",ROUND(F2505*G2505,2))</f>
        <v/>
      </c>
      <c r="I2505" s="219" t="inlineStr"/>
      <c r="J2505" s="397">
        <f>IF(AND(B2505="",C2505=""),"",ROUND(M2505*N2505,2))</f>
        <v/>
      </c>
      <c r="K2505" s="398">
        <f>IF(AND(B2505="",C2505=""),"",ROUND(J2505*F2505,2))</f>
        <v/>
      </c>
      <c r="L2505" s="200" t="n">
        <v>1</v>
      </c>
      <c r="M2505" s="399" t="n">
        <v>5200</v>
      </c>
      <c r="N2505" s="154" t="n">
        <v>1</v>
      </c>
      <c r="O2505" s="155">
        <f>IF(AND(B2505="",C2505=""),"",IF(G2505&gt;=20000,0.05,IF(G2505&gt;=10000,0.1,IF(G2505&gt;=5000,0.2,IF(G2505&gt;=1000,0.3,IF(G2505&gt;=0,0.4,{0}))))))</f>
        <v/>
      </c>
      <c r="P2505" s="400">
        <f>IF(AND(B2505="",C2505=""),"",ROUND(H2505*O2505,2))</f>
        <v/>
      </c>
      <c r="Q2505" s="401" t="inlineStr">
        <is>
          <t>箱体</t>
        </is>
      </c>
      <c r="R2505" s="168" t="inlineStr"/>
      <c r="S2505" s="168" t="inlineStr"/>
      <c r="T2505" s="168" t="inlineStr">
        <is>
          <t>0</t>
        </is>
      </c>
      <c r="U2505" s="168" t="inlineStr"/>
      <c r="V2505" s="402" t="n"/>
      <c r="W2505" s="402" t="n"/>
      <c r="X2505" s="170" t="inlineStr">
        <is>
          <t>BlokSeT</t>
        </is>
      </c>
    </row>
    <row r="2506" s="308">
      <c r="A2506" s="64">
        <f>ROW()-ROW(A$2488)</f>
        <v/>
      </c>
      <c r="B2506" s="22" t="inlineStr"/>
      <c r="C2506" s="22" t="inlineStr"/>
      <c r="D2506" s="22" t="inlineStr"/>
      <c r="E2506" s="23" t="n"/>
      <c r="F2506" s="23">
        <f>IF(AND(B2506="",C2506=""),"",1)</f>
        <v/>
      </c>
      <c r="G2506" s="349">
        <f>IF(AND(B2506="",C2506=""),"",ROUND(M2506*L2506*N2506,2))</f>
        <v/>
      </c>
      <c r="H2506" s="349">
        <f>IF(AND(B2506="",C2506=""),"",ROUND(F2506*G2506,2))</f>
        <v/>
      </c>
      <c r="I2506" s="45" t="inlineStr"/>
      <c r="J2506" s="397">
        <f>IF(AND(B2506="",C2506=""),"",ROUND(M2506*N2506,2))</f>
        <v/>
      </c>
      <c r="K2506" s="398">
        <f>IF(AND(B2506="",C2506=""),"",ROUND(J2506*F2506,2))</f>
        <v/>
      </c>
      <c r="L2506" s="200">
        <f>IF(AND(B2506="",C2506=""),"",1)</f>
        <v/>
      </c>
      <c r="M2506" s="399" t="n"/>
      <c r="N2506" s="154">
        <f>IF(AND(B2506="",C2506=""),"",1)</f>
        <v/>
      </c>
      <c r="O2506" s="155">
        <f>IF(AND(B2506="",C2506=""),"",IF(J2506&gt;=20000,0.05,IF(J2506&gt;=10000,0.1,IF(J2506&gt;=5000,0.2,IF(J2506&gt;=1000,0.3,IF(J2506&gt;=0,0.4,{0}))))))</f>
        <v/>
      </c>
      <c r="P2506" s="400">
        <f>IF(AND(B2506="",C2506=""),"",ROUND(H2506*O2506,2))</f>
        <v/>
      </c>
      <c r="Q2506" s="401">
        <f>IF(AND(B2506="",C2506=""),"","元件")</f>
        <v/>
      </c>
      <c r="R2506" s="168" t="inlineStr"/>
      <c r="S2506" s="168" t="inlineStr"/>
      <c r="T2506" s="168" t="inlineStr"/>
      <c r="U2506" s="168" t="inlineStr"/>
      <c r="V2506" s="402" t="n"/>
      <c r="W2506" s="402" t="n"/>
      <c r="X2506" s="170" t="inlineStr"/>
    </row>
    <row r="2507" s="308">
      <c r="A2507" s="64">
        <f>ROW()-ROW(A$2488)</f>
        <v/>
      </c>
      <c r="B2507" s="171" t="inlineStr">
        <is>
          <t>小计</t>
        </is>
      </c>
      <c r="C2507" s="172" t="n"/>
      <c r="D2507" s="204" t="n"/>
      <c r="E2507" s="114" t="n"/>
      <c r="F2507" s="114" t="n"/>
      <c r="G2507" s="396" t="n"/>
      <c r="H2507" s="396">
        <f>ROUND(SUM(H2488:INDEX(H:H,ROW()-1)),2)</f>
        <v/>
      </c>
      <c r="I2507" s="45" t="inlineStr"/>
      <c r="J2507" s="397" t="n"/>
      <c r="K2507" s="398">
        <f>ROUND(SUM(K2488:INDEX(K:K,ROW()-1)),2)</f>
        <v/>
      </c>
      <c r="L2507" s="200" t="n"/>
      <c r="M2507" s="399" t="n"/>
      <c r="N2507" s="154" t="n"/>
      <c r="O2507" s="155" t="n"/>
      <c r="P2507" s="400" t="n"/>
      <c r="Q2507" s="401" t="n"/>
      <c r="R2507" s="168" t="inlineStr"/>
      <c r="S2507" s="168" t="inlineStr"/>
      <c r="T2507" s="168" t="inlineStr"/>
      <c r="U2507" s="168" t="inlineStr"/>
      <c r="V2507" s="402">
        <f>ROUND(SUMPRODUCT(F2488:INDEX(F:F,ROW()-1),V2488:INDEX(V:V,ROW()-1)),2)</f>
        <v/>
      </c>
      <c r="W2507" s="402">
        <f>ROUND(SUMPRODUCT(F2488:INDEX(F:F,ROW()-1),W2488:INDEX(W:W,ROW()-1)),2)</f>
        <v/>
      </c>
      <c r="X2507" s="170" t="inlineStr"/>
    </row>
    <row r="2508" s="308">
      <c r="A2508" s="64">
        <f>ROW()-ROW(A$2488)</f>
        <v/>
      </c>
      <c r="B2508" s="171" t="inlineStr">
        <is>
          <t>综合费(人工、管理、税金、利润等)</t>
        </is>
      </c>
      <c r="C2508" s="172" t="n"/>
      <c r="D2508" s="204" t="n"/>
      <c r="E2508" s="114" t="n"/>
      <c r="F2508" s="114" t="n"/>
      <c r="G2508" s="396" t="n"/>
      <c r="H2508" s="396">
        <f>2500</f>
        <v/>
      </c>
      <c r="I2508" s="45" t="inlineStr"/>
      <c r="J2508" s="397" t="n"/>
      <c r="K2508" s="398" t="n"/>
      <c r="L2508" s="200" t="n"/>
      <c r="M2508" s="399" t="n"/>
      <c r="N2508" s="154" t="n"/>
      <c r="O2508" s="155" t="n"/>
      <c r="P2508" s="400" t="n"/>
      <c r="Q2508" s="401" t="inlineStr">
        <is>
          <t>费用</t>
        </is>
      </c>
      <c r="R2508" s="168" t="inlineStr"/>
      <c r="S2508" s="168" t="inlineStr"/>
      <c r="T2508" s="168" t="inlineStr"/>
      <c r="U2508" s="168" t="inlineStr"/>
      <c r="V2508" s="402" t="n"/>
      <c r="W2508" s="402" t="n"/>
      <c r="X2508" s="170" t="inlineStr"/>
    </row>
    <row r="2509" s="308">
      <c r="A2509" s="64">
        <f>ROW()-ROW(A$2488)</f>
        <v/>
      </c>
      <c r="B2509" s="204" t="inlineStr">
        <is>
          <t>单台合计</t>
        </is>
      </c>
      <c r="C2509" s="172" t="n"/>
      <c r="D2509" s="204" t="n"/>
      <c r="E2509" s="114" t="n"/>
      <c r="F2509" s="114" t="n"/>
      <c r="G2509" s="396" t="n"/>
      <c r="H2509" s="396">
        <f>ROUND(SUM(H2507:H2508),2)</f>
        <v/>
      </c>
      <c r="I2509" s="181" t="n"/>
      <c r="J2509" s="397" t="n"/>
      <c r="K2509" s="398">
        <f>ROUND(SUM(K2507:K2508),2)</f>
        <v/>
      </c>
      <c r="L2509" s="209" t="n"/>
      <c r="M2509" s="399" t="n"/>
      <c r="N2509" s="210" t="n"/>
      <c r="O2509" s="211" t="n"/>
      <c r="P2509" s="400" t="n"/>
      <c r="Q2509" s="401" t="n"/>
      <c r="R2509" s="168" t="inlineStr"/>
      <c r="S2509" s="168" t="inlineStr"/>
      <c r="T2509" s="168" t="inlineStr"/>
      <c r="U2509" s="168" t="inlineStr"/>
      <c r="V2509" s="402" t="n"/>
      <c r="W2509" s="402" t="n"/>
      <c r="X2509" s="170" t="inlineStr"/>
    </row>
    <row r="2510" s="308">
      <c r="A2510" s="173" t="inlineStr">
        <is>
          <t>总计</t>
        </is>
      </c>
      <c r="B2510" s="205" t="n"/>
      <c r="C2510" s="175" t="n"/>
      <c r="D2510" s="206" t="n"/>
      <c r="E2510" s="206" t="inlineStr">
        <is>
          <t>台</t>
        </is>
      </c>
      <c r="F2510" s="206" t="n">
        <v>2</v>
      </c>
      <c r="G2510" s="414">
        <f>ROUND(H2509,2)</f>
        <v/>
      </c>
      <c r="H2510" s="414">
        <f>ROUND(F2510*G2510,2)</f>
        <v/>
      </c>
      <c r="I2510" s="185" t="n"/>
      <c r="J2510" s="415" t="n"/>
      <c r="K2510" s="416">
        <f>ROUND(K2509*F2510,2)</f>
        <v/>
      </c>
      <c r="L2510" s="214" t="n"/>
      <c r="M2510" s="417" t="n"/>
      <c r="N2510" s="216" t="n"/>
      <c r="O2510" s="217" t="n"/>
      <c r="P2510" s="418" t="n"/>
      <c r="Q2510" s="401" t="n"/>
      <c r="R2510" s="168" t="inlineStr"/>
      <c r="S2510" s="168" t="inlineStr"/>
      <c r="T2510" s="168" t="inlineStr"/>
      <c r="U2510" s="168" t="inlineStr"/>
      <c r="V2510" s="402" t="n"/>
      <c r="W2510" s="402" t="n"/>
      <c r="X2510" s="170" t="inlineStr"/>
    </row>
    <row r="2511" customFormat="1" s="4">
      <c r="A2511" s="6" t="n"/>
      <c r="B2511" s="195" t="inlineStr"/>
      <c r="C2511" s="195" t="inlineStr"/>
      <c r="D2511" s="195" t="inlineStr"/>
      <c r="Q2511" s="159" t="n"/>
      <c r="R2511" s="159" t="n"/>
      <c r="S2511" s="159" t="n"/>
      <c r="T2511" s="159" t="n"/>
      <c r="U2511" s="159" t="n"/>
      <c r="X2511" s="195" t="inlineStr"/>
    </row>
    <row r="2512" customFormat="1" s="4">
      <c r="A2512" s="6" t="n"/>
      <c r="B2512" s="195" t="inlineStr"/>
      <c r="C2512" s="195" t="inlineStr"/>
      <c r="D2512" s="195" t="inlineStr"/>
      <c r="Q2512" s="159" t="n"/>
      <c r="R2512" s="159" t="n"/>
      <c r="S2512" s="159" t="n"/>
      <c r="T2512" s="159" t="n"/>
      <c r="U2512" s="159" t="n"/>
      <c r="X2512" s="195" t="inlineStr"/>
    </row>
    <row r="2513" s="308">
      <c r="A2513" s="208">
        <f>CONCATENATE("报价人：",项目信息!$B$8)</f>
        <v/>
      </c>
      <c r="B2513" s="208" t="n"/>
      <c r="C2513" s="4" t="n"/>
      <c r="D2513" s="4" t="n"/>
      <c r="E2513" s="4" t="n"/>
      <c r="F2513" s="4" t="n"/>
      <c r="G2513" s="4" t="n"/>
      <c r="H2513" s="178">
        <f>项目信息!$B$9</f>
        <v/>
      </c>
      <c r="Q2513" s="159" t="n"/>
      <c r="R2513" s="159" t="n"/>
      <c r="S2513" s="159" t="n"/>
      <c r="T2513" s="159" t="n"/>
      <c r="U2513" s="159" t="n"/>
      <c r="X2513" s="203" t="inlineStr"/>
    </row>
    <row r="2514" s="308">
      <c r="A2514" s="8">
        <f>T(项目信息!$B$22)</f>
        <v/>
      </c>
      <c r="Q2514" s="159" t="n"/>
      <c r="R2514" s="159" t="n"/>
      <c r="S2514" s="159" t="n"/>
      <c r="T2514" s="159" t="n"/>
      <c r="U2514" s="159" t="n"/>
    </row>
    <row r="2515" s="308">
      <c r="A2515" s="9">
        <f>T(项目信息!$B$23)</f>
        <v/>
      </c>
      <c r="Q2515" s="159" t="n"/>
      <c r="R2515" s="159" t="n"/>
      <c r="S2515" s="159" t="n"/>
      <c r="T2515" s="159" t="n"/>
      <c r="U2515" s="159" t="n"/>
    </row>
    <row r="2516" s="308">
      <c r="A2516" s="97" t="inlineStr">
        <is>
          <t>成套产品报价明细表</t>
        </is>
      </c>
      <c r="B2516" s="378" t="n"/>
      <c r="C2516" s="378" t="n"/>
      <c r="D2516" s="378" t="n"/>
      <c r="E2516" s="378" t="n"/>
      <c r="F2516" s="378" t="n"/>
      <c r="G2516" s="378" t="n"/>
      <c r="H2516" s="378" t="n"/>
      <c r="I2516" s="378" t="n"/>
      <c r="Q2516" s="159" t="n"/>
      <c r="R2516" s="159" t="n"/>
      <c r="S2516" s="159" t="n"/>
      <c r="T2516" s="159" t="n"/>
      <c r="U2516" s="159" t="n"/>
    </row>
    <row r="2517" customFormat="1" s="4">
      <c r="A2517" s="98" t="inlineStr">
        <is>
          <t>柜号:</t>
        </is>
      </c>
      <c r="B2517" s="99" t="inlineStr">
        <is>
          <t>T1-AU11</t>
        </is>
      </c>
      <c r="C2517" s="100" t="inlineStr">
        <is>
          <t>型号:</t>
        </is>
      </c>
      <c r="D2517" s="99" t="inlineStr">
        <is>
          <t>BlokSeT</t>
        </is>
      </c>
      <c r="E2517" s="379" t="n"/>
      <c r="F2517" s="101" t="inlineStr">
        <is>
          <t>名称:</t>
        </is>
      </c>
      <c r="G2517" s="99" t="inlineStr">
        <is>
          <t>进线柜</t>
        </is>
      </c>
      <c r="H2517" s="379" t="n"/>
      <c r="I2517" s="408" t="inlineStr"/>
      <c r="J2517" s="194" t="inlineStr">
        <is>
          <t>箱柜尺寸:</t>
        </is>
      </c>
      <c r="K2517" s="195" t="inlineStr">
        <is>
          <t>600W*1200D*2200H</t>
        </is>
      </c>
      <c r="L2517" s="194" t="inlineStr">
        <is>
          <t>类别:</t>
        </is>
      </c>
      <c r="M2517" s="195" t="inlineStr">
        <is>
          <t>低压固定柜</t>
        </is>
      </c>
      <c r="N2517" s="409" t="inlineStr"/>
      <c r="Q2517" s="159" t="n"/>
      <c r="R2517" s="159" t="n"/>
      <c r="S2517" s="159" t="n"/>
      <c r="T2517" s="159" t="n"/>
      <c r="U2517" s="159" t="n"/>
    </row>
    <row r="2518" ht="20.1" customHeight="1" s="308">
      <c r="A2518" s="102" t="inlineStr">
        <is>
          <t>序号</t>
        </is>
      </c>
      <c r="B2518" s="103" t="inlineStr">
        <is>
          <t>元件名称</t>
        </is>
      </c>
      <c r="C2518" s="103" t="inlineStr">
        <is>
          <t>型号规格</t>
        </is>
      </c>
      <c r="D2518" s="104" t="inlineStr">
        <is>
          <t>生产厂家</t>
        </is>
      </c>
      <c r="E2518" s="105" t="inlineStr">
        <is>
          <t>单位</t>
        </is>
      </c>
      <c r="F2518" s="105" t="inlineStr">
        <is>
          <t>数量</t>
        </is>
      </c>
      <c r="G2518" s="382" t="inlineStr">
        <is>
          <t>单   价</t>
        </is>
      </c>
      <c r="H2518" s="383" t="inlineStr">
        <is>
          <t>总   价</t>
        </is>
      </c>
      <c r="I2518" s="134" t="inlineStr">
        <is>
          <t>备注</t>
        </is>
      </c>
      <c r="J2518" s="384" t="inlineStr">
        <is>
          <t>成本单价</t>
        </is>
      </c>
      <c r="K2518" s="384" t="inlineStr">
        <is>
          <t>成本总价</t>
        </is>
      </c>
      <c r="L2518" s="136" t="inlineStr">
        <is>
          <t>报出
系数</t>
        </is>
      </c>
      <c r="M2518" s="384" t="inlineStr">
        <is>
          <t>表价</t>
        </is>
      </c>
      <c r="N2518" s="136" t="inlineStr">
        <is>
          <t>折扣
系数</t>
        </is>
      </c>
      <c r="O2518" s="137" t="inlineStr">
        <is>
          <t>取费
系数</t>
        </is>
      </c>
      <c r="P2518" s="384" t="inlineStr">
        <is>
          <t>成套费</t>
        </is>
      </c>
      <c r="Q2518" s="161" t="inlineStr">
        <is>
          <t>类别</t>
        </is>
      </c>
      <c r="R2518" s="161" t="inlineStr">
        <is>
          <t>物料编码</t>
        </is>
      </c>
      <c r="S2518" s="161" t="inlineStr">
        <is>
          <t>产地</t>
        </is>
      </c>
      <c r="T2518" s="161" t="inlineStr">
        <is>
          <t>加工费</t>
        </is>
      </c>
      <c r="U2518" s="161" t="inlineStr">
        <is>
          <t>订货号</t>
        </is>
      </c>
      <c r="V2518" s="161" t="inlineStr">
        <is>
          <t>人工</t>
        </is>
      </c>
      <c r="W2518" s="161" t="inlineStr">
        <is>
          <t>辅料</t>
        </is>
      </c>
      <c r="X2518" s="203" t="inlineStr"/>
    </row>
    <row r="2519" s="308">
      <c r="A2519" s="64">
        <f>ROW()-ROW(A$2518)</f>
        <v/>
      </c>
      <c r="B2519" s="22" t="inlineStr">
        <is>
          <t>框架断路器</t>
        </is>
      </c>
      <c r="C2519" s="22" t="inlineStr">
        <is>
          <t>MT10 N1a SG 3P MIC5.0 E</t>
        </is>
      </c>
      <c r="D2519" s="22" t="inlineStr">
        <is>
          <t>甲供/施耐德电气</t>
        </is>
      </c>
      <c r="E2519" s="23" t="inlineStr">
        <is>
          <t>只</t>
        </is>
      </c>
      <c r="F2519" s="23" t="n">
        <v>2</v>
      </c>
      <c r="G2519" s="349">
        <f>IF(AND(B2519="",C2519=""),"",ROUND(M2519*L2519*N2519,2))</f>
        <v/>
      </c>
      <c r="H2519" s="349">
        <f>IF(AND(B2519="",C2519=""),"",ROUND(F2519*G2519,2))</f>
        <v/>
      </c>
      <c r="I2519" s="45" t="inlineStr"/>
      <c r="J2519" s="397">
        <f>IF(AND(B2519="",C2519=""),"",ROUND(M2519*N2519,2))</f>
        <v/>
      </c>
      <c r="K2519" s="398">
        <f>IF(AND(B2519="",C2519=""),"",ROUND(J2519*F2519,2))</f>
        <v/>
      </c>
      <c r="L2519" s="200" t="n">
        <v>1</v>
      </c>
      <c r="M2519" s="399" t="n">
        <v>1e-07</v>
      </c>
      <c r="N2519" s="154" t="n">
        <v>1</v>
      </c>
      <c r="O2519" s="155">
        <f>IF(AND(B2519="",C2519=""),"",IF(G2519&gt;=20000,0.05,IF(G2519&gt;=10000,0.1,IF(G2519&gt;=5000,0.2,IF(G2519&gt;=1000,0.3,IF(G2519&gt;=0,0.4,{0}))))))</f>
        <v/>
      </c>
      <c r="P2519" s="400">
        <f>IF(AND(B2519="",C2519=""),"",ROUND(H2519*O2519,2))</f>
        <v/>
      </c>
      <c r="Q2519" s="401" t="inlineStr">
        <is>
          <t>元件</t>
        </is>
      </c>
      <c r="R2519" s="168" t="inlineStr"/>
      <c r="S2519" s="168" t="inlineStr"/>
      <c r="T2519" s="168" t="inlineStr">
        <is>
          <t>0</t>
        </is>
      </c>
      <c r="U2519" s="168" t="inlineStr">
        <is>
          <t>C16F32D160</t>
        </is>
      </c>
      <c r="V2519" s="402" t="n"/>
      <c r="W2519" s="402" t="n"/>
      <c r="X2519" s="170" t="inlineStr">
        <is>
          <t>NSX630N Mic2.3 630A 3P3D F→NSX630F MIC2.3 630 3P F→NSX630F MIC 2.3 630 3P F</t>
        </is>
      </c>
    </row>
    <row r="2520" customFormat="1" s="3">
      <c r="A2520" s="64">
        <f>ROW()-ROW(A$2518)</f>
        <v/>
      </c>
      <c r="B2520" s="27" t="inlineStr">
        <is>
          <t>塑壳断路器</t>
        </is>
      </c>
      <c r="C2520" s="22" t="inlineStr">
        <is>
          <t>NSX100H TM100D 3P3D P</t>
        </is>
      </c>
      <c r="D2520" s="22" t="inlineStr">
        <is>
          <t>甲供/施耐德电气</t>
        </is>
      </c>
      <c r="E2520" s="110" t="inlineStr">
        <is>
          <t>只</t>
        </is>
      </c>
      <c r="F2520" s="23" t="n">
        <v>3</v>
      </c>
      <c r="G2520" s="349">
        <f>IF(AND(B2520="",C2520=""),"",ROUND(M2520*L2520*N2520,2))</f>
        <v/>
      </c>
      <c r="H2520" s="349">
        <f>IF(AND(B2520="",C2520=""),"",ROUND(F2520*G2520,2))</f>
        <v/>
      </c>
      <c r="I2520" s="45" t="inlineStr"/>
      <c r="J2520" s="392">
        <f>IF(AND(B2520="",C2520=""),"",ROUND(M2520*N2520,2))</f>
        <v/>
      </c>
      <c r="K2520" s="393">
        <f>IF(AND(B2520="",C2520=""),"",ROUND(J2520*F2520,2))</f>
        <v/>
      </c>
      <c r="L2520" s="141">
        <f>IF(AND(B2520="",C2520=""),"",1)</f>
        <v/>
      </c>
      <c r="M2520" s="394" t="n"/>
      <c r="N2520" s="143">
        <f>IF(AND(B2520="",C2520=""),"",1)</f>
        <v/>
      </c>
      <c r="O2520" s="144">
        <f>IF(AND(B2520="",C2520=""),"",IF(G2520&gt;=20000,0.05,IF(G2520&gt;=10000,0.1,IF(G2520&gt;=5000,0.2,IF(G2520&gt;=1000,0.3,IF(G2520&gt;=0,0.4,{0}))))))</f>
        <v/>
      </c>
      <c r="P2520" s="395">
        <f>IF(AND(B2520="",C2520=""),"",ROUND(H2520*O2520,2))</f>
        <v/>
      </c>
      <c r="Q2520" s="390">
        <f>IF(AND(B2520="",C2520=""),"","元件")</f>
        <v/>
      </c>
      <c r="R2520" s="164" t="inlineStr"/>
      <c r="S2520" s="164" t="inlineStr"/>
      <c r="T2520" s="164" t="inlineStr"/>
      <c r="U2520" s="164" t="inlineStr"/>
      <c r="V2520" s="391" t="n"/>
      <c r="W2520" s="391" t="n"/>
      <c r="X2520" s="166" t="inlineStr"/>
    </row>
    <row r="2521" s="308">
      <c r="A2521" s="64">
        <f>ROW()-ROW(A$2518)</f>
        <v/>
      </c>
      <c r="B2521" s="22" t="inlineStr">
        <is>
          <t>电流互感器</t>
        </is>
      </c>
      <c r="C2521" s="22" t="inlineStr">
        <is>
          <t>SD-0.66-80II-V 1000/5A</t>
        </is>
      </c>
      <c r="D2521" s="22" t="inlineStr">
        <is>
          <t>桑迪</t>
        </is>
      </c>
      <c r="E2521" s="23" t="inlineStr">
        <is>
          <t>只</t>
        </is>
      </c>
      <c r="F2521" s="23" t="n">
        <v>6</v>
      </c>
      <c r="G2521" s="349">
        <f>IF(AND(B2521="",C2521=""),"",ROUND(M2521*L2521*N2521,2))</f>
        <v/>
      </c>
      <c r="H2521" s="396">
        <f>IF(AND(B2521="",C2521=""),"",ROUND(F2521*G2521,2))</f>
        <v/>
      </c>
      <c r="I2521" s="219" t="inlineStr"/>
      <c r="J2521" s="397">
        <f>IF(AND(B2521="",C2521=""),"",ROUND(M2521*N2521,2))</f>
        <v/>
      </c>
      <c r="K2521" s="398">
        <f>IF(AND(B2521="",C2521=""),"",ROUND(J2521*F2521,2))</f>
        <v/>
      </c>
      <c r="L2521" s="200" t="n">
        <v>1</v>
      </c>
      <c r="M2521" s="399" t="n">
        <v>91.65000000000001</v>
      </c>
      <c r="N2521" s="154" t="n">
        <v>1</v>
      </c>
      <c r="O2521" s="155">
        <f>IF(AND(B2521="",C2521=""),"",IF(G2521&gt;=20000,0.05,IF(G2521&gt;=10000,0.1,IF(G2521&gt;=5000,0.2,IF(G2521&gt;=1000,0.3,IF(G2521&gt;=0,0.4,{0}))))))</f>
        <v/>
      </c>
      <c r="P2521" s="400">
        <f>IF(AND(B2521="",C2521=""),"",ROUND(H2521*O2521,2))</f>
        <v/>
      </c>
      <c r="Q2521" s="401" t="inlineStr">
        <is>
          <t>元件</t>
        </is>
      </c>
      <c r="R2521" s="168" t="inlineStr"/>
      <c r="S2521" s="168" t="inlineStr"/>
      <c r="T2521" s="168" t="inlineStr">
        <is>
          <t>0</t>
        </is>
      </c>
      <c r="U2521" s="168" t="inlineStr">
        <is>
          <t>710141426552500</t>
        </is>
      </c>
      <c r="V2521" s="402" t="n"/>
      <c r="W2521" s="402" t="n"/>
      <c r="X2521" s="170" t="inlineStr">
        <is>
          <t>SD→SD-0.66-40II-C 400/5A→SD-0.66-30I 250/5A→SD-0.66-30I 150/5A→SD-0.66-60II-C 750/5A→SD-0.66-60II-C 600/5A→SD-0.66-30I 150/5A→SD-0.66-40II-C 400/5A→SD-0.66-100II-C 1600/5A→SD-0.66-80II-V 1000/5A→SD-0.66-80II-V 1250/5A</t>
        </is>
      </c>
    </row>
    <row r="2522" s="308">
      <c r="A2522" s="64">
        <f>ROW()-ROW(A$2518)</f>
        <v/>
      </c>
      <c r="B2522" s="22" t="inlineStr">
        <is>
          <t>电流互感器</t>
        </is>
      </c>
      <c r="C2522" s="22" t="inlineStr">
        <is>
          <t>SD-0.66-M8 100/5A</t>
        </is>
      </c>
      <c r="D2522" s="22" t="inlineStr">
        <is>
          <t>桑迪</t>
        </is>
      </c>
      <c r="E2522" s="23" t="inlineStr">
        <is>
          <t>只</t>
        </is>
      </c>
      <c r="F2522" s="23" t="n">
        <v>9</v>
      </c>
      <c r="G2522" s="349">
        <f>IF(AND(B2522="",C2522=""),"",ROUND(M2522*L2522*N2522,2))</f>
        <v/>
      </c>
      <c r="H2522" s="396">
        <f>IF(AND(B2522="",C2522=""),"",ROUND(F2522*G2522,2))</f>
        <v/>
      </c>
      <c r="I2522" s="219" t="inlineStr"/>
      <c r="J2522" s="397">
        <f>IF(AND(B2522="",C2522=""),"",ROUND(M2522*N2522,2))</f>
        <v/>
      </c>
      <c r="K2522" s="398">
        <f>IF(AND(B2522="",C2522=""),"",ROUND(J2522*F2522,2))</f>
        <v/>
      </c>
      <c r="L2522" s="200" t="n">
        <v>1</v>
      </c>
      <c r="M2522" s="399" t="n">
        <v>61.75</v>
      </c>
      <c r="N2522" s="154" t="n">
        <v>1</v>
      </c>
      <c r="O2522" s="155">
        <f>IF(AND(B2522="",C2522=""),"",IF(G2522&gt;=20000,0.05,IF(G2522&gt;=10000,0.1,IF(G2522&gt;=5000,0.2,IF(G2522&gt;=1000,0.3,IF(G2522&gt;=0,0.4,{0}))))))</f>
        <v/>
      </c>
      <c r="P2522" s="400">
        <f>IF(AND(B2522="",C2522=""),"",ROUND(H2522*O2522,2))</f>
        <v/>
      </c>
      <c r="Q2522" s="401" t="inlineStr">
        <is>
          <t>元件</t>
        </is>
      </c>
      <c r="R2522" s="168" t="inlineStr"/>
      <c r="S2522" s="168" t="inlineStr"/>
      <c r="T2522" s="168" t="inlineStr">
        <is>
          <t>0</t>
        </is>
      </c>
      <c r="U2522" s="168" t="inlineStr">
        <is>
          <t>710140200000049</t>
        </is>
      </c>
      <c r="V2522" s="402" t="n"/>
      <c r="W2522" s="402" t="n"/>
      <c r="X2522" s="170" t="inlineStr">
        <is>
          <t>SD→SD-0.66-40II-C 400/5A→SD-0.66-30I 250/5A→SD-0.66-30I 150/5A→SD-0.66-60II-C 750/5A→SD-0.66-60II-C 600/5A→SD-0.66-30I 150/5A→SD-0.66-40II-C 400/5A→SD-0.66-100II-C 1600/5A→SD-0.66-80II-V 1000/5A→SD-0.66-30I 250/5A</t>
        </is>
      </c>
    </row>
    <row r="2523" s="308">
      <c r="A2523" s="64">
        <f>ROW()-ROW(A$2518)</f>
        <v/>
      </c>
      <c r="B2523" s="112" t="inlineStr">
        <is>
          <t>多功能表</t>
        </is>
      </c>
      <c r="C2523" s="112" t="inlineStr">
        <is>
          <t>PM4101</t>
        </is>
      </c>
      <c r="D2523" s="112" t="inlineStr">
        <is>
          <t>甲供/施耐德电气</t>
        </is>
      </c>
      <c r="E2523" s="114" t="inlineStr">
        <is>
          <t>只</t>
        </is>
      </c>
      <c r="F2523" s="114" t="n">
        <v>5</v>
      </c>
      <c r="G2523" s="396">
        <f>IF(AND(B2523="",C2523=""),"",ROUND(M2523*L2523*N2523,2))</f>
        <v/>
      </c>
      <c r="H2523" s="349">
        <f>IF(AND(B2523="",C2523=""),"",ROUND(F2523*G2523,2))</f>
        <v/>
      </c>
      <c r="I2523" s="45" t="inlineStr"/>
      <c r="J2523" s="397">
        <f>IF(AND(B2523="",C2523=""),"",ROUND(M2523*N2523,2))</f>
        <v/>
      </c>
      <c r="K2523" s="398">
        <f>IF(AND(B2523="",C2523=""),"",ROUND(J2523*F2523,2))</f>
        <v/>
      </c>
      <c r="L2523" s="200" t="n">
        <v>1</v>
      </c>
      <c r="M2523" s="399" t="n">
        <v>1e-07</v>
      </c>
      <c r="N2523" s="154" t="n">
        <v>1</v>
      </c>
      <c r="O2523" s="155">
        <f>IF(AND(B2523="",C2523=""),"",IF(J2523&gt;=20000,0.05,IF(J2523&gt;=10000,0.1,IF(J2523&gt;=5000,0.2,IF(J2523&gt;=1000,0.3,IF(J2523&gt;=0,0.4,{0}))))))</f>
        <v/>
      </c>
      <c r="P2523" s="400">
        <f>IF(AND(B2523="",C2523=""),"",ROUND(H2523*O2523,2))</f>
        <v/>
      </c>
      <c r="Q2523" s="401" t="inlineStr">
        <is>
          <t>元件</t>
        </is>
      </c>
      <c r="R2523" s="168" t="inlineStr"/>
      <c r="S2523" s="168" t="inlineStr"/>
      <c r="T2523" s="168" t="inlineStr">
        <is>
          <t>0</t>
        </is>
      </c>
      <c r="U2523" s="168" t="inlineStr"/>
      <c r="V2523" s="402" t="n"/>
      <c r="W2523" s="402" t="n"/>
      <c r="X2523" s="170" t="inlineStr"/>
    </row>
    <row r="2524" customFormat="1" s="3">
      <c r="A2524" s="64">
        <f>ROW()-ROW(A$2518)</f>
        <v/>
      </c>
      <c r="B2524" s="27" t="inlineStr">
        <is>
          <t>后备保护器</t>
        </is>
      </c>
      <c r="C2524" s="22" t="inlineStr">
        <is>
          <t>iSCB2 40H2 4P</t>
        </is>
      </c>
      <c r="D2524" s="22" t="inlineStr">
        <is>
          <t>甲供/施耐德万高</t>
        </is>
      </c>
      <c r="E2524" s="110" t="inlineStr">
        <is>
          <t>只</t>
        </is>
      </c>
      <c r="F2524" s="23" t="n">
        <v>1</v>
      </c>
      <c r="G2524" s="349">
        <f>IF(AND(B2524="",C2524=""),"",ROUND(M2524*L2524*N2524,2))</f>
        <v/>
      </c>
      <c r="H2524" s="349">
        <f>IF(AND(B2524="",C2524=""),"",ROUND(F2524*G2524,2))</f>
        <v/>
      </c>
      <c r="I2524" s="45" t="inlineStr"/>
      <c r="J2524" s="392">
        <f>IF(AND(B2524="",C2524=""),"",ROUND(M2524*N2524,2))</f>
        <v/>
      </c>
      <c r="K2524" s="393">
        <f>IF(AND(B2524="",C2524=""),"",ROUND(J2524*F2524,2))</f>
        <v/>
      </c>
      <c r="L2524" s="141" t="n">
        <v>1</v>
      </c>
      <c r="M2524" s="394" t="n">
        <v>1e-07</v>
      </c>
      <c r="N2524" s="143" t="n">
        <v>1</v>
      </c>
      <c r="O2524" s="144">
        <f>IF(AND(B2524="",C2524=""),"",IF(G2524&gt;=20000,0.05,IF(G2524&gt;=10000,0.1,IF(G2524&gt;=5000,0.2,IF(G2524&gt;=1000,0.3,IF(G2524&gt;=0,0.4,{0}))))))</f>
        <v/>
      </c>
      <c r="P2524" s="395">
        <f>IF(AND(B2524="",C2524=""),"",ROUND(H2524*O2524,2))</f>
        <v/>
      </c>
      <c r="Q2524" s="390" t="inlineStr">
        <is>
          <t>元件</t>
        </is>
      </c>
      <c r="R2524" s="164" t="inlineStr"/>
      <c r="S2524" s="164" t="inlineStr"/>
      <c r="T2524" s="164" t="inlineStr">
        <is>
          <t>0</t>
        </is>
      </c>
      <c r="U2524" s="164" t="inlineStr">
        <is>
          <t>A9L102554</t>
        </is>
      </c>
      <c r="V2524" s="391" t="n"/>
      <c r="W2524" s="391" t="n"/>
      <c r="X2524" s="166" t="inlineStr">
        <is>
          <t>iSCB1 25L1 4P→iSCB2 40H2 4P</t>
        </is>
      </c>
    </row>
    <row r="2525" customFormat="1" s="3">
      <c r="A2525" s="64">
        <f>ROW()-ROW(A$2518)</f>
        <v/>
      </c>
      <c r="B2525" s="27" t="inlineStr">
        <is>
          <t>电涌保护器</t>
        </is>
      </c>
      <c r="C2525" s="22" t="inlineStr">
        <is>
          <t>iPRU 40r 3P+N</t>
        </is>
      </c>
      <c r="D2525" s="22" t="inlineStr">
        <is>
          <t>甲供/施耐德万高</t>
        </is>
      </c>
      <c r="E2525" s="110" t="inlineStr">
        <is>
          <t>只</t>
        </is>
      </c>
      <c r="F2525" s="23" t="n">
        <v>1</v>
      </c>
      <c r="G2525" s="349">
        <f>IF(AND(B2525="",C2525=""),"",ROUND(M2525*L2525*N2525,2))</f>
        <v/>
      </c>
      <c r="H2525" s="349">
        <f>IF(AND(B2525="",C2525=""),"",ROUND(F2525*G2525,2))</f>
        <v/>
      </c>
      <c r="I2525" s="45" t="inlineStr"/>
      <c r="J2525" s="392">
        <f>IF(AND(B2525="",C2525=""),"",ROUND(M2525*N2525,2))</f>
        <v/>
      </c>
      <c r="K2525" s="393">
        <f>IF(AND(B2525="",C2525=""),"",ROUND(J2525*F2525,2))</f>
        <v/>
      </c>
      <c r="L2525" s="141" t="n">
        <v>1</v>
      </c>
      <c r="M2525" s="394" t="n">
        <v>1e-07</v>
      </c>
      <c r="N2525" s="143" t="n">
        <v>1</v>
      </c>
      <c r="O2525" s="144">
        <f>IF(AND(B2525="",C2525=""),"",IF(G2525&gt;=20000,0.05,IF(G2525&gt;=10000,0.1,IF(G2525&gt;=5000,0.2,IF(G2525&gt;=1000,0.3,IF(G2525&gt;=0,0.4,{0}))))))</f>
        <v/>
      </c>
      <c r="P2525" s="395">
        <f>IF(AND(B2525="",C2525=""),"",ROUND(H2525*O2525,2))</f>
        <v/>
      </c>
      <c r="Q2525" s="390" t="inlineStr">
        <is>
          <t>元件</t>
        </is>
      </c>
      <c r="R2525" s="164" t="inlineStr"/>
      <c r="S2525" s="164" t="inlineStr"/>
      <c r="T2525" s="164" t="inlineStr">
        <is>
          <t>0</t>
        </is>
      </c>
      <c r="U2525" s="164" t="inlineStr">
        <is>
          <t>A9L620601</t>
        </is>
      </c>
      <c r="V2525" s="391" t="n"/>
      <c r="W2525" s="391" t="n"/>
      <c r="X2525" s="166" t="inlineStr">
        <is>
          <t>iPRF1 12.5r 3P+N→iPRU 40r 3P→iPRF1 12.5r 3P+N</t>
        </is>
      </c>
    </row>
    <row r="2526" customFormat="1" s="3">
      <c r="A2526" s="64">
        <f>ROW()-ROW(A$2518)</f>
        <v/>
      </c>
      <c r="B2526" s="27" t="inlineStr">
        <is>
          <t>微型断路器</t>
        </is>
      </c>
      <c r="C2526" s="22" t="inlineStr">
        <is>
          <t>iC65H 2P C16A</t>
        </is>
      </c>
      <c r="D2526" s="22" t="inlineStr">
        <is>
          <t>甲供/施耐德电气</t>
        </is>
      </c>
      <c r="E2526" s="110" t="inlineStr">
        <is>
          <t>只</t>
        </is>
      </c>
      <c r="F2526" s="23" t="n">
        <v>1</v>
      </c>
      <c r="G2526" s="349">
        <f>IF(AND(B2526="",C2526=""),"",ROUND(M2526*L2526*N2526,2))</f>
        <v/>
      </c>
      <c r="H2526" s="349">
        <f>IF(AND(B2526="",C2526=""),"",ROUND(F2526*G2526,2))</f>
        <v/>
      </c>
      <c r="I2526" s="45" t="inlineStr"/>
      <c r="J2526" s="392">
        <f>IF(AND(B2526="",C2526=""),"",ROUND(M2526*N2526,2))</f>
        <v/>
      </c>
      <c r="K2526" s="393">
        <f>IF(AND(B2526="",C2526=""),"",ROUND(J2526*F2526,2))</f>
        <v/>
      </c>
      <c r="L2526" s="141" t="n">
        <v>1</v>
      </c>
      <c r="M2526" s="394" t="n">
        <v>1e-07</v>
      </c>
      <c r="N2526" s="143" t="n">
        <v>1</v>
      </c>
      <c r="O2526" s="144">
        <f>IF(AND(B2526="",C2526=""),"",IF(G2526&gt;=20000,0.05,IF(G2526&gt;=10000,0.1,IF(G2526&gt;=5000,0.2,IF(G2526&gt;=1000,0.3,IF(G2526&gt;=0,0.4,{0}))))))</f>
        <v/>
      </c>
      <c r="P2526" s="395">
        <f>IF(AND(B2526="",C2526=""),"",ROUND(H2526*O2526,2))</f>
        <v/>
      </c>
      <c r="Q2526" s="390" t="inlineStr">
        <is>
          <t>元件</t>
        </is>
      </c>
      <c r="R2526" s="164" t="inlineStr"/>
      <c r="S2526" s="164" t="inlineStr"/>
      <c r="T2526" s="164" t="n">
        <v>0</v>
      </c>
      <c r="U2526" s="164" t="inlineStr"/>
      <c r="V2526" s="391" t="n"/>
      <c r="W2526" s="391" t="n"/>
      <c r="X2526" s="166" t="inlineStr"/>
    </row>
    <row r="2527" customFormat="1" s="3">
      <c r="A2527" s="64">
        <f>ROW()-ROW(A$2518)</f>
        <v/>
      </c>
      <c r="B2527" s="22" t="inlineStr">
        <is>
          <t>指示灯</t>
        </is>
      </c>
      <c r="C2527" s="22" t="inlineStr">
        <is>
          <t>XB2BVM3LC</t>
        </is>
      </c>
      <c r="D2527" s="22" t="inlineStr">
        <is>
          <t>甲供/施耐德电气</t>
        </is>
      </c>
      <c r="E2527" s="23" t="inlineStr">
        <is>
          <t>只</t>
        </is>
      </c>
      <c r="F2527" s="23" t="n">
        <v>5</v>
      </c>
      <c r="G2527" s="349">
        <f>IF(AND(B2527="",C2527=""),"",ROUND(M2527*L2527*N2527,2))</f>
        <v/>
      </c>
      <c r="H2527" s="353">
        <f>IF(AND(B2527="",C2527=""),"",ROUND(F2527*G2527,2))</f>
        <v/>
      </c>
      <c r="I2527" s="180" t="inlineStr"/>
      <c r="J2527" s="392">
        <f>IF(AND(B2527="",C2527=""),"",ROUND(M2527*N2527,2))</f>
        <v/>
      </c>
      <c r="K2527" s="393">
        <f>IF(AND(B2527="",C2527=""),"",ROUND(J2527*F2527,2))</f>
        <v/>
      </c>
      <c r="L2527" s="141" t="n">
        <v>1</v>
      </c>
      <c r="M2527" s="394" t="n">
        <v>1e-07</v>
      </c>
      <c r="N2527" s="220" t="n">
        <v>1</v>
      </c>
      <c r="O2527" s="221">
        <f>IF(AND(B2527="",C2527=""),"",IF(G2527&gt;=20000,0.05,IF(G2527&gt;=10000,0.1,IF(G2527&gt;=5000,0.2,IF(G2527&gt;=1000,0.3,IF(G2527&gt;=0,0.4,{0}))))))</f>
        <v/>
      </c>
      <c r="P2527" s="419">
        <f>IF(AND(B2527="",C2527=""),"",ROUND(H2527*O2527,2))</f>
        <v/>
      </c>
      <c r="Q2527" s="420" t="inlineStr">
        <is>
          <t>元件</t>
        </is>
      </c>
      <c r="R2527" s="231" t="inlineStr"/>
      <c r="S2527" s="231" t="inlineStr"/>
      <c r="T2527" s="231" t="inlineStr">
        <is>
          <t>0</t>
        </is>
      </c>
      <c r="U2527" s="231" t="inlineStr">
        <is>
          <t>XB2BVM3LC</t>
        </is>
      </c>
      <c r="V2527" s="421" t="n"/>
      <c r="W2527" s="421" t="n"/>
      <c r="X2527" s="166" t="inlineStr">
        <is>
          <t>XA2EVM3LC</t>
        </is>
      </c>
    </row>
    <row r="2528" customFormat="1" s="3">
      <c r="A2528" s="64">
        <f>ROW()-ROW(A$2518)</f>
        <v/>
      </c>
      <c r="B2528" s="22" t="inlineStr">
        <is>
          <t>指示灯</t>
        </is>
      </c>
      <c r="C2528" s="22" t="inlineStr">
        <is>
          <t>XB2BVM4LC</t>
        </is>
      </c>
      <c r="D2528" s="22" t="inlineStr">
        <is>
          <t>甲供/施耐德电气</t>
        </is>
      </c>
      <c r="E2528" s="23" t="inlineStr">
        <is>
          <t>只</t>
        </is>
      </c>
      <c r="F2528" s="23" t="n">
        <v>5</v>
      </c>
      <c r="G2528" s="349">
        <f>IF(AND(B2528="",C2528=""),"",ROUND(M2528*L2528*N2528,2))</f>
        <v/>
      </c>
      <c r="H2528" s="353">
        <f>IF(AND(B2528="",C2528=""),"",ROUND(F2528*G2528,2))</f>
        <v/>
      </c>
      <c r="I2528" s="180" t="inlineStr"/>
      <c r="J2528" s="392">
        <f>IF(AND(B2528="",C2528=""),"",ROUND(M2528*N2528,2))</f>
        <v/>
      </c>
      <c r="K2528" s="393">
        <f>IF(AND(B2528="",C2528=""),"",ROUND(J2528*F2528,2))</f>
        <v/>
      </c>
      <c r="L2528" s="141" t="n">
        <v>1</v>
      </c>
      <c r="M2528" s="394" t="n">
        <v>1e-07</v>
      </c>
      <c r="N2528" s="220" t="n">
        <v>1</v>
      </c>
      <c r="O2528" s="221">
        <f>IF(AND(B2528="",C2528=""),"",IF(G2528&gt;=20000,0.05,IF(G2528&gt;=10000,0.1,IF(G2528&gt;=5000,0.2,IF(G2528&gt;=1000,0.3,IF(G2528&gt;=0,0.4,{0}))))))</f>
        <v/>
      </c>
      <c r="P2528" s="419">
        <f>IF(AND(B2528="",C2528=""),"",ROUND(H2528*O2528,2))</f>
        <v/>
      </c>
      <c r="Q2528" s="420" t="inlineStr">
        <is>
          <t>元件</t>
        </is>
      </c>
      <c r="R2528" s="231" t="inlineStr"/>
      <c r="S2528" s="231" t="inlineStr"/>
      <c r="T2528" s="231" t="inlineStr">
        <is>
          <t>0</t>
        </is>
      </c>
      <c r="U2528" s="231" t="inlineStr">
        <is>
          <t>XB2BVM4LC</t>
        </is>
      </c>
      <c r="V2528" s="421" t="n"/>
      <c r="W2528" s="421" t="n"/>
      <c r="X2528" s="166" t="inlineStr">
        <is>
          <t>XA2EVM4LC</t>
        </is>
      </c>
    </row>
    <row r="2529" s="308">
      <c r="A2529" s="64">
        <f>ROW()-ROW(A$2518)</f>
        <v/>
      </c>
      <c r="B2529" s="112" t="inlineStr">
        <is>
          <t>指示灯</t>
        </is>
      </c>
      <c r="C2529" s="112" t="inlineStr">
        <is>
          <t>XB2BVM5LC</t>
        </is>
      </c>
      <c r="D2529" s="112" t="inlineStr">
        <is>
          <t>甲供/施耐德电气</t>
        </is>
      </c>
      <c r="E2529" s="114" t="inlineStr">
        <is>
          <t>只</t>
        </is>
      </c>
      <c r="F2529" s="114" t="n">
        <v>2</v>
      </c>
      <c r="G2529" s="396">
        <f>IF(AND(B2529="",C2529=""),"",ROUND(M2529*L2529*N2529,2))</f>
        <v/>
      </c>
      <c r="H2529" s="396">
        <f>IF(AND(B2529="",C2529=""),"",ROUND(F2529*G2529,2))</f>
        <v/>
      </c>
      <c r="I2529" s="150" t="inlineStr"/>
      <c r="J2529" s="397">
        <f>IF(AND(B2529="",C2529=""),"",ROUND(M2529*N2529,2))</f>
        <v/>
      </c>
      <c r="K2529" s="398">
        <f>IF(AND(B2529="",C2529=""),"",ROUND(J2529*F2529,2))</f>
        <v/>
      </c>
      <c r="L2529" s="141" t="n">
        <v>1</v>
      </c>
      <c r="M2529" s="399" t="n">
        <v>1e-07</v>
      </c>
      <c r="N2529" s="154" t="n">
        <v>1</v>
      </c>
      <c r="O2529" s="155">
        <f>IF(AND(B2529="",C2529=""),"",IF(G2529&gt;=20000,0.05,IF(G2529&gt;=10000,0.1,IF(G2529&gt;=5000,0.2,IF(G2529&gt;=1000,0.3,IF(G2529&gt;=0,0.4,{0}))))))</f>
        <v/>
      </c>
      <c r="P2529" s="400">
        <f>IF(AND(B2529="",C2529=""),"",ROUND(H2529*O2529,2))</f>
        <v/>
      </c>
      <c r="Q2529" s="401" t="inlineStr">
        <is>
          <t>元件</t>
        </is>
      </c>
      <c r="R2529" s="168" t="inlineStr"/>
      <c r="S2529" s="168" t="inlineStr"/>
      <c r="T2529" s="168" t="inlineStr">
        <is>
          <t>0</t>
        </is>
      </c>
      <c r="U2529" s="168" t="inlineStr">
        <is>
          <t>XA2EVM5LC</t>
        </is>
      </c>
      <c r="V2529" s="402" t="n"/>
      <c r="W2529" s="402" t="n"/>
      <c r="X2529" s="170" t="inlineStr"/>
    </row>
    <row r="2530" s="308">
      <c r="A2530" s="64">
        <f>ROW()-ROW(A$2518)</f>
        <v/>
      </c>
      <c r="B2530" s="112" t="inlineStr">
        <is>
          <t>按钮</t>
        </is>
      </c>
      <c r="C2530" s="112" t="inlineStr">
        <is>
          <t>XB2BA31C</t>
        </is>
      </c>
      <c r="D2530" s="112" t="inlineStr">
        <is>
          <t>甲供/施耐德电气</t>
        </is>
      </c>
      <c r="E2530" s="114" t="inlineStr">
        <is>
          <t>只</t>
        </is>
      </c>
      <c r="F2530" s="114" t="n">
        <v>2</v>
      </c>
      <c r="G2530" s="396">
        <f>IF(AND(B2530="",C2530=""),"",ROUND(M2530*L2530*N2530,2))</f>
        <v/>
      </c>
      <c r="H2530" s="396">
        <f>IF(AND(B2530="",C2530=""),"",ROUND(F2530*G2530,2))</f>
        <v/>
      </c>
      <c r="I2530" s="150" t="inlineStr"/>
      <c r="J2530" s="397">
        <f>IF(AND(B2530="",C2530=""),"",ROUND(M2530*N2530,2))</f>
        <v/>
      </c>
      <c r="K2530" s="398">
        <f>IF(AND(B2530="",C2530=""),"",ROUND(J2530*F2530,2))</f>
        <v/>
      </c>
      <c r="L2530" s="141" t="n">
        <v>1</v>
      </c>
      <c r="M2530" s="399" t="n">
        <v>1e-07</v>
      </c>
      <c r="N2530" s="154" t="n">
        <v>1</v>
      </c>
      <c r="O2530" s="155">
        <f>IF(AND(B2530="",C2530=""),"",IF(G2530&gt;=20000,0.05,IF(G2530&gt;=10000,0.1,IF(G2530&gt;=5000,0.2,IF(G2530&gt;=1000,0.3,IF(G2530&gt;=0,0.4,{0}))))))</f>
        <v/>
      </c>
      <c r="P2530" s="400">
        <f>IF(AND(B2530="",C2530=""),"",ROUND(H2530*O2530,2))</f>
        <v/>
      </c>
      <c r="Q2530" s="401" t="inlineStr">
        <is>
          <t>元件</t>
        </is>
      </c>
      <c r="R2530" s="168" t="inlineStr"/>
      <c r="S2530" s="168" t="inlineStr"/>
      <c r="T2530" s="168" t="inlineStr">
        <is>
          <t>0</t>
        </is>
      </c>
      <c r="U2530" s="168" t="inlineStr">
        <is>
          <t>XB2BA31C</t>
        </is>
      </c>
      <c r="V2530" s="402" t="n"/>
      <c r="W2530" s="402" t="n"/>
      <c r="X2530" s="170" t="inlineStr">
        <is>
          <t>XA2EA31</t>
        </is>
      </c>
    </row>
    <row r="2531" s="308">
      <c r="A2531" s="64">
        <f>ROW()-ROW(A$2518)</f>
        <v/>
      </c>
      <c r="B2531" s="22" t="inlineStr">
        <is>
          <t>按钮</t>
        </is>
      </c>
      <c r="C2531" s="22" t="inlineStr">
        <is>
          <t>XB2BA42C</t>
        </is>
      </c>
      <c r="D2531" s="22" t="inlineStr">
        <is>
          <t>甲供/施耐德电气</t>
        </is>
      </c>
      <c r="E2531" s="23" t="inlineStr">
        <is>
          <t>只</t>
        </is>
      </c>
      <c r="F2531" s="23" t="n">
        <v>2</v>
      </c>
      <c r="G2531" s="349">
        <f>IF(AND(B2531="",C2531=""),"",ROUND(M2531*L2531*N2531,2))</f>
        <v/>
      </c>
      <c r="H2531" s="396">
        <f>IF(AND(B2531="",C2531=""),"",ROUND(F2531*G2531,2))</f>
        <v/>
      </c>
      <c r="I2531" s="150" t="inlineStr"/>
      <c r="J2531" s="397">
        <f>IF(AND(B2531="",C2531=""),"",ROUND(M2531*N2531,2))</f>
        <v/>
      </c>
      <c r="K2531" s="398">
        <f>IF(AND(B2531="",C2531=""),"",ROUND(J2531*F2531,2))</f>
        <v/>
      </c>
      <c r="L2531" s="141" t="n">
        <v>1</v>
      </c>
      <c r="M2531" s="399" t="n">
        <v>1e-07</v>
      </c>
      <c r="N2531" s="154" t="n">
        <v>1</v>
      </c>
      <c r="O2531" s="155">
        <f>IF(AND(B2531="",C2531=""),"",IF(G2531&gt;=20000,0.05,IF(G2531&gt;=10000,0.1,IF(G2531&gt;=5000,0.2,IF(G2531&gt;=1000,0.3,IF(G2531&gt;=0,0.4,{0}))))))</f>
        <v/>
      </c>
      <c r="P2531" s="400">
        <f>IF(AND(B2531="",C2531=""),"",ROUND(H2531*O2531,2))</f>
        <v/>
      </c>
      <c r="Q2531" s="401" t="inlineStr">
        <is>
          <t>元件</t>
        </is>
      </c>
      <c r="R2531" s="168" t="inlineStr"/>
      <c r="S2531" s="168" t="inlineStr"/>
      <c r="T2531" s="168" t="inlineStr">
        <is>
          <t>0</t>
        </is>
      </c>
      <c r="U2531" s="168" t="inlineStr">
        <is>
          <t>XB2BA42C</t>
        </is>
      </c>
      <c r="V2531" s="402" t="n"/>
      <c r="W2531" s="402" t="n"/>
      <c r="X2531" s="170" t="inlineStr">
        <is>
          <t>XA2EA41</t>
        </is>
      </c>
    </row>
    <row r="2532" s="308">
      <c r="A2532" s="64">
        <f>ROW()-ROW(A$2518)</f>
        <v/>
      </c>
      <c r="B2532" s="112" t="inlineStr">
        <is>
          <t>温湿度控制器</t>
        </is>
      </c>
      <c r="C2532" s="112" t="inlineStr">
        <is>
          <t>ATH48G-11</t>
        </is>
      </c>
      <c r="D2532" s="22" t="inlineStr">
        <is>
          <t>杭州安廷</t>
        </is>
      </c>
      <c r="E2532" s="23" t="inlineStr">
        <is>
          <t>套</t>
        </is>
      </c>
      <c r="F2532" s="23" t="n">
        <v>1</v>
      </c>
      <c r="G2532" s="349">
        <f>IF(AND(B2532="",C2532=""),"",ROUND(M2532*L2532*N2532,2))</f>
        <v/>
      </c>
      <c r="H2532" s="396">
        <f>IF(AND(B2532="",C2532=""),"",ROUND(F2532*G2532,2))</f>
        <v/>
      </c>
      <c r="I2532" s="150" t="inlineStr"/>
      <c r="J2532" s="397">
        <f>IF(AND(B2532="",C2532=""),"",ROUND(M2532*N2532,2))</f>
        <v/>
      </c>
      <c r="K2532" s="398">
        <f>IF(AND(B2532="",C2532=""),"",ROUND(J2532*F2532,2))</f>
        <v/>
      </c>
      <c r="L2532" s="141" t="n">
        <v>1</v>
      </c>
      <c r="M2532" s="399" t="n">
        <v>450</v>
      </c>
      <c r="N2532" s="154" t="n">
        <v>1</v>
      </c>
      <c r="O2532" s="155">
        <f>IF(AND(B2532="",C2532=""),"",IF(G2532&gt;=20000,0.05,IF(G2532&gt;=10000,0.1,IF(G2532&gt;=5000,0.2,IF(G2532&gt;=1000,0.3,IF(G2532&gt;=0,0.4,{0}))))))</f>
        <v/>
      </c>
      <c r="P2532" s="400">
        <f>IF(AND(B2532="",C2532=""),"",ROUND(H2532*O2532,2))</f>
        <v/>
      </c>
      <c r="Q2532" s="401" t="inlineStr">
        <is>
          <t>元件</t>
        </is>
      </c>
      <c r="R2532" s="168" t="inlineStr"/>
      <c r="S2532" s="168" t="inlineStr"/>
      <c r="T2532" s="168" t="inlineStr">
        <is>
          <t>0</t>
        </is>
      </c>
      <c r="U2532" s="168" t="inlineStr"/>
      <c r="V2532" s="402" t="n"/>
      <c r="W2532" s="402" t="n"/>
      <c r="X2532" s="170" t="inlineStr"/>
    </row>
    <row r="2533" s="308">
      <c r="A2533" s="64">
        <f>ROW()-ROW(A$2518)</f>
        <v/>
      </c>
      <c r="B2533" s="22" t="inlineStr">
        <is>
          <t>中间继电器</t>
        </is>
      </c>
      <c r="C2533" s="22" t="inlineStr">
        <is>
          <t>RXM4AB2P7+RXZE2S114M+RXZ400</t>
        </is>
      </c>
      <c r="D2533" s="22" t="inlineStr">
        <is>
          <t>甲供/施耐德电气</t>
        </is>
      </c>
      <c r="E2533" s="23" t="inlineStr">
        <is>
          <t>只</t>
        </is>
      </c>
      <c r="F2533" s="23" t="n">
        <v>10</v>
      </c>
      <c r="G2533" s="349">
        <f>IF(AND(B2533="",C2533=""),"",ROUND(M2533*L2533*N2533,2))</f>
        <v/>
      </c>
      <c r="H2533" s="349">
        <f>IF(AND(B2533="",C2533=""),"",ROUND(F2533*G2533,2))</f>
        <v/>
      </c>
      <c r="I2533" s="45" t="inlineStr"/>
      <c r="J2533" s="397">
        <f>IF(AND(B2533="",C2533=""),"",ROUND(M2533*N2533,2))</f>
        <v/>
      </c>
      <c r="K2533" s="398">
        <f>IF(AND(B2533="",C2533=""),"",ROUND(J2533*F2533,2))</f>
        <v/>
      </c>
      <c r="L2533" s="141" t="n">
        <v>1</v>
      </c>
      <c r="M2533" s="399" t="n">
        <v>1e-07</v>
      </c>
      <c r="N2533" s="154" t="n">
        <v>1</v>
      </c>
      <c r="O2533" s="155">
        <f>IF(AND(B2533="",C2533=""),"",IF(G2533&gt;=20000,0.05,IF(G2533&gt;=10000,0.1,IF(G2533&gt;=5000,0.2,IF(G2533&gt;=1000,0.3,IF(G2533&gt;=0,0.4,{0}))))))</f>
        <v/>
      </c>
      <c r="P2533" s="400">
        <f>IF(AND(B2533="",C2533=""),"",ROUND(H2533*O2533,2))</f>
        <v/>
      </c>
      <c r="Q2533" s="401" t="inlineStr">
        <is>
          <t>元件</t>
        </is>
      </c>
      <c r="R2533" s="168" t="inlineStr"/>
      <c r="S2533" s="168" t="inlineStr"/>
      <c r="T2533" s="168" t="inlineStr">
        <is>
          <t>0</t>
        </is>
      </c>
      <c r="U2533" s="168" t="inlineStr">
        <is>
          <t>RXM4AB2P7+RXZE2S114M+RXZ400</t>
        </is>
      </c>
      <c r="V2533" s="402" t="n"/>
      <c r="W2533" s="402" t="n"/>
      <c r="X2533" s="170" t="inlineStr">
        <is>
          <t>REL-IR-BL/L-230AC/4X21，含底座→RXM4AB2P7+RXZE2S114M+RXZ400→REL-IR-BL/L-230AC/4X21，含底座</t>
        </is>
      </c>
    </row>
    <row r="2534" customFormat="1" s="3">
      <c r="A2534" s="64">
        <f>ROW()-ROW(A$2518)</f>
        <v/>
      </c>
      <c r="B2534" s="22" t="inlineStr">
        <is>
          <t>带熔丝端子</t>
        </is>
      </c>
      <c r="C2534" s="22" t="inlineStr">
        <is>
          <t>UK 5-HESI</t>
        </is>
      </c>
      <c r="D2534" s="22" t="inlineStr">
        <is>
          <t>菲尼克斯</t>
        </is>
      </c>
      <c r="E2534" s="23" t="inlineStr">
        <is>
          <t>只</t>
        </is>
      </c>
      <c r="F2534" s="23" t="n">
        <v>20</v>
      </c>
      <c r="G2534" s="349">
        <f>IF(AND(B2534="",C2534=""),"",ROUND(M2534*L2534*N2534,2))</f>
        <v/>
      </c>
      <c r="H2534" s="349">
        <f>IF(AND(B2534="",C2534=""),"",ROUND(F2534*G2534,2))</f>
        <v/>
      </c>
      <c r="I2534" s="45" t="inlineStr"/>
      <c r="J2534" s="392">
        <f>IF(AND(B2534="",C2534=""),"",ROUND(M2534*N2534,2))</f>
        <v/>
      </c>
      <c r="K2534" s="393">
        <f>IF(AND(B2534="",C2534=""),"",ROUND(J2534*F2534,2))</f>
        <v/>
      </c>
      <c r="L2534" s="141" t="n">
        <v>1</v>
      </c>
      <c r="M2534" s="394" t="n">
        <v>7</v>
      </c>
      <c r="N2534" s="220" t="n">
        <v>1</v>
      </c>
      <c r="O2534" s="221">
        <f>IF(AND(B2534="",C2534=""),"",IF(G2534&gt;=20000,0.05,IF(G2534&gt;=10000,0.1,IF(G2534&gt;=5000,0.2,IF(G2534&gt;=1000,0.3,IF(G2534&gt;=0,0.4,{0}))))))</f>
        <v/>
      </c>
      <c r="P2534" s="419">
        <f>IF(AND(B2534="",C2534=""),"",ROUND(H2534*O2534,2))</f>
        <v/>
      </c>
      <c r="Q2534" s="420" t="inlineStr">
        <is>
          <t>元件</t>
        </is>
      </c>
      <c r="R2534" s="231" t="inlineStr"/>
      <c r="S2534" s="231" t="inlineStr"/>
      <c r="T2534" s="231" t="inlineStr">
        <is>
          <t>0</t>
        </is>
      </c>
      <c r="U2534" s="231" t="inlineStr">
        <is>
          <t>True</t>
        </is>
      </c>
      <c r="V2534" s="421" t="n"/>
      <c r="W2534" s="421" t="n"/>
      <c r="X2534" s="166" t="inlineStr"/>
    </row>
    <row r="2535" s="308">
      <c r="A2535" s="64">
        <f>ROW()-ROW(A$2518)</f>
        <v/>
      </c>
      <c r="B2535" s="22" t="inlineStr">
        <is>
          <t>水平母排</t>
        </is>
      </c>
      <c r="C2535" s="22" t="inlineStr">
        <is>
          <t>TMY 4*(100*5)+50*5</t>
        </is>
      </c>
      <c r="D2535" s="22" t="inlineStr">
        <is>
          <t>国产优质</t>
        </is>
      </c>
      <c r="E2535" s="23" t="inlineStr">
        <is>
          <t>米</t>
        </is>
      </c>
      <c r="F2535" s="23" t="n">
        <v>0.6</v>
      </c>
      <c r="G2535" s="349">
        <f>IF(AND(B2535="",C2535=""),"",ROUND(M2535*L2535*N2535,2))</f>
        <v/>
      </c>
      <c r="H2535" s="349">
        <f>IF(AND(B2535="",C2535=""),"",ROUND(F2535*G2535,2))</f>
        <v/>
      </c>
      <c r="I2535" s="45" t="inlineStr"/>
      <c r="J2535" s="397">
        <f>IF(AND(B2535="",C2535=""),"",ROUND(M2535*N2535,2))</f>
        <v/>
      </c>
      <c r="K2535" s="398">
        <f>IF(AND(B2535="",C2535=""),"",ROUND(J2535*F2535,2))</f>
        <v/>
      </c>
      <c r="L2535" s="200" t="n">
        <v>1</v>
      </c>
      <c r="M2535" s="399" t="n">
        <v>2164.802625</v>
      </c>
      <c r="N2535" s="154">
        <f>(6317.932*1*1+2684.8*1*1)/9002.732</f>
        <v/>
      </c>
      <c r="O2535" s="155">
        <f>IF(AND(B2535="",C2535=""),"",IF(J2535&gt;=20000,0.05,IF(J2535&gt;=10000,0.1,IF(J2535&gt;=5000,0.2,IF(J2535&gt;=1000,0.3,IF(J2535&gt;=0,0.4,{0}))))))</f>
        <v/>
      </c>
      <c r="P2535" s="400">
        <f>IF(AND(B2535="",C2535=""),"",ROUND(H2535*O2535,2))</f>
        <v/>
      </c>
      <c r="Q2535" s="401" t="inlineStr">
        <is>
          <t>母排</t>
        </is>
      </c>
      <c r="R2535" s="168" t="inlineStr"/>
      <c r="S2535" s="168" t="inlineStr"/>
      <c r="T2535" s="168" t="inlineStr">
        <is>
          <t>0</t>
        </is>
      </c>
      <c r="U2535" s="168" t="inlineStr"/>
      <c r="V2535" s="402" t="n"/>
      <c r="W2535" s="402" t="n"/>
      <c r="X2535" s="170" t="inlineStr"/>
    </row>
    <row r="2536" customFormat="1" s="5">
      <c r="A2536" s="64">
        <f>ROW()-ROW(A$2518)</f>
        <v/>
      </c>
      <c r="B2536" s="22" t="inlineStr">
        <is>
          <t>桩头排</t>
        </is>
      </c>
      <c r="C2536" s="22" t="inlineStr">
        <is>
          <t>TMY 3*80*5</t>
        </is>
      </c>
      <c r="D2536" s="22" t="inlineStr">
        <is>
          <t>国产优质</t>
        </is>
      </c>
      <c r="E2536" s="23" t="inlineStr">
        <is>
          <t>米</t>
        </is>
      </c>
      <c r="F2536" s="23" t="n">
        <v>3</v>
      </c>
      <c r="G2536" s="349">
        <f>IF(AND(B2536="",C2536=""),"",ROUND(M2536*L2536*N2536,2))</f>
        <v/>
      </c>
      <c r="H2536" s="349">
        <f>IF(AND(B2536="",C2536=""),"",ROUND(F2536*G2536,2))</f>
        <v/>
      </c>
      <c r="I2536" s="45" t="inlineStr"/>
      <c r="J2536" s="422">
        <f>IF(AND(B2536="",C2536=""),"",ROUND(M2536*N2536,2))</f>
        <v/>
      </c>
      <c r="K2536" s="423">
        <f>IF(AND(B2536="",C2536=""),"",ROUND(J2536*F2536,2))</f>
        <v/>
      </c>
      <c r="L2536" s="225" t="n">
        <v>1</v>
      </c>
      <c r="M2536" s="424" t="n">
        <v>1154.5614</v>
      </c>
      <c r="N2536" s="227" t="n">
        <v>1</v>
      </c>
      <c r="O2536" s="228">
        <f>IF(AND(B2536="",C2536=""),"",IF(G2536&gt;=20000,0.05,IF(G2536&gt;=10000,0.1,IF(G2536&gt;=5000,0.2,IF(G2536&gt;=1000,0.3,IF(G2536&gt;=0,0.4,{0}))))))</f>
        <v/>
      </c>
      <c r="P2536" s="425">
        <f>IF(AND(B2536="",C2536=""),"",ROUND(H2536*O2536,2))</f>
        <v/>
      </c>
      <c r="Q2536" s="426" t="inlineStr">
        <is>
          <t>母排</t>
        </is>
      </c>
      <c r="R2536" s="234" t="inlineStr"/>
      <c r="S2536" s="234" t="inlineStr"/>
      <c r="T2536" s="235" t="inlineStr">
        <is>
          <t>0</t>
        </is>
      </c>
      <c r="U2536" s="235" t="inlineStr"/>
      <c r="V2536" s="427" t="n"/>
      <c r="W2536" s="427" t="n"/>
      <c r="X2536" s="237" t="inlineStr">
        <is>
          <t>TMY 2*30*5→TMY 30*8</t>
        </is>
      </c>
    </row>
    <row r="2537" customFormat="1" s="5">
      <c r="A2537" s="64">
        <f>ROW()-ROW(A$2518)</f>
        <v/>
      </c>
      <c r="B2537" s="22" t="inlineStr">
        <is>
          <t>垂直排</t>
        </is>
      </c>
      <c r="C2537" s="22" t="inlineStr">
        <is>
          <t>TMY 3*80*5</t>
        </is>
      </c>
      <c r="D2537" s="22" t="inlineStr">
        <is>
          <t>国产优质</t>
        </is>
      </c>
      <c r="E2537" s="23" t="inlineStr">
        <is>
          <t>米</t>
        </is>
      </c>
      <c r="F2537" s="23" t="n">
        <v>2</v>
      </c>
      <c r="G2537" s="349">
        <f>IF(AND(B2537="",C2537=""),"",ROUND(M2537*L2537*N2537,2))</f>
        <v/>
      </c>
      <c r="H2537" s="349">
        <f>IF(AND(B2537="",C2537=""),"",ROUND(F2537*G2537,2))</f>
        <v/>
      </c>
      <c r="I2537" s="45" t="inlineStr"/>
      <c r="J2537" s="422">
        <f>IF(AND(B2537="",C2537=""),"",ROUND(M2537*N2537,2))</f>
        <v/>
      </c>
      <c r="K2537" s="423">
        <f>IF(AND(B2537="",C2537=""),"",ROUND(J2537*F2537,2))</f>
        <v/>
      </c>
      <c r="L2537" s="225" t="n">
        <v>1</v>
      </c>
      <c r="M2537" s="424" t="n">
        <v>1154.5614</v>
      </c>
      <c r="N2537" s="227" t="n">
        <v>1</v>
      </c>
      <c r="O2537" s="228">
        <f>IF(AND(B2537="",C2537=""),"",IF(G2537&gt;=20000,0.05,IF(G2537&gt;=10000,0.1,IF(G2537&gt;=5000,0.2,IF(G2537&gt;=1000,0.3,IF(G2537&gt;=0,0.4,{0}))))))</f>
        <v/>
      </c>
      <c r="P2537" s="425">
        <f>IF(AND(B2537="",C2537=""),"",ROUND(H2537*O2537,2))</f>
        <v/>
      </c>
      <c r="Q2537" s="426" t="inlineStr">
        <is>
          <t>母排</t>
        </is>
      </c>
      <c r="R2537" s="234" t="inlineStr"/>
      <c r="S2537" s="234" t="inlineStr"/>
      <c r="T2537" s="235" t="inlineStr">
        <is>
          <t>0</t>
        </is>
      </c>
      <c r="U2537" s="235" t="inlineStr"/>
      <c r="V2537" s="427" t="n"/>
      <c r="W2537" s="427" t="n"/>
      <c r="X2537" s="237" t="inlineStr">
        <is>
          <t>TMY 2*30*5→TMY 30*8</t>
        </is>
      </c>
    </row>
    <row r="2538" customFormat="1" s="5">
      <c r="A2538" s="64">
        <f>ROW()-ROW(A$2518)</f>
        <v/>
      </c>
      <c r="B2538" s="22" t="inlineStr">
        <is>
          <t>N排</t>
        </is>
      </c>
      <c r="C2538" s="22" t="inlineStr">
        <is>
          <t>TMY 80*10</t>
        </is>
      </c>
      <c r="D2538" s="22" t="inlineStr">
        <is>
          <t>国产优质</t>
        </is>
      </c>
      <c r="E2538" s="23" t="inlineStr">
        <is>
          <t>米</t>
        </is>
      </c>
      <c r="F2538" s="23" t="n">
        <v>3</v>
      </c>
      <c r="G2538" s="349">
        <f>IF(AND(B2538="",C2538=""),"",ROUND(M2538*L2538*N2538,2))</f>
        <v/>
      </c>
      <c r="H2538" s="349">
        <f>IF(AND(B2538="",C2538=""),"",ROUND(F2538*G2538,2))</f>
        <v/>
      </c>
      <c r="I2538" s="45" t="inlineStr"/>
      <c r="J2538" s="422">
        <f>IF(AND(B2538="",C2538=""),"",ROUND(M2538*N2538,2))</f>
        <v/>
      </c>
      <c r="K2538" s="423">
        <f>IF(AND(B2538="",C2538=""),"",ROUND(J2538*F2538,2))</f>
        <v/>
      </c>
      <c r="L2538" s="225" t="n">
        <v>1</v>
      </c>
      <c r="M2538" s="424" t="n">
        <v>769.7076</v>
      </c>
      <c r="N2538" s="227" t="n">
        <v>1</v>
      </c>
      <c r="O2538" s="228">
        <f>IF(AND(B2538="",C2538=""),"",IF(G2538&gt;=20000,0.05,IF(G2538&gt;=10000,0.1,IF(G2538&gt;=5000,0.2,IF(G2538&gt;=1000,0.3,IF(G2538&gt;=0,0.4,{0}))))))</f>
        <v/>
      </c>
      <c r="P2538" s="425">
        <f>IF(AND(B2538="",C2538=""),"",ROUND(H2538*O2538,2))</f>
        <v/>
      </c>
      <c r="Q2538" s="426" t="inlineStr">
        <is>
          <t>母排</t>
        </is>
      </c>
      <c r="R2538" s="234" t="inlineStr"/>
      <c r="S2538" s="234" t="inlineStr"/>
      <c r="T2538" s="235" t="inlineStr">
        <is>
          <t>0</t>
        </is>
      </c>
      <c r="U2538" s="235" t="inlineStr"/>
      <c r="V2538" s="427" t="n"/>
      <c r="W2538" s="427" t="n"/>
      <c r="X2538" s="237" t="inlineStr">
        <is>
          <t>TMY 2*30*5→TMY 30*8</t>
        </is>
      </c>
    </row>
    <row r="2539" customFormat="1" s="5">
      <c r="A2539" s="64">
        <f>ROW()-ROW(A$2518)</f>
        <v/>
      </c>
      <c r="B2539" s="22" t="inlineStr">
        <is>
          <t>PE排</t>
        </is>
      </c>
      <c r="C2539" s="22" t="inlineStr">
        <is>
          <t>TMY 50*5</t>
        </is>
      </c>
      <c r="D2539" s="22" t="inlineStr">
        <is>
          <t>国产优质</t>
        </is>
      </c>
      <c r="E2539" s="23" t="inlineStr">
        <is>
          <t>米</t>
        </is>
      </c>
      <c r="F2539" s="23" t="n">
        <v>2</v>
      </c>
      <c r="G2539" s="349">
        <f>IF(AND(B2539="",C2539=""),"",ROUND(M2539*L2539*N2539,2))</f>
        <v/>
      </c>
      <c r="H2539" s="349">
        <f>IF(AND(B2539="",C2539=""),"",ROUND(F2539*G2539,2))</f>
        <v/>
      </c>
      <c r="I2539" s="45" t="inlineStr"/>
      <c r="J2539" s="422">
        <f>IF(AND(B2539="",C2539=""),"",ROUND(M2539*N2539,2))</f>
        <v/>
      </c>
      <c r="K2539" s="423">
        <f>IF(AND(B2539="",C2539=""),"",ROUND(J2539*F2539,2))</f>
        <v/>
      </c>
      <c r="L2539" s="225" t="n">
        <v>1</v>
      </c>
      <c r="M2539" s="424" t="n">
        <v>240.533625</v>
      </c>
      <c r="N2539" s="227" t="n">
        <v>1</v>
      </c>
      <c r="O2539" s="228">
        <f>IF(AND(B2539="",C2539=""),"",IF(G2539&gt;=20000,0.05,IF(G2539&gt;=10000,0.1,IF(G2539&gt;=5000,0.2,IF(G2539&gt;=1000,0.3,IF(G2539&gt;=0,0.4,{0}))))))</f>
        <v/>
      </c>
      <c r="P2539" s="425">
        <f>IF(AND(B2539="",C2539=""),"",ROUND(H2539*O2539,2))</f>
        <v/>
      </c>
      <c r="Q2539" s="426" t="inlineStr">
        <is>
          <t>母排</t>
        </is>
      </c>
      <c r="R2539" s="234" t="inlineStr"/>
      <c r="S2539" s="234" t="inlineStr"/>
      <c r="T2539" s="235" t="inlineStr">
        <is>
          <t>0</t>
        </is>
      </c>
      <c r="U2539" s="235" t="inlineStr"/>
      <c r="V2539" s="427" t="n"/>
      <c r="W2539" s="427" t="n"/>
      <c r="X2539" s="237" t="inlineStr">
        <is>
          <t>TMY 2*30*5→TMY 30*8</t>
        </is>
      </c>
    </row>
    <row r="2540" s="308">
      <c r="A2540" s="64">
        <f>ROW()-ROW(A$2518)</f>
        <v/>
      </c>
      <c r="B2540" s="112" t="inlineStr">
        <is>
          <t>辅料</t>
        </is>
      </c>
      <c r="C2540" s="112" t="inlineStr"/>
      <c r="D2540" s="112" t="inlineStr"/>
      <c r="E2540" s="114" t="inlineStr">
        <is>
          <t>套</t>
        </is>
      </c>
      <c r="F2540" s="114" t="n">
        <v>1</v>
      </c>
      <c r="G2540" s="396">
        <f>IF(AND(B2540="",C2540=""),"",ROUND(M2540*L2540*N2540,2))</f>
        <v/>
      </c>
      <c r="H2540" s="396">
        <f>IF(AND(B2540="",C2540=""),"",ROUND(F2540*G2540,2))</f>
        <v/>
      </c>
      <c r="I2540" s="219" t="inlineStr"/>
      <c r="J2540" s="397">
        <f>IF(AND(B2540="",C2540=""),"",ROUND(M2540*N2540,2))</f>
        <v/>
      </c>
      <c r="K2540" s="398">
        <f>IF(AND(B2540="",C2540=""),"",ROUND(J2540*F2540,2))</f>
        <v/>
      </c>
      <c r="L2540" s="200" t="n">
        <v>1</v>
      </c>
      <c r="M2540" s="399" t="n">
        <v>1755.78</v>
      </c>
      <c r="N2540" s="154" t="n">
        <v>1</v>
      </c>
      <c r="O2540" s="155">
        <f>IF(AND(B2540="",C2540=""),"",IF(G2540&gt;=20000,0.05,IF(G2540&gt;=10000,0.1,IF(G2540&gt;=5000,0.2,IF(G2540&gt;=1000,0.3,IF(G2540&gt;=0,0.4,{0}))))))</f>
        <v/>
      </c>
      <c r="P2540" s="400">
        <f>IF(AND(B2540="",C2540=""),"",ROUND(H2540*O2540,2))</f>
        <v/>
      </c>
      <c r="Q2540" s="401" t="inlineStr">
        <is>
          <t>辅料</t>
        </is>
      </c>
      <c r="R2540" s="168" t="inlineStr"/>
      <c r="S2540" s="168" t="inlineStr"/>
      <c r="T2540" s="168" t="inlineStr">
        <is>
          <t>0</t>
        </is>
      </c>
      <c r="U2540" s="168" t="inlineStr"/>
      <c r="V2540" s="402" t="n"/>
      <c r="W2540" s="402" t="n"/>
      <c r="X2540" s="170" t="inlineStr"/>
    </row>
    <row r="2541" s="308">
      <c r="A2541" s="64">
        <f>ROW()-ROW(A$2518)</f>
        <v/>
      </c>
      <c r="B2541" s="112" t="inlineStr">
        <is>
          <t>柜体Blokset</t>
        </is>
      </c>
      <c r="C2541" s="22" t="inlineStr">
        <is>
          <t>600W*1200D*2200H</t>
        </is>
      </c>
      <c r="D2541" s="112" t="inlineStr">
        <is>
          <t>清科</t>
        </is>
      </c>
      <c r="E2541" s="114" t="inlineStr">
        <is>
          <t>台</t>
        </is>
      </c>
      <c r="F2541" s="114" t="n">
        <v>1</v>
      </c>
      <c r="G2541" s="396">
        <f>IF(AND(B2541="",C2541=""),"",ROUND(M2541*L2541*N2541,2))</f>
        <v/>
      </c>
      <c r="H2541" s="396">
        <f>IF(AND(B2541="",C2541=""),"",ROUND(F2541*G2541,2))</f>
        <v/>
      </c>
      <c r="I2541" s="219" t="inlineStr"/>
      <c r="J2541" s="397">
        <f>IF(AND(B2541="",C2541=""),"",ROUND(M2541*N2541,2))</f>
        <v/>
      </c>
      <c r="K2541" s="398">
        <f>IF(AND(B2541="",C2541=""),"",ROUND(J2541*F2541,2))</f>
        <v/>
      </c>
      <c r="L2541" s="200" t="n">
        <v>1</v>
      </c>
      <c r="M2541" s="399" t="n">
        <v>5322</v>
      </c>
      <c r="N2541" s="154" t="n">
        <v>1</v>
      </c>
      <c r="O2541" s="155">
        <f>IF(AND(B2541="",C2541=""),"",IF(G2541&gt;=20000,0.05,IF(G2541&gt;=10000,0.1,IF(G2541&gt;=5000,0.2,IF(G2541&gt;=1000,0.3,IF(G2541&gt;=0,0.4,{0}))))))</f>
        <v/>
      </c>
      <c r="P2541" s="400">
        <f>IF(AND(B2541="",C2541=""),"",ROUND(H2541*O2541,2))</f>
        <v/>
      </c>
      <c r="Q2541" s="401" t="inlineStr">
        <is>
          <t>箱体</t>
        </is>
      </c>
      <c r="R2541" s="168" t="inlineStr"/>
      <c r="S2541" s="168" t="inlineStr"/>
      <c r="T2541" s="168" t="inlineStr">
        <is>
          <t>0</t>
        </is>
      </c>
      <c r="U2541" s="168" t="inlineStr"/>
      <c r="V2541" s="402" t="n"/>
      <c r="W2541" s="402" t="n"/>
      <c r="X2541" s="170" t="inlineStr">
        <is>
          <t>BlokSeT</t>
        </is>
      </c>
    </row>
    <row r="2542" s="308">
      <c r="A2542" s="64">
        <f>ROW()-ROW(A$2518)</f>
        <v/>
      </c>
      <c r="B2542" s="22" t="inlineStr"/>
      <c r="C2542" s="22" t="inlineStr"/>
      <c r="D2542" s="22" t="inlineStr"/>
      <c r="E2542" s="23" t="n"/>
      <c r="F2542" s="23">
        <f>IF(AND(B2542="",C2542=""),"",1)</f>
        <v/>
      </c>
      <c r="G2542" s="349">
        <f>IF(AND(B2542="",C2542=""),"",ROUND(M2542*L2542*N2542,2))</f>
        <v/>
      </c>
      <c r="H2542" s="349">
        <f>IF(AND(B2542="",C2542=""),"",ROUND(F2542*G2542,2))</f>
        <v/>
      </c>
      <c r="I2542" s="45" t="inlineStr"/>
      <c r="J2542" s="397">
        <f>IF(AND(B2542="",C2542=""),"",ROUND(M2542*N2542,2))</f>
        <v/>
      </c>
      <c r="K2542" s="398">
        <f>IF(AND(B2542="",C2542=""),"",ROUND(J2542*F2542,2))</f>
        <v/>
      </c>
      <c r="L2542" s="200">
        <f>IF(AND(B2542="",C2542=""),"",1)</f>
        <v/>
      </c>
      <c r="M2542" s="399" t="n"/>
      <c r="N2542" s="154">
        <f>IF(AND(B2542="",C2542=""),"",1)</f>
        <v/>
      </c>
      <c r="O2542" s="155">
        <f>IF(AND(B2542="",C2542=""),"",IF(J2542&gt;=20000,0.05,IF(J2542&gt;=10000,0.1,IF(J2542&gt;=5000,0.2,IF(J2542&gt;=1000,0.3,IF(J2542&gt;=0,0.4,{0}))))))</f>
        <v/>
      </c>
      <c r="P2542" s="400">
        <f>IF(AND(B2542="",C2542=""),"",ROUND(H2542*O2542,2))</f>
        <v/>
      </c>
      <c r="Q2542" s="401">
        <f>IF(AND(B2542="",C2542=""),"","元件")</f>
        <v/>
      </c>
      <c r="R2542" s="168" t="inlineStr"/>
      <c r="S2542" s="168" t="inlineStr"/>
      <c r="T2542" s="168" t="inlineStr"/>
      <c r="U2542" s="168" t="inlineStr"/>
      <c r="V2542" s="402" t="n"/>
      <c r="W2542" s="402" t="n"/>
      <c r="X2542" s="170" t="inlineStr"/>
    </row>
    <row r="2543" s="308">
      <c r="A2543" s="64">
        <f>ROW()-ROW(A$2518)</f>
        <v/>
      </c>
      <c r="B2543" s="171" t="inlineStr">
        <is>
          <t>小计</t>
        </is>
      </c>
      <c r="C2543" s="172" t="n"/>
      <c r="D2543" s="204" t="n"/>
      <c r="E2543" s="114" t="n"/>
      <c r="F2543" s="114" t="n"/>
      <c r="G2543" s="396" t="n"/>
      <c r="H2543" s="396">
        <f>ROUND(SUM(H2518:INDEX(H:H,ROW()-1)),2)</f>
        <v/>
      </c>
      <c r="I2543" s="45" t="inlineStr"/>
      <c r="J2543" s="397" t="n"/>
      <c r="K2543" s="398">
        <f>ROUND(SUM(K2518:INDEX(K:K,ROW()-1)),2)</f>
        <v/>
      </c>
      <c r="L2543" s="200" t="n"/>
      <c r="M2543" s="399" t="n"/>
      <c r="N2543" s="154" t="n"/>
      <c r="O2543" s="155" t="n"/>
      <c r="P2543" s="400" t="n"/>
      <c r="Q2543" s="401" t="n"/>
      <c r="R2543" s="168" t="inlineStr"/>
      <c r="S2543" s="168" t="inlineStr"/>
      <c r="T2543" s="168" t="inlineStr"/>
      <c r="U2543" s="168" t="inlineStr"/>
      <c r="V2543" s="402">
        <f>ROUND(SUMPRODUCT(F2518:INDEX(F:F,ROW()-1),V2518:INDEX(V:V,ROW()-1)),2)</f>
        <v/>
      </c>
      <c r="W2543" s="402">
        <f>ROUND(SUMPRODUCT(F2518:INDEX(F:F,ROW()-1),W2518:INDEX(W:W,ROW()-1)),2)</f>
        <v/>
      </c>
      <c r="X2543" s="170" t="inlineStr"/>
    </row>
    <row r="2544" s="308">
      <c r="A2544" s="64">
        <f>ROW()-ROW(A$2518)</f>
        <v/>
      </c>
      <c r="B2544" s="171" t="inlineStr">
        <is>
          <t>综合费(人工、管理、税金、利润等)</t>
        </is>
      </c>
      <c r="C2544" s="172" t="n"/>
      <c r="D2544" s="204" t="n"/>
      <c r="E2544" s="114" t="n"/>
      <c r="F2544" s="114" t="n"/>
      <c r="G2544" s="396" t="n"/>
      <c r="H2544" s="396">
        <f>2500</f>
        <v/>
      </c>
      <c r="I2544" s="45" t="inlineStr"/>
      <c r="J2544" s="397" t="n"/>
      <c r="K2544" s="398" t="n"/>
      <c r="L2544" s="200" t="n"/>
      <c r="M2544" s="399" t="n"/>
      <c r="N2544" s="154" t="n"/>
      <c r="O2544" s="155" t="n"/>
      <c r="P2544" s="400" t="n"/>
      <c r="Q2544" s="401" t="inlineStr">
        <is>
          <t>费用</t>
        </is>
      </c>
      <c r="R2544" s="168" t="inlineStr"/>
      <c r="S2544" s="168" t="inlineStr"/>
      <c r="T2544" s="168" t="inlineStr"/>
      <c r="U2544" s="168" t="inlineStr"/>
      <c r="V2544" s="402" t="n"/>
      <c r="W2544" s="402" t="n"/>
      <c r="X2544" s="170" t="inlineStr"/>
    </row>
    <row r="2545" s="308">
      <c r="A2545" s="64">
        <f>ROW()-ROW(A$2518)</f>
        <v/>
      </c>
      <c r="B2545" s="204" t="inlineStr">
        <is>
          <t>单台合计</t>
        </is>
      </c>
      <c r="C2545" s="172" t="n"/>
      <c r="D2545" s="204" t="n"/>
      <c r="E2545" s="114" t="n"/>
      <c r="F2545" s="114" t="n"/>
      <c r="G2545" s="396" t="n"/>
      <c r="H2545" s="396">
        <f>ROUND(SUM(H2543:H2544),2)</f>
        <v/>
      </c>
      <c r="I2545" s="181" t="n"/>
      <c r="J2545" s="397" t="n"/>
      <c r="K2545" s="398">
        <f>ROUND(SUM(K2543:K2544),2)</f>
        <v/>
      </c>
      <c r="L2545" s="209" t="n"/>
      <c r="M2545" s="399" t="n"/>
      <c r="N2545" s="210" t="n"/>
      <c r="O2545" s="211" t="n"/>
      <c r="P2545" s="400" t="n"/>
      <c r="Q2545" s="401" t="n"/>
      <c r="R2545" s="168" t="inlineStr"/>
      <c r="S2545" s="168" t="inlineStr"/>
      <c r="T2545" s="168" t="inlineStr"/>
      <c r="U2545" s="168" t="inlineStr"/>
      <c r="V2545" s="402" t="n"/>
      <c r="W2545" s="402" t="n"/>
      <c r="X2545" s="170" t="inlineStr"/>
    </row>
    <row r="2546" s="308">
      <c r="A2546" s="173" t="inlineStr">
        <is>
          <t>总计</t>
        </is>
      </c>
      <c r="B2546" s="205" t="n"/>
      <c r="C2546" s="175" t="n"/>
      <c r="D2546" s="206" t="n"/>
      <c r="E2546" s="206" t="inlineStr">
        <is>
          <t>台</t>
        </is>
      </c>
      <c r="F2546" s="206" t="n">
        <v>1</v>
      </c>
      <c r="G2546" s="414">
        <f>ROUND(H2545,2)</f>
        <v/>
      </c>
      <c r="H2546" s="414">
        <f>ROUND(F2546*G2546,2)</f>
        <v/>
      </c>
      <c r="I2546" s="185" t="n"/>
      <c r="J2546" s="415" t="n"/>
      <c r="K2546" s="416">
        <f>ROUND(K2545*F2546,2)</f>
        <v/>
      </c>
      <c r="L2546" s="214" t="n"/>
      <c r="M2546" s="417" t="n"/>
      <c r="N2546" s="216" t="n"/>
      <c r="O2546" s="217" t="n"/>
      <c r="P2546" s="418" t="n"/>
      <c r="Q2546" s="401" t="n"/>
      <c r="R2546" s="168" t="inlineStr"/>
      <c r="S2546" s="168" t="inlineStr"/>
      <c r="T2546" s="168" t="inlineStr"/>
      <c r="U2546" s="168" t="inlineStr"/>
      <c r="V2546" s="402" t="n"/>
      <c r="W2546" s="402" t="n"/>
      <c r="X2546" s="170" t="inlineStr"/>
    </row>
    <row r="2547" customFormat="1" s="4">
      <c r="A2547" s="6" t="n"/>
      <c r="B2547" s="195" t="inlineStr"/>
      <c r="C2547" s="195" t="inlineStr"/>
      <c r="D2547" s="195" t="inlineStr"/>
      <c r="Q2547" s="159" t="n"/>
      <c r="R2547" s="159" t="n"/>
      <c r="S2547" s="159" t="n"/>
      <c r="T2547" s="159" t="n"/>
      <c r="U2547" s="159" t="n"/>
      <c r="X2547" s="195" t="inlineStr"/>
    </row>
    <row r="2548" customFormat="1" s="4">
      <c r="A2548" s="6" t="n"/>
      <c r="B2548" s="195" t="inlineStr"/>
      <c r="C2548" s="195" t="inlineStr"/>
      <c r="D2548" s="195" t="inlineStr"/>
      <c r="Q2548" s="159" t="n"/>
      <c r="R2548" s="159" t="n"/>
      <c r="S2548" s="159" t="n"/>
      <c r="T2548" s="159" t="n"/>
      <c r="U2548" s="159" t="n"/>
      <c r="X2548" s="195" t="inlineStr"/>
    </row>
    <row r="2549" s="308">
      <c r="A2549" s="208">
        <f>CONCATENATE("报价人：",项目信息!$B$8)</f>
        <v/>
      </c>
      <c r="B2549" s="208" t="n"/>
      <c r="C2549" s="4" t="n"/>
      <c r="D2549" s="4" t="n"/>
      <c r="E2549" s="4" t="n"/>
      <c r="F2549" s="4" t="n"/>
      <c r="G2549" s="4" t="n"/>
      <c r="H2549" s="178">
        <f>项目信息!$B$9</f>
        <v/>
      </c>
      <c r="Q2549" s="159" t="n"/>
      <c r="R2549" s="159" t="n"/>
      <c r="S2549" s="159" t="n"/>
      <c r="T2549" s="159" t="n"/>
      <c r="U2549" s="159" t="n"/>
      <c r="X2549" s="203" t="inlineStr"/>
    </row>
    <row r="2550" s="308">
      <c r="A2550" s="8">
        <f>T(项目信息!$B$22)</f>
        <v/>
      </c>
      <c r="Q2550" s="159" t="n"/>
      <c r="R2550" s="159" t="n"/>
      <c r="S2550" s="159" t="n"/>
      <c r="T2550" s="159" t="n"/>
      <c r="U2550" s="159" t="n"/>
    </row>
    <row r="2551" s="308">
      <c r="A2551" s="9">
        <f>T(项目信息!$B$23)</f>
        <v/>
      </c>
      <c r="Q2551" s="159" t="n"/>
      <c r="R2551" s="159" t="n"/>
      <c r="S2551" s="159" t="n"/>
      <c r="T2551" s="159" t="n"/>
      <c r="U2551" s="159" t="n"/>
    </row>
    <row r="2552" s="308">
      <c r="A2552" s="97" t="inlineStr">
        <is>
          <t>成套产品报价明细表</t>
        </is>
      </c>
      <c r="B2552" s="378" t="n"/>
      <c r="C2552" s="378" t="n"/>
      <c r="D2552" s="378" t="n"/>
      <c r="E2552" s="378" t="n"/>
      <c r="F2552" s="378" t="n"/>
      <c r="G2552" s="378" t="n"/>
      <c r="H2552" s="378" t="n"/>
      <c r="I2552" s="378" t="n"/>
      <c r="Q2552" s="159" t="n"/>
      <c r="R2552" s="159" t="n"/>
      <c r="S2552" s="159" t="n"/>
      <c r="T2552" s="159" t="n"/>
      <c r="U2552" s="159" t="n"/>
    </row>
    <row r="2553" customFormat="1" s="4">
      <c r="A2553" s="98" t="inlineStr">
        <is>
          <t>柜号:</t>
        </is>
      </c>
      <c r="B2553" s="99" t="inlineStr">
        <is>
          <t>T1-AU12</t>
        </is>
      </c>
      <c r="C2553" s="100" t="inlineStr">
        <is>
          <t>型号:</t>
        </is>
      </c>
      <c r="D2553" s="99" t="inlineStr">
        <is>
          <t>BlokSeT</t>
        </is>
      </c>
      <c r="E2553" s="379" t="n"/>
      <c r="F2553" s="101" t="inlineStr">
        <is>
          <t>名称:</t>
        </is>
      </c>
      <c r="G2553" s="99" t="inlineStr">
        <is>
          <t>馈线柜</t>
        </is>
      </c>
      <c r="H2553" s="379" t="n"/>
      <c r="I2553" s="408" t="inlineStr"/>
      <c r="J2553" s="194" t="inlineStr">
        <is>
          <t>箱柜尺寸:</t>
        </is>
      </c>
      <c r="K2553" s="195" t="inlineStr">
        <is>
          <t>600W*1200D*2200H</t>
        </is>
      </c>
      <c r="L2553" s="194" t="inlineStr">
        <is>
          <t>类别:</t>
        </is>
      </c>
      <c r="M2553" s="195" t="inlineStr">
        <is>
          <t>低压固定柜</t>
        </is>
      </c>
      <c r="N2553" s="409" t="inlineStr"/>
      <c r="Q2553" s="159" t="n"/>
      <c r="R2553" s="159" t="n"/>
      <c r="S2553" s="159" t="n"/>
      <c r="T2553" s="159" t="n"/>
      <c r="U2553" s="159" t="n"/>
    </row>
    <row r="2554" ht="20.1" customHeight="1" s="308">
      <c r="A2554" s="102" t="inlineStr">
        <is>
          <t>序号</t>
        </is>
      </c>
      <c r="B2554" s="103" t="inlineStr">
        <is>
          <t>元件名称</t>
        </is>
      </c>
      <c r="C2554" s="103" t="inlineStr">
        <is>
          <t>型号规格</t>
        </is>
      </c>
      <c r="D2554" s="104" t="inlineStr">
        <is>
          <t>生产厂家</t>
        </is>
      </c>
      <c r="E2554" s="105" t="inlineStr">
        <is>
          <t>单位</t>
        </is>
      </c>
      <c r="F2554" s="105" t="inlineStr">
        <is>
          <t>数量</t>
        </is>
      </c>
      <c r="G2554" s="382" t="inlineStr">
        <is>
          <t>单   价</t>
        </is>
      </c>
      <c r="H2554" s="383" t="inlineStr">
        <is>
          <t>总   价</t>
        </is>
      </c>
      <c r="I2554" s="134" t="inlineStr">
        <is>
          <t>备注</t>
        </is>
      </c>
      <c r="J2554" s="384" t="inlineStr">
        <is>
          <t>成本单价</t>
        </is>
      </c>
      <c r="K2554" s="384" t="inlineStr">
        <is>
          <t>成本总价</t>
        </is>
      </c>
      <c r="L2554" s="136" t="inlineStr">
        <is>
          <t>报出
系数</t>
        </is>
      </c>
      <c r="M2554" s="384" t="inlineStr">
        <is>
          <t>表价</t>
        </is>
      </c>
      <c r="N2554" s="136" t="inlineStr">
        <is>
          <t>折扣
系数</t>
        </is>
      </c>
      <c r="O2554" s="137" t="inlineStr">
        <is>
          <t>取费
系数</t>
        </is>
      </c>
      <c r="P2554" s="384" t="inlineStr">
        <is>
          <t>成套费</t>
        </is>
      </c>
      <c r="Q2554" s="161" t="inlineStr">
        <is>
          <t>类别</t>
        </is>
      </c>
      <c r="R2554" s="161" t="inlineStr">
        <is>
          <t>物料编码</t>
        </is>
      </c>
      <c r="S2554" s="161" t="inlineStr">
        <is>
          <t>产地</t>
        </is>
      </c>
      <c r="T2554" s="161" t="inlineStr">
        <is>
          <t>加工费</t>
        </is>
      </c>
      <c r="U2554" s="161" t="inlineStr">
        <is>
          <t>订货号</t>
        </is>
      </c>
      <c r="V2554" s="161" t="inlineStr">
        <is>
          <t>人工</t>
        </is>
      </c>
      <c r="W2554" s="161" t="inlineStr">
        <is>
          <t>辅料</t>
        </is>
      </c>
      <c r="X2554" s="203" t="inlineStr"/>
    </row>
    <row r="2555" s="308">
      <c r="A2555" s="64">
        <f>ROW()-ROW(A$2554)</f>
        <v/>
      </c>
      <c r="B2555" s="22" t="inlineStr">
        <is>
          <t>塑壳断路器</t>
        </is>
      </c>
      <c r="C2555" s="22" t="inlineStr">
        <is>
          <t>NSX100H TM100D 3P3D P</t>
        </is>
      </c>
      <c r="D2555" s="22" t="inlineStr">
        <is>
          <t>甲供/施耐德电气</t>
        </is>
      </c>
      <c r="E2555" s="23" t="inlineStr">
        <is>
          <t>只</t>
        </is>
      </c>
      <c r="F2555" s="23" t="n">
        <v>3</v>
      </c>
      <c r="G2555" s="349">
        <f>IF(AND(B2555="",C2555=""),"",ROUND(M2555*L2555*N2555,2))</f>
        <v/>
      </c>
      <c r="H2555" s="349">
        <f>IF(AND(B2555="",C2555=""),"",ROUND(F2555*G2555,2))</f>
        <v/>
      </c>
      <c r="I2555" s="45" t="inlineStr"/>
      <c r="J2555" s="397">
        <f>IF(AND(B2555="",C2555=""),"",ROUND(M2555*N2555,2))</f>
        <v/>
      </c>
      <c r="K2555" s="398">
        <f>IF(AND(B2555="",C2555=""),"",ROUND(J2555*F2555,2))</f>
        <v/>
      </c>
      <c r="L2555" s="200" t="n">
        <v>1</v>
      </c>
      <c r="M2555" s="399" t="n">
        <v>1e-07</v>
      </c>
      <c r="N2555" s="154" t="n">
        <v>1</v>
      </c>
      <c r="O2555" s="155">
        <f>IF(AND(B2555="",C2555=""),"",IF(G2555&gt;=20000,0.05,IF(G2555&gt;=10000,0.1,IF(G2555&gt;=5000,0.2,IF(G2555&gt;=1000,0.3,IF(G2555&gt;=0,0.4,{0}))))))</f>
        <v/>
      </c>
      <c r="P2555" s="400">
        <f>IF(AND(B2555="",C2555=""),"",ROUND(H2555*O2555,2))</f>
        <v/>
      </c>
      <c r="Q2555" s="401" t="inlineStr">
        <is>
          <t>元件</t>
        </is>
      </c>
      <c r="R2555" s="168" t="inlineStr"/>
      <c r="S2555" s="168" t="inlineStr"/>
      <c r="T2555" s="168" t="inlineStr">
        <is>
          <t>0</t>
        </is>
      </c>
      <c r="U2555" s="168" t="inlineStr">
        <is>
          <t>C16F32D160</t>
        </is>
      </c>
      <c r="V2555" s="402" t="n"/>
      <c r="W2555" s="402" t="n"/>
      <c r="X2555" s="170" t="inlineStr">
        <is>
          <t>NSX630N Mic2.3 630A 3P3D F→NSX630F MIC2.3 630 3P F→NSX630F MIC 2.3 630 3P F</t>
        </is>
      </c>
    </row>
    <row r="2556" s="308">
      <c r="A2556" s="64">
        <f>ROW()-ROW(A$2554)</f>
        <v/>
      </c>
      <c r="B2556" s="22" t="inlineStr">
        <is>
          <t>塑壳断路器</t>
        </is>
      </c>
      <c r="C2556" s="22" t="inlineStr">
        <is>
          <t>NSX160H TM160D 3P3D P</t>
        </is>
      </c>
      <c r="D2556" s="22" t="inlineStr">
        <is>
          <t>甲供/施耐德电气</t>
        </is>
      </c>
      <c r="E2556" s="23" t="inlineStr">
        <is>
          <t>只</t>
        </is>
      </c>
      <c r="F2556" s="23" t="n">
        <v>2</v>
      </c>
      <c r="G2556" s="349">
        <f>IF(AND(B2556="",C2556=""),"",ROUND(M2556*L2556*N2556,2))</f>
        <v/>
      </c>
      <c r="H2556" s="349">
        <f>IF(AND(B2556="",C2556=""),"",ROUND(F2556*G2556,2))</f>
        <v/>
      </c>
      <c r="I2556" s="45" t="inlineStr"/>
      <c r="J2556" s="397">
        <f>IF(AND(B2556="",C2556=""),"",ROUND(M2556*N2556,2))</f>
        <v/>
      </c>
      <c r="K2556" s="398">
        <f>IF(AND(B2556="",C2556=""),"",ROUND(J2556*F2556,2))</f>
        <v/>
      </c>
      <c r="L2556" s="200" t="n">
        <v>1</v>
      </c>
      <c r="M2556" s="399" t="n">
        <v>1e-07</v>
      </c>
      <c r="N2556" s="154" t="n">
        <v>1</v>
      </c>
      <c r="O2556" s="155">
        <f>IF(AND(B2556="",C2556=""),"",IF(G2556&gt;=20000,0.05,IF(G2556&gt;=10000,0.1,IF(G2556&gt;=5000,0.2,IF(G2556&gt;=1000,0.3,IF(G2556&gt;=0,0.4,{0}))))))</f>
        <v/>
      </c>
      <c r="P2556" s="400">
        <f>IF(AND(B2556="",C2556=""),"",ROUND(H2556*O2556,2))</f>
        <v/>
      </c>
      <c r="Q2556" s="401" t="inlineStr">
        <is>
          <t>元件</t>
        </is>
      </c>
      <c r="R2556" s="168" t="inlineStr"/>
      <c r="S2556" s="168" t="inlineStr"/>
      <c r="T2556" s="168" t="inlineStr">
        <is>
          <t>0</t>
        </is>
      </c>
      <c r="U2556" s="168" t="inlineStr">
        <is>
          <t>C16F32D160</t>
        </is>
      </c>
      <c r="V2556" s="402" t="n"/>
      <c r="W2556" s="402" t="n"/>
      <c r="X2556" s="170" t="inlineStr">
        <is>
          <t>NSX630N Mic2.3 630A 3P3D F→NSX630F MIC2.3 630 3P F→NSX630F MIC 2.3 630 3P F</t>
        </is>
      </c>
    </row>
    <row r="2557" s="308">
      <c r="A2557" s="64">
        <f>ROW()-ROW(A$2554)</f>
        <v/>
      </c>
      <c r="B2557" s="22" t="inlineStr">
        <is>
          <t>塑壳断路器</t>
        </is>
      </c>
      <c r="C2557" s="22" t="inlineStr">
        <is>
          <t>NSX250H TM250D 3P3D P</t>
        </is>
      </c>
      <c r="D2557" s="22" t="inlineStr">
        <is>
          <t>甲供/施耐德电气</t>
        </is>
      </c>
      <c r="E2557" s="23" t="inlineStr">
        <is>
          <t>只</t>
        </is>
      </c>
      <c r="F2557" s="23" t="n">
        <v>2</v>
      </c>
      <c r="G2557" s="349">
        <f>IF(AND(B2557="",C2557=""),"",ROUND(M2557*L2557*N2557,2))</f>
        <v/>
      </c>
      <c r="H2557" s="349">
        <f>IF(AND(B2557="",C2557=""),"",ROUND(F2557*G2557,2))</f>
        <v/>
      </c>
      <c r="I2557" s="45" t="inlineStr"/>
      <c r="J2557" s="397">
        <f>IF(AND(B2557="",C2557=""),"",ROUND(M2557*N2557,2))</f>
        <v/>
      </c>
      <c r="K2557" s="398">
        <f>IF(AND(B2557="",C2557=""),"",ROUND(J2557*F2557,2))</f>
        <v/>
      </c>
      <c r="L2557" s="200" t="n">
        <v>1</v>
      </c>
      <c r="M2557" s="399" t="n">
        <v>1e-07</v>
      </c>
      <c r="N2557" s="154" t="n">
        <v>1</v>
      </c>
      <c r="O2557" s="155">
        <f>IF(AND(B2557="",C2557=""),"",IF(G2557&gt;=20000,0.05,IF(G2557&gt;=10000,0.1,IF(G2557&gt;=5000,0.2,IF(G2557&gt;=1000,0.3,IF(G2557&gt;=0,0.4,{0}))))))</f>
        <v/>
      </c>
      <c r="P2557" s="400">
        <f>IF(AND(B2557="",C2557=""),"",ROUND(H2557*O2557,2))</f>
        <v/>
      </c>
      <c r="Q2557" s="401" t="inlineStr">
        <is>
          <t>元件</t>
        </is>
      </c>
      <c r="R2557" s="168" t="inlineStr"/>
      <c r="S2557" s="168" t="inlineStr"/>
      <c r="T2557" s="168" t="inlineStr">
        <is>
          <t>0</t>
        </is>
      </c>
      <c r="U2557" s="168" t="inlineStr">
        <is>
          <t>C16F32D160</t>
        </is>
      </c>
      <c r="V2557" s="402" t="n"/>
      <c r="W2557" s="402" t="n"/>
      <c r="X2557" s="170" t="inlineStr">
        <is>
          <t>NSX630N Mic2.3 630A 3P3D F→NSX630F MIC2.3 630 3P F→NSX630F MIC 2.3 630 3P F</t>
        </is>
      </c>
    </row>
    <row r="2558" s="308">
      <c r="A2558" s="64">
        <f>ROW()-ROW(A$2554)</f>
        <v/>
      </c>
      <c r="B2558" s="22" t="inlineStr">
        <is>
          <t>塑壳断路器</t>
        </is>
      </c>
      <c r="C2558" s="22" t="inlineStr">
        <is>
          <t>NSX400H Mic2.3 400A 3P3D P</t>
        </is>
      </c>
      <c r="D2558" s="22" t="inlineStr">
        <is>
          <t>甲供/施耐德电气</t>
        </is>
      </c>
      <c r="E2558" s="23" t="inlineStr">
        <is>
          <t>只</t>
        </is>
      </c>
      <c r="F2558" s="23" t="n">
        <v>2</v>
      </c>
      <c r="G2558" s="349">
        <f>IF(AND(B2558="",C2558=""),"",ROUND(M2558*L2558*N2558,2))</f>
        <v/>
      </c>
      <c r="H2558" s="349">
        <f>IF(AND(B2558="",C2558=""),"",ROUND(F2558*G2558,2))</f>
        <v/>
      </c>
      <c r="I2558" s="45" t="inlineStr"/>
      <c r="J2558" s="397">
        <f>IF(AND(B2558="",C2558=""),"",ROUND(M2558*N2558,2))</f>
        <v/>
      </c>
      <c r="K2558" s="398">
        <f>IF(AND(B2558="",C2558=""),"",ROUND(J2558*F2558,2))</f>
        <v/>
      </c>
      <c r="L2558" s="200" t="n">
        <v>1</v>
      </c>
      <c r="M2558" s="399" t="n">
        <v>1e-07</v>
      </c>
      <c r="N2558" s="154" t="n">
        <v>1</v>
      </c>
      <c r="O2558" s="155">
        <f>IF(AND(B2558="",C2558=""),"",IF(G2558&gt;=20000,0.05,IF(G2558&gt;=10000,0.1,IF(G2558&gt;=5000,0.2,IF(G2558&gt;=1000,0.3,IF(G2558&gt;=0,0.4,{0}))))))</f>
        <v/>
      </c>
      <c r="P2558" s="400">
        <f>IF(AND(B2558="",C2558=""),"",ROUND(H2558*O2558,2))</f>
        <v/>
      </c>
      <c r="Q2558" s="401" t="inlineStr">
        <is>
          <t>元件</t>
        </is>
      </c>
      <c r="R2558" s="168" t="inlineStr"/>
      <c r="S2558" s="168" t="inlineStr"/>
      <c r="T2558" s="168" t="inlineStr">
        <is>
          <t>0</t>
        </is>
      </c>
      <c r="U2558" s="168" t="inlineStr"/>
      <c r="V2558" s="402" t="n"/>
      <c r="W2558" s="402" t="n"/>
      <c r="X2558" s="170" t="inlineStr"/>
    </row>
    <row r="2559" s="308">
      <c r="A2559" s="64">
        <f>ROW()-ROW(A$2554)</f>
        <v/>
      </c>
      <c r="B2559" s="22" t="inlineStr">
        <is>
          <t>电流互感器</t>
        </is>
      </c>
      <c r="C2559" s="22" t="inlineStr">
        <is>
          <t>SD-0.66-M8 100/5A</t>
        </is>
      </c>
      <c r="D2559" s="22" t="inlineStr">
        <is>
          <t>桑迪</t>
        </is>
      </c>
      <c r="E2559" s="23" t="inlineStr">
        <is>
          <t>只</t>
        </is>
      </c>
      <c r="F2559" s="23" t="n">
        <v>9</v>
      </c>
      <c r="G2559" s="349">
        <f>IF(AND(B2559="",C2559=""),"",ROUND(M2559*L2559*N2559,2))</f>
        <v/>
      </c>
      <c r="H2559" s="396">
        <f>IF(AND(B2559="",C2559=""),"",ROUND(F2559*G2559,2))</f>
        <v/>
      </c>
      <c r="I2559" s="219" t="inlineStr"/>
      <c r="J2559" s="397">
        <f>IF(AND(B2559="",C2559=""),"",ROUND(M2559*N2559,2))</f>
        <v/>
      </c>
      <c r="K2559" s="398">
        <f>IF(AND(B2559="",C2559=""),"",ROUND(J2559*F2559,2))</f>
        <v/>
      </c>
      <c r="L2559" s="200" t="n">
        <v>1</v>
      </c>
      <c r="M2559" s="399" t="n">
        <v>61.75</v>
      </c>
      <c r="N2559" s="154" t="n">
        <v>1</v>
      </c>
      <c r="O2559" s="155">
        <f>IF(AND(B2559="",C2559=""),"",IF(G2559&gt;=20000,0.05,IF(G2559&gt;=10000,0.1,IF(G2559&gt;=5000,0.2,IF(G2559&gt;=1000,0.3,IF(G2559&gt;=0,0.4,{0}))))))</f>
        <v/>
      </c>
      <c r="P2559" s="400">
        <f>IF(AND(B2559="",C2559=""),"",ROUND(H2559*O2559,2))</f>
        <v/>
      </c>
      <c r="Q2559" s="401" t="inlineStr">
        <is>
          <t>元件</t>
        </is>
      </c>
      <c r="R2559" s="168" t="inlineStr"/>
      <c r="S2559" s="168" t="inlineStr"/>
      <c r="T2559" s="168" t="inlineStr">
        <is>
          <t>0</t>
        </is>
      </c>
      <c r="U2559" s="168" t="inlineStr">
        <is>
          <t>710140200000049</t>
        </is>
      </c>
      <c r="V2559" s="402" t="n"/>
      <c r="W2559" s="402" t="n"/>
      <c r="X2559" s="170" t="inlineStr">
        <is>
          <t>SD→SD-0.66-40II-C 400/5A→SD-0.66-30I 250/5A→SD-0.66-30I 150/5A→SD-0.66-60II-C 750/5A→SD-0.66-60II-C 600/5A→SD-0.66-30I 150/5A→SD-0.66-40II-C 400/5A→SD-0.66-100II-C 1600/5A→SD-0.66-80II-V 1000/5A→SD-0.66-40II-C 400/5A→SD-0.66-60II-C 600/5A</t>
        </is>
      </c>
    </row>
    <row r="2560" s="308">
      <c r="A2560" s="64">
        <f>ROW()-ROW(A$2554)</f>
        <v/>
      </c>
      <c r="B2560" s="22" t="inlineStr">
        <is>
          <t>电流互感器</t>
        </is>
      </c>
      <c r="C2560" s="22" t="inlineStr">
        <is>
          <t>SD-0.66-30I 150/5A</t>
        </is>
      </c>
      <c r="D2560" s="22" t="inlineStr">
        <is>
          <t>桑迪</t>
        </is>
      </c>
      <c r="E2560" s="23" t="inlineStr">
        <is>
          <t>只</t>
        </is>
      </c>
      <c r="F2560" s="23" t="n">
        <v>6</v>
      </c>
      <c r="G2560" s="349">
        <f>IF(AND(B2560="",C2560=""),"",ROUND(M2560*L2560*N2560,2))</f>
        <v/>
      </c>
      <c r="H2560" s="396">
        <f>IF(AND(B2560="",C2560=""),"",ROUND(F2560*G2560,2))</f>
        <v/>
      </c>
      <c r="I2560" s="219" t="inlineStr"/>
      <c r="J2560" s="397">
        <f>IF(AND(B2560="",C2560=""),"",ROUND(M2560*N2560,2))</f>
        <v/>
      </c>
      <c r="K2560" s="398">
        <f>IF(AND(B2560="",C2560=""),"",ROUND(J2560*F2560,2))</f>
        <v/>
      </c>
      <c r="L2560" s="200" t="n">
        <v>1</v>
      </c>
      <c r="M2560" s="399" t="n">
        <v>29.95</v>
      </c>
      <c r="N2560" s="154" t="n">
        <v>1</v>
      </c>
      <c r="O2560" s="155">
        <f>IF(AND(B2560="",C2560=""),"",IF(G2560&gt;=20000,0.05,IF(G2560&gt;=10000,0.1,IF(G2560&gt;=5000,0.2,IF(G2560&gt;=1000,0.3,IF(G2560&gt;=0,0.4,{0}))))))</f>
        <v/>
      </c>
      <c r="P2560" s="400">
        <f>IF(AND(B2560="",C2560=""),"",ROUND(H2560*O2560,2))</f>
        <v/>
      </c>
      <c r="Q2560" s="401" t="inlineStr">
        <is>
          <t>元件</t>
        </is>
      </c>
      <c r="R2560" s="168" t="inlineStr"/>
      <c r="S2560" s="168" t="inlineStr"/>
      <c r="T2560" s="168" t="inlineStr">
        <is>
          <t>0</t>
        </is>
      </c>
      <c r="U2560" s="168" t="inlineStr">
        <is>
          <t>710140200000049</t>
        </is>
      </c>
      <c r="V2560" s="402" t="n"/>
      <c r="W2560" s="402" t="n"/>
      <c r="X2560" s="170" t="inlineStr">
        <is>
          <t>SD→SD-0.66-40II-C 400/5A→SD-0.66-30I 250/5A→SD-0.66-30I 150/5A→SD-0.66-60II-C 750/5A→SD-0.66-60II-C 600/5A→SD-0.66-30I 150/5A→SD-0.66-40II-C 400/5A→SD-0.66-100II-C 1600/5A→SD-0.66-80II-V 1000/5A</t>
        </is>
      </c>
    </row>
    <row r="2561" s="308">
      <c r="A2561" s="64">
        <f>ROW()-ROW(A$2554)</f>
        <v/>
      </c>
      <c r="B2561" s="22" t="inlineStr">
        <is>
          <t>电流互感器</t>
        </is>
      </c>
      <c r="C2561" s="22" t="inlineStr">
        <is>
          <t>SD-0.66-30I 250/5A</t>
        </is>
      </c>
      <c r="D2561" s="22" t="inlineStr">
        <is>
          <t>桑迪</t>
        </is>
      </c>
      <c r="E2561" s="23" t="inlineStr">
        <is>
          <t>只</t>
        </is>
      </c>
      <c r="F2561" s="23" t="n">
        <v>6</v>
      </c>
      <c r="G2561" s="349">
        <f>IF(AND(B2561="",C2561=""),"",ROUND(M2561*L2561*N2561,2))</f>
        <v/>
      </c>
      <c r="H2561" s="396">
        <f>IF(AND(B2561="",C2561=""),"",ROUND(F2561*G2561,2))</f>
        <v/>
      </c>
      <c r="I2561" s="219" t="inlineStr"/>
      <c r="J2561" s="397">
        <f>IF(AND(B2561="",C2561=""),"",ROUND(M2561*N2561,2))</f>
        <v/>
      </c>
      <c r="K2561" s="398">
        <f>IF(AND(B2561="",C2561=""),"",ROUND(J2561*F2561,2))</f>
        <v/>
      </c>
      <c r="L2561" s="200" t="n">
        <v>1</v>
      </c>
      <c r="M2561" s="399" t="n">
        <v>26.65</v>
      </c>
      <c r="N2561" s="154" t="n">
        <v>1</v>
      </c>
      <c r="O2561" s="155">
        <f>IF(AND(B2561="",C2561=""),"",IF(G2561&gt;=20000,0.05,IF(G2561&gt;=10000,0.1,IF(G2561&gt;=5000,0.2,IF(G2561&gt;=1000,0.3,IF(G2561&gt;=0,0.4,{0}))))))</f>
        <v/>
      </c>
      <c r="P2561" s="400">
        <f>IF(AND(B2561="",C2561=""),"",ROUND(H2561*O2561,2))</f>
        <v/>
      </c>
      <c r="Q2561" s="401" t="inlineStr">
        <is>
          <t>元件</t>
        </is>
      </c>
      <c r="R2561" s="168" t="inlineStr"/>
      <c r="S2561" s="168" t="inlineStr"/>
      <c r="T2561" s="168" t="inlineStr">
        <is>
          <t>0</t>
        </is>
      </c>
      <c r="U2561" s="168" t="inlineStr">
        <is>
          <t>710140200000049</t>
        </is>
      </c>
      <c r="V2561" s="402" t="n"/>
      <c r="W2561" s="402" t="n"/>
      <c r="X2561" s="170" t="inlineStr">
        <is>
          <t>SD→SD-0.66-40II-C 400/5A→SD-0.66-30I 250/5A→SD-0.66-30I 150/5A→SD-0.66-60II-C 750/5A→SD-0.66-60II-C 600/5A→SD-0.66-30I 150/5A→SD-0.66-40II-C 400/5A→SD-0.66-100II-C 1600/5A→SD-0.66-80II-V 1000/5A</t>
        </is>
      </c>
    </row>
    <row r="2562" s="308">
      <c r="A2562" s="64">
        <f>ROW()-ROW(A$2554)</f>
        <v/>
      </c>
      <c r="B2562" s="22" t="inlineStr">
        <is>
          <t>电流互感器</t>
        </is>
      </c>
      <c r="C2562" s="22" t="inlineStr">
        <is>
          <t>SD-0.66-40II-C 400/5A</t>
        </is>
      </c>
      <c r="D2562" s="22" t="inlineStr">
        <is>
          <t>桑迪</t>
        </is>
      </c>
      <c r="E2562" s="23" t="inlineStr">
        <is>
          <t>只</t>
        </is>
      </c>
      <c r="F2562" s="23" t="n">
        <v>6</v>
      </c>
      <c r="G2562" s="349">
        <f>IF(AND(B2562="",C2562=""),"",ROUND(M2562*L2562*N2562,2))</f>
        <v/>
      </c>
      <c r="H2562" s="396">
        <f>IF(AND(B2562="",C2562=""),"",ROUND(F2562*G2562,2))</f>
        <v/>
      </c>
      <c r="I2562" s="219" t="inlineStr"/>
      <c r="J2562" s="397">
        <f>IF(AND(B2562="",C2562=""),"",ROUND(M2562*N2562,2))</f>
        <v/>
      </c>
      <c r="K2562" s="398">
        <f>IF(AND(B2562="",C2562=""),"",ROUND(J2562*F2562,2))</f>
        <v/>
      </c>
      <c r="L2562" s="200" t="n">
        <v>1</v>
      </c>
      <c r="M2562" s="399" t="n">
        <v>52</v>
      </c>
      <c r="N2562" s="154" t="n">
        <v>1</v>
      </c>
      <c r="O2562" s="155">
        <f>IF(AND(B2562="",C2562=""),"",IF(G2562&gt;=20000,0.05,IF(G2562&gt;=10000,0.1,IF(G2562&gt;=5000,0.2,IF(G2562&gt;=1000,0.3,IF(G2562&gt;=0,0.4,{0}))))))</f>
        <v/>
      </c>
      <c r="P2562" s="400">
        <f>IF(AND(B2562="",C2562=""),"",ROUND(H2562*O2562,2))</f>
        <v/>
      </c>
      <c r="Q2562" s="401" t="inlineStr">
        <is>
          <t>元件</t>
        </is>
      </c>
      <c r="R2562" s="168" t="inlineStr"/>
      <c r="S2562" s="168" t="inlineStr"/>
      <c r="T2562" s="168" t="inlineStr">
        <is>
          <t>0</t>
        </is>
      </c>
      <c r="U2562" s="168" t="inlineStr">
        <is>
          <t>710140200000049</t>
        </is>
      </c>
      <c r="V2562" s="402" t="n"/>
      <c r="W2562" s="402" t="n"/>
      <c r="X2562" s="170" t="inlineStr">
        <is>
          <t>SD→SD-0.66-40II-C 400/5A→SD-0.66-30I 250/5A→SD-0.66-30I 150/5A→SD-0.66-60II-C 750/5A→SD-0.66-60II-C 600/5A→SD-0.66-30I 150/5A→SD-0.66-40II-C 400/5A→SD-0.66-100II-C 1600/5A→SD-0.66-80II-V 1000/5A</t>
        </is>
      </c>
    </row>
    <row r="2563" s="308">
      <c r="A2563" s="64">
        <f>ROW()-ROW(A$2554)</f>
        <v/>
      </c>
      <c r="B2563" s="112" t="inlineStr">
        <is>
          <t>多功能表</t>
        </is>
      </c>
      <c r="C2563" s="112" t="inlineStr">
        <is>
          <t>PM4101</t>
        </is>
      </c>
      <c r="D2563" s="112" t="inlineStr">
        <is>
          <t>甲供/施耐德电气</t>
        </is>
      </c>
      <c r="E2563" s="114" t="inlineStr">
        <is>
          <t>只</t>
        </is>
      </c>
      <c r="F2563" s="114" t="n">
        <v>9</v>
      </c>
      <c r="G2563" s="396">
        <f>IF(AND(B2563="",C2563=""),"",ROUND(M2563*L2563*N2563,2))</f>
        <v/>
      </c>
      <c r="H2563" s="349">
        <f>IF(AND(B2563="",C2563=""),"",ROUND(F2563*G2563,2))</f>
        <v/>
      </c>
      <c r="I2563" s="45" t="inlineStr"/>
      <c r="J2563" s="397">
        <f>IF(AND(B2563="",C2563=""),"",ROUND(M2563*N2563,2))</f>
        <v/>
      </c>
      <c r="K2563" s="398">
        <f>IF(AND(B2563="",C2563=""),"",ROUND(J2563*F2563,2))</f>
        <v/>
      </c>
      <c r="L2563" s="200" t="n">
        <v>1</v>
      </c>
      <c r="M2563" s="399" t="n">
        <v>1e-07</v>
      </c>
      <c r="N2563" s="154" t="n">
        <v>1</v>
      </c>
      <c r="O2563" s="155">
        <f>IF(AND(B2563="",C2563=""),"",IF(J2563&gt;=20000,0.05,IF(J2563&gt;=10000,0.1,IF(J2563&gt;=5000,0.2,IF(J2563&gt;=1000,0.3,IF(J2563&gt;=0,0.4,{0}))))))</f>
        <v/>
      </c>
      <c r="P2563" s="400">
        <f>IF(AND(B2563="",C2563=""),"",ROUND(H2563*O2563,2))</f>
        <v/>
      </c>
      <c r="Q2563" s="401" t="inlineStr">
        <is>
          <t>元件</t>
        </is>
      </c>
      <c r="R2563" s="168" t="inlineStr"/>
      <c r="S2563" s="168" t="inlineStr"/>
      <c r="T2563" s="168" t="inlineStr">
        <is>
          <t>0</t>
        </is>
      </c>
      <c r="U2563" s="168" t="inlineStr"/>
      <c r="V2563" s="402" t="n"/>
      <c r="W2563" s="402" t="n"/>
      <c r="X2563" s="170" t="inlineStr"/>
    </row>
    <row r="2564" customFormat="1" s="3">
      <c r="A2564" s="64">
        <f>ROW()-ROW(A$2554)</f>
        <v/>
      </c>
      <c r="B2564" s="22" t="inlineStr">
        <is>
          <t>指示灯</t>
        </is>
      </c>
      <c r="C2564" s="22" t="inlineStr">
        <is>
          <t>XB2BVM3LC</t>
        </is>
      </c>
      <c r="D2564" s="22" t="inlineStr">
        <is>
          <t>甲供/施耐德电气</t>
        </is>
      </c>
      <c r="E2564" s="23" t="inlineStr">
        <is>
          <t>只</t>
        </is>
      </c>
      <c r="F2564" s="23" t="n">
        <v>9</v>
      </c>
      <c r="G2564" s="349">
        <f>IF(AND(B2564="",C2564=""),"",ROUND(M2564*L2564*N2564,2))</f>
        <v/>
      </c>
      <c r="H2564" s="353">
        <f>IF(AND(B2564="",C2564=""),"",ROUND(F2564*G2564,2))</f>
        <v/>
      </c>
      <c r="I2564" s="180" t="inlineStr"/>
      <c r="J2564" s="392">
        <f>IF(AND(B2564="",C2564=""),"",ROUND(M2564*N2564,2))</f>
        <v/>
      </c>
      <c r="K2564" s="393">
        <f>IF(AND(B2564="",C2564=""),"",ROUND(J2564*F2564,2))</f>
        <v/>
      </c>
      <c r="L2564" s="141" t="n">
        <v>1</v>
      </c>
      <c r="M2564" s="394" t="n">
        <v>1e-07</v>
      </c>
      <c r="N2564" s="220" t="n">
        <v>1</v>
      </c>
      <c r="O2564" s="221">
        <f>IF(AND(B2564="",C2564=""),"",IF(G2564&gt;=20000,0.05,IF(G2564&gt;=10000,0.1,IF(G2564&gt;=5000,0.2,IF(G2564&gt;=1000,0.3,IF(G2564&gt;=0,0.4,{0}))))))</f>
        <v/>
      </c>
      <c r="P2564" s="419">
        <f>IF(AND(B2564="",C2564=""),"",ROUND(H2564*O2564,2))</f>
        <v/>
      </c>
      <c r="Q2564" s="420" t="inlineStr">
        <is>
          <t>元件</t>
        </is>
      </c>
      <c r="R2564" s="231" t="inlineStr"/>
      <c r="S2564" s="231" t="inlineStr"/>
      <c r="T2564" s="231" t="inlineStr">
        <is>
          <t>0</t>
        </is>
      </c>
      <c r="U2564" s="231" t="inlineStr">
        <is>
          <t>XB2BVM3LC</t>
        </is>
      </c>
      <c r="V2564" s="421" t="n"/>
      <c r="W2564" s="421" t="n"/>
      <c r="X2564" s="166" t="inlineStr">
        <is>
          <t>XA2EVM3LC</t>
        </is>
      </c>
    </row>
    <row r="2565" customFormat="1" s="3">
      <c r="A2565" s="64">
        <f>ROW()-ROW(A$2554)</f>
        <v/>
      </c>
      <c r="B2565" s="22" t="inlineStr">
        <is>
          <t>指示灯</t>
        </is>
      </c>
      <c r="C2565" s="22" t="inlineStr">
        <is>
          <t>XB2BVM4LC</t>
        </is>
      </c>
      <c r="D2565" s="22" t="inlineStr">
        <is>
          <t>甲供/施耐德电气</t>
        </is>
      </c>
      <c r="E2565" s="23" t="inlineStr">
        <is>
          <t>只</t>
        </is>
      </c>
      <c r="F2565" s="23" t="n">
        <v>9</v>
      </c>
      <c r="G2565" s="349">
        <f>IF(AND(B2565="",C2565=""),"",ROUND(M2565*L2565*N2565,2))</f>
        <v/>
      </c>
      <c r="H2565" s="353">
        <f>IF(AND(B2565="",C2565=""),"",ROUND(F2565*G2565,2))</f>
        <v/>
      </c>
      <c r="I2565" s="180" t="inlineStr"/>
      <c r="J2565" s="392">
        <f>IF(AND(B2565="",C2565=""),"",ROUND(M2565*N2565,2))</f>
        <v/>
      </c>
      <c r="K2565" s="393">
        <f>IF(AND(B2565="",C2565=""),"",ROUND(J2565*F2565,2))</f>
        <v/>
      </c>
      <c r="L2565" s="141" t="n">
        <v>1</v>
      </c>
      <c r="M2565" s="394" t="n">
        <v>1e-07</v>
      </c>
      <c r="N2565" s="220" t="n">
        <v>1</v>
      </c>
      <c r="O2565" s="221">
        <f>IF(AND(B2565="",C2565=""),"",IF(G2565&gt;=20000,0.05,IF(G2565&gt;=10000,0.1,IF(G2565&gt;=5000,0.2,IF(G2565&gt;=1000,0.3,IF(G2565&gt;=0,0.4,{0}))))))</f>
        <v/>
      </c>
      <c r="P2565" s="419">
        <f>IF(AND(B2565="",C2565=""),"",ROUND(H2565*O2565,2))</f>
        <v/>
      </c>
      <c r="Q2565" s="420" t="inlineStr">
        <is>
          <t>元件</t>
        </is>
      </c>
      <c r="R2565" s="231" t="inlineStr"/>
      <c r="S2565" s="231" t="inlineStr"/>
      <c r="T2565" s="231" t="inlineStr">
        <is>
          <t>0</t>
        </is>
      </c>
      <c r="U2565" s="231" t="inlineStr">
        <is>
          <t>XB2BVM4LC</t>
        </is>
      </c>
      <c r="V2565" s="421" t="n"/>
      <c r="W2565" s="421" t="n"/>
      <c r="X2565" s="166" t="inlineStr">
        <is>
          <t>XA2EVM4LC</t>
        </is>
      </c>
    </row>
    <row r="2566" s="308">
      <c r="A2566" s="64">
        <f>ROW()-ROW(A$2554)</f>
        <v/>
      </c>
      <c r="B2566" s="112" t="inlineStr">
        <is>
          <t>温湿度控制器</t>
        </is>
      </c>
      <c r="C2566" s="112" t="inlineStr">
        <is>
          <t>ATH48G-11</t>
        </is>
      </c>
      <c r="D2566" s="22" t="inlineStr">
        <is>
          <t>杭州安廷</t>
        </is>
      </c>
      <c r="E2566" s="23" t="inlineStr">
        <is>
          <t>套</t>
        </is>
      </c>
      <c r="F2566" s="23" t="n">
        <v>1</v>
      </c>
      <c r="G2566" s="349">
        <f>IF(AND(B2566="",C2566=""),"",ROUND(M2566*L2566*N2566,2))</f>
        <v/>
      </c>
      <c r="H2566" s="396">
        <f>IF(AND(B2566="",C2566=""),"",ROUND(F2566*G2566,2))</f>
        <v/>
      </c>
      <c r="I2566" s="150" t="inlineStr"/>
      <c r="J2566" s="397">
        <f>IF(AND(B2566="",C2566=""),"",ROUND(M2566*N2566,2))</f>
        <v/>
      </c>
      <c r="K2566" s="398">
        <f>IF(AND(B2566="",C2566=""),"",ROUND(J2566*F2566,2))</f>
        <v/>
      </c>
      <c r="L2566" s="141" t="n">
        <v>1</v>
      </c>
      <c r="M2566" s="399" t="n">
        <v>450</v>
      </c>
      <c r="N2566" s="154" t="n">
        <v>1</v>
      </c>
      <c r="O2566" s="155">
        <f>IF(AND(B2566="",C2566=""),"",IF(G2566&gt;=20000,0.05,IF(G2566&gt;=10000,0.1,IF(G2566&gt;=5000,0.2,IF(G2566&gt;=1000,0.3,IF(G2566&gt;=0,0.4,{0}))))))</f>
        <v/>
      </c>
      <c r="P2566" s="400">
        <f>IF(AND(B2566="",C2566=""),"",ROUND(H2566*O2566,2))</f>
        <v/>
      </c>
      <c r="Q2566" s="401" t="inlineStr">
        <is>
          <t>元件</t>
        </is>
      </c>
      <c r="R2566" s="168" t="inlineStr"/>
      <c r="S2566" s="168" t="inlineStr"/>
      <c r="T2566" s="168" t="inlineStr">
        <is>
          <t>0</t>
        </is>
      </c>
      <c r="U2566" s="168" t="inlineStr"/>
      <c r="V2566" s="402" t="n"/>
      <c r="W2566" s="402" t="n"/>
      <c r="X2566" s="170" t="inlineStr"/>
    </row>
    <row r="2567" s="308">
      <c r="A2567" s="64">
        <f>ROW()-ROW(A$2554)</f>
        <v/>
      </c>
      <c r="B2567" s="22" t="inlineStr">
        <is>
          <t>中间继电器</t>
        </is>
      </c>
      <c r="C2567" s="22" t="inlineStr">
        <is>
          <t>RXM4AB2P7+RXZE2S114M+RXZ400</t>
        </is>
      </c>
      <c r="D2567" s="22" t="inlineStr">
        <is>
          <t>甲供/施耐德电气</t>
        </is>
      </c>
      <c r="E2567" s="23" t="inlineStr">
        <is>
          <t>只</t>
        </is>
      </c>
      <c r="F2567" s="23" t="n">
        <v>18</v>
      </c>
      <c r="G2567" s="349">
        <f>IF(AND(B2567="",C2567=""),"",ROUND(M2567*L2567*N2567,2))</f>
        <v/>
      </c>
      <c r="H2567" s="349">
        <f>IF(AND(B2567="",C2567=""),"",ROUND(F2567*G2567,2))</f>
        <v/>
      </c>
      <c r="I2567" s="45" t="inlineStr"/>
      <c r="J2567" s="397">
        <f>IF(AND(B2567="",C2567=""),"",ROUND(M2567*N2567,2))</f>
        <v/>
      </c>
      <c r="K2567" s="398">
        <f>IF(AND(B2567="",C2567=""),"",ROUND(J2567*F2567,2))</f>
        <v/>
      </c>
      <c r="L2567" s="141" t="n">
        <v>1</v>
      </c>
      <c r="M2567" s="399" t="n">
        <v>1e-07</v>
      </c>
      <c r="N2567" s="154" t="n">
        <v>1</v>
      </c>
      <c r="O2567" s="155">
        <f>IF(AND(B2567="",C2567=""),"",IF(G2567&gt;=20000,0.05,IF(G2567&gt;=10000,0.1,IF(G2567&gt;=5000,0.2,IF(G2567&gt;=1000,0.3,IF(G2567&gt;=0,0.4,{0}))))))</f>
        <v/>
      </c>
      <c r="P2567" s="400">
        <f>IF(AND(B2567="",C2567=""),"",ROUND(H2567*O2567,2))</f>
        <v/>
      </c>
      <c r="Q2567" s="401" t="inlineStr">
        <is>
          <t>元件</t>
        </is>
      </c>
      <c r="R2567" s="168" t="inlineStr"/>
      <c r="S2567" s="168" t="inlineStr"/>
      <c r="T2567" s="168" t="inlineStr">
        <is>
          <t>0</t>
        </is>
      </c>
      <c r="U2567" s="168" t="inlineStr">
        <is>
          <t>RXM4AB2P7+RXZE2S114M+RXZ400</t>
        </is>
      </c>
      <c r="V2567" s="402" t="n"/>
      <c r="W2567" s="402" t="n"/>
      <c r="X2567" s="170" t="inlineStr">
        <is>
          <t>REL-IR-BL/L-230AC/4X21，含底座→RXM4AB2P7+RXZE2S114M+RXZ400→REL-IR-BL/L-230AC/4X21，含底座</t>
        </is>
      </c>
    </row>
    <row r="2568" customFormat="1" s="3">
      <c r="A2568" s="64">
        <f>ROW()-ROW(A$2554)</f>
        <v/>
      </c>
      <c r="B2568" s="22" t="inlineStr">
        <is>
          <t>带熔丝端子</t>
        </is>
      </c>
      <c r="C2568" s="22" t="inlineStr">
        <is>
          <t>UK 5-HESI</t>
        </is>
      </c>
      <c r="D2568" s="22" t="inlineStr">
        <is>
          <t>菲尼克斯</t>
        </is>
      </c>
      <c r="E2568" s="23" t="inlineStr">
        <is>
          <t>只</t>
        </is>
      </c>
      <c r="F2568" s="23" t="n">
        <v>36</v>
      </c>
      <c r="G2568" s="349">
        <f>IF(AND(B2568="",C2568=""),"",ROUND(M2568*L2568*N2568,2))</f>
        <v/>
      </c>
      <c r="H2568" s="349">
        <f>IF(AND(B2568="",C2568=""),"",ROUND(F2568*G2568,2))</f>
        <v/>
      </c>
      <c r="I2568" s="45" t="inlineStr"/>
      <c r="J2568" s="392">
        <f>IF(AND(B2568="",C2568=""),"",ROUND(M2568*N2568,2))</f>
        <v/>
      </c>
      <c r="K2568" s="393">
        <f>IF(AND(B2568="",C2568=""),"",ROUND(J2568*F2568,2))</f>
        <v/>
      </c>
      <c r="L2568" s="141" t="n">
        <v>1</v>
      </c>
      <c r="M2568" s="394" t="n">
        <v>7</v>
      </c>
      <c r="N2568" s="220" t="n">
        <v>1</v>
      </c>
      <c r="O2568" s="221">
        <f>IF(AND(B2568="",C2568=""),"",IF(G2568&gt;=20000,0.05,IF(G2568&gt;=10000,0.1,IF(G2568&gt;=5000,0.2,IF(G2568&gt;=1000,0.3,IF(G2568&gt;=0,0.4,{0}))))))</f>
        <v/>
      </c>
      <c r="P2568" s="419">
        <f>IF(AND(B2568="",C2568=""),"",ROUND(H2568*O2568,2))</f>
        <v/>
      </c>
      <c r="Q2568" s="420" t="inlineStr">
        <is>
          <t>元件</t>
        </is>
      </c>
      <c r="R2568" s="231" t="inlineStr"/>
      <c r="S2568" s="231" t="inlineStr"/>
      <c r="T2568" s="231" t="inlineStr">
        <is>
          <t>0</t>
        </is>
      </c>
      <c r="U2568" s="231" t="inlineStr">
        <is>
          <t>True</t>
        </is>
      </c>
      <c r="V2568" s="421" t="n"/>
      <c r="W2568" s="421" t="n"/>
      <c r="X2568" s="166" t="inlineStr"/>
    </row>
    <row r="2569" s="308">
      <c r="A2569" s="64">
        <f>ROW()-ROW(A$2554)</f>
        <v/>
      </c>
      <c r="B2569" s="22" t="inlineStr">
        <is>
          <t>水平母排</t>
        </is>
      </c>
      <c r="C2569" s="22" t="inlineStr">
        <is>
          <t>TMY 4*(100*5)+50*5</t>
        </is>
      </c>
      <c r="D2569" s="22" t="inlineStr">
        <is>
          <t>国产优质</t>
        </is>
      </c>
      <c r="E2569" s="23" t="inlineStr">
        <is>
          <t>米</t>
        </is>
      </c>
      <c r="F2569" s="23" t="n">
        <v>0.7</v>
      </c>
      <c r="G2569" s="349">
        <f>IF(AND(B2569="",C2569=""),"",ROUND(M2569*L2569*N2569,2))</f>
        <v/>
      </c>
      <c r="H2569" s="349">
        <f>IF(AND(B2569="",C2569=""),"",ROUND(F2569*G2569,2))</f>
        <v/>
      </c>
      <c r="I2569" s="45" t="inlineStr"/>
      <c r="J2569" s="397">
        <f>IF(AND(B2569="",C2569=""),"",ROUND(M2569*N2569,2))</f>
        <v/>
      </c>
      <c r="K2569" s="398">
        <f>IF(AND(B2569="",C2569=""),"",ROUND(J2569*F2569,2))</f>
        <v/>
      </c>
      <c r="L2569" s="200" t="n">
        <v>1</v>
      </c>
      <c r="M2569" s="399" t="n">
        <v>2164.802625</v>
      </c>
      <c r="N2569" s="154">
        <f>(6317.932*1*1+2684.8*1*1)/9002.732</f>
        <v/>
      </c>
      <c r="O2569" s="155">
        <f>IF(AND(B2569="",C2569=""),"",IF(J2569&gt;=20000,0.05,IF(J2569&gt;=10000,0.1,IF(J2569&gt;=5000,0.2,IF(J2569&gt;=1000,0.3,IF(J2569&gt;=0,0.4,{0}))))))</f>
        <v/>
      </c>
      <c r="P2569" s="400">
        <f>IF(AND(B2569="",C2569=""),"",ROUND(H2569*O2569,2))</f>
        <v/>
      </c>
      <c r="Q2569" s="401" t="inlineStr">
        <is>
          <t>母排</t>
        </is>
      </c>
      <c r="R2569" s="168" t="inlineStr"/>
      <c r="S2569" s="168" t="inlineStr"/>
      <c r="T2569" s="168" t="inlineStr">
        <is>
          <t>0</t>
        </is>
      </c>
      <c r="U2569" s="168" t="inlineStr"/>
      <c r="V2569" s="402" t="n"/>
      <c r="W2569" s="402" t="n"/>
      <c r="X2569" s="170" t="inlineStr"/>
    </row>
    <row r="2570" customFormat="1" s="5">
      <c r="A2570" s="64">
        <f>ROW()-ROW(A$2554)</f>
        <v/>
      </c>
      <c r="B2570" s="22" t="inlineStr">
        <is>
          <t>垂直排</t>
        </is>
      </c>
      <c r="C2570" s="22" t="inlineStr">
        <is>
          <t>TMY 3*80*5</t>
        </is>
      </c>
      <c r="D2570" s="22" t="inlineStr">
        <is>
          <t>国产优质</t>
        </is>
      </c>
      <c r="E2570" s="23" t="inlineStr">
        <is>
          <t>米</t>
        </is>
      </c>
      <c r="F2570" s="23" t="n">
        <v>2</v>
      </c>
      <c r="G2570" s="349">
        <f>IF(AND(B2570="",C2570=""),"",ROUND(M2570*L2570*N2570,2))</f>
        <v/>
      </c>
      <c r="H2570" s="349">
        <f>IF(AND(B2570="",C2570=""),"",ROUND(F2570*G2570,2))</f>
        <v/>
      </c>
      <c r="I2570" s="45" t="inlineStr"/>
      <c r="J2570" s="422">
        <f>IF(AND(B2570="",C2570=""),"",ROUND(M2570*N2570,2))</f>
        <v/>
      </c>
      <c r="K2570" s="423">
        <f>IF(AND(B2570="",C2570=""),"",ROUND(J2570*F2570,2))</f>
        <v/>
      </c>
      <c r="L2570" s="225" t="n">
        <v>1</v>
      </c>
      <c r="M2570" s="424" t="n">
        <v>1154.5614</v>
      </c>
      <c r="N2570" s="227" t="n">
        <v>1</v>
      </c>
      <c r="O2570" s="228">
        <f>IF(AND(B2570="",C2570=""),"",IF(G2570&gt;=20000,0.05,IF(G2570&gt;=10000,0.1,IF(G2570&gt;=5000,0.2,IF(G2570&gt;=1000,0.3,IF(G2570&gt;=0,0.4,{0}))))))</f>
        <v/>
      </c>
      <c r="P2570" s="425">
        <f>IF(AND(B2570="",C2570=""),"",ROUND(H2570*O2570,2))</f>
        <v/>
      </c>
      <c r="Q2570" s="426" t="inlineStr">
        <is>
          <t>母排</t>
        </is>
      </c>
      <c r="R2570" s="234" t="inlineStr"/>
      <c r="S2570" s="234" t="inlineStr"/>
      <c r="T2570" s="235" t="inlineStr">
        <is>
          <t>0</t>
        </is>
      </c>
      <c r="U2570" s="235" t="inlineStr"/>
      <c r="V2570" s="427" t="n"/>
      <c r="W2570" s="427" t="n"/>
      <c r="X2570" s="237" t="inlineStr">
        <is>
          <t>TMY 2*30*5→TMY 30*8</t>
        </is>
      </c>
    </row>
    <row r="2571" customFormat="1" s="5">
      <c r="A2571" s="64">
        <f>ROW()-ROW(A$2554)</f>
        <v/>
      </c>
      <c r="B2571" s="22" t="inlineStr">
        <is>
          <t>N排</t>
        </is>
      </c>
      <c r="C2571" s="22" t="inlineStr">
        <is>
          <t>TMY 40*10</t>
        </is>
      </c>
      <c r="D2571" s="22" t="inlineStr">
        <is>
          <t>国产优质</t>
        </is>
      </c>
      <c r="E2571" s="23" t="inlineStr">
        <is>
          <t>米</t>
        </is>
      </c>
      <c r="F2571" s="23" t="n">
        <v>3</v>
      </c>
      <c r="G2571" s="349">
        <f>IF(AND(B2571="",C2571=""),"",ROUND(M2571*L2571*N2571,2))</f>
        <v/>
      </c>
      <c r="H2571" s="349">
        <f>IF(AND(B2571="",C2571=""),"",ROUND(F2571*G2571,2))</f>
        <v/>
      </c>
      <c r="I2571" s="45" t="inlineStr"/>
      <c r="J2571" s="422">
        <f>IF(AND(B2571="",C2571=""),"",ROUND(M2571*N2571,2))</f>
        <v/>
      </c>
      <c r="K2571" s="423">
        <f>IF(AND(B2571="",C2571=""),"",ROUND(J2571*F2571,2))</f>
        <v/>
      </c>
      <c r="L2571" s="225" t="n">
        <v>1</v>
      </c>
      <c r="M2571" s="424" t="n">
        <v>384.8538</v>
      </c>
      <c r="N2571" s="227" t="n">
        <v>1</v>
      </c>
      <c r="O2571" s="228">
        <f>IF(AND(B2571="",C2571=""),"",IF(G2571&gt;=20000,0.05,IF(G2571&gt;=10000,0.1,IF(G2571&gt;=5000,0.2,IF(G2571&gt;=1000,0.3,IF(G2571&gt;=0,0.4,{0}))))))</f>
        <v/>
      </c>
      <c r="P2571" s="425">
        <f>IF(AND(B2571="",C2571=""),"",ROUND(H2571*O2571,2))</f>
        <v/>
      </c>
      <c r="Q2571" s="426" t="inlineStr">
        <is>
          <t>母排</t>
        </is>
      </c>
      <c r="R2571" s="234" t="inlineStr"/>
      <c r="S2571" s="234" t="inlineStr"/>
      <c r="T2571" s="235" t="inlineStr">
        <is>
          <t>0</t>
        </is>
      </c>
      <c r="U2571" s="235" t="inlineStr"/>
      <c r="V2571" s="427" t="n"/>
      <c r="W2571" s="427" t="n"/>
      <c r="X2571" s="237" t="inlineStr">
        <is>
          <t>TMY 2*30*5→TMY 30*8</t>
        </is>
      </c>
    </row>
    <row r="2572" customFormat="1" s="5">
      <c r="A2572" s="64">
        <f>ROW()-ROW(A$2554)</f>
        <v/>
      </c>
      <c r="B2572" s="22" t="inlineStr">
        <is>
          <t>PE排</t>
        </is>
      </c>
      <c r="C2572" s="22" t="inlineStr">
        <is>
          <t>TMY 50*5</t>
        </is>
      </c>
      <c r="D2572" s="22" t="inlineStr">
        <is>
          <t>国产优质</t>
        </is>
      </c>
      <c r="E2572" s="23" t="inlineStr">
        <is>
          <t>米</t>
        </is>
      </c>
      <c r="F2572" s="23" t="n">
        <v>2</v>
      </c>
      <c r="G2572" s="349">
        <f>IF(AND(B2572="",C2572=""),"",ROUND(M2572*L2572*N2572,2))</f>
        <v/>
      </c>
      <c r="H2572" s="349">
        <f>IF(AND(B2572="",C2572=""),"",ROUND(F2572*G2572,2))</f>
        <v/>
      </c>
      <c r="I2572" s="45" t="inlineStr"/>
      <c r="J2572" s="422">
        <f>IF(AND(B2572="",C2572=""),"",ROUND(M2572*N2572,2))</f>
        <v/>
      </c>
      <c r="K2572" s="423">
        <f>IF(AND(B2572="",C2572=""),"",ROUND(J2572*F2572,2))</f>
        <v/>
      </c>
      <c r="L2572" s="225" t="n">
        <v>1</v>
      </c>
      <c r="M2572" s="424" t="n">
        <v>240.533625</v>
      </c>
      <c r="N2572" s="227" t="n">
        <v>1</v>
      </c>
      <c r="O2572" s="228">
        <f>IF(AND(B2572="",C2572=""),"",IF(G2572&gt;=20000,0.05,IF(G2572&gt;=10000,0.1,IF(G2572&gt;=5000,0.2,IF(G2572&gt;=1000,0.3,IF(G2572&gt;=0,0.4,{0}))))))</f>
        <v/>
      </c>
      <c r="P2572" s="425">
        <f>IF(AND(B2572="",C2572=""),"",ROUND(H2572*O2572,2))</f>
        <v/>
      </c>
      <c r="Q2572" s="426" t="inlineStr">
        <is>
          <t>母排</t>
        </is>
      </c>
      <c r="R2572" s="234" t="inlineStr"/>
      <c r="S2572" s="234" t="inlineStr"/>
      <c r="T2572" s="235" t="inlineStr">
        <is>
          <t>0</t>
        </is>
      </c>
      <c r="U2572" s="235" t="inlineStr"/>
      <c r="V2572" s="427" t="n"/>
      <c r="W2572" s="427" t="n"/>
      <c r="X2572" s="237" t="inlineStr">
        <is>
          <t>TMY 2*30*5→TMY 30*8</t>
        </is>
      </c>
    </row>
    <row r="2573" customFormat="1" s="5">
      <c r="A2573" s="64">
        <f>ROW()-ROW(A$2554)</f>
        <v/>
      </c>
      <c r="B2573" s="22" t="inlineStr">
        <is>
          <t>400A铜排</t>
        </is>
      </c>
      <c r="C2573" s="22" t="inlineStr">
        <is>
          <t>TMY 30*5</t>
        </is>
      </c>
      <c r="D2573" s="22" t="inlineStr">
        <is>
          <t>国产优质</t>
        </is>
      </c>
      <c r="E2573" s="23" t="inlineStr">
        <is>
          <t>米</t>
        </is>
      </c>
      <c r="F2573" s="23" t="n">
        <v>6.4</v>
      </c>
      <c r="G2573" s="349">
        <f>IF(AND(B2573="",C2573=""),"",ROUND(M2573*L2573*N2573,2))</f>
        <v/>
      </c>
      <c r="H2573" s="349">
        <f>IF(AND(B2573="",C2573=""),"",ROUND(F2573*G2573,2))</f>
        <v/>
      </c>
      <c r="I2573" s="45" t="inlineStr"/>
      <c r="J2573" s="422">
        <f>IF(AND(B2573="",C2573=""),"",ROUND(M2573*N2573,2))</f>
        <v/>
      </c>
      <c r="K2573" s="423">
        <f>IF(AND(B2573="",C2573=""),"",ROUND(J2573*F2573,2))</f>
        <v/>
      </c>
      <c r="L2573" s="225" t="n">
        <v>1</v>
      </c>
      <c r="M2573" s="424" t="n">
        <v>144.320175</v>
      </c>
      <c r="N2573" s="227" t="n">
        <v>1</v>
      </c>
      <c r="O2573" s="228">
        <f>IF(AND(B2573="",C2573=""),"",IF(G2573&gt;=20000,0.05,IF(G2573&gt;=10000,0.1,IF(G2573&gt;=5000,0.2,IF(G2573&gt;=1000,0.3,IF(G2573&gt;=0,0.4,{0}))))))</f>
        <v/>
      </c>
      <c r="P2573" s="425">
        <f>IF(AND(B2573="",C2573=""),"",ROUND(H2573*O2573,2))</f>
        <v/>
      </c>
      <c r="Q2573" s="426" t="inlineStr">
        <is>
          <t>母排</t>
        </is>
      </c>
      <c r="R2573" s="234" t="inlineStr"/>
      <c r="S2573" s="234" t="inlineStr"/>
      <c r="T2573" s="235" t="inlineStr">
        <is>
          <t>0</t>
        </is>
      </c>
      <c r="U2573" s="235" t="inlineStr"/>
      <c r="V2573" s="427" t="n"/>
      <c r="W2573" s="427" t="n"/>
      <c r="X2573" s="237" t="inlineStr">
        <is>
          <t>TMY 2*30*5→TMY 30*8</t>
        </is>
      </c>
    </row>
    <row r="2574" s="308">
      <c r="A2574" s="64">
        <f>ROW()-ROW(A$2554)</f>
        <v/>
      </c>
      <c r="B2574" s="112" t="inlineStr">
        <is>
          <t>辅料</t>
        </is>
      </c>
      <c r="C2574" s="112" t="inlineStr"/>
      <c r="D2574" s="112" t="inlineStr"/>
      <c r="E2574" s="114" t="inlineStr">
        <is>
          <t>套</t>
        </is>
      </c>
      <c r="F2574" s="114" t="n">
        <v>1</v>
      </c>
      <c r="G2574" s="396">
        <f>IF(AND(B2574="",C2574=""),"",ROUND(M2574*L2574*N2574,2))</f>
        <v/>
      </c>
      <c r="H2574" s="396">
        <f>IF(AND(B2574="",C2574=""),"",ROUND(F2574*G2574,2))</f>
        <v/>
      </c>
      <c r="I2574" s="219" t="inlineStr"/>
      <c r="J2574" s="397">
        <f>IF(AND(B2574="",C2574=""),"",ROUND(M2574*N2574,2))</f>
        <v/>
      </c>
      <c r="K2574" s="398">
        <f>IF(AND(B2574="",C2574=""),"",ROUND(J2574*F2574,2))</f>
        <v/>
      </c>
      <c r="L2574" s="200" t="n">
        <v>1</v>
      </c>
      <c r="M2574" s="399" t="n">
        <v>2157.2</v>
      </c>
      <c r="N2574" s="154" t="n">
        <v>1</v>
      </c>
      <c r="O2574" s="155">
        <f>IF(AND(B2574="",C2574=""),"",IF(G2574&gt;=20000,0.05,IF(G2574&gt;=10000,0.1,IF(G2574&gt;=5000,0.2,IF(G2574&gt;=1000,0.3,IF(G2574&gt;=0,0.4,{0}))))))</f>
        <v/>
      </c>
      <c r="P2574" s="400">
        <f>IF(AND(B2574="",C2574=""),"",ROUND(H2574*O2574,2))</f>
        <v/>
      </c>
      <c r="Q2574" s="401" t="inlineStr">
        <is>
          <t>辅料</t>
        </is>
      </c>
      <c r="R2574" s="168" t="inlineStr"/>
      <c r="S2574" s="168" t="inlineStr"/>
      <c r="T2574" s="168" t="inlineStr">
        <is>
          <t>0</t>
        </is>
      </c>
      <c r="U2574" s="168" t="inlineStr"/>
      <c r="V2574" s="402" t="n"/>
      <c r="W2574" s="402" t="n"/>
      <c r="X2574" s="170" t="inlineStr"/>
    </row>
    <row r="2575" s="308">
      <c r="A2575" s="64">
        <f>ROW()-ROW(A$2554)</f>
        <v/>
      </c>
      <c r="B2575" s="112" t="inlineStr">
        <is>
          <t>柜体Blokset</t>
        </is>
      </c>
      <c r="C2575" s="22" t="inlineStr">
        <is>
          <t>600W*1200D*2200H</t>
        </is>
      </c>
      <c r="D2575" s="112" t="inlineStr">
        <is>
          <t>清科</t>
        </is>
      </c>
      <c r="E2575" s="114" t="inlineStr">
        <is>
          <t>台</t>
        </is>
      </c>
      <c r="F2575" s="114" t="n">
        <v>1</v>
      </c>
      <c r="G2575" s="396">
        <f>IF(AND(B2575="",C2575=""),"",ROUND(M2575*L2575*N2575,2))</f>
        <v/>
      </c>
      <c r="H2575" s="396">
        <f>IF(AND(B2575="",C2575=""),"",ROUND(F2575*G2575,2))</f>
        <v/>
      </c>
      <c r="I2575" s="219" t="inlineStr"/>
      <c r="J2575" s="397">
        <f>IF(AND(B2575="",C2575=""),"",ROUND(M2575*N2575,2))</f>
        <v/>
      </c>
      <c r="K2575" s="398">
        <f>IF(AND(B2575="",C2575=""),"",ROUND(J2575*F2575,2))</f>
        <v/>
      </c>
      <c r="L2575" s="200" t="n">
        <v>1</v>
      </c>
      <c r="M2575" s="399" t="n">
        <v>5990</v>
      </c>
      <c r="N2575" s="154" t="n">
        <v>1</v>
      </c>
      <c r="O2575" s="155">
        <f>IF(AND(B2575="",C2575=""),"",IF(G2575&gt;=20000,0.05,IF(G2575&gt;=10000,0.1,IF(G2575&gt;=5000,0.2,IF(G2575&gt;=1000,0.3,IF(G2575&gt;=0,0.4,{0}))))))</f>
        <v/>
      </c>
      <c r="P2575" s="400">
        <f>IF(AND(B2575="",C2575=""),"",ROUND(H2575*O2575,2))</f>
        <v/>
      </c>
      <c r="Q2575" s="401" t="inlineStr">
        <is>
          <t>箱体</t>
        </is>
      </c>
      <c r="R2575" s="168" t="inlineStr"/>
      <c r="S2575" s="168" t="inlineStr"/>
      <c r="T2575" s="168" t="inlineStr">
        <is>
          <t>0</t>
        </is>
      </c>
      <c r="U2575" s="168" t="inlineStr"/>
      <c r="V2575" s="402" t="n"/>
      <c r="W2575" s="402" t="n"/>
      <c r="X2575" s="170" t="inlineStr">
        <is>
          <t>BlokSeT</t>
        </is>
      </c>
    </row>
    <row r="2576" s="308">
      <c r="A2576" s="64">
        <f>ROW()-ROW(A$2554)</f>
        <v/>
      </c>
      <c r="B2576" s="22" t="inlineStr"/>
      <c r="C2576" s="22" t="inlineStr"/>
      <c r="D2576" s="22" t="inlineStr"/>
      <c r="E2576" s="23" t="n"/>
      <c r="F2576" s="23">
        <f>IF(AND(B2576="",C2576=""),"",1)</f>
        <v/>
      </c>
      <c r="G2576" s="349">
        <f>IF(AND(B2576="",C2576=""),"",ROUND(M2576*L2576*N2576,2))</f>
        <v/>
      </c>
      <c r="H2576" s="349">
        <f>IF(AND(B2576="",C2576=""),"",ROUND(F2576*G2576,2))</f>
        <v/>
      </c>
      <c r="I2576" s="45" t="inlineStr"/>
      <c r="J2576" s="397">
        <f>IF(AND(B2576="",C2576=""),"",ROUND(M2576*N2576,2))</f>
        <v/>
      </c>
      <c r="K2576" s="398">
        <f>IF(AND(B2576="",C2576=""),"",ROUND(J2576*F2576,2))</f>
        <v/>
      </c>
      <c r="L2576" s="200">
        <f>IF(AND(B2576="",C2576=""),"",1)</f>
        <v/>
      </c>
      <c r="M2576" s="399" t="n"/>
      <c r="N2576" s="154">
        <f>IF(AND(B2576="",C2576=""),"",1)</f>
        <v/>
      </c>
      <c r="O2576" s="155">
        <f>IF(AND(B2576="",C2576=""),"",IF(J2576&gt;=20000,0.05,IF(J2576&gt;=10000,0.1,IF(J2576&gt;=5000,0.2,IF(J2576&gt;=1000,0.3,IF(J2576&gt;=0,0.4,{0}))))))</f>
        <v/>
      </c>
      <c r="P2576" s="400">
        <f>IF(AND(B2576="",C2576=""),"",ROUND(H2576*O2576,2))</f>
        <v/>
      </c>
      <c r="Q2576" s="401">
        <f>IF(AND(B2576="",C2576=""),"","元件")</f>
        <v/>
      </c>
      <c r="R2576" s="168" t="inlineStr"/>
      <c r="S2576" s="168" t="inlineStr"/>
      <c r="T2576" s="168" t="inlineStr"/>
      <c r="U2576" s="168" t="inlineStr"/>
      <c r="V2576" s="402" t="n"/>
      <c r="W2576" s="402" t="n"/>
      <c r="X2576" s="170" t="inlineStr"/>
    </row>
    <row r="2577" s="308">
      <c r="A2577" s="64">
        <f>ROW()-ROW(A$2554)</f>
        <v/>
      </c>
      <c r="B2577" s="171" t="inlineStr">
        <is>
          <t>小计</t>
        </is>
      </c>
      <c r="C2577" s="172" t="n"/>
      <c r="D2577" s="204" t="n"/>
      <c r="E2577" s="114" t="n"/>
      <c r="F2577" s="114" t="n"/>
      <c r="G2577" s="396" t="n"/>
      <c r="H2577" s="396">
        <f>ROUND(SUM(H2554:INDEX(H:H,ROW()-1)),2)</f>
        <v/>
      </c>
      <c r="I2577" s="45" t="inlineStr"/>
      <c r="J2577" s="397" t="n"/>
      <c r="K2577" s="398">
        <f>ROUND(SUM(K2554:INDEX(K:K,ROW()-1)),2)</f>
        <v/>
      </c>
      <c r="L2577" s="200" t="n"/>
      <c r="M2577" s="399" t="n"/>
      <c r="N2577" s="154" t="n"/>
      <c r="O2577" s="155" t="n"/>
      <c r="P2577" s="400" t="n"/>
      <c r="Q2577" s="401" t="n"/>
      <c r="R2577" s="168" t="inlineStr"/>
      <c r="S2577" s="168" t="inlineStr"/>
      <c r="T2577" s="168" t="inlineStr"/>
      <c r="U2577" s="168" t="inlineStr"/>
      <c r="V2577" s="402">
        <f>ROUND(SUMPRODUCT(F2554:INDEX(F:F,ROW()-1),V2554:INDEX(V:V,ROW()-1)),2)</f>
        <v/>
      </c>
      <c r="W2577" s="402">
        <f>ROUND(SUMPRODUCT(F2554:INDEX(F:F,ROW()-1),W2554:INDEX(W:W,ROW()-1)),2)</f>
        <v/>
      </c>
      <c r="X2577" s="170" t="inlineStr"/>
    </row>
    <row r="2578" s="308">
      <c r="A2578" s="64">
        <f>ROW()-ROW(A$2554)</f>
        <v/>
      </c>
      <c r="B2578" s="171" t="inlineStr">
        <is>
          <t>综合费(人工、管理、税金、利润等)</t>
        </is>
      </c>
      <c r="C2578" s="172" t="n"/>
      <c r="D2578" s="204" t="n"/>
      <c r="E2578" s="114" t="n"/>
      <c r="F2578" s="114" t="n"/>
      <c r="G2578" s="396" t="n"/>
      <c r="H2578" s="396">
        <f>2500</f>
        <v/>
      </c>
      <c r="I2578" s="45" t="inlineStr"/>
      <c r="J2578" s="397" t="n"/>
      <c r="K2578" s="398" t="n"/>
      <c r="L2578" s="200" t="n"/>
      <c r="M2578" s="399" t="n"/>
      <c r="N2578" s="154" t="n"/>
      <c r="O2578" s="155" t="n"/>
      <c r="P2578" s="400" t="n"/>
      <c r="Q2578" s="401" t="inlineStr">
        <is>
          <t>费用</t>
        </is>
      </c>
      <c r="R2578" s="168" t="inlineStr"/>
      <c r="S2578" s="168" t="inlineStr"/>
      <c r="T2578" s="168" t="inlineStr"/>
      <c r="U2578" s="168" t="inlineStr"/>
      <c r="V2578" s="402" t="n"/>
      <c r="W2578" s="402" t="n"/>
      <c r="X2578" s="170" t="inlineStr"/>
    </row>
    <row r="2579" s="308">
      <c r="A2579" s="64">
        <f>ROW()-ROW(A$2554)</f>
        <v/>
      </c>
      <c r="B2579" s="204" t="inlineStr">
        <is>
          <t>单台合计</t>
        </is>
      </c>
      <c r="C2579" s="172" t="n"/>
      <c r="D2579" s="204" t="n"/>
      <c r="E2579" s="114" t="n"/>
      <c r="F2579" s="114" t="n"/>
      <c r="G2579" s="396" t="n"/>
      <c r="H2579" s="396">
        <f>ROUND(SUM(H2577:H2578),2)</f>
        <v/>
      </c>
      <c r="I2579" s="181" t="n"/>
      <c r="J2579" s="397" t="n"/>
      <c r="K2579" s="398">
        <f>ROUND(SUM(K2577:K2578),2)</f>
        <v/>
      </c>
      <c r="L2579" s="209" t="n"/>
      <c r="M2579" s="399" t="n"/>
      <c r="N2579" s="210" t="n"/>
      <c r="O2579" s="211" t="n"/>
      <c r="P2579" s="400" t="n"/>
      <c r="Q2579" s="401" t="n"/>
      <c r="R2579" s="168" t="inlineStr"/>
      <c r="S2579" s="168" t="inlineStr"/>
      <c r="T2579" s="168" t="inlineStr"/>
      <c r="U2579" s="168" t="inlineStr"/>
      <c r="V2579" s="402" t="n"/>
      <c r="W2579" s="402" t="n"/>
      <c r="X2579" s="170" t="inlineStr"/>
    </row>
    <row r="2580" s="308">
      <c r="A2580" s="173" t="inlineStr">
        <is>
          <t>总计</t>
        </is>
      </c>
      <c r="B2580" s="205" t="n"/>
      <c r="C2580" s="175" t="n"/>
      <c r="D2580" s="206" t="n"/>
      <c r="E2580" s="206" t="inlineStr">
        <is>
          <t>台</t>
        </is>
      </c>
      <c r="F2580" s="206" t="n">
        <v>1</v>
      </c>
      <c r="G2580" s="414">
        <f>ROUND(H2579,2)</f>
        <v/>
      </c>
      <c r="H2580" s="414">
        <f>ROUND(F2580*G2580,2)</f>
        <v/>
      </c>
      <c r="I2580" s="185" t="n"/>
      <c r="J2580" s="415" t="n"/>
      <c r="K2580" s="416">
        <f>ROUND(K2579*F2580,2)</f>
        <v/>
      </c>
      <c r="L2580" s="214" t="n"/>
      <c r="M2580" s="417" t="n"/>
      <c r="N2580" s="216" t="n"/>
      <c r="O2580" s="217" t="n"/>
      <c r="P2580" s="418" t="n"/>
      <c r="Q2580" s="401" t="n"/>
      <c r="R2580" s="168" t="inlineStr"/>
      <c r="S2580" s="168" t="inlineStr"/>
      <c r="T2580" s="168" t="inlineStr"/>
      <c r="U2580" s="168" t="inlineStr"/>
      <c r="V2580" s="402" t="n"/>
      <c r="W2580" s="402" t="n"/>
      <c r="X2580" s="170" t="inlineStr"/>
    </row>
    <row r="2581" customFormat="1" s="4">
      <c r="A2581" s="6" t="n"/>
      <c r="B2581" s="195" t="inlineStr"/>
      <c r="C2581" s="195" t="inlineStr"/>
      <c r="D2581" s="195" t="inlineStr"/>
      <c r="Q2581" s="159" t="n"/>
      <c r="R2581" s="159" t="n"/>
      <c r="S2581" s="159" t="n"/>
      <c r="T2581" s="159" t="n"/>
      <c r="U2581" s="159" t="n"/>
      <c r="X2581" s="195" t="inlineStr"/>
    </row>
    <row r="2582" customFormat="1" s="4">
      <c r="A2582" s="6" t="n"/>
      <c r="B2582" s="195" t="inlineStr"/>
      <c r="C2582" s="195" t="inlineStr"/>
      <c r="D2582" s="195" t="inlineStr"/>
      <c r="Q2582" s="159" t="n"/>
      <c r="R2582" s="159" t="n"/>
      <c r="S2582" s="159" t="n"/>
      <c r="T2582" s="159" t="n"/>
      <c r="U2582" s="159" t="n"/>
      <c r="X2582" s="195" t="inlineStr"/>
    </row>
    <row r="2583" s="308">
      <c r="A2583" s="208">
        <f>CONCATENATE("报价人：",项目信息!$B$8)</f>
        <v/>
      </c>
      <c r="B2583" s="208" t="n"/>
      <c r="C2583" s="4" t="n"/>
      <c r="D2583" s="4" t="n"/>
      <c r="E2583" s="4" t="n"/>
      <c r="F2583" s="4" t="n"/>
      <c r="G2583" s="4" t="n"/>
      <c r="H2583" s="178">
        <f>项目信息!$B$9</f>
        <v/>
      </c>
      <c r="Q2583" s="159" t="n"/>
      <c r="R2583" s="159" t="n"/>
      <c r="S2583" s="159" t="n"/>
      <c r="T2583" s="159" t="n"/>
      <c r="U2583" s="159" t="n"/>
      <c r="X2583" s="203" t="inlineStr"/>
    </row>
    <row r="2584" s="308">
      <c r="A2584" s="8">
        <f>T(项目信息!$B$22)</f>
        <v/>
      </c>
      <c r="Q2584" s="159" t="n"/>
      <c r="R2584" s="159" t="n"/>
      <c r="S2584" s="159" t="n"/>
      <c r="T2584" s="159" t="n"/>
      <c r="U2584" s="159" t="n"/>
    </row>
    <row r="2585" s="308">
      <c r="A2585" s="9">
        <f>T(项目信息!$B$23)</f>
        <v/>
      </c>
      <c r="Q2585" s="159" t="n"/>
      <c r="R2585" s="159" t="n"/>
      <c r="S2585" s="159" t="n"/>
      <c r="T2585" s="159" t="n"/>
      <c r="U2585" s="159" t="n"/>
    </row>
    <row r="2586" s="308">
      <c r="A2586" s="97" t="inlineStr">
        <is>
          <t>成套产品报价明细表</t>
        </is>
      </c>
      <c r="B2586" s="378" t="n"/>
      <c r="C2586" s="378" t="n"/>
      <c r="D2586" s="378" t="n"/>
      <c r="E2586" s="378" t="n"/>
      <c r="F2586" s="378" t="n"/>
      <c r="G2586" s="378" t="n"/>
      <c r="H2586" s="378" t="n"/>
      <c r="I2586" s="378" t="n"/>
      <c r="Q2586" s="159" t="n"/>
      <c r="R2586" s="159" t="n"/>
      <c r="S2586" s="159" t="n"/>
      <c r="T2586" s="159" t="n"/>
      <c r="U2586" s="159" t="n"/>
    </row>
    <row r="2587" customFormat="1" s="4">
      <c r="A2587" s="98" t="inlineStr">
        <is>
          <t>柜号:</t>
        </is>
      </c>
      <c r="B2587" s="99" t="inlineStr">
        <is>
          <t>T2-BU11</t>
        </is>
      </c>
      <c r="C2587" s="100" t="inlineStr">
        <is>
          <t>型号:</t>
        </is>
      </c>
      <c r="D2587" s="99" t="inlineStr">
        <is>
          <t>BlokSeT</t>
        </is>
      </c>
      <c r="E2587" s="379" t="n"/>
      <c r="F2587" s="101" t="inlineStr">
        <is>
          <t>名称:</t>
        </is>
      </c>
      <c r="G2587" s="99" t="inlineStr">
        <is>
          <t>进线柜</t>
        </is>
      </c>
      <c r="H2587" s="379" t="n"/>
      <c r="I2587" s="408" t="inlineStr"/>
      <c r="J2587" s="194" t="inlineStr">
        <is>
          <t>箱柜尺寸:</t>
        </is>
      </c>
      <c r="K2587" s="195" t="inlineStr">
        <is>
          <t>400W*1200D*2200H</t>
        </is>
      </c>
      <c r="L2587" s="194" t="inlineStr">
        <is>
          <t>类别:</t>
        </is>
      </c>
      <c r="M2587" s="195" t="inlineStr">
        <is>
          <t>低压固定柜</t>
        </is>
      </c>
      <c r="N2587" s="409" t="inlineStr"/>
      <c r="Q2587" s="159" t="n"/>
      <c r="R2587" s="159" t="n"/>
      <c r="S2587" s="159" t="n"/>
      <c r="T2587" s="159" t="n"/>
      <c r="U2587" s="159" t="n"/>
    </row>
    <row r="2588" ht="20.1" customHeight="1" s="308">
      <c r="A2588" s="102" t="inlineStr">
        <is>
          <t>序号</t>
        </is>
      </c>
      <c r="B2588" s="103" t="inlineStr">
        <is>
          <t>元件名称</t>
        </is>
      </c>
      <c r="C2588" s="103" t="inlineStr">
        <is>
          <t>型号规格</t>
        </is>
      </c>
      <c r="D2588" s="104" t="inlineStr">
        <is>
          <t>生产厂家</t>
        </is>
      </c>
      <c r="E2588" s="105" t="inlineStr">
        <is>
          <t>单位</t>
        </is>
      </c>
      <c r="F2588" s="105" t="inlineStr">
        <is>
          <t>数量</t>
        </is>
      </c>
      <c r="G2588" s="382" t="inlineStr">
        <is>
          <t>单   价</t>
        </is>
      </c>
      <c r="H2588" s="383" t="inlineStr">
        <is>
          <t>总   价</t>
        </is>
      </c>
      <c r="I2588" s="134" t="inlineStr">
        <is>
          <t>备注</t>
        </is>
      </c>
      <c r="J2588" s="384" t="inlineStr">
        <is>
          <t>成本单价</t>
        </is>
      </c>
      <c r="K2588" s="384" t="inlineStr">
        <is>
          <t>成本总价</t>
        </is>
      </c>
      <c r="L2588" s="136" t="inlineStr">
        <is>
          <t>报出
系数</t>
        </is>
      </c>
      <c r="M2588" s="384" t="inlineStr">
        <is>
          <t>表价</t>
        </is>
      </c>
      <c r="N2588" s="136" t="inlineStr">
        <is>
          <t>折扣
系数</t>
        </is>
      </c>
      <c r="O2588" s="137" t="inlineStr">
        <is>
          <t>取费
系数</t>
        </is>
      </c>
      <c r="P2588" s="384" t="inlineStr">
        <is>
          <t>成套费</t>
        </is>
      </c>
      <c r="Q2588" s="161" t="inlineStr">
        <is>
          <t>类别</t>
        </is>
      </c>
      <c r="R2588" s="161" t="inlineStr">
        <is>
          <t>物料编码</t>
        </is>
      </c>
      <c r="S2588" s="161" t="inlineStr">
        <is>
          <t>产地</t>
        </is>
      </c>
      <c r="T2588" s="161" t="inlineStr">
        <is>
          <t>加工费</t>
        </is>
      </c>
      <c r="U2588" s="161" t="inlineStr">
        <is>
          <t>订货号</t>
        </is>
      </c>
      <c r="V2588" s="161" t="inlineStr">
        <is>
          <t>人工</t>
        </is>
      </c>
      <c r="W2588" s="161" t="inlineStr">
        <is>
          <t>辅料</t>
        </is>
      </c>
      <c r="X2588" s="203" t="inlineStr"/>
    </row>
    <row r="2589" s="308">
      <c r="A2589" s="64">
        <f>ROW()-ROW(A$2588)</f>
        <v/>
      </c>
      <c r="B2589" s="22" t="inlineStr">
        <is>
          <t>框架断路器</t>
        </is>
      </c>
      <c r="C2589" s="22" t="inlineStr">
        <is>
          <t>MT08 N1a SG 3P MIC5.0 E</t>
        </is>
      </c>
      <c r="D2589" s="22" t="inlineStr">
        <is>
          <t>甲供/施耐德电气</t>
        </is>
      </c>
      <c r="E2589" s="23" t="inlineStr">
        <is>
          <t>只</t>
        </is>
      </c>
      <c r="F2589" s="23" t="n">
        <v>2</v>
      </c>
      <c r="G2589" s="349">
        <f>IF(AND(B2589="",C2589=""),"",ROUND(M2589*L2589*N2589,2))</f>
        <v/>
      </c>
      <c r="H2589" s="349">
        <f>IF(AND(B2589="",C2589=""),"",ROUND(F2589*G2589,2))</f>
        <v/>
      </c>
      <c r="I2589" s="45" t="inlineStr"/>
      <c r="J2589" s="397">
        <f>IF(AND(B2589="",C2589=""),"",ROUND(M2589*N2589,2))</f>
        <v/>
      </c>
      <c r="K2589" s="398">
        <f>IF(AND(B2589="",C2589=""),"",ROUND(J2589*F2589,2))</f>
        <v/>
      </c>
      <c r="L2589" s="200" t="n">
        <v>1</v>
      </c>
      <c r="M2589" s="399" t="n">
        <v>1e-07</v>
      </c>
      <c r="N2589" s="154" t="n">
        <v>1</v>
      </c>
      <c r="O2589" s="155">
        <f>IF(AND(B2589="",C2589=""),"",IF(G2589&gt;=20000,0.05,IF(G2589&gt;=10000,0.1,IF(G2589&gt;=5000,0.2,IF(G2589&gt;=1000,0.3,IF(G2589&gt;=0,0.4,{0}))))))</f>
        <v/>
      </c>
      <c r="P2589" s="400">
        <f>IF(AND(B2589="",C2589=""),"",ROUND(H2589*O2589,2))</f>
        <v/>
      </c>
      <c r="Q2589" s="401" t="inlineStr">
        <is>
          <t>元件</t>
        </is>
      </c>
      <c r="R2589" s="168" t="inlineStr"/>
      <c r="S2589" s="168" t="inlineStr"/>
      <c r="T2589" s="168" t="inlineStr">
        <is>
          <t>0</t>
        </is>
      </c>
      <c r="U2589" s="168" t="inlineStr">
        <is>
          <t>C16F32D160</t>
        </is>
      </c>
      <c r="V2589" s="402" t="n"/>
      <c r="W2589" s="402" t="n"/>
      <c r="X2589" s="170" t="inlineStr">
        <is>
          <t>NSX630N Mic2.3 630A 3P3D F→NSX630F MIC2.3 630 3P F→NSX630F MIC 2.3 630 3P F</t>
        </is>
      </c>
    </row>
    <row r="2590" s="308">
      <c r="A2590" s="64">
        <f>ROW()-ROW(A$2588)</f>
        <v/>
      </c>
      <c r="B2590" s="22" t="inlineStr">
        <is>
          <t>电流互感器</t>
        </is>
      </c>
      <c r="C2590" s="22" t="inlineStr">
        <is>
          <t>SD-0.66-80II-V 800/5A</t>
        </is>
      </c>
      <c r="D2590" s="22" t="inlineStr">
        <is>
          <t>桑迪</t>
        </is>
      </c>
      <c r="E2590" s="23" t="inlineStr">
        <is>
          <t>只</t>
        </is>
      </c>
      <c r="F2590" s="23" t="n">
        <v>6</v>
      </c>
      <c r="G2590" s="349">
        <f>IF(AND(B2590="",C2590=""),"",ROUND(M2590*L2590*N2590,2))</f>
        <v/>
      </c>
      <c r="H2590" s="396">
        <f>IF(AND(B2590="",C2590=""),"",ROUND(F2590*G2590,2))</f>
        <v/>
      </c>
      <c r="I2590" s="219" t="inlineStr"/>
      <c r="J2590" s="397">
        <f>IF(AND(B2590="",C2590=""),"",ROUND(M2590*N2590,2))</f>
        <v/>
      </c>
      <c r="K2590" s="398">
        <f>IF(AND(B2590="",C2590=""),"",ROUND(J2590*F2590,2))</f>
        <v/>
      </c>
      <c r="L2590" s="200" t="n">
        <v>1</v>
      </c>
      <c r="M2590" s="399" t="n">
        <v>80.59999999999999</v>
      </c>
      <c r="N2590" s="154" t="n">
        <v>1</v>
      </c>
      <c r="O2590" s="155">
        <f>IF(AND(B2590="",C2590=""),"",IF(G2590&gt;=20000,0.05,IF(G2590&gt;=10000,0.1,IF(G2590&gt;=5000,0.2,IF(G2590&gt;=1000,0.3,IF(G2590&gt;=0,0.4,{0}))))))</f>
        <v/>
      </c>
      <c r="P2590" s="400">
        <f>IF(AND(B2590="",C2590=""),"",ROUND(H2590*O2590,2))</f>
        <v/>
      </c>
      <c r="Q2590" s="401" t="inlineStr">
        <is>
          <t>元件</t>
        </is>
      </c>
      <c r="R2590" s="168" t="inlineStr"/>
      <c r="S2590" s="168" t="inlineStr"/>
      <c r="T2590" s="168" t="inlineStr">
        <is>
          <t>0</t>
        </is>
      </c>
      <c r="U2590" s="168" t="inlineStr">
        <is>
          <t>710141426552500</t>
        </is>
      </c>
      <c r="V2590" s="402" t="n"/>
      <c r="W2590" s="402" t="n"/>
      <c r="X2590" s="170" t="inlineStr">
        <is>
          <t>SD→SD-0.66-40II-C 400/5A→SD-0.66-30I 250/5A→SD-0.66-30I 150/5A→SD-0.66-60II-C 750/5A→SD-0.66-60II-C 600/5A→SD-0.66-30I 150/5A→SD-0.66-40II-C 400/5A→SD-0.66-100II-C 1600/5A→SD-0.66-80II-V 1000/5A→SD-0.66-80II-V 1250/5A→SD-0.66-80II-V 1000/5A</t>
        </is>
      </c>
    </row>
    <row r="2591" s="308">
      <c r="A2591" s="64">
        <f>ROW()-ROW(A$2588)</f>
        <v/>
      </c>
      <c r="B2591" s="112" t="inlineStr">
        <is>
          <t>多功能表</t>
        </is>
      </c>
      <c r="C2591" s="112" t="inlineStr">
        <is>
          <t>PM4101</t>
        </is>
      </c>
      <c r="D2591" s="112" t="inlineStr">
        <is>
          <t>甲供/施耐德电气</t>
        </is>
      </c>
      <c r="E2591" s="114" t="inlineStr">
        <is>
          <t>只</t>
        </is>
      </c>
      <c r="F2591" s="114" t="n">
        <v>2</v>
      </c>
      <c r="G2591" s="396">
        <f>IF(AND(B2591="",C2591=""),"",ROUND(M2591*L2591*N2591,2))</f>
        <v/>
      </c>
      <c r="H2591" s="349">
        <f>IF(AND(B2591="",C2591=""),"",ROUND(F2591*G2591,2))</f>
        <v/>
      </c>
      <c r="I2591" s="45" t="inlineStr"/>
      <c r="J2591" s="397">
        <f>IF(AND(B2591="",C2591=""),"",ROUND(M2591*N2591,2))</f>
        <v/>
      </c>
      <c r="K2591" s="398">
        <f>IF(AND(B2591="",C2591=""),"",ROUND(J2591*F2591,2))</f>
        <v/>
      </c>
      <c r="L2591" s="200" t="n">
        <v>1</v>
      </c>
      <c r="M2591" s="399" t="n">
        <v>1e-07</v>
      </c>
      <c r="N2591" s="154" t="n">
        <v>1</v>
      </c>
      <c r="O2591" s="155">
        <f>IF(AND(B2591="",C2591=""),"",IF(J2591&gt;=20000,0.05,IF(J2591&gt;=10000,0.1,IF(J2591&gt;=5000,0.2,IF(J2591&gt;=1000,0.3,IF(J2591&gt;=0,0.4,{0}))))))</f>
        <v/>
      </c>
      <c r="P2591" s="400">
        <f>IF(AND(B2591="",C2591=""),"",ROUND(H2591*O2591,2))</f>
        <v/>
      </c>
      <c r="Q2591" s="401" t="inlineStr">
        <is>
          <t>元件</t>
        </is>
      </c>
      <c r="R2591" s="168" t="inlineStr"/>
      <c r="S2591" s="168" t="inlineStr"/>
      <c r="T2591" s="168" t="inlineStr">
        <is>
          <t>0</t>
        </is>
      </c>
      <c r="U2591" s="168" t="inlineStr"/>
      <c r="V2591" s="402" t="n"/>
      <c r="W2591" s="402" t="n"/>
      <c r="X2591" s="170" t="inlineStr"/>
    </row>
    <row r="2592" customFormat="1" s="3">
      <c r="A2592" s="64">
        <f>ROW()-ROW(A$2588)</f>
        <v/>
      </c>
      <c r="B2592" s="27" t="inlineStr">
        <is>
          <t>后备保护器</t>
        </is>
      </c>
      <c r="C2592" s="22" t="inlineStr">
        <is>
          <t>iSCB2 40H2 4P</t>
        </is>
      </c>
      <c r="D2592" s="22" t="inlineStr">
        <is>
          <t>甲供/施耐德万高</t>
        </is>
      </c>
      <c r="E2592" s="110" t="inlineStr">
        <is>
          <t>只</t>
        </is>
      </c>
      <c r="F2592" s="23" t="n">
        <v>1</v>
      </c>
      <c r="G2592" s="349">
        <f>IF(AND(B2592="",C2592=""),"",ROUND(M2592*L2592*N2592,2))</f>
        <v/>
      </c>
      <c r="H2592" s="349">
        <f>IF(AND(B2592="",C2592=""),"",ROUND(F2592*G2592,2))</f>
        <v/>
      </c>
      <c r="I2592" s="45" t="inlineStr"/>
      <c r="J2592" s="392">
        <f>IF(AND(B2592="",C2592=""),"",ROUND(M2592*N2592,2))</f>
        <v/>
      </c>
      <c r="K2592" s="393">
        <f>IF(AND(B2592="",C2592=""),"",ROUND(J2592*F2592,2))</f>
        <v/>
      </c>
      <c r="L2592" s="141" t="n">
        <v>1</v>
      </c>
      <c r="M2592" s="394" t="n">
        <v>1e-07</v>
      </c>
      <c r="N2592" s="143" t="n">
        <v>1</v>
      </c>
      <c r="O2592" s="144">
        <f>IF(AND(B2592="",C2592=""),"",IF(G2592&gt;=20000,0.05,IF(G2592&gt;=10000,0.1,IF(G2592&gt;=5000,0.2,IF(G2592&gt;=1000,0.3,IF(G2592&gt;=0,0.4,{0}))))))</f>
        <v/>
      </c>
      <c r="P2592" s="395">
        <f>IF(AND(B2592="",C2592=""),"",ROUND(H2592*O2592,2))</f>
        <v/>
      </c>
      <c r="Q2592" s="390" t="inlineStr">
        <is>
          <t>元件</t>
        </is>
      </c>
      <c r="R2592" s="164" t="inlineStr"/>
      <c r="S2592" s="164" t="inlineStr"/>
      <c r="T2592" s="164" t="inlineStr">
        <is>
          <t>0</t>
        </is>
      </c>
      <c r="U2592" s="164" t="inlineStr">
        <is>
          <t>A9L102554</t>
        </is>
      </c>
      <c r="V2592" s="391" t="n"/>
      <c r="W2592" s="391" t="n"/>
      <c r="X2592" s="166" t="inlineStr">
        <is>
          <t>iSCB1 25L1 4P→iSCB2 40H2 4P</t>
        </is>
      </c>
    </row>
    <row r="2593" customFormat="1" s="3">
      <c r="A2593" s="64">
        <f>ROW()-ROW(A$2588)</f>
        <v/>
      </c>
      <c r="B2593" s="27" t="inlineStr">
        <is>
          <t>电涌保护器</t>
        </is>
      </c>
      <c r="C2593" s="22" t="inlineStr">
        <is>
          <t>iPRU 40r 3P+N</t>
        </is>
      </c>
      <c r="D2593" s="22" t="inlineStr">
        <is>
          <t>甲供/施耐德万高</t>
        </is>
      </c>
      <c r="E2593" s="110" t="inlineStr">
        <is>
          <t>只</t>
        </is>
      </c>
      <c r="F2593" s="23" t="n">
        <v>1</v>
      </c>
      <c r="G2593" s="349">
        <f>IF(AND(B2593="",C2593=""),"",ROUND(M2593*L2593*N2593,2))</f>
        <v/>
      </c>
      <c r="H2593" s="349">
        <f>IF(AND(B2593="",C2593=""),"",ROUND(F2593*G2593,2))</f>
        <v/>
      </c>
      <c r="I2593" s="45" t="inlineStr"/>
      <c r="J2593" s="392">
        <f>IF(AND(B2593="",C2593=""),"",ROUND(M2593*N2593,2))</f>
        <v/>
      </c>
      <c r="K2593" s="393">
        <f>IF(AND(B2593="",C2593=""),"",ROUND(J2593*F2593,2))</f>
        <v/>
      </c>
      <c r="L2593" s="141" t="n">
        <v>1</v>
      </c>
      <c r="M2593" s="394" t="n">
        <v>1e-07</v>
      </c>
      <c r="N2593" s="143" t="n">
        <v>1</v>
      </c>
      <c r="O2593" s="144">
        <f>IF(AND(B2593="",C2593=""),"",IF(G2593&gt;=20000,0.05,IF(G2593&gt;=10000,0.1,IF(G2593&gt;=5000,0.2,IF(G2593&gt;=1000,0.3,IF(G2593&gt;=0,0.4,{0}))))))</f>
        <v/>
      </c>
      <c r="P2593" s="395">
        <f>IF(AND(B2593="",C2593=""),"",ROUND(H2593*O2593,2))</f>
        <v/>
      </c>
      <c r="Q2593" s="390" t="inlineStr">
        <is>
          <t>元件</t>
        </is>
      </c>
      <c r="R2593" s="164" t="inlineStr"/>
      <c r="S2593" s="164" t="inlineStr"/>
      <c r="T2593" s="164" t="inlineStr">
        <is>
          <t>0</t>
        </is>
      </c>
      <c r="U2593" s="164" t="inlineStr">
        <is>
          <t>A9L620601</t>
        </is>
      </c>
      <c r="V2593" s="391" t="n"/>
      <c r="W2593" s="391" t="n"/>
      <c r="X2593" s="166" t="inlineStr">
        <is>
          <t>iPRF1 12.5r 3P+N→iPRU 40r 3P→iPRF1 12.5r 3P+N</t>
        </is>
      </c>
    </row>
    <row r="2594" customFormat="1" s="3">
      <c r="A2594" s="64">
        <f>ROW()-ROW(A$2588)</f>
        <v/>
      </c>
      <c r="B2594" s="27" t="inlineStr">
        <is>
          <t>微型断路器</t>
        </is>
      </c>
      <c r="C2594" s="22" t="inlineStr">
        <is>
          <t>iC65H 2P C16A</t>
        </is>
      </c>
      <c r="D2594" s="22" t="inlineStr">
        <is>
          <t>甲供/施耐德电气</t>
        </is>
      </c>
      <c r="E2594" s="110" t="inlineStr">
        <is>
          <t>只</t>
        </is>
      </c>
      <c r="F2594" s="23" t="n">
        <v>2</v>
      </c>
      <c r="G2594" s="349">
        <f>IF(AND(B2594="",C2594=""),"",ROUND(M2594*L2594*N2594,2))</f>
        <v/>
      </c>
      <c r="H2594" s="349">
        <f>IF(AND(B2594="",C2594=""),"",ROUND(F2594*G2594,2))</f>
        <v/>
      </c>
      <c r="I2594" s="45" t="inlineStr"/>
      <c r="J2594" s="392">
        <f>IF(AND(B2594="",C2594=""),"",ROUND(M2594*N2594,2))</f>
        <v/>
      </c>
      <c r="K2594" s="393">
        <f>IF(AND(B2594="",C2594=""),"",ROUND(J2594*F2594,2))</f>
        <v/>
      </c>
      <c r="L2594" s="141" t="n">
        <v>1</v>
      </c>
      <c r="M2594" s="394" t="n">
        <v>1e-07</v>
      </c>
      <c r="N2594" s="143" t="n">
        <v>1</v>
      </c>
      <c r="O2594" s="144">
        <f>IF(AND(B2594="",C2594=""),"",IF(G2594&gt;=20000,0.05,IF(G2594&gt;=10000,0.1,IF(G2594&gt;=5000,0.2,IF(G2594&gt;=1000,0.3,IF(G2594&gt;=0,0.4,{0}))))))</f>
        <v/>
      </c>
      <c r="P2594" s="395">
        <f>IF(AND(B2594="",C2594=""),"",ROUND(H2594*O2594,2))</f>
        <v/>
      </c>
      <c r="Q2594" s="390" t="inlineStr">
        <is>
          <t>元件</t>
        </is>
      </c>
      <c r="R2594" s="164" t="inlineStr"/>
      <c r="S2594" s="164" t="inlineStr"/>
      <c r="T2594" s="164" t="n">
        <v>0</v>
      </c>
      <c r="U2594" s="164" t="inlineStr"/>
      <c r="V2594" s="391" t="n"/>
      <c r="W2594" s="391" t="n"/>
      <c r="X2594" s="166" t="inlineStr"/>
    </row>
    <row r="2595" customFormat="1" s="3">
      <c r="A2595" s="64">
        <f>ROW()-ROW(A$2588)</f>
        <v/>
      </c>
      <c r="B2595" s="22" t="inlineStr">
        <is>
          <t>指示灯</t>
        </is>
      </c>
      <c r="C2595" s="22" t="inlineStr">
        <is>
          <t>XB2BVM3LC</t>
        </is>
      </c>
      <c r="D2595" s="22" t="inlineStr">
        <is>
          <t>甲供/施耐德电气</t>
        </is>
      </c>
      <c r="E2595" s="23" t="inlineStr">
        <is>
          <t>只</t>
        </is>
      </c>
      <c r="F2595" s="23" t="n">
        <v>2</v>
      </c>
      <c r="G2595" s="349">
        <f>IF(AND(B2595="",C2595=""),"",ROUND(M2595*L2595*N2595,2))</f>
        <v/>
      </c>
      <c r="H2595" s="353">
        <f>IF(AND(B2595="",C2595=""),"",ROUND(F2595*G2595,2))</f>
        <v/>
      </c>
      <c r="I2595" s="180" t="inlineStr"/>
      <c r="J2595" s="392">
        <f>IF(AND(B2595="",C2595=""),"",ROUND(M2595*N2595,2))</f>
        <v/>
      </c>
      <c r="K2595" s="393">
        <f>IF(AND(B2595="",C2595=""),"",ROUND(J2595*F2595,2))</f>
        <v/>
      </c>
      <c r="L2595" s="141" t="n">
        <v>1</v>
      </c>
      <c r="M2595" s="394" t="n">
        <v>1e-07</v>
      </c>
      <c r="N2595" s="220" t="n">
        <v>1</v>
      </c>
      <c r="O2595" s="221">
        <f>IF(AND(B2595="",C2595=""),"",IF(G2595&gt;=20000,0.05,IF(G2595&gt;=10000,0.1,IF(G2595&gt;=5000,0.2,IF(G2595&gt;=1000,0.3,IF(G2595&gt;=0,0.4,{0}))))))</f>
        <v/>
      </c>
      <c r="P2595" s="419">
        <f>IF(AND(B2595="",C2595=""),"",ROUND(H2595*O2595,2))</f>
        <v/>
      </c>
      <c r="Q2595" s="420" t="inlineStr">
        <is>
          <t>元件</t>
        </is>
      </c>
      <c r="R2595" s="231" t="inlineStr"/>
      <c r="S2595" s="231" t="inlineStr"/>
      <c r="T2595" s="231" t="inlineStr">
        <is>
          <t>0</t>
        </is>
      </c>
      <c r="U2595" s="231" t="inlineStr">
        <is>
          <t>XB2BVM3LC</t>
        </is>
      </c>
      <c r="V2595" s="421" t="n"/>
      <c r="W2595" s="421" t="n"/>
      <c r="X2595" s="166" t="inlineStr">
        <is>
          <t>XA2EVM3LC</t>
        </is>
      </c>
    </row>
    <row r="2596" customFormat="1" s="3">
      <c r="A2596" s="64">
        <f>ROW()-ROW(A$2588)</f>
        <v/>
      </c>
      <c r="B2596" s="22" t="inlineStr">
        <is>
          <t>指示灯</t>
        </is>
      </c>
      <c r="C2596" s="22" t="inlineStr">
        <is>
          <t>XB2BVM4LC</t>
        </is>
      </c>
      <c r="D2596" s="22" t="inlineStr">
        <is>
          <t>甲供/施耐德电气</t>
        </is>
      </c>
      <c r="E2596" s="23" t="inlineStr">
        <is>
          <t>只</t>
        </is>
      </c>
      <c r="F2596" s="23" t="n">
        <v>2</v>
      </c>
      <c r="G2596" s="349">
        <f>IF(AND(B2596="",C2596=""),"",ROUND(M2596*L2596*N2596,2))</f>
        <v/>
      </c>
      <c r="H2596" s="353">
        <f>IF(AND(B2596="",C2596=""),"",ROUND(F2596*G2596,2))</f>
        <v/>
      </c>
      <c r="I2596" s="180" t="inlineStr"/>
      <c r="J2596" s="392">
        <f>IF(AND(B2596="",C2596=""),"",ROUND(M2596*N2596,2))</f>
        <v/>
      </c>
      <c r="K2596" s="393">
        <f>IF(AND(B2596="",C2596=""),"",ROUND(J2596*F2596,2))</f>
        <v/>
      </c>
      <c r="L2596" s="141" t="n">
        <v>1</v>
      </c>
      <c r="M2596" s="394" t="n">
        <v>1e-07</v>
      </c>
      <c r="N2596" s="220" t="n">
        <v>1</v>
      </c>
      <c r="O2596" s="221">
        <f>IF(AND(B2596="",C2596=""),"",IF(G2596&gt;=20000,0.05,IF(G2596&gt;=10000,0.1,IF(G2596&gt;=5000,0.2,IF(G2596&gt;=1000,0.3,IF(G2596&gt;=0,0.4,{0}))))))</f>
        <v/>
      </c>
      <c r="P2596" s="419">
        <f>IF(AND(B2596="",C2596=""),"",ROUND(H2596*O2596,2))</f>
        <v/>
      </c>
      <c r="Q2596" s="420" t="inlineStr">
        <is>
          <t>元件</t>
        </is>
      </c>
      <c r="R2596" s="231" t="inlineStr"/>
      <c r="S2596" s="231" t="inlineStr"/>
      <c r="T2596" s="231" t="inlineStr">
        <is>
          <t>0</t>
        </is>
      </c>
      <c r="U2596" s="231" t="inlineStr">
        <is>
          <t>XB2BVM4LC</t>
        </is>
      </c>
      <c r="V2596" s="421" t="n"/>
      <c r="W2596" s="421" t="n"/>
      <c r="X2596" s="166" t="inlineStr">
        <is>
          <t>XA2EVM4LC</t>
        </is>
      </c>
    </row>
    <row r="2597" s="308">
      <c r="A2597" s="64">
        <f>ROW()-ROW(A$2588)</f>
        <v/>
      </c>
      <c r="B2597" s="112" t="inlineStr">
        <is>
          <t>指示灯</t>
        </is>
      </c>
      <c r="C2597" s="112" t="inlineStr">
        <is>
          <t>XB2BVM5LC</t>
        </is>
      </c>
      <c r="D2597" s="112" t="inlineStr">
        <is>
          <t>甲供/施耐德电气</t>
        </is>
      </c>
      <c r="E2597" s="114" t="inlineStr">
        <is>
          <t>只</t>
        </is>
      </c>
      <c r="F2597" s="114" t="n">
        <v>2</v>
      </c>
      <c r="G2597" s="396">
        <f>IF(AND(B2597="",C2597=""),"",ROUND(M2597*L2597*N2597,2))</f>
        <v/>
      </c>
      <c r="H2597" s="396">
        <f>IF(AND(B2597="",C2597=""),"",ROUND(F2597*G2597,2))</f>
        <v/>
      </c>
      <c r="I2597" s="150" t="inlineStr"/>
      <c r="J2597" s="397">
        <f>IF(AND(B2597="",C2597=""),"",ROUND(M2597*N2597,2))</f>
        <v/>
      </c>
      <c r="K2597" s="398">
        <f>IF(AND(B2597="",C2597=""),"",ROUND(J2597*F2597,2))</f>
        <v/>
      </c>
      <c r="L2597" s="141" t="n">
        <v>1</v>
      </c>
      <c r="M2597" s="399" t="n">
        <v>1e-07</v>
      </c>
      <c r="N2597" s="154" t="n">
        <v>1</v>
      </c>
      <c r="O2597" s="155">
        <f>IF(AND(B2597="",C2597=""),"",IF(G2597&gt;=20000,0.05,IF(G2597&gt;=10000,0.1,IF(G2597&gt;=5000,0.2,IF(G2597&gt;=1000,0.3,IF(G2597&gt;=0,0.4,{0}))))))</f>
        <v/>
      </c>
      <c r="P2597" s="400">
        <f>IF(AND(B2597="",C2597=""),"",ROUND(H2597*O2597,2))</f>
        <v/>
      </c>
      <c r="Q2597" s="401" t="inlineStr">
        <is>
          <t>元件</t>
        </is>
      </c>
      <c r="R2597" s="168" t="inlineStr"/>
      <c r="S2597" s="168" t="inlineStr"/>
      <c r="T2597" s="168" t="inlineStr">
        <is>
          <t>0</t>
        </is>
      </c>
      <c r="U2597" s="168" t="inlineStr">
        <is>
          <t>XA2EVM5LC</t>
        </is>
      </c>
      <c r="V2597" s="402" t="n"/>
      <c r="W2597" s="402" t="n"/>
      <c r="X2597" s="170" t="inlineStr"/>
    </row>
    <row r="2598" s="308">
      <c r="A2598" s="64">
        <f>ROW()-ROW(A$2588)</f>
        <v/>
      </c>
      <c r="B2598" s="112" t="inlineStr">
        <is>
          <t>按钮</t>
        </is>
      </c>
      <c r="C2598" s="112" t="inlineStr">
        <is>
          <t>XB2BA31C</t>
        </is>
      </c>
      <c r="D2598" s="112" t="inlineStr">
        <is>
          <t>甲供/施耐德电气</t>
        </is>
      </c>
      <c r="E2598" s="114" t="inlineStr">
        <is>
          <t>只</t>
        </is>
      </c>
      <c r="F2598" s="114" t="n">
        <v>2</v>
      </c>
      <c r="G2598" s="396">
        <f>IF(AND(B2598="",C2598=""),"",ROUND(M2598*L2598*N2598,2))</f>
        <v/>
      </c>
      <c r="H2598" s="396">
        <f>IF(AND(B2598="",C2598=""),"",ROUND(F2598*G2598,2))</f>
        <v/>
      </c>
      <c r="I2598" s="150" t="inlineStr"/>
      <c r="J2598" s="397">
        <f>IF(AND(B2598="",C2598=""),"",ROUND(M2598*N2598,2))</f>
        <v/>
      </c>
      <c r="K2598" s="398">
        <f>IF(AND(B2598="",C2598=""),"",ROUND(J2598*F2598,2))</f>
        <v/>
      </c>
      <c r="L2598" s="141" t="n">
        <v>1</v>
      </c>
      <c r="M2598" s="399" t="n">
        <v>1e-07</v>
      </c>
      <c r="N2598" s="154" t="n">
        <v>1</v>
      </c>
      <c r="O2598" s="155">
        <f>IF(AND(B2598="",C2598=""),"",IF(G2598&gt;=20000,0.05,IF(G2598&gt;=10000,0.1,IF(G2598&gt;=5000,0.2,IF(G2598&gt;=1000,0.3,IF(G2598&gt;=0,0.4,{0}))))))</f>
        <v/>
      </c>
      <c r="P2598" s="400">
        <f>IF(AND(B2598="",C2598=""),"",ROUND(H2598*O2598,2))</f>
        <v/>
      </c>
      <c r="Q2598" s="401" t="inlineStr">
        <is>
          <t>元件</t>
        </is>
      </c>
      <c r="R2598" s="168" t="inlineStr"/>
      <c r="S2598" s="168" t="inlineStr"/>
      <c r="T2598" s="168" t="inlineStr">
        <is>
          <t>0</t>
        </is>
      </c>
      <c r="U2598" s="168" t="inlineStr">
        <is>
          <t>XB2BA31C</t>
        </is>
      </c>
      <c r="V2598" s="402" t="n"/>
      <c r="W2598" s="402" t="n"/>
      <c r="X2598" s="170" t="inlineStr">
        <is>
          <t>XA2EA31</t>
        </is>
      </c>
    </row>
    <row r="2599" s="308">
      <c r="A2599" s="64">
        <f>ROW()-ROW(A$2588)</f>
        <v/>
      </c>
      <c r="B2599" s="22" t="inlineStr">
        <is>
          <t>按钮</t>
        </is>
      </c>
      <c r="C2599" s="22" t="inlineStr">
        <is>
          <t>XB2BA42C</t>
        </is>
      </c>
      <c r="D2599" s="22" t="inlineStr">
        <is>
          <t>甲供/施耐德电气</t>
        </is>
      </c>
      <c r="E2599" s="23" t="inlineStr">
        <is>
          <t>只</t>
        </is>
      </c>
      <c r="F2599" s="23" t="n">
        <v>2</v>
      </c>
      <c r="G2599" s="349">
        <f>IF(AND(B2599="",C2599=""),"",ROUND(M2599*L2599*N2599,2))</f>
        <v/>
      </c>
      <c r="H2599" s="396">
        <f>IF(AND(B2599="",C2599=""),"",ROUND(F2599*G2599,2))</f>
        <v/>
      </c>
      <c r="I2599" s="150" t="inlineStr"/>
      <c r="J2599" s="397">
        <f>IF(AND(B2599="",C2599=""),"",ROUND(M2599*N2599,2))</f>
        <v/>
      </c>
      <c r="K2599" s="398">
        <f>IF(AND(B2599="",C2599=""),"",ROUND(J2599*F2599,2))</f>
        <v/>
      </c>
      <c r="L2599" s="141" t="n">
        <v>1</v>
      </c>
      <c r="M2599" s="399" t="n">
        <v>1e-07</v>
      </c>
      <c r="N2599" s="154" t="n">
        <v>1</v>
      </c>
      <c r="O2599" s="155">
        <f>IF(AND(B2599="",C2599=""),"",IF(G2599&gt;=20000,0.05,IF(G2599&gt;=10000,0.1,IF(G2599&gt;=5000,0.2,IF(G2599&gt;=1000,0.3,IF(G2599&gt;=0,0.4,{0}))))))</f>
        <v/>
      </c>
      <c r="P2599" s="400">
        <f>IF(AND(B2599="",C2599=""),"",ROUND(H2599*O2599,2))</f>
        <v/>
      </c>
      <c r="Q2599" s="401" t="inlineStr">
        <is>
          <t>元件</t>
        </is>
      </c>
      <c r="R2599" s="168" t="inlineStr"/>
      <c r="S2599" s="168" t="inlineStr"/>
      <c r="T2599" s="168" t="inlineStr">
        <is>
          <t>0</t>
        </is>
      </c>
      <c r="U2599" s="168" t="inlineStr">
        <is>
          <t>XB2BA42C</t>
        </is>
      </c>
      <c r="V2599" s="402" t="n"/>
      <c r="W2599" s="402" t="n"/>
      <c r="X2599" s="170" t="inlineStr">
        <is>
          <t>XA2EA41</t>
        </is>
      </c>
    </row>
    <row r="2600" s="308">
      <c r="A2600" s="64">
        <f>ROW()-ROW(A$2588)</f>
        <v/>
      </c>
      <c r="B2600" s="112" t="inlineStr">
        <is>
          <t>温湿度控制器</t>
        </is>
      </c>
      <c r="C2600" s="112" t="inlineStr">
        <is>
          <t>ATH48G-11</t>
        </is>
      </c>
      <c r="D2600" s="22" t="inlineStr">
        <is>
          <t>杭州安廷</t>
        </is>
      </c>
      <c r="E2600" s="23" t="inlineStr">
        <is>
          <t>套</t>
        </is>
      </c>
      <c r="F2600" s="23" t="n">
        <v>1</v>
      </c>
      <c r="G2600" s="349">
        <f>IF(AND(B2600="",C2600=""),"",ROUND(M2600*L2600*N2600,2))</f>
        <v/>
      </c>
      <c r="H2600" s="396">
        <f>IF(AND(B2600="",C2600=""),"",ROUND(F2600*G2600,2))</f>
        <v/>
      </c>
      <c r="I2600" s="150" t="inlineStr"/>
      <c r="J2600" s="397">
        <f>IF(AND(B2600="",C2600=""),"",ROUND(M2600*N2600,2))</f>
        <v/>
      </c>
      <c r="K2600" s="398">
        <f>IF(AND(B2600="",C2600=""),"",ROUND(J2600*F2600,2))</f>
        <v/>
      </c>
      <c r="L2600" s="141" t="n">
        <v>1</v>
      </c>
      <c r="M2600" s="399" t="n">
        <v>450</v>
      </c>
      <c r="N2600" s="154" t="n">
        <v>1</v>
      </c>
      <c r="O2600" s="155">
        <f>IF(AND(B2600="",C2600=""),"",IF(G2600&gt;=20000,0.05,IF(G2600&gt;=10000,0.1,IF(G2600&gt;=5000,0.2,IF(G2600&gt;=1000,0.3,IF(G2600&gt;=0,0.4,{0}))))))</f>
        <v/>
      </c>
      <c r="P2600" s="400">
        <f>IF(AND(B2600="",C2600=""),"",ROUND(H2600*O2600,2))</f>
        <v/>
      </c>
      <c r="Q2600" s="401" t="inlineStr">
        <is>
          <t>元件</t>
        </is>
      </c>
      <c r="R2600" s="168" t="inlineStr"/>
      <c r="S2600" s="168" t="inlineStr"/>
      <c r="T2600" s="168" t="inlineStr">
        <is>
          <t>0</t>
        </is>
      </c>
      <c r="U2600" s="168" t="inlineStr"/>
      <c r="V2600" s="402" t="n"/>
      <c r="W2600" s="402" t="n"/>
      <c r="X2600" s="170" t="inlineStr"/>
    </row>
    <row r="2601" s="308">
      <c r="A2601" s="64">
        <f>ROW()-ROW(A$2588)</f>
        <v/>
      </c>
      <c r="B2601" s="22" t="inlineStr">
        <is>
          <t>中间继电器</t>
        </is>
      </c>
      <c r="C2601" s="22" t="inlineStr">
        <is>
          <t>RXM4AB2P7+RXZE2S114M+RXZ400</t>
        </is>
      </c>
      <c r="D2601" s="22" t="inlineStr">
        <is>
          <t>甲供/施耐德电气</t>
        </is>
      </c>
      <c r="E2601" s="23" t="inlineStr">
        <is>
          <t>只</t>
        </is>
      </c>
      <c r="F2601" s="23" t="n">
        <v>4</v>
      </c>
      <c r="G2601" s="349">
        <f>IF(AND(B2601="",C2601=""),"",ROUND(M2601*L2601*N2601,2))</f>
        <v/>
      </c>
      <c r="H2601" s="349">
        <f>IF(AND(B2601="",C2601=""),"",ROUND(F2601*G2601,2))</f>
        <v/>
      </c>
      <c r="I2601" s="45" t="inlineStr"/>
      <c r="J2601" s="397">
        <f>IF(AND(B2601="",C2601=""),"",ROUND(M2601*N2601,2))</f>
        <v/>
      </c>
      <c r="K2601" s="398">
        <f>IF(AND(B2601="",C2601=""),"",ROUND(J2601*F2601,2))</f>
        <v/>
      </c>
      <c r="L2601" s="141" t="n">
        <v>1</v>
      </c>
      <c r="M2601" s="399" t="n">
        <v>1e-07</v>
      </c>
      <c r="N2601" s="154" t="n">
        <v>1</v>
      </c>
      <c r="O2601" s="155">
        <f>IF(AND(B2601="",C2601=""),"",IF(G2601&gt;=20000,0.05,IF(G2601&gt;=10000,0.1,IF(G2601&gt;=5000,0.2,IF(G2601&gt;=1000,0.3,IF(G2601&gt;=0,0.4,{0}))))))</f>
        <v/>
      </c>
      <c r="P2601" s="400">
        <f>IF(AND(B2601="",C2601=""),"",ROUND(H2601*O2601,2))</f>
        <v/>
      </c>
      <c r="Q2601" s="401" t="inlineStr">
        <is>
          <t>元件</t>
        </is>
      </c>
      <c r="R2601" s="168" t="inlineStr"/>
      <c r="S2601" s="168" t="inlineStr"/>
      <c r="T2601" s="168" t="inlineStr">
        <is>
          <t>0</t>
        </is>
      </c>
      <c r="U2601" s="168" t="inlineStr">
        <is>
          <t>RXM4AB2P7+RXZE2S114M+RXZ400</t>
        </is>
      </c>
      <c r="V2601" s="402" t="n"/>
      <c r="W2601" s="402" t="n"/>
      <c r="X2601" s="170" t="inlineStr">
        <is>
          <t>REL-IR-BL/L-230AC/4X21，含底座→RXM4AB2P7+RXZE2S114M+RXZ400→REL-IR-BL/L-230AC/4X21，含底座</t>
        </is>
      </c>
    </row>
    <row r="2602" customFormat="1" s="3">
      <c r="A2602" s="64">
        <f>ROW()-ROW(A$2588)</f>
        <v/>
      </c>
      <c r="B2602" s="22" t="inlineStr">
        <is>
          <t>带熔丝端子</t>
        </is>
      </c>
      <c r="C2602" s="22" t="inlineStr">
        <is>
          <t>UK 5-HESI</t>
        </is>
      </c>
      <c r="D2602" s="22" t="inlineStr">
        <is>
          <t>菲尼克斯</t>
        </is>
      </c>
      <c r="E2602" s="23" t="inlineStr">
        <is>
          <t>只</t>
        </is>
      </c>
      <c r="F2602" s="23" t="n">
        <v>8</v>
      </c>
      <c r="G2602" s="349">
        <f>IF(AND(B2602="",C2602=""),"",ROUND(M2602*L2602*N2602,2))</f>
        <v/>
      </c>
      <c r="H2602" s="349">
        <f>IF(AND(B2602="",C2602=""),"",ROUND(F2602*G2602,2))</f>
        <v/>
      </c>
      <c r="I2602" s="45" t="inlineStr"/>
      <c r="J2602" s="392">
        <f>IF(AND(B2602="",C2602=""),"",ROUND(M2602*N2602,2))</f>
        <v/>
      </c>
      <c r="K2602" s="393">
        <f>IF(AND(B2602="",C2602=""),"",ROUND(J2602*F2602,2))</f>
        <v/>
      </c>
      <c r="L2602" s="141" t="n">
        <v>1</v>
      </c>
      <c r="M2602" s="394" t="n">
        <v>7</v>
      </c>
      <c r="N2602" s="220" t="n">
        <v>1</v>
      </c>
      <c r="O2602" s="221">
        <f>IF(AND(B2602="",C2602=""),"",IF(G2602&gt;=20000,0.05,IF(G2602&gt;=10000,0.1,IF(G2602&gt;=5000,0.2,IF(G2602&gt;=1000,0.3,IF(G2602&gt;=0,0.4,{0}))))))</f>
        <v/>
      </c>
      <c r="P2602" s="419">
        <f>IF(AND(B2602="",C2602=""),"",ROUND(H2602*O2602,2))</f>
        <v/>
      </c>
      <c r="Q2602" s="420" t="inlineStr">
        <is>
          <t>元件</t>
        </is>
      </c>
      <c r="R2602" s="231" t="inlineStr"/>
      <c r="S2602" s="231" t="inlineStr"/>
      <c r="T2602" s="231" t="inlineStr">
        <is>
          <t>0</t>
        </is>
      </c>
      <c r="U2602" s="231" t="inlineStr">
        <is>
          <t>True</t>
        </is>
      </c>
      <c r="V2602" s="421" t="n"/>
      <c r="W2602" s="421" t="n"/>
      <c r="X2602" s="166" t="inlineStr"/>
    </row>
    <row r="2603" s="308">
      <c r="A2603" s="64">
        <f>ROW()-ROW(A$2588)</f>
        <v/>
      </c>
      <c r="B2603" s="22" t="inlineStr">
        <is>
          <t>水平母排</t>
        </is>
      </c>
      <c r="C2603" s="22" t="inlineStr">
        <is>
          <t>TMY 4*(2*100*5)+2*50*5</t>
        </is>
      </c>
      <c r="D2603" s="22" t="inlineStr">
        <is>
          <t>国产优质</t>
        </is>
      </c>
      <c r="E2603" s="23" t="inlineStr">
        <is>
          <t>米</t>
        </is>
      </c>
      <c r="F2603" s="23" t="n">
        <v>0.4</v>
      </c>
      <c r="G2603" s="349">
        <f>IF(AND(B2603="",C2603=""),"",ROUND(M2603*L2603*N2603,2))</f>
        <v/>
      </c>
      <c r="H2603" s="349">
        <f>IF(AND(B2603="",C2603=""),"",ROUND(F2603*G2603,2))</f>
        <v/>
      </c>
      <c r="I2603" s="45" t="inlineStr"/>
      <c r="J2603" s="397">
        <f>IF(AND(B2603="",C2603=""),"",ROUND(M2603*N2603,2))</f>
        <v/>
      </c>
      <c r="K2603" s="398">
        <f>IF(AND(B2603="",C2603=""),"",ROUND(J2603*F2603,2))</f>
        <v/>
      </c>
      <c r="L2603" s="200" t="n">
        <v>1</v>
      </c>
      <c r="M2603" s="399" t="n">
        <v>4329.60525</v>
      </c>
      <c r="N2603" s="154">
        <f>(6317.932*1*1+2684.8*1*1)/9002.732</f>
        <v/>
      </c>
      <c r="O2603" s="155">
        <f>IF(AND(B2603="",C2603=""),"",IF(J2603&gt;=20000,0.05,IF(J2603&gt;=10000,0.1,IF(J2603&gt;=5000,0.2,IF(J2603&gt;=1000,0.3,IF(J2603&gt;=0,0.4,{0}))))))</f>
        <v/>
      </c>
      <c r="P2603" s="400">
        <f>IF(AND(B2603="",C2603=""),"",ROUND(H2603*O2603,2))</f>
        <v/>
      </c>
      <c r="Q2603" s="401" t="inlineStr">
        <is>
          <t>母排</t>
        </is>
      </c>
      <c r="R2603" s="168" t="inlineStr"/>
      <c r="S2603" s="168" t="inlineStr"/>
      <c r="T2603" s="168" t="inlineStr">
        <is>
          <t>0</t>
        </is>
      </c>
      <c r="U2603" s="168" t="inlineStr"/>
      <c r="V2603" s="402" t="n"/>
      <c r="W2603" s="402" t="n"/>
      <c r="X2603" s="170" t="inlineStr"/>
    </row>
    <row r="2604" customFormat="1" s="5">
      <c r="A2604" s="64">
        <f>ROW()-ROW(A$2588)</f>
        <v/>
      </c>
      <c r="B2604" s="22" t="inlineStr">
        <is>
          <t>桩头排</t>
        </is>
      </c>
      <c r="C2604" s="22" t="inlineStr">
        <is>
          <t>TMY 3*80*5</t>
        </is>
      </c>
      <c r="D2604" s="22" t="inlineStr">
        <is>
          <t>国产优质</t>
        </is>
      </c>
      <c r="E2604" s="23" t="inlineStr">
        <is>
          <t>米</t>
        </is>
      </c>
      <c r="F2604" s="23" t="n">
        <v>3</v>
      </c>
      <c r="G2604" s="349">
        <f>IF(AND(B2604="",C2604=""),"",ROUND(M2604*L2604*N2604,2))</f>
        <v/>
      </c>
      <c r="H2604" s="349">
        <f>IF(AND(B2604="",C2604=""),"",ROUND(F2604*G2604,2))</f>
        <v/>
      </c>
      <c r="I2604" s="45" t="inlineStr"/>
      <c r="J2604" s="422">
        <f>IF(AND(B2604="",C2604=""),"",ROUND(M2604*N2604,2))</f>
        <v/>
      </c>
      <c r="K2604" s="423">
        <f>IF(AND(B2604="",C2604=""),"",ROUND(J2604*F2604,2))</f>
        <v/>
      </c>
      <c r="L2604" s="225" t="n">
        <v>1</v>
      </c>
      <c r="M2604" s="424" t="n">
        <v>1154.5614</v>
      </c>
      <c r="N2604" s="227" t="n">
        <v>1</v>
      </c>
      <c r="O2604" s="228">
        <f>IF(AND(B2604="",C2604=""),"",IF(G2604&gt;=20000,0.05,IF(G2604&gt;=10000,0.1,IF(G2604&gt;=5000,0.2,IF(G2604&gt;=1000,0.3,IF(G2604&gt;=0,0.4,{0}))))))</f>
        <v/>
      </c>
      <c r="P2604" s="425">
        <f>IF(AND(B2604="",C2604=""),"",ROUND(H2604*O2604,2))</f>
        <v/>
      </c>
      <c r="Q2604" s="426" t="inlineStr">
        <is>
          <t>母排</t>
        </is>
      </c>
      <c r="R2604" s="234" t="inlineStr"/>
      <c r="S2604" s="234" t="inlineStr"/>
      <c r="T2604" s="235" t="inlineStr">
        <is>
          <t>0</t>
        </is>
      </c>
      <c r="U2604" s="235" t="inlineStr"/>
      <c r="V2604" s="427" t="n"/>
      <c r="W2604" s="427" t="n"/>
      <c r="X2604" s="237" t="inlineStr">
        <is>
          <t>TMY 2*30*5→TMY 30*8</t>
        </is>
      </c>
    </row>
    <row r="2605" customFormat="1" s="5">
      <c r="A2605" s="64">
        <f>ROW()-ROW(A$2588)</f>
        <v/>
      </c>
      <c r="B2605" s="22" t="inlineStr">
        <is>
          <t>垂直排</t>
        </is>
      </c>
      <c r="C2605" s="22" t="inlineStr">
        <is>
          <t>TMY 3*80*5</t>
        </is>
      </c>
      <c r="D2605" s="22" t="inlineStr">
        <is>
          <t>国产优质</t>
        </is>
      </c>
      <c r="E2605" s="23" t="inlineStr">
        <is>
          <t>米</t>
        </is>
      </c>
      <c r="F2605" s="23" t="n">
        <v>2</v>
      </c>
      <c r="G2605" s="349">
        <f>IF(AND(B2605="",C2605=""),"",ROUND(M2605*L2605*N2605,2))</f>
        <v/>
      </c>
      <c r="H2605" s="349">
        <f>IF(AND(B2605="",C2605=""),"",ROUND(F2605*G2605,2))</f>
        <v/>
      </c>
      <c r="I2605" s="45" t="inlineStr"/>
      <c r="J2605" s="422">
        <f>IF(AND(B2605="",C2605=""),"",ROUND(M2605*N2605,2))</f>
        <v/>
      </c>
      <c r="K2605" s="423">
        <f>IF(AND(B2605="",C2605=""),"",ROUND(J2605*F2605,2))</f>
        <v/>
      </c>
      <c r="L2605" s="225" t="n">
        <v>1</v>
      </c>
      <c r="M2605" s="424" t="n">
        <v>1154.5614</v>
      </c>
      <c r="N2605" s="227" t="n">
        <v>1</v>
      </c>
      <c r="O2605" s="228">
        <f>IF(AND(B2605="",C2605=""),"",IF(G2605&gt;=20000,0.05,IF(G2605&gt;=10000,0.1,IF(G2605&gt;=5000,0.2,IF(G2605&gt;=1000,0.3,IF(G2605&gt;=0,0.4,{0}))))))</f>
        <v/>
      </c>
      <c r="P2605" s="425">
        <f>IF(AND(B2605="",C2605=""),"",ROUND(H2605*O2605,2))</f>
        <v/>
      </c>
      <c r="Q2605" s="426" t="inlineStr">
        <is>
          <t>母排</t>
        </is>
      </c>
      <c r="R2605" s="234" t="inlineStr"/>
      <c r="S2605" s="234" t="inlineStr"/>
      <c r="T2605" s="235" t="inlineStr">
        <is>
          <t>0</t>
        </is>
      </c>
      <c r="U2605" s="235" t="inlineStr"/>
      <c r="V2605" s="427" t="n"/>
      <c r="W2605" s="427" t="n"/>
      <c r="X2605" s="237" t="inlineStr">
        <is>
          <t>TMY 2*30*5→TMY 30*8</t>
        </is>
      </c>
    </row>
    <row r="2606" customFormat="1" s="5">
      <c r="A2606" s="64">
        <f>ROW()-ROW(A$2588)</f>
        <v/>
      </c>
      <c r="B2606" s="22" t="inlineStr">
        <is>
          <t>N排</t>
        </is>
      </c>
      <c r="C2606" s="22" t="inlineStr">
        <is>
          <t>TMY 80*10</t>
        </is>
      </c>
      <c r="D2606" s="22" t="inlineStr">
        <is>
          <t>国产优质</t>
        </is>
      </c>
      <c r="E2606" s="23" t="inlineStr">
        <is>
          <t>米</t>
        </is>
      </c>
      <c r="F2606" s="23" t="n">
        <v>3</v>
      </c>
      <c r="G2606" s="349">
        <f>IF(AND(B2606="",C2606=""),"",ROUND(M2606*L2606*N2606,2))</f>
        <v/>
      </c>
      <c r="H2606" s="349">
        <f>IF(AND(B2606="",C2606=""),"",ROUND(F2606*G2606,2))</f>
        <v/>
      </c>
      <c r="I2606" s="45" t="inlineStr"/>
      <c r="J2606" s="422">
        <f>IF(AND(B2606="",C2606=""),"",ROUND(M2606*N2606,2))</f>
        <v/>
      </c>
      <c r="K2606" s="423">
        <f>IF(AND(B2606="",C2606=""),"",ROUND(J2606*F2606,2))</f>
        <v/>
      </c>
      <c r="L2606" s="225" t="n">
        <v>1</v>
      </c>
      <c r="M2606" s="424" t="n">
        <v>769.7076</v>
      </c>
      <c r="N2606" s="227" t="n">
        <v>1</v>
      </c>
      <c r="O2606" s="228">
        <f>IF(AND(B2606="",C2606=""),"",IF(G2606&gt;=20000,0.05,IF(G2606&gt;=10000,0.1,IF(G2606&gt;=5000,0.2,IF(G2606&gt;=1000,0.3,IF(G2606&gt;=0,0.4,{0}))))))</f>
        <v/>
      </c>
      <c r="P2606" s="425">
        <f>IF(AND(B2606="",C2606=""),"",ROUND(H2606*O2606,2))</f>
        <v/>
      </c>
      <c r="Q2606" s="426" t="inlineStr">
        <is>
          <t>母排</t>
        </is>
      </c>
      <c r="R2606" s="234" t="inlineStr"/>
      <c r="S2606" s="234" t="inlineStr"/>
      <c r="T2606" s="235" t="inlineStr">
        <is>
          <t>0</t>
        </is>
      </c>
      <c r="U2606" s="235" t="inlineStr"/>
      <c r="V2606" s="427" t="n"/>
      <c r="W2606" s="427" t="n"/>
      <c r="X2606" s="237" t="inlineStr">
        <is>
          <t>TMY 2*30*5→TMY 30*8</t>
        </is>
      </c>
    </row>
    <row r="2607" customFormat="1" s="5">
      <c r="A2607" s="64">
        <f>ROW()-ROW(A$2588)</f>
        <v/>
      </c>
      <c r="B2607" s="22" t="inlineStr">
        <is>
          <t>PE排</t>
        </is>
      </c>
      <c r="C2607" s="22" t="inlineStr">
        <is>
          <t>TMY 2*50*5</t>
        </is>
      </c>
      <c r="D2607" s="22" t="inlineStr">
        <is>
          <t>国产优质</t>
        </is>
      </c>
      <c r="E2607" s="23" t="inlineStr">
        <is>
          <t>米</t>
        </is>
      </c>
      <c r="F2607" s="23" t="n">
        <v>2</v>
      </c>
      <c r="G2607" s="349">
        <f>IF(AND(B2607="",C2607=""),"",ROUND(M2607*L2607*N2607,2))</f>
        <v/>
      </c>
      <c r="H2607" s="349">
        <f>IF(AND(B2607="",C2607=""),"",ROUND(F2607*G2607,2))</f>
        <v/>
      </c>
      <c r="I2607" s="45" t="inlineStr"/>
      <c r="J2607" s="422">
        <f>IF(AND(B2607="",C2607=""),"",ROUND(M2607*N2607,2))</f>
        <v/>
      </c>
      <c r="K2607" s="423">
        <f>IF(AND(B2607="",C2607=""),"",ROUND(J2607*F2607,2))</f>
        <v/>
      </c>
      <c r="L2607" s="225" t="n">
        <v>1</v>
      </c>
      <c r="M2607" s="424" t="n">
        <v>481.06725</v>
      </c>
      <c r="N2607" s="227" t="n">
        <v>1</v>
      </c>
      <c r="O2607" s="228">
        <f>IF(AND(B2607="",C2607=""),"",IF(G2607&gt;=20000,0.05,IF(G2607&gt;=10000,0.1,IF(G2607&gt;=5000,0.2,IF(G2607&gt;=1000,0.3,IF(G2607&gt;=0,0.4,{0}))))))</f>
        <v/>
      </c>
      <c r="P2607" s="425">
        <f>IF(AND(B2607="",C2607=""),"",ROUND(H2607*O2607,2))</f>
        <v/>
      </c>
      <c r="Q2607" s="426" t="inlineStr">
        <is>
          <t>母排</t>
        </is>
      </c>
      <c r="R2607" s="234" t="inlineStr"/>
      <c r="S2607" s="234" t="inlineStr"/>
      <c r="T2607" s="235" t="inlineStr">
        <is>
          <t>0</t>
        </is>
      </c>
      <c r="U2607" s="235" t="inlineStr"/>
      <c r="V2607" s="427" t="n"/>
      <c r="W2607" s="427" t="n"/>
      <c r="X2607" s="237" t="inlineStr">
        <is>
          <t>TMY 2*30*5→TMY 30*8</t>
        </is>
      </c>
    </row>
    <row r="2608" s="308">
      <c r="A2608" s="64">
        <f>ROW()-ROW(A$2588)</f>
        <v/>
      </c>
      <c r="B2608" s="112" t="inlineStr">
        <is>
          <t>辅料</t>
        </is>
      </c>
      <c r="C2608" s="112" t="inlineStr"/>
      <c r="D2608" s="112" t="inlineStr"/>
      <c r="E2608" s="114" t="inlineStr">
        <is>
          <t>套</t>
        </is>
      </c>
      <c r="F2608" s="114" t="n">
        <v>1</v>
      </c>
      <c r="G2608" s="396">
        <f>IF(AND(B2608="",C2608=""),"",ROUND(M2608*L2608*N2608,2))</f>
        <v/>
      </c>
      <c r="H2608" s="396">
        <f>IF(AND(B2608="",C2608=""),"",ROUND(F2608*G2608,2))</f>
        <v/>
      </c>
      <c r="I2608" s="219" t="inlineStr"/>
      <c r="J2608" s="397">
        <f>IF(AND(B2608="",C2608=""),"",ROUND(M2608*N2608,2))</f>
        <v/>
      </c>
      <c r="K2608" s="398">
        <f>IF(AND(B2608="",C2608=""),"",ROUND(J2608*F2608,2))</f>
        <v/>
      </c>
      <c r="L2608" s="200" t="n">
        <v>1</v>
      </c>
      <c r="M2608" s="399" t="n">
        <v>800</v>
      </c>
      <c r="N2608" s="154" t="n">
        <v>1</v>
      </c>
      <c r="O2608" s="155">
        <f>IF(AND(B2608="",C2608=""),"",IF(G2608&gt;=20000,0.05,IF(G2608&gt;=10000,0.1,IF(G2608&gt;=5000,0.2,IF(G2608&gt;=1000,0.3,IF(G2608&gt;=0,0.4,{0}))))))</f>
        <v/>
      </c>
      <c r="P2608" s="400">
        <f>IF(AND(B2608="",C2608=""),"",ROUND(H2608*O2608,2))</f>
        <v/>
      </c>
      <c r="Q2608" s="401" t="inlineStr">
        <is>
          <t>辅料</t>
        </is>
      </c>
      <c r="R2608" s="168" t="inlineStr"/>
      <c r="S2608" s="168" t="inlineStr"/>
      <c r="T2608" s="168" t="inlineStr">
        <is>
          <t>0</t>
        </is>
      </c>
      <c r="U2608" s="168" t="inlineStr"/>
      <c r="V2608" s="402" t="n"/>
      <c r="W2608" s="402" t="n"/>
      <c r="X2608" s="170" t="inlineStr"/>
    </row>
    <row r="2609" s="308">
      <c r="A2609" s="64">
        <f>ROW()-ROW(A$2588)</f>
        <v/>
      </c>
      <c r="B2609" s="112" t="inlineStr">
        <is>
          <t>柜体Blokset</t>
        </is>
      </c>
      <c r="C2609" s="22" t="inlineStr">
        <is>
          <t>400W*1200D*2200H</t>
        </is>
      </c>
      <c r="D2609" s="112" t="inlineStr">
        <is>
          <t>清科</t>
        </is>
      </c>
      <c r="E2609" s="114" t="inlineStr">
        <is>
          <t>台</t>
        </is>
      </c>
      <c r="F2609" s="114" t="n">
        <v>1</v>
      </c>
      <c r="G2609" s="396">
        <f>IF(AND(B2609="",C2609=""),"",ROUND(M2609*L2609*N2609,2))</f>
        <v/>
      </c>
      <c r="H2609" s="396">
        <f>IF(AND(B2609="",C2609=""),"",ROUND(F2609*G2609,2))</f>
        <v/>
      </c>
      <c r="I2609" s="219" t="inlineStr"/>
      <c r="J2609" s="397">
        <f>IF(AND(B2609="",C2609=""),"",ROUND(M2609*N2609,2))</f>
        <v/>
      </c>
      <c r="K2609" s="398">
        <f>IF(AND(B2609="",C2609=""),"",ROUND(J2609*F2609,2))</f>
        <v/>
      </c>
      <c r="L2609" s="200" t="n">
        <v>1</v>
      </c>
      <c r="M2609" s="399" t="n">
        <v>4916</v>
      </c>
      <c r="N2609" s="154" t="n">
        <v>1</v>
      </c>
      <c r="O2609" s="155">
        <f>IF(AND(B2609="",C2609=""),"",IF(G2609&gt;=20000,0.05,IF(G2609&gt;=10000,0.1,IF(G2609&gt;=5000,0.2,IF(G2609&gt;=1000,0.3,IF(G2609&gt;=0,0.4,{0}))))))</f>
        <v/>
      </c>
      <c r="P2609" s="400">
        <f>IF(AND(B2609="",C2609=""),"",ROUND(H2609*O2609,2))</f>
        <v/>
      </c>
      <c r="Q2609" s="401" t="inlineStr">
        <is>
          <t>箱体</t>
        </is>
      </c>
      <c r="R2609" s="168" t="inlineStr"/>
      <c r="S2609" s="168" t="inlineStr"/>
      <c r="T2609" s="168" t="inlineStr">
        <is>
          <t>0</t>
        </is>
      </c>
      <c r="U2609" s="168" t="inlineStr"/>
      <c r="V2609" s="402" t="n"/>
      <c r="W2609" s="402" t="n"/>
      <c r="X2609" s="170" t="inlineStr">
        <is>
          <t>BlokSeT</t>
        </is>
      </c>
    </row>
    <row r="2610" s="308">
      <c r="A2610" s="64">
        <f>ROW()-ROW(A$2588)</f>
        <v/>
      </c>
      <c r="B2610" s="22" t="inlineStr"/>
      <c r="C2610" s="22" t="inlineStr"/>
      <c r="D2610" s="22" t="inlineStr"/>
      <c r="E2610" s="23" t="n"/>
      <c r="F2610" s="23">
        <f>IF(AND(B2610="",C2610=""),"",1)</f>
        <v/>
      </c>
      <c r="G2610" s="349">
        <f>IF(AND(B2610="",C2610=""),"",ROUND(M2610*L2610*N2610,2))</f>
        <v/>
      </c>
      <c r="H2610" s="349">
        <f>IF(AND(B2610="",C2610=""),"",ROUND(F2610*G2610,2))</f>
        <v/>
      </c>
      <c r="I2610" s="45" t="inlineStr"/>
      <c r="J2610" s="397">
        <f>IF(AND(B2610="",C2610=""),"",ROUND(M2610*N2610,2))</f>
        <v/>
      </c>
      <c r="K2610" s="398">
        <f>IF(AND(B2610="",C2610=""),"",ROUND(J2610*F2610,2))</f>
        <v/>
      </c>
      <c r="L2610" s="200">
        <f>IF(AND(B2610="",C2610=""),"",1)</f>
        <v/>
      </c>
      <c r="M2610" s="399" t="n"/>
      <c r="N2610" s="154">
        <f>IF(AND(B2610="",C2610=""),"",1)</f>
        <v/>
      </c>
      <c r="O2610" s="155">
        <f>IF(AND(B2610="",C2610=""),"",IF(J2610&gt;=20000,0.05,IF(J2610&gt;=10000,0.1,IF(J2610&gt;=5000,0.2,IF(J2610&gt;=1000,0.3,IF(J2610&gt;=0,0.4,{0}))))))</f>
        <v/>
      </c>
      <c r="P2610" s="400">
        <f>IF(AND(B2610="",C2610=""),"",ROUND(H2610*O2610,2))</f>
        <v/>
      </c>
      <c r="Q2610" s="401">
        <f>IF(AND(B2610="",C2610=""),"","元件")</f>
        <v/>
      </c>
      <c r="R2610" s="168" t="inlineStr"/>
      <c r="S2610" s="168" t="inlineStr"/>
      <c r="T2610" s="168" t="inlineStr"/>
      <c r="U2610" s="168" t="inlineStr"/>
      <c r="V2610" s="402" t="n"/>
      <c r="W2610" s="402" t="n"/>
      <c r="X2610" s="170" t="inlineStr"/>
    </row>
    <row r="2611" s="308">
      <c r="A2611" s="64">
        <f>ROW()-ROW(A$2588)</f>
        <v/>
      </c>
      <c r="B2611" s="171" t="inlineStr">
        <is>
          <t>小计</t>
        </is>
      </c>
      <c r="C2611" s="172" t="n"/>
      <c r="D2611" s="204" t="n"/>
      <c r="E2611" s="114" t="n"/>
      <c r="F2611" s="114" t="n"/>
      <c r="G2611" s="396" t="n"/>
      <c r="H2611" s="396">
        <f>ROUND(SUM(H2588:INDEX(H:H,ROW()-1)),2)</f>
        <v/>
      </c>
      <c r="I2611" s="45" t="inlineStr"/>
      <c r="J2611" s="397" t="n"/>
      <c r="K2611" s="398">
        <f>ROUND(SUM(K2588:INDEX(K:K,ROW()-1)),2)</f>
        <v/>
      </c>
      <c r="L2611" s="200" t="n"/>
      <c r="M2611" s="399" t="n"/>
      <c r="N2611" s="154" t="n"/>
      <c r="O2611" s="155" t="n"/>
      <c r="P2611" s="400" t="n"/>
      <c r="Q2611" s="401" t="n"/>
      <c r="R2611" s="168" t="inlineStr"/>
      <c r="S2611" s="168" t="inlineStr"/>
      <c r="T2611" s="168" t="inlineStr"/>
      <c r="U2611" s="168" t="inlineStr"/>
      <c r="V2611" s="402">
        <f>ROUND(SUMPRODUCT(F2588:INDEX(F:F,ROW()-1),V2588:INDEX(V:V,ROW()-1)),2)</f>
        <v/>
      </c>
      <c r="W2611" s="402">
        <f>ROUND(SUMPRODUCT(F2588:INDEX(F:F,ROW()-1),W2588:INDEX(W:W,ROW()-1)),2)</f>
        <v/>
      </c>
      <c r="X2611" s="170" t="inlineStr"/>
    </row>
    <row r="2612" s="308">
      <c r="A2612" s="64">
        <f>ROW()-ROW(A$2588)</f>
        <v/>
      </c>
      <c r="B2612" s="171" t="inlineStr">
        <is>
          <t>综合费(人工、管理、税金、利润等)</t>
        </is>
      </c>
      <c r="C2612" s="172" t="n"/>
      <c r="D2612" s="204" t="n"/>
      <c r="E2612" s="114" t="n"/>
      <c r="F2612" s="114" t="n"/>
      <c r="G2612" s="396" t="n"/>
      <c r="H2612" s="396">
        <f>2500</f>
        <v/>
      </c>
      <c r="I2612" s="45" t="inlineStr"/>
      <c r="J2612" s="397" t="n"/>
      <c r="K2612" s="398" t="n"/>
      <c r="L2612" s="200" t="n"/>
      <c r="M2612" s="399" t="n"/>
      <c r="N2612" s="154" t="n"/>
      <c r="O2612" s="155" t="n"/>
      <c r="P2612" s="400" t="n"/>
      <c r="Q2612" s="401" t="inlineStr">
        <is>
          <t>费用</t>
        </is>
      </c>
      <c r="R2612" s="168" t="inlineStr"/>
      <c r="S2612" s="168" t="inlineStr"/>
      <c r="T2612" s="168" t="inlineStr"/>
      <c r="U2612" s="168" t="inlineStr"/>
      <c r="V2612" s="402" t="n"/>
      <c r="W2612" s="402" t="n"/>
      <c r="X2612" s="170" t="inlineStr"/>
    </row>
    <row r="2613" s="308">
      <c r="A2613" s="64">
        <f>ROW()-ROW(A$2588)</f>
        <v/>
      </c>
      <c r="B2613" s="204" t="inlineStr">
        <is>
          <t>单台合计</t>
        </is>
      </c>
      <c r="C2613" s="172" t="n"/>
      <c r="D2613" s="204" t="n"/>
      <c r="E2613" s="114" t="n"/>
      <c r="F2613" s="114" t="n"/>
      <c r="G2613" s="396" t="n"/>
      <c r="H2613" s="396">
        <f>ROUND(SUM(H2611:H2612),2)</f>
        <v/>
      </c>
      <c r="I2613" s="181" t="n"/>
      <c r="J2613" s="397" t="n"/>
      <c r="K2613" s="398">
        <f>ROUND(SUM(K2611:K2612),2)</f>
        <v/>
      </c>
      <c r="L2613" s="209" t="n"/>
      <c r="M2613" s="399" t="n"/>
      <c r="N2613" s="210" t="n"/>
      <c r="O2613" s="211" t="n"/>
      <c r="P2613" s="400" t="n"/>
      <c r="Q2613" s="401" t="n"/>
      <c r="R2613" s="168" t="inlineStr"/>
      <c r="S2613" s="168" t="inlineStr"/>
      <c r="T2613" s="168" t="inlineStr"/>
      <c r="U2613" s="168" t="inlineStr"/>
      <c r="V2613" s="402" t="n"/>
      <c r="W2613" s="402" t="n"/>
      <c r="X2613" s="170" t="inlineStr"/>
    </row>
    <row r="2614" s="308">
      <c r="A2614" s="173" t="inlineStr">
        <is>
          <t>总计</t>
        </is>
      </c>
      <c r="B2614" s="205" t="n"/>
      <c r="C2614" s="175" t="n"/>
      <c r="D2614" s="206" t="n"/>
      <c r="E2614" s="206" t="inlineStr">
        <is>
          <t>台</t>
        </is>
      </c>
      <c r="F2614" s="206" t="n">
        <v>1</v>
      </c>
      <c r="G2614" s="414">
        <f>ROUND(H2613,2)</f>
        <v/>
      </c>
      <c r="H2614" s="414">
        <f>ROUND(F2614*G2614,2)</f>
        <v/>
      </c>
      <c r="I2614" s="185" t="n"/>
      <c r="J2614" s="415" t="n"/>
      <c r="K2614" s="416">
        <f>ROUND(K2613*F2614,2)</f>
        <v/>
      </c>
      <c r="L2614" s="214" t="n"/>
      <c r="M2614" s="417" t="n"/>
      <c r="N2614" s="216" t="n"/>
      <c r="O2614" s="217" t="n"/>
      <c r="P2614" s="418" t="n"/>
      <c r="Q2614" s="401" t="n"/>
      <c r="R2614" s="168" t="inlineStr"/>
      <c r="S2614" s="168" t="inlineStr"/>
      <c r="T2614" s="168" t="inlineStr"/>
      <c r="U2614" s="168" t="inlineStr"/>
      <c r="V2614" s="402" t="n"/>
      <c r="W2614" s="402" t="n"/>
      <c r="X2614" s="170" t="inlineStr"/>
    </row>
    <row r="2615" customFormat="1" s="4">
      <c r="A2615" s="6" t="n"/>
      <c r="B2615" s="195" t="inlineStr"/>
      <c r="C2615" s="195" t="inlineStr"/>
      <c r="D2615" s="195" t="inlineStr"/>
      <c r="Q2615" s="159" t="n"/>
      <c r="R2615" s="159" t="n"/>
      <c r="S2615" s="159" t="n"/>
      <c r="T2615" s="159" t="n"/>
      <c r="U2615" s="159" t="n"/>
      <c r="X2615" s="195" t="inlineStr"/>
    </row>
    <row r="2616" customFormat="1" s="4">
      <c r="A2616" s="6" t="n"/>
      <c r="B2616" s="195" t="inlineStr"/>
      <c r="C2616" s="195" t="inlineStr"/>
      <c r="D2616" s="195" t="inlineStr"/>
      <c r="Q2616" s="159" t="n"/>
      <c r="R2616" s="159" t="n"/>
      <c r="S2616" s="159" t="n"/>
      <c r="T2616" s="159" t="n"/>
      <c r="U2616" s="159" t="n"/>
      <c r="X2616" s="195" t="inlineStr"/>
    </row>
    <row r="2617" s="308">
      <c r="A2617" s="208">
        <f>CONCATENATE("报价人：",项目信息!$B$8)</f>
        <v/>
      </c>
      <c r="B2617" s="208" t="n"/>
      <c r="C2617" s="4" t="n"/>
      <c r="D2617" s="4" t="n"/>
      <c r="E2617" s="4" t="n"/>
      <c r="F2617" s="4" t="n"/>
      <c r="G2617" s="4" t="n"/>
      <c r="H2617" s="178">
        <f>项目信息!$B$9</f>
        <v/>
      </c>
      <c r="Q2617" s="159" t="n"/>
      <c r="R2617" s="159" t="n"/>
      <c r="S2617" s="159" t="n"/>
      <c r="T2617" s="159" t="n"/>
      <c r="U2617" s="159" t="n"/>
      <c r="X2617" s="203" t="inlineStr"/>
    </row>
    <row r="2618" s="308">
      <c r="A2618" s="8">
        <f>T(项目信息!$B$22)</f>
        <v/>
      </c>
      <c r="Q2618" s="159" t="n"/>
      <c r="R2618" s="159" t="n"/>
      <c r="S2618" s="159" t="n"/>
      <c r="T2618" s="159" t="n"/>
      <c r="U2618" s="159" t="n"/>
    </row>
    <row r="2619" s="308">
      <c r="A2619" s="9">
        <f>T(项目信息!$B$23)</f>
        <v/>
      </c>
      <c r="Q2619" s="159" t="n"/>
      <c r="R2619" s="159" t="n"/>
      <c r="S2619" s="159" t="n"/>
      <c r="T2619" s="159" t="n"/>
      <c r="U2619" s="159" t="n"/>
    </row>
    <row r="2620" s="308">
      <c r="A2620" s="97" t="inlineStr">
        <is>
          <t>成套产品报价明细表</t>
        </is>
      </c>
      <c r="B2620" s="378" t="n"/>
      <c r="C2620" s="378" t="n"/>
      <c r="D2620" s="378" t="n"/>
      <c r="E2620" s="378" t="n"/>
      <c r="F2620" s="378" t="n"/>
      <c r="G2620" s="378" t="n"/>
      <c r="H2620" s="378" t="n"/>
      <c r="I2620" s="378" t="n"/>
      <c r="Q2620" s="159" t="n"/>
      <c r="R2620" s="159" t="n"/>
      <c r="S2620" s="159" t="n"/>
      <c r="T2620" s="159" t="n"/>
      <c r="U2620" s="159" t="n"/>
    </row>
    <row r="2621" customFormat="1" s="4">
      <c r="A2621" s="98" t="inlineStr">
        <is>
          <t>柜号:</t>
        </is>
      </c>
      <c r="B2621" s="99" t="inlineStr">
        <is>
          <t>T2-BU12</t>
        </is>
      </c>
      <c r="C2621" s="100" t="inlineStr">
        <is>
          <t>型号:</t>
        </is>
      </c>
      <c r="D2621" s="99" t="inlineStr">
        <is>
          <t>BlokSeT</t>
        </is>
      </c>
      <c r="E2621" s="379" t="n"/>
      <c r="F2621" s="101" t="inlineStr">
        <is>
          <t>名称:</t>
        </is>
      </c>
      <c r="G2621" s="99" t="inlineStr">
        <is>
          <t>馈线柜</t>
        </is>
      </c>
      <c r="H2621" s="379" t="n"/>
      <c r="I2621" s="408" t="inlineStr"/>
      <c r="J2621" s="194" t="inlineStr">
        <is>
          <t>箱柜尺寸:</t>
        </is>
      </c>
      <c r="K2621" s="195" t="inlineStr">
        <is>
          <t>600W*1200D*2200H</t>
        </is>
      </c>
      <c r="L2621" s="194" t="inlineStr">
        <is>
          <t>类别:</t>
        </is>
      </c>
      <c r="M2621" s="195" t="inlineStr">
        <is>
          <t>低压固定柜</t>
        </is>
      </c>
      <c r="N2621" s="409" t="inlineStr"/>
      <c r="Q2621" s="159" t="n"/>
      <c r="R2621" s="159" t="n"/>
      <c r="S2621" s="159" t="n"/>
      <c r="T2621" s="159" t="n"/>
      <c r="U2621" s="159" t="n"/>
    </row>
    <row r="2622" ht="20.1" customHeight="1" s="308">
      <c r="A2622" s="102" t="inlineStr">
        <is>
          <t>序号</t>
        </is>
      </c>
      <c r="B2622" s="103" t="inlineStr">
        <is>
          <t>元件名称</t>
        </is>
      </c>
      <c r="C2622" s="103" t="inlineStr">
        <is>
          <t>型号规格</t>
        </is>
      </c>
      <c r="D2622" s="104" t="inlineStr">
        <is>
          <t>生产厂家</t>
        </is>
      </c>
      <c r="E2622" s="105" t="inlineStr">
        <is>
          <t>单位</t>
        </is>
      </c>
      <c r="F2622" s="105" t="inlineStr">
        <is>
          <t>数量</t>
        </is>
      </c>
      <c r="G2622" s="382" t="inlineStr">
        <is>
          <t>单   价</t>
        </is>
      </c>
      <c r="H2622" s="383" t="inlineStr">
        <is>
          <t>总   价</t>
        </is>
      </c>
      <c r="I2622" s="134" t="inlineStr">
        <is>
          <t>备注</t>
        </is>
      </c>
      <c r="J2622" s="384" t="inlineStr">
        <is>
          <t>成本单价</t>
        </is>
      </c>
      <c r="K2622" s="384" t="inlineStr">
        <is>
          <t>成本总价</t>
        </is>
      </c>
      <c r="L2622" s="136" t="inlineStr">
        <is>
          <t>报出
系数</t>
        </is>
      </c>
      <c r="M2622" s="384" t="inlineStr">
        <is>
          <t>表价</t>
        </is>
      </c>
      <c r="N2622" s="136" t="inlineStr">
        <is>
          <t>折扣
系数</t>
        </is>
      </c>
      <c r="O2622" s="137" t="inlineStr">
        <is>
          <t>取费
系数</t>
        </is>
      </c>
      <c r="P2622" s="384" t="inlineStr">
        <is>
          <t>成套费</t>
        </is>
      </c>
      <c r="Q2622" s="161" t="inlineStr">
        <is>
          <t>类别</t>
        </is>
      </c>
      <c r="R2622" s="161" t="inlineStr">
        <is>
          <t>物料编码</t>
        </is>
      </c>
      <c r="S2622" s="161" t="inlineStr">
        <is>
          <t>产地</t>
        </is>
      </c>
      <c r="T2622" s="161" t="inlineStr">
        <is>
          <t>加工费</t>
        </is>
      </c>
      <c r="U2622" s="161" t="inlineStr">
        <is>
          <t>订货号</t>
        </is>
      </c>
      <c r="V2622" s="161" t="inlineStr">
        <is>
          <t>人工</t>
        </is>
      </c>
      <c r="W2622" s="161" t="inlineStr">
        <is>
          <t>辅料</t>
        </is>
      </c>
      <c r="X2622" s="203" t="inlineStr"/>
    </row>
    <row r="2623" s="308">
      <c r="A2623" s="64">
        <f>ROW()-ROW(A$2622)</f>
        <v/>
      </c>
      <c r="B2623" s="22" t="inlineStr">
        <is>
          <t>塑壳断路器</t>
        </is>
      </c>
      <c r="C2623" s="22" t="inlineStr">
        <is>
          <t>NSX100H TM100D 3P3D P</t>
        </is>
      </c>
      <c r="D2623" s="22" t="inlineStr">
        <is>
          <t>甲供/施耐德电气</t>
        </is>
      </c>
      <c r="E2623" s="23" t="inlineStr">
        <is>
          <t>只</t>
        </is>
      </c>
      <c r="F2623" s="23" t="n">
        <v>4</v>
      </c>
      <c r="G2623" s="349">
        <f>IF(AND(B2623="",C2623=""),"",ROUND(M2623*L2623*N2623,2))</f>
        <v/>
      </c>
      <c r="H2623" s="349">
        <f>IF(AND(B2623="",C2623=""),"",ROUND(F2623*G2623,2))</f>
        <v/>
      </c>
      <c r="I2623" s="45" t="inlineStr"/>
      <c r="J2623" s="397">
        <f>IF(AND(B2623="",C2623=""),"",ROUND(M2623*N2623,2))</f>
        <v/>
      </c>
      <c r="K2623" s="398">
        <f>IF(AND(B2623="",C2623=""),"",ROUND(J2623*F2623,2))</f>
        <v/>
      </c>
      <c r="L2623" s="200" t="n">
        <v>1</v>
      </c>
      <c r="M2623" s="399" t="n">
        <v>1e-07</v>
      </c>
      <c r="N2623" s="154" t="n">
        <v>1</v>
      </c>
      <c r="O2623" s="155">
        <f>IF(AND(B2623="",C2623=""),"",IF(G2623&gt;=20000,0.05,IF(G2623&gt;=10000,0.1,IF(G2623&gt;=5000,0.2,IF(G2623&gt;=1000,0.3,IF(G2623&gt;=0,0.4,{0}))))))</f>
        <v/>
      </c>
      <c r="P2623" s="400">
        <f>IF(AND(B2623="",C2623=""),"",ROUND(H2623*O2623,2))</f>
        <v/>
      </c>
      <c r="Q2623" s="401" t="inlineStr">
        <is>
          <t>元件</t>
        </is>
      </c>
      <c r="R2623" s="168" t="inlineStr"/>
      <c r="S2623" s="168" t="inlineStr"/>
      <c r="T2623" s="168" t="inlineStr">
        <is>
          <t>0</t>
        </is>
      </c>
      <c r="U2623" s="168" t="inlineStr">
        <is>
          <t>C16F32D160</t>
        </is>
      </c>
      <c r="V2623" s="402" t="n"/>
      <c r="W2623" s="402" t="n"/>
      <c r="X2623" s="170" t="inlineStr">
        <is>
          <t>NSX630N Mic2.3 630A 3P3D F→NSX630F MIC2.3 630 3P F→NSX630F MIC 2.3 630 3P F</t>
        </is>
      </c>
    </row>
    <row r="2624" s="308">
      <c r="A2624" s="64">
        <f>ROW()-ROW(A$2622)</f>
        <v/>
      </c>
      <c r="B2624" s="22" t="inlineStr">
        <is>
          <t>塑壳断路器</t>
        </is>
      </c>
      <c r="C2624" s="22" t="inlineStr">
        <is>
          <t>NSX160H TM160D 3P3D P</t>
        </is>
      </c>
      <c r="D2624" s="22" t="inlineStr">
        <is>
          <t>甲供/施耐德电气</t>
        </is>
      </c>
      <c r="E2624" s="23" t="inlineStr">
        <is>
          <t>只</t>
        </is>
      </c>
      <c r="F2624" s="23" t="n">
        <v>6</v>
      </c>
      <c r="G2624" s="349">
        <f>IF(AND(B2624="",C2624=""),"",ROUND(M2624*L2624*N2624,2))</f>
        <v/>
      </c>
      <c r="H2624" s="349">
        <f>IF(AND(B2624="",C2624=""),"",ROUND(F2624*G2624,2))</f>
        <v/>
      </c>
      <c r="I2624" s="45" t="inlineStr"/>
      <c r="J2624" s="397">
        <f>IF(AND(B2624="",C2624=""),"",ROUND(M2624*N2624,2))</f>
        <v/>
      </c>
      <c r="K2624" s="398">
        <f>IF(AND(B2624="",C2624=""),"",ROUND(J2624*F2624,2))</f>
        <v/>
      </c>
      <c r="L2624" s="200" t="n">
        <v>1</v>
      </c>
      <c r="M2624" s="399" t="n">
        <v>1e-07</v>
      </c>
      <c r="N2624" s="154" t="n">
        <v>1</v>
      </c>
      <c r="O2624" s="155">
        <f>IF(AND(B2624="",C2624=""),"",IF(G2624&gt;=20000,0.05,IF(G2624&gt;=10000,0.1,IF(G2624&gt;=5000,0.2,IF(G2624&gt;=1000,0.3,IF(G2624&gt;=0,0.4,{0}))))))</f>
        <v/>
      </c>
      <c r="P2624" s="400">
        <f>IF(AND(B2624="",C2624=""),"",ROUND(H2624*O2624,2))</f>
        <v/>
      </c>
      <c r="Q2624" s="401" t="inlineStr">
        <is>
          <t>元件</t>
        </is>
      </c>
      <c r="R2624" s="168" t="inlineStr"/>
      <c r="S2624" s="168" t="inlineStr"/>
      <c r="T2624" s="168" t="inlineStr">
        <is>
          <t>0</t>
        </is>
      </c>
      <c r="U2624" s="168" t="inlineStr">
        <is>
          <t>C16F32D160</t>
        </is>
      </c>
      <c r="V2624" s="402" t="n"/>
      <c r="W2624" s="402" t="n"/>
      <c r="X2624" s="170" t="inlineStr">
        <is>
          <t>NSX630N Mic2.3 630A 3P3D F→NSX630F MIC2.3 630 3P F→NSX630F MIC 2.3 630 3P F</t>
        </is>
      </c>
    </row>
    <row r="2625" s="308">
      <c r="A2625" s="64">
        <f>ROW()-ROW(A$2622)</f>
        <v/>
      </c>
      <c r="B2625" s="22" t="inlineStr">
        <is>
          <t>塑壳断路器</t>
        </is>
      </c>
      <c r="C2625" s="22" t="inlineStr">
        <is>
          <t>NSX250H TM250D 3P3D P</t>
        </is>
      </c>
      <c r="D2625" s="22" t="inlineStr">
        <is>
          <t>甲供/施耐德电气</t>
        </is>
      </c>
      <c r="E2625" s="23" t="inlineStr">
        <is>
          <t>只</t>
        </is>
      </c>
      <c r="F2625" s="23" t="n">
        <v>2</v>
      </c>
      <c r="G2625" s="349">
        <f>IF(AND(B2625="",C2625=""),"",ROUND(M2625*L2625*N2625,2))</f>
        <v/>
      </c>
      <c r="H2625" s="349">
        <f>IF(AND(B2625="",C2625=""),"",ROUND(F2625*G2625,2))</f>
        <v/>
      </c>
      <c r="I2625" s="45" t="inlineStr"/>
      <c r="J2625" s="397">
        <f>IF(AND(B2625="",C2625=""),"",ROUND(M2625*N2625,2))</f>
        <v/>
      </c>
      <c r="K2625" s="398">
        <f>IF(AND(B2625="",C2625=""),"",ROUND(J2625*F2625,2))</f>
        <v/>
      </c>
      <c r="L2625" s="200" t="n">
        <v>1</v>
      </c>
      <c r="M2625" s="399" t="n">
        <v>1e-07</v>
      </c>
      <c r="N2625" s="154" t="n">
        <v>1</v>
      </c>
      <c r="O2625" s="155">
        <f>IF(AND(B2625="",C2625=""),"",IF(G2625&gt;=20000,0.05,IF(G2625&gt;=10000,0.1,IF(G2625&gt;=5000,0.2,IF(G2625&gt;=1000,0.3,IF(G2625&gt;=0,0.4,{0}))))))</f>
        <v/>
      </c>
      <c r="P2625" s="400">
        <f>IF(AND(B2625="",C2625=""),"",ROUND(H2625*O2625,2))</f>
        <v/>
      </c>
      <c r="Q2625" s="401" t="inlineStr">
        <is>
          <t>元件</t>
        </is>
      </c>
      <c r="R2625" s="168" t="inlineStr"/>
      <c r="S2625" s="168" t="inlineStr"/>
      <c r="T2625" s="168" t="inlineStr">
        <is>
          <t>0</t>
        </is>
      </c>
      <c r="U2625" s="168" t="inlineStr">
        <is>
          <t>C16F32D160</t>
        </is>
      </c>
      <c r="V2625" s="402" t="n"/>
      <c r="W2625" s="402" t="n"/>
      <c r="X2625" s="170" t="inlineStr">
        <is>
          <t>NSX630N Mic2.3 630A 3P3D F→NSX630F MIC2.3 630 3P F→NSX630F MIC 2.3 630 3P F</t>
        </is>
      </c>
    </row>
    <row r="2626" s="308">
      <c r="A2626" s="64">
        <f>ROW()-ROW(A$2622)</f>
        <v/>
      </c>
      <c r="B2626" s="22" t="inlineStr">
        <is>
          <t>电流互感器</t>
        </is>
      </c>
      <c r="C2626" s="22" t="inlineStr">
        <is>
          <t>SD-0.66-30I 150/5A</t>
        </is>
      </c>
      <c r="D2626" s="22" t="inlineStr">
        <is>
          <t>桑迪</t>
        </is>
      </c>
      <c r="E2626" s="23" t="inlineStr">
        <is>
          <t>只</t>
        </is>
      </c>
      <c r="F2626" s="23" t="n">
        <v>18</v>
      </c>
      <c r="G2626" s="349">
        <f>IF(AND(B2626="",C2626=""),"",ROUND(M2626*L2626*N2626,2))</f>
        <v/>
      </c>
      <c r="H2626" s="396">
        <f>IF(AND(B2626="",C2626=""),"",ROUND(F2626*G2626,2))</f>
        <v/>
      </c>
      <c r="I2626" s="219" t="inlineStr"/>
      <c r="J2626" s="397">
        <f>IF(AND(B2626="",C2626=""),"",ROUND(M2626*N2626,2))</f>
        <v/>
      </c>
      <c r="K2626" s="398">
        <f>IF(AND(B2626="",C2626=""),"",ROUND(J2626*F2626,2))</f>
        <v/>
      </c>
      <c r="L2626" s="200" t="n">
        <v>1</v>
      </c>
      <c r="M2626" s="399" t="n">
        <v>29.95</v>
      </c>
      <c r="N2626" s="154" t="n">
        <v>1</v>
      </c>
      <c r="O2626" s="155">
        <f>IF(AND(B2626="",C2626=""),"",IF(G2626&gt;=20000,0.05,IF(G2626&gt;=10000,0.1,IF(G2626&gt;=5000,0.2,IF(G2626&gt;=1000,0.3,IF(G2626&gt;=0,0.4,{0}))))))</f>
        <v/>
      </c>
      <c r="P2626" s="400">
        <f>IF(AND(B2626="",C2626=""),"",ROUND(H2626*O2626,2))</f>
        <v/>
      </c>
      <c r="Q2626" s="401" t="inlineStr">
        <is>
          <t>元件</t>
        </is>
      </c>
      <c r="R2626" s="168" t="inlineStr"/>
      <c r="S2626" s="168" t="inlineStr"/>
      <c r="T2626" s="168" t="inlineStr">
        <is>
          <t>0</t>
        </is>
      </c>
      <c r="U2626" s="168" t="inlineStr">
        <is>
          <t>710140200000049</t>
        </is>
      </c>
      <c r="V2626" s="402" t="n"/>
      <c r="W2626" s="402" t="n"/>
      <c r="X2626" s="170" t="inlineStr">
        <is>
          <t>SD→SD-0.66-40II-C 400/5A→SD-0.66-30I 250/5A→SD-0.66-30I 150/5A→SD-0.66-60II-C 750/5A→SD-0.66-60II-C 600/5A→SD-0.66-30I 150/5A→SD-0.66-40II-C 400/5A→SD-0.66-100II-C 1600/5A→SD-0.66-80II-V 1000/5A</t>
        </is>
      </c>
    </row>
    <row r="2627" s="308">
      <c r="A2627" s="64">
        <f>ROW()-ROW(A$2622)</f>
        <v/>
      </c>
      <c r="B2627" s="22" t="inlineStr">
        <is>
          <t>电流互感器</t>
        </is>
      </c>
      <c r="C2627" s="22" t="inlineStr">
        <is>
          <t>SD-0.66-30I 250/5A</t>
        </is>
      </c>
      <c r="D2627" s="22" t="inlineStr">
        <is>
          <t>桑迪</t>
        </is>
      </c>
      <c r="E2627" s="23" t="inlineStr">
        <is>
          <t>只</t>
        </is>
      </c>
      <c r="F2627" s="23" t="n">
        <v>6</v>
      </c>
      <c r="G2627" s="349">
        <f>IF(AND(B2627="",C2627=""),"",ROUND(M2627*L2627*N2627,2))</f>
        <v/>
      </c>
      <c r="H2627" s="396">
        <f>IF(AND(B2627="",C2627=""),"",ROUND(F2627*G2627,2))</f>
        <v/>
      </c>
      <c r="I2627" s="219" t="inlineStr"/>
      <c r="J2627" s="397">
        <f>IF(AND(B2627="",C2627=""),"",ROUND(M2627*N2627,2))</f>
        <v/>
      </c>
      <c r="K2627" s="398">
        <f>IF(AND(B2627="",C2627=""),"",ROUND(J2627*F2627,2))</f>
        <v/>
      </c>
      <c r="L2627" s="200" t="n">
        <v>1</v>
      </c>
      <c r="M2627" s="399" t="n">
        <v>26.65</v>
      </c>
      <c r="N2627" s="154" t="n">
        <v>1</v>
      </c>
      <c r="O2627" s="155">
        <f>IF(AND(B2627="",C2627=""),"",IF(G2627&gt;=20000,0.05,IF(G2627&gt;=10000,0.1,IF(G2627&gt;=5000,0.2,IF(G2627&gt;=1000,0.3,IF(G2627&gt;=0,0.4,{0}))))))</f>
        <v/>
      </c>
      <c r="P2627" s="400">
        <f>IF(AND(B2627="",C2627=""),"",ROUND(H2627*O2627,2))</f>
        <v/>
      </c>
      <c r="Q2627" s="401" t="inlineStr">
        <is>
          <t>元件</t>
        </is>
      </c>
      <c r="R2627" s="168" t="inlineStr"/>
      <c r="S2627" s="168" t="inlineStr"/>
      <c r="T2627" s="168" t="inlineStr">
        <is>
          <t>0</t>
        </is>
      </c>
      <c r="U2627" s="168" t="inlineStr">
        <is>
          <t>710140200000049</t>
        </is>
      </c>
      <c r="V2627" s="402" t="n"/>
      <c r="W2627" s="402" t="n"/>
      <c r="X2627" s="170" t="inlineStr">
        <is>
          <t>SD→SD-0.66-40II-C 400/5A→SD-0.66-30I 250/5A→SD-0.66-30I 150/5A→SD-0.66-60II-C 750/5A→SD-0.66-60II-C 600/5A→SD-0.66-30I 150/5A→SD-0.66-40II-C 400/5A→SD-0.66-100II-C 1600/5A→SD-0.66-80II-V 1000/5A</t>
        </is>
      </c>
    </row>
    <row r="2628" s="308">
      <c r="A2628" s="64">
        <f>ROW()-ROW(A$2622)</f>
        <v/>
      </c>
      <c r="B2628" s="22" t="inlineStr">
        <is>
          <t>电流互感器</t>
        </is>
      </c>
      <c r="C2628" s="22" t="inlineStr">
        <is>
          <t>SD-0.66-M8 100/5A</t>
        </is>
      </c>
      <c r="D2628" s="22" t="inlineStr">
        <is>
          <t>桑迪</t>
        </is>
      </c>
      <c r="E2628" s="23" t="inlineStr">
        <is>
          <t>只</t>
        </is>
      </c>
      <c r="F2628" s="23" t="n">
        <v>12</v>
      </c>
      <c r="G2628" s="349">
        <f>IF(AND(B2628="",C2628=""),"",ROUND(M2628*L2628*N2628,2))</f>
        <v/>
      </c>
      <c r="H2628" s="396">
        <f>IF(AND(B2628="",C2628=""),"",ROUND(F2628*G2628,2))</f>
        <v/>
      </c>
      <c r="I2628" s="219" t="inlineStr"/>
      <c r="J2628" s="397">
        <f>IF(AND(B2628="",C2628=""),"",ROUND(M2628*N2628,2))</f>
        <v/>
      </c>
      <c r="K2628" s="398">
        <f>IF(AND(B2628="",C2628=""),"",ROUND(J2628*F2628,2))</f>
        <v/>
      </c>
      <c r="L2628" s="200" t="n">
        <v>1</v>
      </c>
      <c r="M2628" s="399" t="n">
        <v>61.75</v>
      </c>
      <c r="N2628" s="154" t="n">
        <v>1</v>
      </c>
      <c r="O2628" s="155">
        <f>IF(AND(B2628="",C2628=""),"",IF(G2628&gt;=20000,0.05,IF(G2628&gt;=10000,0.1,IF(G2628&gt;=5000,0.2,IF(G2628&gt;=1000,0.3,IF(G2628&gt;=0,0.4,{0}))))))</f>
        <v/>
      </c>
      <c r="P2628" s="400">
        <f>IF(AND(B2628="",C2628=""),"",ROUND(H2628*O2628,2))</f>
        <v/>
      </c>
      <c r="Q2628" s="401" t="inlineStr">
        <is>
          <t>元件</t>
        </is>
      </c>
      <c r="R2628" s="168" t="inlineStr"/>
      <c r="S2628" s="168" t="inlineStr"/>
      <c r="T2628" s="168" t="inlineStr">
        <is>
          <t>0</t>
        </is>
      </c>
      <c r="U2628" s="168" t="inlineStr">
        <is>
          <t>710140200000049</t>
        </is>
      </c>
      <c r="V2628" s="402" t="n"/>
      <c r="W2628" s="402" t="n"/>
      <c r="X2628" s="170" t="inlineStr">
        <is>
          <t>SD→SD-0.66-40II-C 400/5A→SD-0.66-30I 250/5A→SD-0.66-30I 150/5A→SD-0.66-60II-C 750/5A→SD-0.66-60II-C 600/5A→SD-0.66-30I 150/5A→SD-0.66-40II-C 400/5A→SD-0.66-100II-C 1600/5A→SD-0.66-80II-V 1000/5A→SD-0.66-40II-C 400/5A→SD-0.66-60II-C 600/5A</t>
        </is>
      </c>
    </row>
    <row r="2629" s="308">
      <c r="A2629" s="64">
        <f>ROW()-ROW(A$2622)</f>
        <v/>
      </c>
      <c r="B2629" s="112" t="inlineStr">
        <is>
          <t>多功能表</t>
        </is>
      </c>
      <c r="C2629" s="112" t="inlineStr">
        <is>
          <t>PM4101</t>
        </is>
      </c>
      <c r="D2629" s="112" t="inlineStr">
        <is>
          <t>甲供/施耐德电气</t>
        </is>
      </c>
      <c r="E2629" s="114" t="inlineStr">
        <is>
          <t>只</t>
        </is>
      </c>
      <c r="F2629" s="114" t="n">
        <v>12</v>
      </c>
      <c r="G2629" s="396">
        <f>IF(AND(B2629="",C2629=""),"",ROUND(M2629*L2629*N2629,2))</f>
        <v/>
      </c>
      <c r="H2629" s="349">
        <f>IF(AND(B2629="",C2629=""),"",ROUND(F2629*G2629,2))</f>
        <v/>
      </c>
      <c r="I2629" s="45" t="inlineStr"/>
      <c r="J2629" s="397">
        <f>IF(AND(B2629="",C2629=""),"",ROUND(M2629*N2629,2))</f>
        <v/>
      </c>
      <c r="K2629" s="398">
        <f>IF(AND(B2629="",C2629=""),"",ROUND(J2629*F2629,2))</f>
        <v/>
      </c>
      <c r="L2629" s="200" t="n">
        <v>1</v>
      </c>
      <c r="M2629" s="399" t="n">
        <v>1e-07</v>
      </c>
      <c r="N2629" s="154" t="n">
        <v>1</v>
      </c>
      <c r="O2629" s="155">
        <f>IF(AND(B2629="",C2629=""),"",IF(J2629&gt;=20000,0.05,IF(J2629&gt;=10000,0.1,IF(J2629&gt;=5000,0.2,IF(J2629&gt;=1000,0.3,IF(J2629&gt;=0,0.4,{0}))))))</f>
        <v/>
      </c>
      <c r="P2629" s="400">
        <f>IF(AND(B2629="",C2629=""),"",ROUND(H2629*O2629,2))</f>
        <v/>
      </c>
      <c r="Q2629" s="401" t="inlineStr">
        <is>
          <t>元件</t>
        </is>
      </c>
      <c r="R2629" s="168" t="inlineStr"/>
      <c r="S2629" s="168" t="inlineStr"/>
      <c r="T2629" s="168" t="inlineStr">
        <is>
          <t>0</t>
        </is>
      </c>
      <c r="U2629" s="168" t="inlineStr"/>
      <c r="V2629" s="402" t="n"/>
      <c r="W2629" s="402" t="n"/>
      <c r="X2629" s="170" t="inlineStr"/>
    </row>
    <row r="2630" customFormat="1" s="3">
      <c r="A2630" s="64">
        <f>ROW()-ROW(A$2622)</f>
        <v/>
      </c>
      <c r="B2630" s="22" t="inlineStr">
        <is>
          <t>指示灯</t>
        </is>
      </c>
      <c r="C2630" s="22" t="inlineStr">
        <is>
          <t>XB2BVM3LC</t>
        </is>
      </c>
      <c r="D2630" s="22" t="inlineStr">
        <is>
          <t>甲供/施耐德电气</t>
        </is>
      </c>
      <c r="E2630" s="23" t="inlineStr">
        <is>
          <t>只</t>
        </is>
      </c>
      <c r="F2630" s="23" t="n">
        <v>12</v>
      </c>
      <c r="G2630" s="349">
        <f>IF(AND(B2630="",C2630=""),"",ROUND(M2630*L2630*N2630,2))</f>
        <v/>
      </c>
      <c r="H2630" s="353">
        <f>IF(AND(B2630="",C2630=""),"",ROUND(F2630*G2630,2))</f>
        <v/>
      </c>
      <c r="I2630" s="180" t="inlineStr"/>
      <c r="J2630" s="392">
        <f>IF(AND(B2630="",C2630=""),"",ROUND(M2630*N2630,2))</f>
        <v/>
      </c>
      <c r="K2630" s="393">
        <f>IF(AND(B2630="",C2630=""),"",ROUND(J2630*F2630,2))</f>
        <v/>
      </c>
      <c r="L2630" s="141" t="n">
        <v>1</v>
      </c>
      <c r="M2630" s="394" t="n">
        <v>1e-07</v>
      </c>
      <c r="N2630" s="220" t="n">
        <v>1</v>
      </c>
      <c r="O2630" s="221">
        <f>IF(AND(B2630="",C2630=""),"",IF(G2630&gt;=20000,0.05,IF(G2630&gt;=10000,0.1,IF(G2630&gt;=5000,0.2,IF(G2630&gt;=1000,0.3,IF(G2630&gt;=0,0.4,{0}))))))</f>
        <v/>
      </c>
      <c r="P2630" s="419">
        <f>IF(AND(B2630="",C2630=""),"",ROUND(H2630*O2630,2))</f>
        <v/>
      </c>
      <c r="Q2630" s="420" t="inlineStr">
        <is>
          <t>元件</t>
        </is>
      </c>
      <c r="R2630" s="231" t="inlineStr"/>
      <c r="S2630" s="231" t="inlineStr"/>
      <c r="T2630" s="231" t="inlineStr">
        <is>
          <t>0</t>
        </is>
      </c>
      <c r="U2630" s="231" t="inlineStr">
        <is>
          <t>XB2BVM3LC</t>
        </is>
      </c>
      <c r="V2630" s="421" t="n"/>
      <c r="W2630" s="421" t="n"/>
      <c r="X2630" s="166" t="inlineStr">
        <is>
          <t>XA2EVM3LC</t>
        </is>
      </c>
    </row>
    <row r="2631" customFormat="1" s="3">
      <c r="A2631" s="64">
        <f>ROW()-ROW(A$2622)</f>
        <v/>
      </c>
      <c r="B2631" s="22" t="inlineStr">
        <is>
          <t>指示灯</t>
        </is>
      </c>
      <c r="C2631" s="22" t="inlineStr">
        <is>
          <t>XB2BVM4LC</t>
        </is>
      </c>
      <c r="D2631" s="22" t="inlineStr">
        <is>
          <t>甲供/施耐德电气</t>
        </is>
      </c>
      <c r="E2631" s="23" t="inlineStr">
        <is>
          <t>只</t>
        </is>
      </c>
      <c r="F2631" s="23" t="n">
        <v>12</v>
      </c>
      <c r="G2631" s="349">
        <f>IF(AND(B2631="",C2631=""),"",ROUND(M2631*L2631*N2631,2))</f>
        <v/>
      </c>
      <c r="H2631" s="353">
        <f>IF(AND(B2631="",C2631=""),"",ROUND(F2631*G2631,2))</f>
        <v/>
      </c>
      <c r="I2631" s="180" t="inlineStr"/>
      <c r="J2631" s="392">
        <f>IF(AND(B2631="",C2631=""),"",ROUND(M2631*N2631,2))</f>
        <v/>
      </c>
      <c r="K2631" s="393">
        <f>IF(AND(B2631="",C2631=""),"",ROUND(J2631*F2631,2))</f>
        <v/>
      </c>
      <c r="L2631" s="141" t="n">
        <v>1</v>
      </c>
      <c r="M2631" s="394" t="n">
        <v>1e-07</v>
      </c>
      <c r="N2631" s="220" t="n">
        <v>1</v>
      </c>
      <c r="O2631" s="221">
        <f>IF(AND(B2631="",C2631=""),"",IF(G2631&gt;=20000,0.05,IF(G2631&gt;=10000,0.1,IF(G2631&gt;=5000,0.2,IF(G2631&gt;=1000,0.3,IF(G2631&gt;=0,0.4,{0}))))))</f>
        <v/>
      </c>
      <c r="P2631" s="419">
        <f>IF(AND(B2631="",C2631=""),"",ROUND(H2631*O2631,2))</f>
        <v/>
      </c>
      <c r="Q2631" s="420" t="inlineStr">
        <is>
          <t>元件</t>
        </is>
      </c>
      <c r="R2631" s="231" t="inlineStr"/>
      <c r="S2631" s="231" t="inlineStr"/>
      <c r="T2631" s="231" t="inlineStr">
        <is>
          <t>0</t>
        </is>
      </c>
      <c r="U2631" s="231" t="inlineStr">
        <is>
          <t>XB2BVM4LC</t>
        </is>
      </c>
      <c r="V2631" s="421" t="n"/>
      <c r="W2631" s="421" t="n"/>
      <c r="X2631" s="166" t="inlineStr">
        <is>
          <t>XA2EVM4LC</t>
        </is>
      </c>
    </row>
    <row r="2632" s="308">
      <c r="A2632" s="64">
        <f>ROW()-ROW(A$2622)</f>
        <v/>
      </c>
      <c r="B2632" s="112" t="inlineStr">
        <is>
          <t>温湿度控制器</t>
        </is>
      </c>
      <c r="C2632" s="112" t="inlineStr">
        <is>
          <t>ATH48G-11</t>
        </is>
      </c>
      <c r="D2632" s="22" t="inlineStr">
        <is>
          <t>杭州安廷</t>
        </is>
      </c>
      <c r="E2632" s="23" t="inlineStr">
        <is>
          <t>套</t>
        </is>
      </c>
      <c r="F2632" s="23" t="n">
        <v>1</v>
      </c>
      <c r="G2632" s="349">
        <f>IF(AND(B2632="",C2632=""),"",ROUND(M2632*L2632*N2632,2))</f>
        <v/>
      </c>
      <c r="H2632" s="396">
        <f>IF(AND(B2632="",C2632=""),"",ROUND(F2632*G2632,2))</f>
        <v/>
      </c>
      <c r="I2632" s="150" t="inlineStr"/>
      <c r="J2632" s="397">
        <f>IF(AND(B2632="",C2632=""),"",ROUND(M2632*N2632,2))</f>
        <v/>
      </c>
      <c r="K2632" s="398">
        <f>IF(AND(B2632="",C2632=""),"",ROUND(J2632*F2632,2))</f>
        <v/>
      </c>
      <c r="L2632" s="141" t="n">
        <v>1</v>
      </c>
      <c r="M2632" s="399" t="n">
        <v>450</v>
      </c>
      <c r="N2632" s="154" t="n">
        <v>1</v>
      </c>
      <c r="O2632" s="155">
        <f>IF(AND(B2632="",C2632=""),"",IF(G2632&gt;=20000,0.05,IF(G2632&gt;=10000,0.1,IF(G2632&gt;=5000,0.2,IF(G2632&gt;=1000,0.3,IF(G2632&gt;=0,0.4,{0}))))))</f>
        <v/>
      </c>
      <c r="P2632" s="400">
        <f>IF(AND(B2632="",C2632=""),"",ROUND(H2632*O2632,2))</f>
        <v/>
      </c>
      <c r="Q2632" s="401" t="inlineStr">
        <is>
          <t>元件</t>
        </is>
      </c>
      <c r="R2632" s="168" t="inlineStr"/>
      <c r="S2632" s="168" t="inlineStr"/>
      <c r="T2632" s="168" t="inlineStr">
        <is>
          <t>0</t>
        </is>
      </c>
      <c r="U2632" s="168" t="inlineStr"/>
      <c r="V2632" s="402" t="n"/>
      <c r="W2632" s="402" t="n"/>
      <c r="X2632" s="170" t="inlineStr"/>
    </row>
    <row r="2633" s="308">
      <c r="A2633" s="64">
        <f>ROW()-ROW(A$2622)</f>
        <v/>
      </c>
      <c r="B2633" s="22" t="inlineStr">
        <is>
          <t>中间继电器</t>
        </is>
      </c>
      <c r="C2633" s="22" t="inlineStr">
        <is>
          <t>RXM4AB2P7+RXZE2S114M+RXZ400</t>
        </is>
      </c>
      <c r="D2633" s="22" t="inlineStr">
        <is>
          <t>甲供/施耐德电气</t>
        </is>
      </c>
      <c r="E2633" s="23" t="inlineStr">
        <is>
          <t>只</t>
        </is>
      </c>
      <c r="F2633" s="23" t="n">
        <v>24</v>
      </c>
      <c r="G2633" s="349">
        <f>IF(AND(B2633="",C2633=""),"",ROUND(M2633*L2633*N2633,2))</f>
        <v/>
      </c>
      <c r="H2633" s="349">
        <f>IF(AND(B2633="",C2633=""),"",ROUND(F2633*G2633,2))</f>
        <v/>
      </c>
      <c r="I2633" s="45" t="inlineStr"/>
      <c r="J2633" s="397">
        <f>IF(AND(B2633="",C2633=""),"",ROUND(M2633*N2633,2))</f>
        <v/>
      </c>
      <c r="K2633" s="398">
        <f>IF(AND(B2633="",C2633=""),"",ROUND(J2633*F2633,2))</f>
        <v/>
      </c>
      <c r="L2633" s="141" t="n">
        <v>1</v>
      </c>
      <c r="M2633" s="399" t="n">
        <v>1e-07</v>
      </c>
      <c r="N2633" s="154" t="n">
        <v>1</v>
      </c>
      <c r="O2633" s="155">
        <f>IF(AND(B2633="",C2633=""),"",IF(G2633&gt;=20000,0.05,IF(G2633&gt;=10000,0.1,IF(G2633&gt;=5000,0.2,IF(G2633&gt;=1000,0.3,IF(G2633&gt;=0,0.4,{0}))))))</f>
        <v/>
      </c>
      <c r="P2633" s="400">
        <f>IF(AND(B2633="",C2633=""),"",ROUND(H2633*O2633,2))</f>
        <v/>
      </c>
      <c r="Q2633" s="401" t="inlineStr">
        <is>
          <t>元件</t>
        </is>
      </c>
      <c r="R2633" s="168" t="inlineStr"/>
      <c r="S2633" s="168" t="inlineStr"/>
      <c r="T2633" s="168" t="inlineStr">
        <is>
          <t>0</t>
        </is>
      </c>
      <c r="U2633" s="168" t="inlineStr">
        <is>
          <t>RXM4AB2P7+RXZE2S114M+RXZ400</t>
        </is>
      </c>
      <c r="V2633" s="402" t="n"/>
      <c r="W2633" s="402" t="n"/>
      <c r="X2633" s="170" t="inlineStr">
        <is>
          <t>REL-IR-BL/L-230AC/4X21，含底座→RXM4AB2P7+RXZE2S114M+RXZ400→REL-IR-BL/L-230AC/4X21，含底座</t>
        </is>
      </c>
    </row>
    <row r="2634" customFormat="1" s="3">
      <c r="A2634" s="64">
        <f>ROW()-ROW(A$2622)</f>
        <v/>
      </c>
      <c r="B2634" s="22" t="inlineStr">
        <is>
          <t>带熔丝端子</t>
        </is>
      </c>
      <c r="C2634" s="22" t="inlineStr">
        <is>
          <t>UK 5-HESI</t>
        </is>
      </c>
      <c r="D2634" s="22" t="inlineStr">
        <is>
          <t>菲尼克斯</t>
        </is>
      </c>
      <c r="E2634" s="23" t="inlineStr">
        <is>
          <t>只</t>
        </is>
      </c>
      <c r="F2634" s="23" t="n">
        <v>48</v>
      </c>
      <c r="G2634" s="349">
        <f>IF(AND(B2634="",C2634=""),"",ROUND(M2634*L2634*N2634,2))</f>
        <v/>
      </c>
      <c r="H2634" s="349">
        <f>IF(AND(B2634="",C2634=""),"",ROUND(F2634*G2634,2))</f>
        <v/>
      </c>
      <c r="I2634" s="45" t="inlineStr"/>
      <c r="J2634" s="392">
        <f>IF(AND(B2634="",C2634=""),"",ROUND(M2634*N2634,2))</f>
        <v/>
      </c>
      <c r="K2634" s="393">
        <f>IF(AND(B2634="",C2634=""),"",ROUND(J2634*F2634,2))</f>
        <v/>
      </c>
      <c r="L2634" s="141" t="n">
        <v>1</v>
      </c>
      <c r="M2634" s="394" t="n">
        <v>7</v>
      </c>
      <c r="N2634" s="220" t="n">
        <v>1</v>
      </c>
      <c r="O2634" s="221">
        <f>IF(AND(B2634="",C2634=""),"",IF(G2634&gt;=20000,0.05,IF(G2634&gt;=10000,0.1,IF(G2634&gt;=5000,0.2,IF(G2634&gt;=1000,0.3,IF(G2634&gt;=0,0.4,{0}))))))</f>
        <v/>
      </c>
      <c r="P2634" s="419">
        <f>IF(AND(B2634="",C2634=""),"",ROUND(H2634*O2634,2))</f>
        <v/>
      </c>
      <c r="Q2634" s="420" t="inlineStr">
        <is>
          <t>元件</t>
        </is>
      </c>
      <c r="R2634" s="231" t="inlineStr"/>
      <c r="S2634" s="231" t="inlineStr"/>
      <c r="T2634" s="231" t="inlineStr">
        <is>
          <t>0</t>
        </is>
      </c>
      <c r="U2634" s="231" t="inlineStr">
        <is>
          <t>True</t>
        </is>
      </c>
      <c r="V2634" s="421" t="n"/>
      <c r="W2634" s="421" t="n"/>
      <c r="X2634" s="166" t="inlineStr"/>
    </row>
    <row r="2635" s="308">
      <c r="A2635" s="64">
        <f>ROW()-ROW(A$2622)</f>
        <v/>
      </c>
      <c r="B2635" s="22" t="inlineStr">
        <is>
          <t>水平母排</t>
        </is>
      </c>
      <c r="C2635" s="22" t="inlineStr">
        <is>
          <t>TMY 4*(2*100*5)+2*50*5</t>
        </is>
      </c>
      <c r="D2635" s="22" t="inlineStr">
        <is>
          <t>国产优质</t>
        </is>
      </c>
      <c r="E2635" s="23" t="inlineStr">
        <is>
          <t>米</t>
        </is>
      </c>
      <c r="F2635" s="23" t="n">
        <v>0.7</v>
      </c>
      <c r="G2635" s="349">
        <f>IF(AND(B2635="",C2635=""),"",ROUND(M2635*L2635*N2635,2))</f>
        <v/>
      </c>
      <c r="H2635" s="349">
        <f>IF(AND(B2635="",C2635=""),"",ROUND(F2635*G2635,2))</f>
        <v/>
      </c>
      <c r="I2635" s="45" t="inlineStr"/>
      <c r="J2635" s="397">
        <f>IF(AND(B2635="",C2635=""),"",ROUND(M2635*N2635,2))</f>
        <v/>
      </c>
      <c r="K2635" s="398">
        <f>IF(AND(B2635="",C2635=""),"",ROUND(J2635*F2635,2))</f>
        <v/>
      </c>
      <c r="L2635" s="200" t="n">
        <v>1</v>
      </c>
      <c r="M2635" s="399" t="n">
        <v>4329.60525</v>
      </c>
      <c r="N2635" s="154">
        <f>(6317.932*1*1+2684.8*1*1)/9002.732</f>
        <v/>
      </c>
      <c r="O2635" s="155">
        <f>IF(AND(B2635="",C2635=""),"",IF(J2635&gt;=20000,0.05,IF(J2635&gt;=10000,0.1,IF(J2635&gt;=5000,0.2,IF(J2635&gt;=1000,0.3,IF(J2635&gt;=0,0.4,{0}))))))</f>
        <v/>
      </c>
      <c r="P2635" s="400">
        <f>IF(AND(B2635="",C2635=""),"",ROUND(H2635*O2635,2))</f>
        <v/>
      </c>
      <c r="Q2635" s="401" t="inlineStr">
        <is>
          <t>母排</t>
        </is>
      </c>
      <c r="R2635" s="168" t="inlineStr"/>
      <c r="S2635" s="168" t="inlineStr"/>
      <c r="T2635" s="168" t="inlineStr">
        <is>
          <t>0</t>
        </is>
      </c>
      <c r="U2635" s="168" t="inlineStr"/>
      <c r="V2635" s="402" t="n"/>
      <c r="W2635" s="402" t="n"/>
      <c r="X2635" s="170" t="inlineStr"/>
    </row>
    <row r="2636" customFormat="1" s="5">
      <c r="A2636" s="64">
        <f>ROW()-ROW(A$2622)</f>
        <v/>
      </c>
      <c r="B2636" s="22" t="inlineStr">
        <is>
          <t>垂直排</t>
        </is>
      </c>
      <c r="C2636" s="22" t="inlineStr">
        <is>
          <t>TMY 3*2*60*5</t>
        </is>
      </c>
      <c r="D2636" s="22" t="inlineStr">
        <is>
          <t>国产优质</t>
        </is>
      </c>
      <c r="E2636" s="23" t="inlineStr">
        <is>
          <t>米</t>
        </is>
      </c>
      <c r="F2636" s="23" t="n">
        <v>2</v>
      </c>
      <c r="G2636" s="349">
        <f>IF(AND(B2636="",C2636=""),"",ROUND(M2636*L2636*N2636,2))</f>
        <v/>
      </c>
      <c r="H2636" s="349">
        <f>IF(AND(B2636="",C2636=""),"",ROUND(F2636*G2636,2))</f>
        <v/>
      </c>
      <c r="I2636" s="45" t="inlineStr"/>
      <c r="J2636" s="422">
        <f>IF(AND(B2636="",C2636=""),"",ROUND(M2636*N2636,2))</f>
        <v/>
      </c>
      <c r="K2636" s="423">
        <f>IF(AND(B2636="",C2636=""),"",ROUND(J2636*F2636,2))</f>
        <v/>
      </c>
      <c r="L2636" s="225" t="n">
        <v>1</v>
      </c>
      <c r="M2636" s="424" t="n">
        <v>1731.8421</v>
      </c>
      <c r="N2636" s="227" t="n">
        <v>1</v>
      </c>
      <c r="O2636" s="228">
        <f>IF(AND(B2636="",C2636=""),"",IF(G2636&gt;=20000,0.05,IF(G2636&gt;=10000,0.1,IF(G2636&gt;=5000,0.2,IF(G2636&gt;=1000,0.3,IF(G2636&gt;=0,0.4,{0}))))))</f>
        <v/>
      </c>
      <c r="P2636" s="425">
        <f>IF(AND(B2636="",C2636=""),"",ROUND(H2636*O2636,2))</f>
        <v/>
      </c>
      <c r="Q2636" s="426" t="inlineStr">
        <is>
          <t>母排</t>
        </is>
      </c>
      <c r="R2636" s="234" t="inlineStr"/>
      <c r="S2636" s="234" t="inlineStr"/>
      <c r="T2636" s="235" t="inlineStr">
        <is>
          <t>0</t>
        </is>
      </c>
      <c r="U2636" s="235" t="inlineStr"/>
      <c r="V2636" s="427" t="n"/>
      <c r="W2636" s="427" t="n"/>
      <c r="X2636" s="237" t="inlineStr">
        <is>
          <t>TMY 2*30*5→TMY 30*8</t>
        </is>
      </c>
    </row>
    <row r="2637" customFormat="1" s="5">
      <c r="A2637" s="64">
        <f>ROW()-ROW(A$2622)</f>
        <v/>
      </c>
      <c r="B2637" s="22" t="inlineStr">
        <is>
          <t>N排</t>
        </is>
      </c>
      <c r="C2637" s="22" t="inlineStr">
        <is>
          <t>TMY 60*10</t>
        </is>
      </c>
      <c r="D2637" s="22" t="inlineStr">
        <is>
          <t>国产优质</t>
        </is>
      </c>
      <c r="E2637" s="23" t="inlineStr">
        <is>
          <t>米</t>
        </is>
      </c>
      <c r="F2637" s="23" t="n">
        <v>3</v>
      </c>
      <c r="G2637" s="349">
        <f>IF(AND(B2637="",C2637=""),"",ROUND(M2637*L2637*N2637,2))</f>
        <v/>
      </c>
      <c r="H2637" s="349">
        <f>IF(AND(B2637="",C2637=""),"",ROUND(F2637*G2637,2))</f>
        <v/>
      </c>
      <c r="I2637" s="45" t="inlineStr"/>
      <c r="J2637" s="422">
        <f>IF(AND(B2637="",C2637=""),"",ROUND(M2637*N2637,2))</f>
        <v/>
      </c>
      <c r="K2637" s="423">
        <f>IF(AND(B2637="",C2637=""),"",ROUND(J2637*F2637,2))</f>
        <v/>
      </c>
      <c r="L2637" s="225" t="n">
        <v>1</v>
      </c>
      <c r="M2637" s="424" t="n">
        <v>577.2807</v>
      </c>
      <c r="N2637" s="227" t="n">
        <v>1</v>
      </c>
      <c r="O2637" s="228">
        <f>IF(AND(B2637="",C2637=""),"",IF(G2637&gt;=20000,0.05,IF(G2637&gt;=10000,0.1,IF(G2637&gt;=5000,0.2,IF(G2637&gt;=1000,0.3,IF(G2637&gt;=0,0.4,{0}))))))</f>
        <v/>
      </c>
      <c r="P2637" s="425">
        <f>IF(AND(B2637="",C2637=""),"",ROUND(H2637*O2637,2))</f>
        <v/>
      </c>
      <c r="Q2637" s="426" t="inlineStr">
        <is>
          <t>母排</t>
        </is>
      </c>
      <c r="R2637" s="234" t="inlineStr"/>
      <c r="S2637" s="234" t="inlineStr"/>
      <c r="T2637" s="235" t="inlineStr">
        <is>
          <t>0</t>
        </is>
      </c>
      <c r="U2637" s="235" t="inlineStr"/>
      <c r="V2637" s="427" t="n"/>
      <c r="W2637" s="427" t="n"/>
      <c r="X2637" s="237" t="inlineStr">
        <is>
          <t>TMY 2*30*5→TMY 30*8</t>
        </is>
      </c>
    </row>
    <row r="2638" customFormat="1" s="5">
      <c r="A2638" s="64">
        <f>ROW()-ROW(A$2622)</f>
        <v/>
      </c>
      <c r="B2638" s="22" t="inlineStr">
        <is>
          <t>PE排</t>
        </is>
      </c>
      <c r="C2638" s="22" t="inlineStr">
        <is>
          <t>TMY 2*50*5</t>
        </is>
      </c>
      <c r="D2638" s="22" t="inlineStr">
        <is>
          <t>国产优质</t>
        </is>
      </c>
      <c r="E2638" s="23" t="inlineStr">
        <is>
          <t>米</t>
        </is>
      </c>
      <c r="F2638" s="23" t="n">
        <v>2</v>
      </c>
      <c r="G2638" s="349">
        <f>IF(AND(B2638="",C2638=""),"",ROUND(M2638*L2638*N2638,2))</f>
        <v/>
      </c>
      <c r="H2638" s="349">
        <f>IF(AND(B2638="",C2638=""),"",ROUND(F2638*G2638,2))</f>
        <v/>
      </c>
      <c r="I2638" s="45" t="inlineStr"/>
      <c r="J2638" s="422">
        <f>IF(AND(B2638="",C2638=""),"",ROUND(M2638*N2638,2))</f>
        <v/>
      </c>
      <c r="K2638" s="423">
        <f>IF(AND(B2638="",C2638=""),"",ROUND(J2638*F2638,2))</f>
        <v/>
      </c>
      <c r="L2638" s="225" t="n">
        <v>1</v>
      </c>
      <c r="M2638" s="424" t="n">
        <v>481.06725</v>
      </c>
      <c r="N2638" s="227" t="n">
        <v>1</v>
      </c>
      <c r="O2638" s="228">
        <f>IF(AND(B2638="",C2638=""),"",IF(G2638&gt;=20000,0.05,IF(G2638&gt;=10000,0.1,IF(G2638&gt;=5000,0.2,IF(G2638&gt;=1000,0.3,IF(G2638&gt;=0,0.4,{0}))))))</f>
        <v/>
      </c>
      <c r="P2638" s="425">
        <f>IF(AND(B2638="",C2638=""),"",ROUND(H2638*O2638,2))</f>
        <v/>
      </c>
      <c r="Q2638" s="426" t="inlineStr">
        <is>
          <t>母排</t>
        </is>
      </c>
      <c r="R2638" s="234" t="inlineStr"/>
      <c r="S2638" s="234" t="inlineStr"/>
      <c r="T2638" s="235" t="inlineStr">
        <is>
          <t>0</t>
        </is>
      </c>
      <c r="U2638" s="235" t="inlineStr"/>
      <c r="V2638" s="427" t="n"/>
      <c r="W2638" s="427" t="n"/>
      <c r="X2638" s="237" t="inlineStr">
        <is>
          <t>TMY 2*30*5→TMY 30*8</t>
        </is>
      </c>
    </row>
    <row r="2639" s="308">
      <c r="A2639" s="64">
        <f>ROW()-ROW(A$2622)</f>
        <v/>
      </c>
      <c r="B2639" s="112" t="inlineStr">
        <is>
          <t>辅料</t>
        </is>
      </c>
      <c r="C2639" s="112" t="inlineStr"/>
      <c r="D2639" s="112" t="inlineStr"/>
      <c r="E2639" s="114" t="inlineStr">
        <is>
          <t>套</t>
        </is>
      </c>
      <c r="F2639" s="114" t="n">
        <v>1</v>
      </c>
      <c r="G2639" s="396">
        <f>IF(AND(B2639="",C2639=""),"",ROUND(M2639*L2639*N2639,2))</f>
        <v/>
      </c>
      <c r="H2639" s="396">
        <f>IF(AND(B2639="",C2639=""),"",ROUND(F2639*G2639,2))</f>
        <v/>
      </c>
      <c r="I2639" s="219" t="inlineStr"/>
      <c r="J2639" s="397">
        <f>IF(AND(B2639="",C2639=""),"",ROUND(M2639*N2639,2))</f>
        <v/>
      </c>
      <c r="K2639" s="398">
        <f>IF(AND(B2639="",C2639=""),"",ROUND(J2639*F2639,2))</f>
        <v/>
      </c>
      <c r="L2639" s="200" t="n">
        <v>1</v>
      </c>
      <c r="M2639" s="399" t="n">
        <v>3256.9</v>
      </c>
      <c r="N2639" s="154" t="n">
        <v>1</v>
      </c>
      <c r="O2639" s="155">
        <f>IF(AND(B2639="",C2639=""),"",IF(G2639&gt;=20000,0.05,IF(G2639&gt;=10000,0.1,IF(G2639&gt;=5000,0.2,IF(G2639&gt;=1000,0.3,IF(G2639&gt;=0,0.4,{0}))))))</f>
        <v/>
      </c>
      <c r="P2639" s="400">
        <f>IF(AND(B2639="",C2639=""),"",ROUND(H2639*O2639,2))</f>
        <v/>
      </c>
      <c r="Q2639" s="401" t="inlineStr">
        <is>
          <t>辅料</t>
        </is>
      </c>
      <c r="R2639" s="168" t="inlineStr"/>
      <c r="S2639" s="168" t="inlineStr"/>
      <c r="T2639" s="168" t="inlineStr">
        <is>
          <t>0</t>
        </is>
      </c>
      <c r="U2639" s="168" t="inlineStr"/>
      <c r="V2639" s="402" t="n"/>
      <c r="W2639" s="402" t="n"/>
      <c r="X2639" s="170" t="inlineStr"/>
    </row>
    <row r="2640" s="308">
      <c r="A2640" s="64">
        <f>ROW()-ROW(A$2622)</f>
        <v/>
      </c>
      <c r="B2640" s="112" t="inlineStr">
        <is>
          <t>柜体Blokset</t>
        </is>
      </c>
      <c r="C2640" s="22" t="inlineStr">
        <is>
          <t>600W*1200D*2200H</t>
        </is>
      </c>
      <c r="D2640" s="112" t="inlineStr">
        <is>
          <t>清科</t>
        </is>
      </c>
      <c r="E2640" s="114" t="inlineStr">
        <is>
          <t>台</t>
        </is>
      </c>
      <c r="F2640" s="114" t="n">
        <v>1</v>
      </c>
      <c r="G2640" s="396">
        <f>IF(AND(B2640="",C2640=""),"",ROUND(M2640*L2640*N2640,2))</f>
        <v/>
      </c>
      <c r="H2640" s="396">
        <f>IF(AND(B2640="",C2640=""),"",ROUND(F2640*G2640,2))</f>
        <v/>
      </c>
      <c r="I2640" s="219" t="inlineStr"/>
      <c r="J2640" s="397">
        <f>IF(AND(B2640="",C2640=""),"",ROUND(M2640*N2640,2))</f>
        <v/>
      </c>
      <c r="K2640" s="398">
        <f>IF(AND(B2640="",C2640=""),"",ROUND(J2640*F2640,2))</f>
        <v/>
      </c>
      <c r="L2640" s="200" t="n">
        <v>1</v>
      </c>
      <c r="M2640" s="399" t="n">
        <v>6463</v>
      </c>
      <c r="N2640" s="154" t="n">
        <v>1</v>
      </c>
      <c r="O2640" s="155">
        <f>IF(AND(B2640="",C2640=""),"",IF(G2640&gt;=20000,0.05,IF(G2640&gt;=10000,0.1,IF(G2640&gt;=5000,0.2,IF(G2640&gt;=1000,0.3,IF(G2640&gt;=0,0.4,{0}))))))</f>
        <v/>
      </c>
      <c r="P2640" s="400">
        <f>IF(AND(B2640="",C2640=""),"",ROUND(H2640*O2640,2))</f>
        <v/>
      </c>
      <c r="Q2640" s="401" t="inlineStr">
        <is>
          <t>箱体</t>
        </is>
      </c>
      <c r="R2640" s="168" t="inlineStr"/>
      <c r="S2640" s="168" t="inlineStr"/>
      <c r="T2640" s="168" t="inlineStr">
        <is>
          <t>0</t>
        </is>
      </c>
      <c r="U2640" s="168" t="inlineStr"/>
      <c r="V2640" s="402" t="n"/>
      <c r="W2640" s="402" t="n"/>
      <c r="X2640" s="170" t="inlineStr">
        <is>
          <t>BlokSeT</t>
        </is>
      </c>
    </row>
    <row r="2641" s="308">
      <c r="A2641" s="64">
        <f>ROW()-ROW(A$2622)</f>
        <v/>
      </c>
      <c r="B2641" s="22" t="inlineStr"/>
      <c r="C2641" s="22" t="inlineStr"/>
      <c r="D2641" s="22" t="inlineStr"/>
      <c r="E2641" s="23" t="n"/>
      <c r="F2641" s="23">
        <f>IF(AND(B2641="",C2641=""),"",1)</f>
        <v/>
      </c>
      <c r="G2641" s="349">
        <f>IF(AND(B2641="",C2641=""),"",ROUND(M2641*L2641*N2641,2))</f>
        <v/>
      </c>
      <c r="H2641" s="349">
        <f>IF(AND(B2641="",C2641=""),"",ROUND(F2641*G2641,2))</f>
        <v/>
      </c>
      <c r="I2641" s="45" t="inlineStr"/>
      <c r="J2641" s="397">
        <f>IF(AND(B2641="",C2641=""),"",ROUND(M2641*N2641,2))</f>
        <v/>
      </c>
      <c r="K2641" s="398">
        <f>IF(AND(B2641="",C2641=""),"",ROUND(J2641*F2641,2))</f>
        <v/>
      </c>
      <c r="L2641" s="200">
        <f>IF(AND(B2641="",C2641=""),"",1)</f>
        <v/>
      </c>
      <c r="M2641" s="399" t="n"/>
      <c r="N2641" s="154">
        <f>IF(AND(B2641="",C2641=""),"",1)</f>
        <v/>
      </c>
      <c r="O2641" s="155">
        <f>IF(AND(B2641="",C2641=""),"",IF(J2641&gt;=20000,0.05,IF(J2641&gt;=10000,0.1,IF(J2641&gt;=5000,0.2,IF(J2641&gt;=1000,0.3,IF(J2641&gt;=0,0.4,{0}))))))</f>
        <v/>
      </c>
      <c r="P2641" s="400">
        <f>IF(AND(B2641="",C2641=""),"",ROUND(H2641*O2641,2))</f>
        <v/>
      </c>
      <c r="Q2641" s="401">
        <f>IF(AND(B2641="",C2641=""),"","元件")</f>
        <v/>
      </c>
      <c r="R2641" s="168" t="inlineStr"/>
      <c r="S2641" s="168" t="inlineStr"/>
      <c r="T2641" s="168" t="inlineStr"/>
      <c r="U2641" s="168" t="inlineStr"/>
      <c r="V2641" s="402" t="n"/>
      <c r="W2641" s="402" t="n"/>
      <c r="X2641" s="170" t="inlineStr"/>
    </row>
    <row r="2642" s="308">
      <c r="A2642" s="64">
        <f>ROW()-ROW(A$2622)</f>
        <v/>
      </c>
      <c r="B2642" s="171" t="inlineStr">
        <is>
          <t>小计</t>
        </is>
      </c>
      <c r="C2642" s="172" t="n"/>
      <c r="D2642" s="204" t="n"/>
      <c r="E2642" s="114" t="n"/>
      <c r="F2642" s="114" t="n"/>
      <c r="G2642" s="396" t="n"/>
      <c r="H2642" s="396">
        <f>ROUND(SUM(H2622:INDEX(H:H,ROW()-1)),2)</f>
        <v/>
      </c>
      <c r="I2642" s="45" t="inlineStr"/>
      <c r="J2642" s="397" t="n"/>
      <c r="K2642" s="398">
        <f>ROUND(SUM(K2622:INDEX(K:K,ROW()-1)),2)</f>
        <v/>
      </c>
      <c r="L2642" s="200" t="n"/>
      <c r="M2642" s="399" t="n"/>
      <c r="N2642" s="154" t="n"/>
      <c r="O2642" s="155" t="n"/>
      <c r="P2642" s="400" t="n"/>
      <c r="Q2642" s="401" t="n"/>
      <c r="R2642" s="168" t="inlineStr"/>
      <c r="S2642" s="168" t="inlineStr"/>
      <c r="T2642" s="168" t="inlineStr"/>
      <c r="U2642" s="168" t="inlineStr"/>
      <c r="V2642" s="402">
        <f>ROUND(SUMPRODUCT(F2622:INDEX(F:F,ROW()-1),V2622:INDEX(V:V,ROW()-1)),2)</f>
        <v/>
      </c>
      <c r="W2642" s="402">
        <f>ROUND(SUMPRODUCT(F2622:INDEX(F:F,ROW()-1),W2622:INDEX(W:W,ROW()-1)),2)</f>
        <v/>
      </c>
      <c r="X2642" s="170" t="inlineStr"/>
    </row>
    <row r="2643" s="308">
      <c r="A2643" s="64">
        <f>ROW()-ROW(A$2622)</f>
        <v/>
      </c>
      <c r="B2643" s="171" t="inlineStr">
        <is>
          <t>综合费(人工、管理、税金、利润等)</t>
        </is>
      </c>
      <c r="C2643" s="172" t="n"/>
      <c r="D2643" s="204" t="n"/>
      <c r="E2643" s="114" t="n"/>
      <c r="F2643" s="114" t="n"/>
      <c r="G2643" s="396" t="n"/>
      <c r="H2643" s="396">
        <f>2500</f>
        <v/>
      </c>
      <c r="I2643" s="45" t="inlineStr"/>
      <c r="J2643" s="397" t="n"/>
      <c r="K2643" s="398" t="n"/>
      <c r="L2643" s="200" t="n"/>
      <c r="M2643" s="399" t="n"/>
      <c r="N2643" s="154" t="n"/>
      <c r="O2643" s="155" t="n"/>
      <c r="P2643" s="400" t="n"/>
      <c r="Q2643" s="401" t="inlineStr">
        <is>
          <t>费用</t>
        </is>
      </c>
      <c r="R2643" s="168" t="inlineStr"/>
      <c r="S2643" s="168" t="inlineStr"/>
      <c r="T2643" s="168" t="inlineStr"/>
      <c r="U2643" s="168" t="inlineStr"/>
      <c r="V2643" s="402" t="n"/>
      <c r="W2643" s="402" t="n"/>
      <c r="X2643" s="170" t="inlineStr"/>
    </row>
    <row r="2644" s="308">
      <c r="A2644" s="64">
        <f>ROW()-ROW(A$2622)</f>
        <v/>
      </c>
      <c r="B2644" s="204" t="inlineStr">
        <is>
          <t>单台合计</t>
        </is>
      </c>
      <c r="C2644" s="172" t="n"/>
      <c r="D2644" s="204" t="n"/>
      <c r="E2644" s="114" t="n"/>
      <c r="F2644" s="114" t="n"/>
      <c r="G2644" s="396" t="n"/>
      <c r="H2644" s="396">
        <f>ROUND(SUM(H2642:H2643),2)</f>
        <v/>
      </c>
      <c r="I2644" s="181" t="n"/>
      <c r="J2644" s="397" t="n"/>
      <c r="K2644" s="398">
        <f>ROUND(SUM(K2642:K2643),2)</f>
        <v/>
      </c>
      <c r="L2644" s="209" t="n"/>
      <c r="M2644" s="399" t="n"/>
      <c r="N2644" s="210" t="n"/>
      <c r="O2644" s="211" t="n"/>
      <c r="P2644" s="400" t="n"/>
      <c r="Q2644" s="401" t="n"/>
      <c r="R2644" s="168" t="inlineStr"/>
      <c r="S2644" s="168" t="inlineStr"/>
      <c r="T2644" s="168" t="inlineStr"/>
      <c r="U2644" s="168" t="inlineStr"/>
      <c r="V2644" s="402" t="n"/>
      <c r="W2644" s="402" t="n"/>
      <c r="X2644" s="170" t="inlineStr"/>
    </row>
    <row r="2645" s="308">
      <c r="A2645" s="173" t="inlineStr">
        <is>
          <t>总计</t>
        </is>
      </c>
      <c r="B2645" s="205" t="n"/>
      <c r="C2645" s="175" t="n"/>
      <c r="D2645" s="206" t="n"/>
      <c r="E2645" s="206" t="inlineStr">
        <is>
          <t>台</t>
        </is>
      </c>
      <c r="F2645" s="206" t="n">
        <v>1</v>
      </c>
      <c r="G2645" s="414">
        <f>ROUND(H2644,2)</f>
        <v/>
      </c>
      <c r="H2645" s="414">
        <f>ROUND(F2645*G2645,2)</f>
        <v/>
      </c>
      <c r="I2645" s="185" t="n"/>
      <c r="J2645" s="415" t="n"/>
      <c r="K2645" s="416">
        <f>ROUND(K2644*F2645,2)</f>
        <v/>
      </c>
      <c r="L2645" s="214" t="n"/>
      <c r="M2645" s="417" t="n"/>
      <c r="N2645" s="216" t="n"/>
      <c r="O2645" s="217" t="n"/>
      <c r="P2645" s="418" t="n"/>
      <c r="Q2645" s="401" t="n"/>
      <c r="R2645" s="168" t="inlineStr"/>
      <c r="S2645" s="168" t="inlineStr"/>
      <c r="T2645" s="168" t="inlineStr"/>
      <c r="U2645" s="168" t="inlineStr"/>
      <c r="V2645" s="402" t="n"/>
      <c r="W2645" s="402" t="n"/>
      <c r="X2645" s="170" t="inlineStr"/>
    </row>
    <row r="2646" customFormat="1" s="4">
      <c r="A2646" s="6" t="n"/>
      <c r="B2646" s="195" t="inlineStr"/>
      <c r="C2646" s="195" t="inlineStr"/>
      <c r="D2646" s="195" t="inlineStr"/>
      <c r="Q2646" s="159" t="n"/>
      <c r="R2646" s="159" t="n"/>
      <c r="S2646" s="159" t="n"/>
      <c r="T2646" s="159" t="n"/>
      <c r="U2646" s="159" t="n"/>
      <c r="X2646" s="195" t="inlineStr"/>
    </row>
    <row r="2647" customFormat="1" s="4">
      <c r="A2647" s="6" t="n"/>
      <c r="B2647" s="195" t="inlineStr"/>
      <c r="C2647" s="195" t="inlineStr"/>
      <c r="D2647" s="195" t="inlineStr"/>
      <c r="Q2647" s="159" t="n"/>
      <c r="R2647" s="159" t="n"/>
      <c r="S2647" s="159" t="n"/>
      <c r="T2647" s="159" t="n"/>
      <c r="U2647" s="159" t="n"/>
      <c r="X2647" s="195" t="inlineStr"/>
    </row>
    <row r="2648" s="308">
      <c r="A2648" s="208">
        <f>CONCATENATE("报价人：",项目信息!$B$8)</f>
        <v/>
      </c>
      <c r="B2648" s="208" t="n"/>
      <c r="C2648" s="4" t="n"/>
      <c r="D2648" s="4" t="n"/>
      <c r="E2648" s="4" t="n"/>
      <c r="F2648" s="4" t="n"/>
      <c r="G2648" s="4" t="n"/>
      <c r="H2648" s="178">
        <f>项目信息!$B$9</f>
        <v/>
      </c>
      <c r="Q2648" s="159" t="n"/>
      <c r="R2648" s="159" t="n"/>
      <c r="S2648" s="159" t="n"/>
      <c r="T2648" s="159" t="n"/>
      <c r="U2648" s="159" t="n"/>
      <c r="X2648" s="203" t="inlineStr"/>
    </row>
    <row r="2649" s="308">
      <c r="A2649" s="8">
        <f>T(项目信息!$B$22)</f>
        <v/>
      </c>
      <c r="Q2649" s="159" t="n"/>
      <c r="R2649" s="159" t="n"/>
      <c r="S2649" s="159" t="n"/>
      <c r="T2649" s="159" t="n"/>
      <c r="U2649" s="159" t="n"/>
    </row>
    <row r="2650" s="308">
      <c r="A2650" s="9">
        <f>T(项目信息!$B$23)</f>
        <v/>
      </c>
      <c r="Q2650" s="159" t="n"/>
      <c r="R2650" s="159" t="n"/>
      <c r="S2650" s="159" t="n"/>
      <c r="T2650" s="159" t="n"/>
      <c r="U2650" s="159" t="n"/>
    </row>
    <row r="2651" s="308">
      <c r="A2651" s="97" t="inlineStr">
        <is>
          <t>成套产品报价明细表</t>
        </is>
      </c>
      <c r="B2651" s="378" t="n"/>
      <c r="C2651" s="378" t="n"/>
      <c r="D2651" s="378" t="n"/>
      <c r="E2651" s="378" t="n"/>
      <c r="F2651" s="378" t="n"/>
      <c r="G2651" s="378" t="n"/>
      <c r="H2651" s="378" t="n"/>
      <c r="I2651" s="378" t="n"/>
      <c r="Q2651" s="159" t="n"/>
      <c r="R2651" s="159" t="n"/>
      <c r="S2651" s="159" t="n"/>
      <c r="T2651" s="159" t="n"/>
      <c r="U2651" s="159" t="n"/>
    </row>
    <row r="2652" customFormat="1" s="4">
      <c r="A2652" s="98" t="inlineStr">
        <is>
          <t>柜号:</t>
        </is>
      </c>
      <c r="B2652" s="99" t="inlineStr">
        <is>
          <t>T3-AU21</t>
        </is>
      </c>
      <c r="C2652" s="100" t="inlineStr">
        <is>
          <t>型号:</t>
        </is>
      </c>
      <c r="D2652" s="99" t="inlineStr">
        <is>
          <t>BlokSeT</t>
        </is>
      </c>
      <c r="E2652" s="379" t="n"/>
      <c r="F2652" s="101" t="inlineStr">
        <is>
          <t>名称:</t>
        </is>
      </c>
      <c r="G2652" s="99" t="inlineStr">
        <is>
          <t>进线柜</t>
        </is>
      </c>
      <c r="H2652" s="379" t="n"/>
      <c r="I2652" s="408" t="inlineStr"/>
      <c r="J2652" s="194" t="inlineStr">
        <is>
          <t>箱柜尺寸:</t>
        </is>
      </c>
      <c r="K2652" s="195" t="inlineStr">
        <is>
          <t>400W*1200D*2200H</t>
        </is>
      </c>
      <c r="L2652" s="194" t="inlineStr">
        <is>
          <t>类别:</t>
        </is>
      </c>
      <c r="M2652" s="195" t="inlineStr">
        <is>
          <t>低压固定柜</t>
        </is>
      </c>
      <c r="N2652" s="409" t="inlineStr"/>
      <c r="Q2652" s="159" t="n"/>
      <c r="R2652" s="159" t="n"/>
      <c r="S2652" s="159" t="n"/>
      <c r="T2652" s="159" t="n"/>
      <c r="U2652" s="159" t="n"/>
    </row>
    <row r="2653" ht="20.1" customHeight="1" s="308">
      <c r="A2653" s="102" t="inlineStr">
        <is>
          <t>序号</t>
        </is>
      </c>
      <c r="B2653" s="103" t="inlineStr">
        <is>
          <t>元件名称</t>
        </is>
      </c>
      <c r="C2653" s="103" t="inlineStr">
        <is>
          <t>型号规格</t>
        </is>
      </c>
      <c r="D2653" s="104" t="inlineStr">
        <is>
          <t>生产厂家</t>
        </is>
      </c>
      <c r="E2653" s="105" t="inlineStr">
        <is>
          <t>单位</t>
        </is>
      </c>
      <c r="F2653" s="105" t="inlineStr">
        <is>
          <t>数量</t>
        </is>
      </c>
      <c r="G2653" s="382" t="inlineStr">
        <is>
          <t>单   价</t>
        </is>
      </c>
      <c r="H2653" s="383" t="inlineStr">
        <is>
          <t>总   价</t>
        </is>
      </c>
      <c r="I2653" s="134" t="inlineStr">
        <is>
          <t>备注</t>
        </is>
      </c>
      <c r="J2653" s="384" t="inlineStr">
        <is>
          <t>成本单价</t>
        </is>
      </c>
      <c r="K2653" s="384" t="inlineStr">
        <is>
          <t>成本总价</t>
        </is>
      </c>
      <c r="L2653" s="136" t="inlineStr">
        <is>
          <t>报出
系数</t>
        </is>
      </c>
      <c r="M2653" s="384" t="inlineStr">
        <is>
          <t>表价</t>
        </is>
      </c>
      <c r="N2653" s="136" t="inlineStr">
        <is>
          <t>折扣
系数</t>
        </is>
      </c>
      <c r="O2653" s="137" t="inlineStr">
        <is>
          <t>取费
系数</t>
        </is>
      </c>
      <c r="P2653" s="384" t="inlineStr">
        <is>
          <t>成套费</t>
        </is>
      </c>
      <c r="Q2653" s="161" t="inlineStr">
        <is>
          <t>类别</t>
        </is>
      </c>
      <c r="R2653" s="161" t="inlineStr">
        <is>
          <t>物料编码</t>
        </is>
      </c>
      <c r="S2653" s="161" t="inlineStr">
        <is>
          <t>产地</t>
        </is>
      </c>
      <c r="T2653" s="161" t="inlineStr">
        <is>
          <t>加工费</t>
        </is>
      </c>
      <c r="U2653" s="161" t="inlineStr">
        <is>
          <t>订货号</t>
        </is>
      </c>
      <c r="V2653" s="161" t="inlineStr">
        <is>
          <t>人工</t>
        </is>
      </c>
      <c r="W2653" s="161" t="inlineStr">
        <is>
          <t>辅料</t>
        </is>
      </c>
      <c r="X2653" s="203" t="inlineStr"/>
    </row>
    <row r="2654" s="308">
      <c r="A2654" s="64">
        <f>ROW()-ROW(A$2653)</f>
        <v/>
      </c>
      <c r="B2654" s="22" t="inlineStr">
        <is>
          <t>框架断路器</t>
        </is>
      </c>
      <c r="C2654" s="22" t="inlineStr">
        <is>
          <t>MT12 N1b SG 3P MIC5.0 E</t>
        </is>
      </c>
      <c r="D2654" s="22" t="inlineStr">
        <is>
          <t>甲供/施耐德电气</t>
        </is>
      </c>
      <c r="E2654" s="23" t="inlineStr">
        <is>
          <t>只</t>
        </is>
      </c>
      <c r="F2654" s="23" t="n">
        <v>1</v>
      </c>
      <c r="G2654" s="349">
        <f>IF(AND(B2654="",C2654=""),"",ROUND(M2654*L2654*N2654,2))</f>
        <v/>
      </c>
      <c r="H2654" s="349">
        <f>IF(AND(B2654="",C2654=""),"",ROUND(F2654*G2654,2))</f>
        <v/>
      </c>
      <c r="I2654" s="45" t="inlineStr"/>
      <c r="J2654" s="397">
        <f>IF(AND(B2654="",C2654=""),"",ROUND(M2654*N2654,2))</f>
        <v/>
      </c>
      <c r="K2654" s="398">
        <f>IF(AND(B2654="",C2654=""),"",ROUND(J2654*F2654,2))</f>
        <v/>
      </c>
      <c r="L2654" s="200" t="n">
        <v>1</v>
      </c>
      <c r="M2654" s="399" t="n">
        <v>1e-07</v>
      </c>
      <c r="N2654" s="154" t="n">
        <v>1</v>
      </c>
      <c r="O2654" s="155">
        <f>IF(AND(B2654="",C2654=""),"",IF(G2654&gt;=20000,0.05,IF(G2654&gt;=10000,0.1,IF(G2654&gt;=5000,0.2,IF(G2654&gt;=1000,0.3,IF(G2654&gt;=0,0.4,{0}))))))</f>
        <v/>
      </c>
      <c r="P2654" s="400">
        <f>IF(AND(B2654="",C2654=""),"",ROUND(H2654*O2654,2))</f>
        <v/>
      </c>
      <c r="Q2654" s="401" t="inlineStr">
        <is>
          <t>元件</t>
        </is>
      </c>
      <c r="R2654" s="168" t="inlineStr"/>
      <c r="S2654" s="168" t="inlineStr"/>
      <c r="T2654" s="168" t="inlineStr">
        <is>
          <t>0</t>
        </is>
      </c>
      <c r="U2654" s="168" t="inlineStr">
        <is>
          <t>C16F32D160</t>
        </is>
      </c>
      <c r="V2654" s="402" t="n"/>
      <c r="W2654" s="402" t="n"/>
      <c r="X2654" s="170" t="inlineStr">
        <is>
          <t>NSX630N Mic2.3 630A 3P3D F→NSX630F MIC2.3 630 3P F→NSX630F MIC 2.3 630 3P F</t>
        </is>
      </c>
    </row>
    <row r="2655" s="308">
      <c r="A2655" s="64">
        <f>ROW()-ROW(A$2653)</f>
        <v/>
      </c>
      <c r="B2655" s="22" t="inlineStr">
        <is>
          <t>框架断路器</t>
        </is>
      </c>
      <c r="C2655" s="22" t="inlineStr">
        <is>
          <t>MT12 N1a SG 3P MIC5.0 E</t>
        </is>
      </c>
      <c r="D2655" s="22" t="inlineStr">
        <is>
          <t>甲供/施耐德电气</t>
        </is>
      </c>
      <c r="E2655" s="23" t="inlineStr">
        <is>
          <t>只</t>
        </is>
      </c>
      <c r="F2655" s="23" t="n">
        <v>1</v>
      </c>
      <c r="G2655" s="349">
        <f>IF(AND(B2655="",C2655=""),"",ROUND(M2655*L2655*N2655,2))</f>
        <v/>
      </c>
      <c r="H2655" s="349">
        <f>IF(AND(B2655="",C2655=""),"",ROUND(F2655*G2655,2))</f>
        <v/>
      </c>
      <c r="I2655" s="45" t="inlineStr"/>
      <c r="J2655" s="397">
        <f>IF(AND(B2655="",C2655=""),"",ROUND(M2655*N2655,2))</f>
        <v/>
      </c>
      <c r="K2655" s="398">
        <f>IF(AND(B2655="",C2655=""),"",ROUND(J2655*F2655,2))</f>
        <v/>
      </c>
      <c r="L2655" s="200" t="n">
        <v>1</v>
      </c>
      <c r="M2655" s="399" t="n">
        <v>1e-07</v>
      </c>
      <c r="N2655" s="154" t="n">
        <v>1</v>
      </c>
      <c r="O2655" s="155">
        <f>IF(AND(B2655="",C2655=""),"",IF(G2655&gt;=20000,0.05,IF(G2655&gt;=10000,0.1,IF(G2655&gt;=5000,0.2,IF(G2655&gt;=1000,0.3,IF(G2655&gt;=0,0.4,{0}))))))</f>
        <v/>
      </c>
      <c r="P2655" s="400">
        <f>IF(AND(B2655="",C2655=""),"",ROUND(H2655*O2655,2))</f>
        <v/>
      </c>
      <c r="Q2655" s="401" t="inlineStr">
        <is>
          <t>元件</t>
        </is>
      </c>
      <c r="R2655" s="168" t="inlineStr"/>
      <c r="S2655" s="168" t="inlineStr"/>
      <c r="T2655" s="168" t="inlineStr">
        <is>
          <t>0</t>
        </is>
      </c>
      <c r="U2655" s="168" t="inlineStr">
        <is>
          <t>C16F32D160</t>
        </is>
      </c>
      <c r="V2655" s="402" t="n"/>
      <c r="W2655" s="402" t="n"/>
      <c r="X2655" s="170" t="inlineStr">
        <is>
          <t>NSX630N Mic2.3 630A 3P3D F→NSX630F MIC2.3 630 3P F→NSX630F MIC 2.3 630 3P F</t>
        </is>
      </c>
    </row>
    <row r="2656" s="308">
      <c r="A2656" s="64">
        <f>ROW()-ROW(A$2653)</f>
        <v/>
      </c>
      <c r="B2656" s="22" t="inlineStr">
        <is>
          <t>电流互感器</t>
        </is>
      </c>
      <c r="C2656" s="22" t="inlineStr">
        <is>
          <t>SD-0.66-80II-V 1250/5A</t>
        </is>
      </c>
      <c r="D2656" s="22" t="inlineStr">
        <is>
          <t>桑迪</t>
        </is>
      </c>
      <c r="E2656" s="23" t="inlineStr">
        <is>
          <t>只</t>
        </is>
      </c>
      <c r="F2656" s="23" t="n">
        <v>6</v>
      </c>
      <c r="G2656" s="349">
        <f>IF(AND(B2656="",C2656=""),"",ROUND(M2656*L2656*N2656,2))</f>
        <v/>
      </c>
      <c r="H2656" s="396">
        <f>IF(AND(B2656="",C2656=""),"",ROUND(F2656*G2656,2))</f>
        <v/>
      </c>
      <c r="I2656" s="219" t="inlineStr"/>
      <c r="J2656" s="397">
        <f>IF(AND(B2656="",C2656=""),"",ROUND(M2656*N2656,2))</f>
        <v/>
      </c>
      <c r="K2656" s="398">
        <f>IF(AND(B2656="",C2656=""),"",ROUND(J2656*F2656,2))</f>
        <v/>
      </c>
      <c r="L2656" s="200" t="n">
        <v>1</v>
      </c>
      <c r="M2656" s="399" t="n">
        <v>115.7</v>
      </c>
      <c r="N2656" s="154" t="n">
        <v>1</v>
      </c>
      <c r="O2656" s="155">
        <f>IF(AND(B2656="",C2656=""),"",IF(G2656&gt;=20000,0.05,IF(G2656&gt;=10000,0.1,IF(G2656&gt;=5000,0.2,IF(G2656&gt;=1000,0.3,IF(G2656&gt;=0,0.4,{0}))))))</f>
        <v/>
      </c>
      <c r="P2656" s="400">
        <f>IF(AND(B2656="",C2656=""),"",ROUND(H2656*O2656,2))</f>
        <v/>
      </c>
      <c r="Q2656" s="401" t="inlineStr">
        <is>
          <t>元件</t>
        </is>
      </c>
      <c r="R2656" s="168" t="inlineStr"/>
      <c r="S2656" s="168" t="inlineStr"/>
      <c r="T2656" s="168" t="inlineStr">
        <is>
          <t>0</t>
        </is>
      </c>
      <c r="U2656" s="168" t="inlineStr">
        <is>
          <t>710141426552500</t>
        </is>
      </c>
      <c r="V2656" s="402" t="n"/>
      <c r="W2656" s="402" t="n"/>
      <c r="X2656" s="170" t="inlineStr">
        <is>
          <t>SD→SD-0.66-40II-C 400/5A→SD-0.66-30I 250/5A→SD-0.66-30I 150/5A→SD-0.66-60II-C 750/5A→SD-0.66-60II-C 600/5A→SD-0.66-30I 150/5A→SD-0.66-40II-C 400/5A→SD-0.66-100II-C 1600/5A→SD-0.66-80II-V 1000/5A→SD-0.66-80II-V 1250/5A→SD-0.66-80II-V 1000/5A</t>
        </is>
      </c>
    </row>
    <row r="2657" s="308">
      <c r="A2657" s="64">
        <f>ROW()-ROW(A$2653)</f>
        <v/>
      </c>
      <c r="B2657" s="112" t="inlineStr">
        <is>
          <t>多功能表</t>
        </is>
      </c>
      <c r="C2657" s="112" t="inlineStr">
        <is>
          <t>PM4101</t>
        </is>
      </c>
      <c r="D2657" s="112" t="inlineStr">
        <is>
          <t>甲供/施耐德电气</t>
        </is>
      </c>
      <c r="E2657" s="114" t="inlineStr">
        <is>
          <t>只</t>
        </is>
      </c>
      <c r="F2657" s="114" t="n">
        <v>2</v>
      </c>
      <c r="G2657" s="396">
        <f>IF(AND(B2657="",C2657=""),"",ROUND(M2657*L2657*N2657,2))</f>
        <v/>
      </c>
      <c r="H2657" s="349">
        <f>IF(AND(B2657="",C2657=""),"",ROUND(F2657*G2657,2))</f>
        <v/>
      </c>
      <c r="I2657" s="45" t="inlineStr"/>
      <c r="J2657" s="397">
        <f>IF(AND(B2657="",C2657=""),"",ROUND(M2657*N2657,2))</f>
        <v/>
      </c>
      <c r="K2657" s="398">
        <f>IF(AND(B2657="",C2657=""),"",ROUND(J2657*F2657,2))</f>
        <v/>
      </c>
      <c r="L2657" s="200" t="n">
        <v>1</v>
      </c>
      <c r="M2657" s="399" t="n">
        <v>1e-07</v>
      </c>
      <c r="N2657" s="154" t="n">
        <v>1</v>
      </c>
      <c r="O2657" s="155">
        <f>IF(AND(B2657="",C2657=""),"",IF(J2657&gt;=20000,0.05,IF(J2657&gt;=10000,0.1,IF(J2657&gt;=5000,0.2,IF(J2657&gt;=1000,0.3,IF(J2657&gt;=0,0.4,{0}))))))</f>
        <v/>
      </c>
      <c r="P2657" s="400">
        <f>IF(AND(B2657="",C2657=""),"",ROUND(H2657*O2657,2))</f>
        <v/>
      </c>
      <c r="Q2657" s="401" t="inlineStr">
        <is>
          <t>元件</t>
        </is>
      </c>
      <c r="R2657" s="168" t="inlineStr"/>
      <c r="S2657" s="168" t="inlineStr"/>
      <c r="T2657" s="168" t="inlineStr">
        <is>
          <t>0</t>
        </is>
      </c>
      <c r="U2657" s="168" t="inlineStr"/>
      <c r="V2657" s="402" t="n"/>
      <c r="W2657" s="402" t="n"/>
      <c r="X2657" s="170" t="inlineStr"/>
    </row>
    <row r="2658" customFormat="1" s="3">
      <c r="A2658" s="64">
        <f>ROW()-ROW(A$2653)</f>
        <v/>
      </c>
      <c r="B2658" s="27" t="inlineStr">
        <is>
          <t>后备保护器</t>
        </is>
      </c>
      <c r="C2658" s="22" t="inlineStr">
        <is>
          <t>iSCB2 40H2 4P</t>
        </is>
      </c>
      <c r="D2658" s="22" t="inlineStr">
        <is>
          <t>甲供/施耐德万高</t>
        </is>
      </c>
      <c r="E2658" s="110" t="inlineStr">
        <is>
          <t>只</t>
        </is>
      </c>
      <c r="F2658" s="23" t="n">
        <v>1</v>
      </c>
      <c r="G2658" s="349">
        <f>IF(AND(B2658="",C2658=""),"",ROUND(M2658*L2658*N2658,2))</f>
        <v/>
      </c>
      <c r="H2658" s="349">
        <f>IF(AND(B2658="",C2658=""),"",ROUND(F2658*G2658,2))</f>
        <v/>
      </c>
      <c r="I2658" s="45" t="inlineStr"/>
      <c r="J2658" s="392">
        <f>IF(AND(B2658="",C2658=""),"",ROUND(M2658*N2658,2))</f>
        <v/>
      </c>
      <c r="K2658" s="393">
        <f>IF(AND(B2658="",C2658=""),"",ROUND(J2658*F2658,2))</f>
        <v/>
      </c>
      <c r="L2658" s="141" t="n">
        <v>1</v>
      </c>
      <c r="M2658" s="394" t="n">
        <v>1e-07</v>
      </c>
      <c r="N2658" s="143" t="n">
        <v>1</v>
      </c>
      <c r="O2658" s="144">
        <f>IF(AND(B2658="",C2658=""),"",IF(G2658&gt;=20000,0.05,IF(G2658&gt;=10000,0.1,IF(G2658&gt;=5000,0.2,IF(G2658&gt;=1000,0.3,IF(G2658&gt;=0,0.4,{0}))))))</f>
        <v/>
      </c>
      <c r="P2658" s="395">
        <f>IF(AND(B2658="",C2658=""),"",ROUND(H2658*O2658,2))</f>
        <v/>
      </c>
      <c r="Q2658" s="390" t="inlineStr">
        <is>
          <t>元件</t>
        </is>
      </c>
      <c r="R2658" s="164" t="inlineStr"/>
      <c r="S2658" s="164" t="inlineStr"/>
      <c r="T2658" s="164" t="inlineStr">
        <is>
          <t>0</t>
        </is>
      </c>
      <c r="U2658" s="164" t="inlineStr">
        <is>
          <t>A9L102554</t>
        </is>
      </c>
      <c r="V2658" s="391" t="n"/>
      <c r="W2658" s="391" t="n"/>
      <c r="X2658" s="166" t="inlineStr">
        <is>
          <t>iSCB1 25L1 4P→iSCB2 40H2 4P</t>
        </is>
      </c>
    </row>
    <row r="2659" customFormat="1" s="3">
      <c r="A2659" s="64">
        <f>ROW()-ROW(A$2653)</f>
        <v/>
      </c>
      <c r="B2659" s="27" t="inlineStr">
        <is>
          <t>电涌保护器</t>
        </is>
      </c>
      <c r="C2659" s="22" t="inlineStr">
        <is>
          <t>iPRU 40r 3P+N</t>
        </is>
      </c>
      <c r="D2659" s="22" t="inlineStr">
        <is>
          <t>甲供/施耐德万高</t>
        </is>
      </c>
      <c r="E2659" s="110" t="inlineStr">
        <is>
          <t>只</t>
        </is>
      </c>
      <c r="F2659" s="23" t="n">
        <v>1</v>
      </c>
      <c r="G2659" s="349">
        <f>IF(AND(B2659="",C2659=""),"",ROUND(M2659*L2659*N2659,2))</f>
        <v/>
      </c>
      <c r="H2659" s="349">
        <f>IF(AND(B2659="",C2659=""),"",ROUND(F2659*G2659,2))</f>
        <v/>
      </c>
      <c r="I2659" s="45" t="inlineStr"/>
      <c r="J2659" s="392">
        <f>IF(AND(B2659="",C2659=""),"",ROUND(M2659*N2659,2))</f>
        <v/>
      </c>
      <c r="K2659" s="393">
        <f>IF(AND(B2659="",C2659=""),"",ROUND(J2659*F2659,2))</f>
        <v/>
      </c>
      <c r="L2659" s="141" t="n">
        <v>1</v>
      </c>
      <c r="M2659" s="394" t="n">
        <v>1e-07</v>
      </c>
      <c r="N2659" s="143" t="n">
        <v>1</v>
      </c>
      <c r="O2659" s="144">
        <f>IF(AND(B2659="",C2659=""),"",IF(G2659&gt;=20000,0.05,IF(G2659&gt;=10000,0.1,IF(G2659&gt;=5000,0.2,IF(G2659&gt;=1000,0.3,IF(G2659&gt;=0,0.4,{0}))))))</f>
        <v/>
      </c>
      <c r="P2659" s="395">
        <f>IF(AND(B2659="",C2659=""),"",ROUND(H2659*O2659,2))</f>
        <v/>
      </c>
      <c r="Q2659" s="390" t="inlineStr">
        <is>
          <t>元件</t>
        </is>
      </c>
      <c r="R2659" s="164" t="inlineStr"/>
      <c r="S2659" s="164" t="inlineStr"/>
      <c r="T2659" s="164" t="inlineStr">
        <is>
          <t>0</t>
        </is>
      </c>
      <c r="U2659" s="164" t="inlineStr">
        <is>
          <t>A9L620601</t>
        </is>
      </c>
      <c r="V2659" s="391" t="n"/>
      <c r="W2659" s="391" t="n"/>
      <c r="X2659" s="166" t="inlineStr">
        <is>
          <t>iPRF1 12.5r 3P+N→iPRU 40r 3P→iPRF1 12.5r 3P+N</t>
        </is>
      </c>
    </row>
    <row r="2660" customFormat="1" s="3">
      <c r="A2660" s="64">
        <f>ROW()-ROW(A$2653)</f>
        <v/>
      </c>
      <c r="B2660" s="27" t="inlineStr">
        <is>
          <t>微型断路器</t>
        </is>
      </c>
      <c r="C2660" s="22" t="inlineStr">
        <is>
          <t>iC65H 2P C16A</t>
        </is>
      </c>
      <c r="D2660" s="22" t="inlineStr">
        <is>
          <t>甲供/施耐德电气</t>
        </is>
      </c>
      <c r="E2660" s="110" t="inlineStr">
        <is>
          <t>只</t>
        </is>
      </c>
      <c r="F2660" s="23" t="n">
        <v>2</v>
      </c>
      <c r="G2660" s="349">
        <f>IF(AND(B2660="",C2660=""),"",ROUND(M2660*L2660*N2660,2))</f>
        <v/>
      </c>
      <c r="H2660" s="349">
        <f>IF(AND(B2660="",C2660=""),"",ROUND(F2660*G2660,2))</f>
        <v/>
      </c>
      <c r="I2660" s="45" t="inlineStr"/>
      <c r="J2660" s="392">
        <f>IF(AND(B2660="",C2660=""),"",ROUND(M2660*N2660,2))</f>
        <v/>
      </c>
      <c r="K2660" s="393">
        <f>IF(AND(B2660="",C2660=""),"",ROUND(J2660*F2660,2))</f>
        <v/>
      </c>
      <c r="L2660" s="141" t="n">
        <v>1</v>
      </c>
      <c r="M2660" s="394" t="n">
        <v>1e-07</v>
      </c>
      <c r="N2660" s="143" t="n">
        <v>1</v>
      </c>
      <c r="O2660" s="144">
        <f>IF(AND(B2660="",C2660=""),"",IF(G2660&gt;=20000,0.05,IF(G2660&gt;=10000,0.1,IF(G2660&gt;=5000,0.2,IF(G2660&gt;=1000,0.3,IF(G2660&gt;=0,0.4,{0}))))))</f>
        <v/>
      </c>
      <c r="P2660" s="395">
        <f>IF(AND(B2660="",C2660=""),"",ROUND(H2660*O2660,2))</f>
        <v/>
      </c>
      <c r="Q2660" s="390" t="inlineStr">
        <is>
          <t>元件</t>
        </is>
      </c>
      <c r="R2660" s="164" t="inlineStr"/>
      <c r="S2660" s="164" t="inlineStr"/>
      <c r="T2660" s="164" t="n">
        <v>0</v>
      </c>
      <c r="U2660" s="164" t="inlineStr"/>
      <c r="V2660" s="391" t="n"/>
      <c r="W2660" s="391" t="n"/>
      <c r="X2660" s="166" t="inlineStr"/>
    </row>
    <row r="2661" customFormat="1" s="3">
      <c r="A2661" s="64">
        <f>ROW()-ROW(A$2653)</f>
        <v/>
      </c>
      <c r="B2661" s="22" t="inlineStr">
        <is>
          <t>指示灯</t>
        </is>
      </c>
      <c r="C2661" s="22" t="inlineStr">
        <is>
          <t>XB2BVM3LC</t>
        </is>
      </c>
      <c r="D2661" s="22" t="inlineStr">
        <is>
          <t>甲供/施耐德电气</t>
        </is>
      </c>
      <c r="E2661" s="23" t="inlineStr">
        <is>
          <t>只</t>
        </is>
      </c>
      <c r="F2661" s="23" t="n">
        <v>2</v>
      </c>
      <c r="G2661" s="349">
        <f>IF(AND(B2661="",C2661=""),"",ROUND(M2661*L2661*N2661,2))</f>
        <v/>
      </c>
      <c r="H2661" s="353">
        <f>IF(AND(B2661="",C2661=""),"",ROUND(F2661*G2661,2))</f>
        <v/>
      </c>
      <c r="I2661" s="180" t="inlineStr"/>
      <c r="J2661" s="392">
        <f>IF(AND(B2661="",C2661=""),"",ROUND(M2661*N2661,2))</f>
        <v/>
      </c>
      <c r="K2661" s="393">
        <f>IF(AND(B2661="",C2661=""),"",ROUND(J2661*F2661,2))</f>
        <v/>
      </c>
      <c r="L2661" s="141" t="n">
        <v>1</v>
      </c>
      <c r="M2661" s="394" t="n">
        <v>1e-07</v>
      </c>
      <c r="N2661" s="220" t="n">
        <v>1</v>
      </c>
      <c r="O2661" s="221">
        <f>IF(AND(B2661="",C2661=""),"",IF(G2661&gt;=20000,0.05,IF(G2661&gt;=10000,0.1,IF(G2661&gt;=5000,0.2,IF(G2661&gt;=1000,0.3,IF(G2661&gt;=0,0.4,{0}))))))</f>
        <v/>
      </c>
      <c r="P2661" s="419">
        <f>IF(AND(B2661="",C2661=""),"",ROUND(H2661*O2661,2))</f>
        <v/>
      </c>
      <c r="Q2661" s="420" t="inlineStr">
        <is>
          <t>元件</t>
        </is>
      </c>
      <c r="R2661" s="231" t="inlineStr"/>
      <c r="S2661" s="231" t="inlineStr"/>
      <c r="T2661" s="231" t="inlineStr">
        <is>
          <t>0</t>
        </is>
      </c>
      <c r="U2661" s="231" t="inlineStr">
        <is>
          <t>XB2BVM3LC</t>
        </is>
      </c>
      <c r="V2661" s="421" t="n"/>
      <c r="W2661" s="421" t="n"/>
      <c r="X2661" s="166" t="inlineStr">
        <is>
          <t>XA2EVM3LC</t>
        </is>
      </c>
    </row>
    <row r="2662" customFormat="1" s="3">
      <c r="A2662" s="64">
        <f>ROW()-ROW(A$2653)</f>
        <v/>
      </c>
      <c r="B2662" s="22" t="inlineStr">
        <is>
          <t>指示灯</t>
        </is>
      </c>
      <c r="C2662" s="22" t="inlineStr">
        <is>
          <t>XB2BVM4LC</t>
        </is>
      </c>
      <c r="D2662" s="22" t="inlineStr">
        <is>
          <t>甲供/施耐德电气</t>
        </is>
      </c>
      <c r="E2662" s="23" t="inlineStr">
        <is>
          <t>只</t>
        </is>
      </c>
      <c r="F2662" s="23" t="n">
        <v>2</v>
      </c>
      <c r="G2662" s="349">
        <f>IF(AND(B2662="",C2662=""),"",ROUND(M2662*L2662*N2662,2))</f>
        <v/>
      </c>
      <c r="H2662" s="353">
        <f>IF(AND(B2662="",C2662=""),"",ROUND(F2662*G2662,2))</f>
        <v/>
      </c>
      <c r="I2662" s="180" t="inlineStr"/>
      <c r="J2662" s="392">
        <f>IF(AND(B2662="",C2662=""),"",ROUND(M2662*N2662,2))</f>
        <v/>
      </c>
      <c r="K2662" s="393">
        <f>IF(AND(B2662="",C2662=""),"",ROUND(J2662*F2662,2))</f>
        <v/>
      </c>
      <c r="L2662" s="141" t="n">
        <v>1</v>
      </c>
      <c r="M2662" s="394" t="n">
        <v>1e-07</v>
      </c>
      <c r="N2662" s="220" t="n">
        <v>1</v>
      </c>
      <c r="O2662" s="221">
        <f>IF(AND(B2662="",C2662=""),"",IF(G2662&gt;=20000,0.05,IF(G2662&gt;=10000,0.1,IF(G2662&gt;=5000,0.2,IF(G2662&gt;=1000,0.3,IF(G2662&gt;=0,0.4,{0}))))))</f>
        <v/>
      </c>
      <c r="P2662" s="419">
        <f>IF(AND(B2662="",C2662=""),"",ROUND(H2662*O2662,2))</f>
        <v/>
      </c>
      <c r="Q2662" s="420" t="inlineStr">
        <is>
          <t>元件</t>
        </is>
      </c>
      <c r="R2662" s="231" t="inlineStr"/>
      <c r="S2662" s="231" t="inlineStr"/>
      <c r="T2662" s="231" t="inlineStr">
        <is>
          <t>0</t>
        </is>
      </c>
      <c r="U2662" s="231" t="inlineStr">
        <is>
          <t>XB2BVM4LC</t>
        </is>
      </c>
      <c r="V2662" s="421" t="n"/>
      <c r="W2662" s="421" t="n"/>
      <c r="X2662" s="166" t="inlineStr">
        <is>
          <t>XA2EVM4LC</t>
        </is>
      </c>
    </row>
    <row r="2663" s="308">
      <c r="A2663" s="64">
        <f>ROW()-ROW(A$2653)</f>
        <v/>
      </c>
      <c r="B2663" s="112" t="inlineStr">
        <is>
          <t>指示灯</t>
        </is>
      </c>
      <c r="C2663" s="112" t="inlineStr">
        <is>
          <t>XB2BVM5LC</t>
        </is>
      </c>
      <c r="D2663" s="112" t="inlineStr">
        <is>
          <t>甲供/施耐德电气</t>
        </is>
      </c>
      <c r="E2663" s="114" t="inlineStr">
        <is>
          <t>只</t>
        </is>
      </c>
      <c r="F2663" s="114" t="n">
        <v>2</v>
      </c>
      <c r="G2663" s="396">
        <f>IF(AND(B2663="",C2663=""),"",ROUND(M2663*L2663*N2663,2))</f>
        <v/>
      </c>
      <c r="H2663" s="396">
        <f>IF(AND(B2663="",C2663=""),"",ROUND(F2663*G2663,2))</f>
        <v/>
      </c>
      <c r="I2663" s="150" t="inlineStr"/>
      <c r="J2663" s="397">
        <f>IF(AND(B2663="",C2663=""),"",ROUND(M2663*N2663,2))</f>
        <v/>
      </c>
      <c r="K2663" s="398">
        <f>IF(AND(B2663="",C2663=""),"",ROUND(J2663*F2663,2))</f>
        <v/>
      </c>
      <c r="L2663" s="141" t="n">
        <v>1</v>
      </c>
      <c r="M2663" s="399" t="n">
        <v>1e-07</v>
      </c>
      <c r="N2663" s="154" t="n">
        <v>1</v>
      </c>
      <c r="O2663" s="155">
        <f>IF(AND(B2663="",C2663=""),"",IF(G2663&gt;=20000,0.05,IF(G2663&gt;=10000,0.1,IF(G2663&gt;=5000,0.2,IF(G2663&gt;=1000,0.3,IF(G2663&gt;=0,0.4,{0}))))))</f>
        <v/>
      </c>
      <c r="P2663" s="400">
        <f>IF(AND(B2663="",C2663=""),"",ROUND(H2663*O2663,2))</f>
        <v/>
      </c>
      <c r="Q2663" s="401" t="inlineStr">
        <is>
          <t>元件</t>
        </is>
      </c>
      <c r="R2663" s="168" t="inlineStr"/>
      <c r="S2663" s="168" t="inlineStr"/>
      <c r="T2663" s="168" t="inlineStr">
        <is>
          <t>0</t>
        </is>
      </c>
      <c r="U2663" s="168" t="inlineStr">
        <is>
          <t>XA2EVM5LC</t>
        </is>
      </c>
      <c r="V2663" s="402" t="n"/>
      <c r="W2663" s="402" t="n"/>
      <c r="X2663" s="170" t="inlineStr"/>
    </row>
    <row r="2664" s="308">
      <c r="A2664" s="64">
        <f>ROW()-ROW(A$2653)</f>
        <v/>
      </c>
      <c r="B2664" s="112" t="inlineStr">
        <is>
          <t>按钮</t>
        </is>
      </c>
      <c r="C2664" s="112" t="inlineStr">
        <is>
          <t>XB2BA31C</t>
        </is>
      </c>
      <c r="D2664" s="112" t="inlineStr">
        <is>
          <t>甲供/施耐德电气</t>
        </is>
      </c>
      <c r="E2664" s="114" t="inlineStr">
        <is>
          <t>只</t>
        </is>
      </c>
      <c r="F2664" s="114" t="n">
        <v>2</v>
      </c>
      <c r="G2664" s="396">
        <f>IF(AND(B2664="",C2664=""),"",ROUND(M2664*L2664*N2664,2))</f>
        <v/>
      </c>
      <c r="H2664" s="396">
        <f>IF(AND(B2664="",C2664=""),"",ROUND(F2664*G2664,2))</f>
        <v/>
      </c>
      <c r="I2664" s="150" t="inlineStr"/>
      <c r="J2664" s="397">
        <f>IF(AND(B2664="",C2664=""),"",ROUND(M2664*N2664,2))</f>
        <v/>
      </c>
      <c r="K2664" s="398">
        <f>IF(AND(B2664="",C2664=""),"",ROUND(J2664*F2664,2))</f>
        <v/>
      </c>
      <c r="L2664" s="141" t="n">
        <v>1</v>
      </c>
      <c r="M2664" s="399" t="n">
        <v>1e-07</v>
      </c>
      <c r="N2664" s="154" t="n">
        <v>1</v>
      </c>
      <c r="O2664" s="155">
        <f>IF(AND(B2664="",C2664=""),"",IF(G2664&gt;=20000,0.05,IF(G2664&gt;=10000,0.1,IF(G2664&gt;=5000,0.2,IF(G2664&gt;=1000,0.3,IF(G2664&gt;=0,0.4,{0}))))))</f>
        <v/>
      </c>
      <c r="P2664" s="400">
        <f>IF(AND(B2664="",C2664=""),"",ROUND(H2664*O2664,2))</f>
        <v/>
      </c>
      <c r="Q2664" s="401" t="inlineStr">
        <is>
          <t>元件</t>
        </is>
      </c>
      <c r="R2664" s="168" t="inlineStr"/>
      <c r="S2664" s="168" t="inlineStr"/>
      <c r="T2664" s="168" t="inlineStr">
        <is>
          <t>0</t>
        </is>
      </c>
      <c r="U2664" s="168" t="inlineStr">
        <is>
          <t>XB2BA31C</t>
        </is>
      </c>
      <c r="V2664" s="402" t="n"/>
      <c r="W2664" s="402" t="n"/>
      <c r="X2664" s="170" t="inlineStr">
        <is>
          <t>XA2EA31</t>
        </is>
      </c>
    </row>
    <row r="2665" s="308">
      <c r="A2665" s="64">
        <f>ROW()-ROW(A$2653)</f>
        <v/>
      </c>
      <c r="B2665" s="22" t="inlineStr">
        <is>
          <t>按钮</t>
        </is>
      </c>
      <c r="C2665" s="22" t="inlineStr">
        <is>
          <t>XB2BA42C</t>
        </is>
      </c>
      <c r="D2665" s="22" t="inlineStr">
        <is>
          <t>甲供/施耐德电气</t>
        </is>
      </c>
      <c r="E2665" s="23" t="inlineStr">
        <is>
          <t>只</t>
        </is>
      </c>
      <c r="F2665" s="23" t="n">
        <v>2</v>
      </c>
      <c r="G2665" s="349">
        <f>IF(AND(B2665="",C2665=""),"",ROUND(M2665*L2665*N2665,2))</f>
        <v/>
      </c>
      <c r="H2665" s="396">
        <f>IF(AND(B2665="",C2665=""),"",ROUND(F2665*G2665,2))</f>
        <v/>
      </c>
      <c r="I2665" s="150" t="inlineStr"/>
      <c r="J2665" s="397">
        <f>IF(AND(B2665="",C2665=""),"",ROUND(M2665*N2665,2))</f>
        <v/>
      </c>
      <c r="K2665" s="398">
        <f>IF(AND(B2665="",C2665=""),"",ROUND(J2665*F2665,2))</f>
        <v/>
      </c>
      <c r="L2665" s="141" t="n">
        <v>1</v>
      </c>
      <c r="M2665" s="399" t="n">
        <v>1e-07</v>
      </c>
      <c r="N2665" s="154" t="n">
        <v>1</v>
      </c>
      <c r="O2665" s="155">
        <f>IF(AND(B2665="",C2665=""),"",IF(G2665&gt;=20000,0.05,IF(G2665&gt;=10000,0.1,IF(G2665&gt;=5000,0.2,IF(G2665&gt;=1000,0.3,IF(G2665&gt;=0,0.4,{0}))))))</f>
        <v/>
      </c>
      <c r="P2665" s="400">
        <f>IF(AND(B2665="",C2665=""),"",ROUND(H2665*O2665,2))</f>
        <v/>
      </c>
      <c r="Q2665" s="401" t="inlineStr">
        <is>
          <t>元件</t>
        </is>
      </c>
      <c r="R2665" s="168" t="inlineStr"/>
      <c r="S2665" s="168" t="inlineStr"/>
      <c r="T2665" s="168" t="inlineStr">
        <is>
          <t>0</t>
        </is>
      </c>
      <c r="U2665" s="168" t="inlineStr">
        <is>
          <t>XB2BA42C</t>
        </is>
      </c>
      <c r="V2665" s="402" t="n"/>
      <c r="W2665" s="402" t="n"/>
      <c r="X2665" s="170" t="inlineStr">
        <is>
          <t>XA2EA41</t>
        </is>
      </c>
    </row>
    <row r="2666" s="308">
      <c r="A2666" s="64">
        <f>ROW()-ROW(A$2653)</f>
        <v/>
      </c>
      <c r="B2666" s="112" t="inlineStr">
        <is>
          <t>温湿度控制器</t>
        </is>
      </c>
      <c r="C2666" s="112" t="inlineStr">
        <is>
          <t>ATH48G-11</t>
        </is>
      </c>
      <c r="D2666" s="22" t="inlineStr">
        <is>
          <t>杭州安廷</t>
        </is>
      </c>
      <c r="E2666" s="23" t="inlineStr">
        <is>
          <t>套</t>
        </is>
      </c>
      <c r="F2666" s="23" t="n">
        <v>1</v>
      </c>
      <c r="G2666" s="349">
        <f>IF(AND(B2666="",C2666=""),"",ROUND(M2666*L2666*N2666,2))</f>
        <v/>
      </c>
      <c r="H2666" s="396">
        <f>IF(AND(B2666="",C2666=""),"",ROUND(F2666*G2666,2))</f>
        <v/>
      </c>
      <c r="I2666" s="150" t="inlineStr"/>
      <c r="J2666" s="397">
        <f>IF(AND(B2666="",C2666=""),"",ROUND(M2666*N2666,2))</f>
        <v/>
      </c>
      <c r="K2666" s="398">
        <f>IF(AND(B2666="",C2666=""),"",ROUND(J2666*F2666,2))</f>
        <v/>
      </c>
      <c r="L2666" s="141" t="n">
        <v>1</v>
      </c>
      <c r="M2666" s="399" t="n">
        <v>450</v>
      </c>
      <c r="N2666" s="154" t="n">
        <v>1</v>
      </c>
      <c r="O2666" s="155">
        <f>IF(AND(B2666="",C2666=""),"",IF(G2666&gt;=20000,0.05,IF(G2666&gt;=10000,0.1,IF(G2666&gt;=5000,0.2,IF(G2666&gt;=1000,0.3,IF(G2666&gt;=0,0.4,{0}))))))</f>
        <v/>
      </c>
      <c r="P2666" s="400">
        <f>IF(AND(B2666="",C2666=""),"",ROUND(H2666*O2666,2))</f>
        <v/>
      </c>
      <c r="Q2666" s="401" t="inlineStr">
        <is>
          <t>元件</t>
        </is>
      </c>
      <c r="R2666" s="168" t="inlineStr"/>
      <c r="S2666" s="168" t="inlineStr"/>
      <c r="T2666" s="168" t="inlineStr">
        <is>
          <t>0</t>
        </is>
      </c>
      <c r="U2666" s="168" t="inlineStr"/>
      <c r="V2666" s="402" t="n"/>
      <c r="W2666" s="402" t="n"/>
      <c r="X2666" s="170" t="inlineStr"/>
    </row>
    <row r="2667" s="308">
      <c r="A2667" s="64">
        <f>ROW()-ROW(A$2653)</f>
        <v/>
      </c>
      <c r="B2667" s="22" t="inlineStr">
        <is>
          <t>中间继电器</t>
        </is>
      </c>
      <c r="C2667" s="22" t="inlineStr">
        <is>
          <t>RXM4AB2P7+RXZE2S114M+RXZ400</t>
        </is>
      </c>
      <c r="D2667" s="22" t="inlineStr">
        <is>
          <t>甲供/施耐德电气</t>
        </is>
      </c>
      <c r="E2667" s="23" t="inlineStr">
        <is>
          <t>只</t>
        </is>
      </c>
      <c r="F2667" s="23" t="n">
        <v>4</v>
      </c>
      <c r="G2667" s="349">
        <f>IF(AND(B2667="",C2667=""),"",ROUND(M2667*L2667*N2667,2))</f>
        <v/>
      </c>
      <c r="H2667" s="349">
        <f>IF(AND(B2667="",C2667=""),"",ROUND(F2667*G2667,2))</f>
        <v/>
      </c>
      <c r="I2667" s="45" t="inlineStr"/>
      <c r="J2667" s="397">
        <f>IF(AND(B2667="",C2667=""),"",ROUND(M2667*N2667,2))</f>
        <v/>
      </c>
      <c r="K2667" s="398">
        <f>IF(AND(B2667="",C2667=""),"",ROUND(J2667*F2667,2))</f>
        <v/>
      </c>
      <c r="L2667" s="141" t="n">
        <v>1</v>
      </c>
      <c r="M2667" s="399" t="n">
        <v>1e-07</v>
      </c>
      <c r="N2667" s="154" t="n">
        <v>1</v>
      </c>
      <c r="O2667" s="155">
        <f>IF(AND(B2667="",C2667=""),"",IF(G2667&gt;=20000,0.05,IF(G2667&gt;=10000,0.1,IF(G2667&gt;=5000,0.2,IF(G2667&gt;=1000,0.3,IF(G2667&gt;=0,0.4,{0}))))))</f>
        <v/>
      </c>
      <c r="P2667" s="400">
        <f>IF(AND(B2667="",C2667=""),"",ROUND(H2667*O2667,2))</f>
        <v/>
      </c>
      <c r="Q2667" s="401" t="inlineStr">
        <is>
          <t>元件</t>
        </is>
      </c>
      <c r="R2667" s="168" t="inlineStr"/>
      <c r="S2667" s="168" t="inlineStr"/>
      <c r="T2667" s="168" t="inlineStr">
        <is>
          <t>0</t>
        </is>
      </c>
      <c r="U2667" s="168" t="inlineStr">
        <is>
          <t>RXM4AB2P7+RXZE2S114M+RXZ400</t>
        </is>
      </c>
      <c r="V2667" s="402" t="n"/>
      <c r="W2667" s="402" t="n"/>
      <c r="X2667" s="170" t="inlineStr">
        <is>
          <t>REL-IR-BL/L-230AC/4X21，含底座→RXM4AB2P7+RXZE2S114M+RXZ400→REL-IR-BL/L-230AC/4X21，含底座</t>
        </is>
      </c>
    </row>
    <row r="2668" customFormat="1" s="3">
      <c r="A2668" s="64">
        <f>ROW()-ROW(A$2653)</f>
        <v/>
      </c>
      <c r="B2668" s="22" t="inlineStr">
        <is>
          <t>带熔丝端子</t>
        </is>
      </c>
      <c r="C2668" s="22" t="inlineStr">
        <is>
          <t>UK 5-HESI</t>
        </is>
      </c>
      <c r="D2668" s="22" t="inlineStr">
        <is>
          <t>菲尼克斯</t>
        </is>
      </c>
      <c r="E2668" s="23" t="inlineStr">
        <is>
          <t>只</t>
        </is>
      </c>
      <c r="F2668" s="23" t="n">
        <v>8</v>
      </c>
      <c r="G2668" s="349">
        <f>IF(AND(B2668="",C2668=""),"",ROUND(M2668*L2668*N2668,2))</f>
        <v/>
      </c>
      <c r="H2668" s="349">
        <f>IF(AND(B2668="",C2668=""),"",ROUND(F2668*G2668,2))</f>
        <v/>
      </c>
      <c r="I2668" s="45" t="inlineStr"/>
      <c r="J2668" s="392">
        <f>IF(AND(B2668="",C2668=""),"",ROUND(M2668*N2668,2))</f>
        <v/>
      </c>
      <c r="K2668" s="393">
        <f>IF(AND(B2668="",C2668=""),"",ROUND(J2668*F2668,2))</f>
        <v/>
      </c>
      <c r="L2668" s="141" t="n">
        <v>1</v>
      </c>
      <c r="M2668" s="394" t="n">
        <v>7</v>
      </c>
      <c r="N2668" s="220" t="n">
        <v>1</v>
      </c>
      <c r="O2668" s="221">
        <f>IF(AND(B2668="",C2668=""),"",IF(G2668&gt;=20000,0.05,IF(G2668&gt;=10000,0.1,IF(G2668&gt;=5000,0.2,IF(G2668&gt;=1000,0.3,IF(G2668&gt;=0,0.4,{0}))))))</f>
        <v/>
      </c>
      <c r="P2668" s="419">
        <f>IF(AND(B2668="",C2668=""),"",ROUND(H2668*O2668,2))</f>
        <v/>
      </c>
      <c r="Q2668" s="420" t="inlineStr">
        <is>
          <t>元件</t>
        </is>
      </c>
      <c r="R2668" s="231" t="inlineStr"/>
      <c r="S2668" s="231" t="inlineStr"/>
      <c r="T2668" s="231" t="inlineStr">
        <is>
          <t>0</t>
        </is>
      </c>
      <c r="U2668" s="231" t="inlineStr">
        <is>
          <t>True</t>
        </is>
      </c>
      <c r="V2668" s="421" t="n"/>
      <c r="W2668" s="421" t="n"/>
      <c r="X2668" s="166" t="inlineStr"/>
    </row>
    <row r="2669" s="308">
      <c r="A2669" s="64">
        <f>ROW()-ROW(A$2653)</f>
        <v/>
      </c>
      <c r="B2669" s="22" t="inlineStr">
        <is>
          <t>水平母排</t>
        </is>
      </c>
      <c r="C2669" s="22" t="inlineStr">
        <is>
          <t>TMY 4*(100*5)+50*5</t>
        </is>
      </c>
      <c r="D2669" s="22" t="inlineStr">
        <is>
          <t>国产优质</t>
        </is>
      </c>
      <c r="E2669" s="23" t="inlineStr">
        <is>
          <t>米</t>
        </is>
      </c>
      <c r="F2669" s="23" t="n">
        <v>0.4</v>
      </c>
      <c r="G2669" s="349">
        <f>IF(AND(B2669="",C2669=""),"",ROUND(M2669*L2669*N2669,2))</f>
        <v/>
      </c>
      <c r="H2669" s="349">
        <f>IF(AND(B2669="",C2669=""),"",ROUND(F2669*G2669,2))</f>
        <v/>
      </c>
      <c r="I2669" s="45" t="inlineStr"/>
      <c r="J2669" s="397">
        <f>IF(AND(B2669="",C2669=""),"",ROUND(M2669*N2669,2))</f>
        <v/>
      </c>
      <c r="K2669" s="398">
        <f>IF(AND(B2669="",C2669=""),"",ROUND(J2669*F2669,2))</f>
        <v/>
      </c>
      <c r="L2669" s="200" t="n">
        <v>1</v>
      </c>
      <c r="M2669" s="399" t="n">
        <v>2164.802625</v>
      </c>
      <c r="N2669" s="154">
        <f>(6317.932*1*1+2684.8*1*1)/9002.732</f>
        <v/>
      </c>
      <c r="O2669" s="155">
        <f>IF(AND(B2669="",C2669=""),"",IF(J2669&gt;=20000,0.05,IF(J2669&gt;=10000,0.1,IF(J2669&gt;=5000,0.2,IF(J2669&gt;=1000,0.3,IF(J2669&gt;=0,0.4,{0}))))))</f>
        <v/>
      </c>
      <c r="P2669" s="400">
        <f>IF(AND(B2669="",C2669=""),"",ROUND(H2669*O2669,2))</f>
        <v/>
      </c>
      <c r="Q2669" s="401" t="inlineStr">
        <is>
          <t>母排</t>
        </is>
      </c>
      <c r="R2669" s="168" t="inlineStr"/>
      <c r="S2669" s="168" t="inlineStr"/>
      <c r="T2669" s="168" t="inlineStr">
        <is>
          <t>0</t>
        </is>
      </c>
      <c r="U2669" s="168" t="inlineStr"/>
      <c r="V2669" s="402" t="n"/>
      <c r="W2669" s="402" t="n"/>
      <c r="X2669" s="170" t="inlineStr"/>
    </row>
    <row r="2670" customFormat="1" s="5">
      <c r="A2670" s="64">
        <f>ROW()-ROW(A$2653)</f>
        <v/>
      </c>
      <c r="B2670" s="22" t="inlineStr">
        <is>
          <t>桩头排</t>
        </is>
      </c>
      <c r="C2670" s="22" t="inlineStr">
        <is>
          <t>TMY 3*2*60*5</t>
        </is>
      </c>
      <c r="D2670" s="22" t="inlineStr">
        <is>
          <t>国产优质</t>
        </is>
      </c>
      <c r="E2670" s="23" t="inlineStr">
        <is>
          <t>米</t>
        </is>
      </c>
      <c r="F2670" s="23" t="n">
        <v>3</v>
      </c>
      <c r="G2670" s="349">
        <f>IF(AND(B2670="",C2670=""),"",ROUND(M2670*L2670*N2670,2))</f>
        <v/>
      </c>
      <c r="H2670" s="349">
        <f>IF(AND(B2670="",C2670=""),"",ROUND(F2670*G2670,2))</f>
        <v/>
      </c>
      <c r="I2670" s="45" t="inlineStr"/>
      <c r="J2670" s="422">
        <f>IF(AND(B2670="",C2670=""),"",ROUND(M2670*N2670,2))</f>
        <v/>
      </c>
      <c r="K2670" s="423">
        <f>IF(AND(B2670="",C2670=""),"",ROUND(J2670*F2670,2))</f>
        <v/>
      </c>
      <c r="L2670" s="225" t="n">
        <v>1</v>
      </c>
      <c r="M2670" s="424" t="n">
        <v>1731.8421</v>
      </c>
      <c r="N2670" s="227" t="n">
        <v>1</v>
      </c>
      <c r="O2670" s="228">
        <f>IF(AND(B2670="",C2670=""),"",IF(G2670&gt;=20000,0.05,IF(G2670&gt;=10000,0.1,IF(G2670&gt;=5000,0.2,IF(G2670&gt;=1000,0.3,IF(G2670&gt;=0,0.4,{0}))))))</f>
        <v/>
      </c>
      <c r="P2670" s="425">
        <f>IF(AND(B2670="",C2670=""),"",ROUND(H2670*O2670,2))</f>
        <v/>
      </c>
      <c r="Q2670" s="426" t="inlineStr">
        <is>
          <t>母排</t>
        </is>
      </c>
      <c r="R2670" s="234" t="inlineStr"/>
      <c r="S2670" s="234" t="inlineStr"/>
      <c r="T2670" s="235" t="inlineStr">
        <is>
          <t>0</t>
        </is>
      </c>
      <c r="U2670" s="235" t="inlineStr"/>
      <c r="V2670" s="427" t="n"/>
      <c r="W2670" s="427" t="n"/>
      <c r="X2670" s="237" t="inlineStr">
        <is>
          <t>TMY 2*30*5→TMY 30*8</t>
        </is>
      </c>
    </row>
    <row r="2671" customFormat="1" s="5">
      <c r="A2671" s="64">
        <f>ROW()-ROW(A$2653)</f>
        <v/>
      </c>
      <c r="B2671" s="22" t="inlineStr">
        <is>
          <t>垂直排</t>
        </is>
      </c>
      <c r="C2671" s="22" t="inlineStr">
        <is>
          <t>TMY 3*2*60*5</t>
        </is>
      </c>
      <c r="D2671" s="22" t="inlineStr">
        <is>
          <t>国产优质</t>
        </is>
      </c>
      <c r="E2671" s="23" t="inlineStr">
        <is>
          <t>米</t>
        </is>
      </c>
      <c r="F2671" s="23" t="n">
        <v>2</v>
      </c>
      <c r="G2671" s="349">
        <f>IF(AND(B2671="",C2671=""),"",ROUND(M2671*L2671*N2671,2))</f>
        <v/>
      </c>
      <c r="H2671" s="349">
        <f>IF(AND(B2671="",C2671=""),"",ROUND(F2671*G2671,2))</f>
        <v/>
      </c>
      <c r="I2671" s="45" t="inlineStr"/>
      <c r="J2671" s="422">
        <f>IF(AND(B2671="",C2671=""),"",ROUND(M2671*N2671,2))</f>
        <v/>
      </c>
      <c r="K2671" s="423">
        <f>IF(AND(B2671="",C2671=""),"",ROUND(J2671*F2671,2))</f>
        <v/>
      </c>
      <c r="L2671" s="225" t="n">
        <v>1</v>
      </c>
      <c r="M2671" s="424" t="n">
        <v>1731.8421</v>
      </c>
      <c r="N2671" s="227" t="n">
        <v>1</v>
      </c>
      <c r="O2671" s="228">
        <f>IF(AND(B2671="",C2671=""),"",IF(G2671&gt;=20000,0.05,IF(G2671&gt;=10000,0.1,IF(G2671&gt;=5000,0.2,IF(G2671&gt;=1000,0.3,IF(G2671&gt;=0,0.4,{0}))))))</f>
        <v/>
      </c>
      <c r="P2671" s="425">
        <f>IF(AND(B2671="",C2671=""),"",ROUND(H2671*O2671,2))</f>
        <v/>
      </c>
      <c r="Q2671" s="426" t="inlineStr">
        <is>
          <t>母排</t>
        </is>
      </c>
      <c r="R2671" s="234" t="inlineStr"/>
      <c r="S2671" s="234" t="inlineStr"/>
      <c r="T2671" s="235" t="inlineStr">
        <is>
          <t>0</t>
        </is>
      </c>
      <c r="U2671" s="235" t="inlineStr"/>
      <c r="V2671" s="427" t="n"/>
      <c r="W2671" s="427" t="n"/>
      <c r="X2671" s="237" t="inlineStr">
        <is>
          <t>TMY 2*30*5→TMY 30*8</t>
        </is>
      </c>
    </row>
    <row r="2672" customFormat="1" s="5">
      <c r="A2672" s="64">
        <f>ROW()-ROW(A$2653)</f>
        <v/>
      </c>
      <c r="B2672" s="22" t="inlineStr">
        <is>
          <t>N排</t>
        </is>
      </c>
      <c r="C2672" s="22" t="inlineStr">
        <is>
          <t>TMY 2*60*10</t>
        </is>
      </c>
      <c r="D2672" s="22" t="inlineStr">
        <is>
          <t>国产优质</t>
        </is>
      </c>
      <c r="E2672" s="23" t="inlineStr">
        <is>
          <t>米</t>
        </is>
      </c>
      <c r="F2672" s="23" t="n">
        <v>3</v>
      </c>
      <c r="G2672" s="349">
        <f>IF(AND(B2672="",C2672=""),"",ROUND(M2672*L2672*N2672,2))</f>
        <v/>
      </c>
      <c r="H2672" s="349">
        <f>IF(AND(B2672="",C2672=""),"",ROUND(F2672*G2672,2))</f>
        <v/>
      </c>
      <c r="I2672" s="45" t="inlineStr"/>
      <c r="J2672" s="422">
        <f>IF(AND(B2672="",C2672=""),"",ROUND(M2672*N2672,2))</f>
        <v/>
      </c>
      <c r="K2672" s="423">
        <f>IF(AND(B2672="",C2672=""),"",ROUND(J2672*F2672,2))</f>
        <v/>
      </c>
      <c r="L2672" s="225" t="n">
        <v>1</v>
      </c>
      <c r="M2672" s="424" t="n">
        <v>1154.5614</v>
      </c>
      <c r="N2672" s="227" t="n">
        <v>1</v>
      </c>
      <c r="O2672" s="228">
        <f>IF(AND(B2672="",C2672=""),"",IF(G2672&gt;=20000,0.05,IF(G2672&gt;=10000,0.1,IF(G2672&gt;=5000,0.2,IF(G2672&gt;=1000,0.3,IF(G2672&gt;=0,0.4,{0}))))))</f>
        <v/>
      </c>
      <c r="P2672" s="425">
        <f>IF(AND(B2672="",C2672=""),"",ROUND(H2672*O2672,2))</f>
        <v/>
      </c>
      <c r="Q2672" s="426" t="inlineStr">
        <is>
          <t>母排</t>
        </is>
      </c>
      <c r="R2672" s="234" t="inlineStr"/>
      <c r="S2672" s="234" t="inlineStr"/>
      <c r="T2672" s="235" t="inlineStr">
        <is>
          <t>0</t>
        </is>
      </c>
      <c r="U2672" s="235" t="inlineStr"/>
      <c r="V2672" s="427" t="n"/>
      <c r="W2672" s="427" t="n"/>
      <c r="X2672" s="237" t="inlineStr">
        <is>
          <t>TMY 2*30*5→TMY 30*8</t>
        </is>
      </c>
    </row>
    <row r="2673" customFormat="1" s="5">
      <c r="A2673" s="64">
        <f>ROW()-ROW(A$2653)</f>
        <v/>
      </c>
      <c r="B2673" s="22" t="inlineStr">
        <is>
          <t>PE排</t>
        </is>
      </c>
      <c r="C2673" s="22" t="inlineStr">
        <is>
          <t>TMY 50*5</t>
        </is>
      </c>
      <c r="D2673" s="22" t="inlineStr">
        <is>
          <t>国产优质</t>
        </is>
      </c>
      <c r="E2673" s="23" t="inlineStr">
        <is>
          <t>米</t>
        </is>
      </c>
      <c r="F2673" s="23" t="n">
        <v>2</v>
      </c>
      <c r="G2673" s="349">
        <f>IF(AND(B2673="",C2673=""),"",ROUND(M2673*L2673*N2673,2))</f>
        <v/>
      </c>
      <c r="H2673" s="349">
        <f>IF(AND(B2673="",C2673=""),"",ROUND(F2673*G2673,2))</f>
        <v/>
      </c>
      <c r="I2673" s="45" t="inlineStr"/>
      <c r="J2673" s="422">
        <f>IF(AND(B2673="",C2673=""),"",ROUND(M2673*N2673,2))</f>
        <v/>
      </c>
      <c r="K2673" s="423">
        <f>IF(AND(B2673="",C2673=""),"",ROUND(J2673*F2673,2))</f>
        <v/>
      </c>
      <c r="L2673" s="225" t="n">
        <v>1</v>
      </c>
      <c r="M2673" s="424" t="n">
        <v>240.533625</v>
      </c>
      <c r="N2673" s="227" t="n">
        <v>1</v>
      </c>
      <c r="O2673" s="228">
        <f>IF(AND(B2673="",C2673=""),"",IF(G2673&gt;=20000,0.05,IF(G2673&gt;=10000,0.1,IF(G2673&gt;=5000,0.2,IF(G2673&gt;=1000,0.3,IF(G2673&gt;=0,0.4,{0}))))))</f>
        <v/>
      </c>
      <c r="P2673" s="425">
        <f>IF(AND(B2673="",C2673=""),"",ROUND(H2673*O2673,2))</f>
        <v/>
      </c>
      <c r="Q2673" s="426" t="inlineStr">
        <is>
          <t>母排</t>
        </is>
      </c>
      <c r="R2673" s="234" t="inlineStr"/>
      <c r="S2673" s="234" t="inlineStr"/>
      <c r="T2673" s="235" t="inlineStr">
        <is>
          <t>0</t>
        </is>
      </c>
      <c r="U2673" s="235" t="inlineStr"/>
      <c r="V2673" s="427" t="n"/>
      <c r="W2673" s="427" t="n"/>
      <c r="X2673" s="237" t="inlineStr">
        <is>
          <t>TMY 2*30*5→TMY 30*8</t>
        </is>
      </c>
    </row>
    <row r="2674" s="308">
      <c r="A2674" s="64">
        <f>ROW()-ROW(A$2653)</f>
        <v/>
      </c>
      <c r="B2674" s="112" t="inlineStr">
        <is>
          <t>辅料</t>
        </is>
      </c>
      <c r="C2674" s="112" t="inlineStr"/>
      <c r="D2674" s="112" t="inlineStr"/>
      <c r="E2674" s="114" t="inlineStr">
        <is>
          <t>套</t>
        </is>
      </c>
      <c r="F2674" s="114" t="n">
        <v>1</v>
      </c>
      <c r="G2674" s="396">
        <f>IF(AND(B2674="",C2674=""),"",ROUND(M2674*L2674*N2674,2))</f>
        <v/>
      </c>
      <c r="H2674" s="396">
        <f>IF(AND(B2674="",C2674=""),"",ROUND(F2674*G2674,2))</f>
        <v/>
      </c>
      <c r="I2674" s="219" t="inlineStr"/>
      <c r="J2674" s="397">
        <f>IF(AND(B2674="",C2674=""),"",ROUND(M2674*N2674,2))</f>
        <v/>
      </c>
      <c r="K2674" s="398">
        <f>IF(AND(B2674="",C2674=""),"",ROUND(J2674*F2674,2))</f>
        <v/>
      </c>
      <c r="L2674" s="200" t="n">
        <v>1</v>
      </c>
      <c r="M2674" s="399" t="n">
        <v>800</v>
      </c>
      <c r="N2674" s="154" t="n">
        <v>1</v>
      </c>
      <c r="O2674" s="155">
        <f>IF(AND(B2674="",C2674=""),"",IF(G2674&gt;=20000,0.05,IF(G2674&gt;=10000,0.1,IF(G2674&gt;=5000,0.2,IF(G2674&gt;=1000,0.3,IF(G2674&gt;=0,0.4,{0}))))))</f>
        <v/>
      </c>
      <c r="P2674" s="400">
        <f>IF(AND(B2674="",C2674=""),"",ROUND(H2674*O2674,2))</f>
        <v/>
      </c>
      <c r="Q2674" s="401" t="inlineStr">
        <is>
          <t>辅料</t>
        </is>
      </c>
      <c r="R2674" s="168" t="inlineStr"/>
      <c r="S2674" s="168" t="inlineStr"/>
      <c r="T2674" s="168" t="inlineStr">
        <is>
          <t>0</t>
        </is>
      </c>
      <c r="U2674" s="168" t="inlineStr"/>
      <c r="V2674" s="402" t="n"/>
      <c r="W2674" s="402" t="n"/>
      <c r="X2674" s="170" t="inlineStr"/>
    </row>
    <row r="2675" s="308">
      <c r="A2675" s="64">
        <f>ROW()-ROW(A$2653)</f>
        <v/>
      </c>
      <c r="B2675" s="112" t="inlineStr">
        <is>
          <t>柜体Blokset</t>
        </is>
      </c>
      <c r="C2675" s="22" t="inlineStr">
        <is>
          <t>400W*1200D*2200H</t>
        </is>
      </c>
      <c r="D2675" s="112" t="inlineStr">
        <is>
          <t>清科</t>
        </is>
      </c>
      <c r="E2675" s="114" t="inlineStr">
        <is>
          <t>台</t>
        </is>
      </c>
      <c r="F2675" s="114" t="n">
        <v>1</v>
      </c>
      <c r="G2675" s="396">
        <f>IF(AND(B2675="",C2675=""),"",ROUND(M2675*L2675*N2675,2))</f>
        <v/>
      </c>
      <c r="H2675" s="396">
        <f>IF(AND(B2675="",C2675=""),"",ROUND(F2675*G2675,2))</f>
        <v/>
      </c>
      <c r="I2675" s="219" t="inlineStr"/>
      <c r="J2675" s="397">
        <f>IF(AND(B2675="",C2675=""),"",ROUND(M2675*N2675,2))</f>
        <v/>
      </c>
      <c r="K2675" s="398">
        <f>IF(AND(B2675="",C2675=""),"",ROUND(J2675*F2675,2))</f>
        <v/>
      </c>
      <c r="L2675" s="200" t="n">
        <v>1</v>
      </c>
      <c r="M2675" s="399" t="n">
        <v>4916</v>
      </c>
      <c r="N2675" s="154" t="n">
        <v>1</v>
      </c>
      <c r="O2675" s="155">
        <f>IF(AND(B2675="",C2675=""),"",IF(G2675&gt;=20000,0.05,IF(G2675&gt;=10000,0.1,IF(G2675&gt;=5000,0.2,IF(G2675&gt;=1000,0.3,IF(G2675&gt;=0,0.4,{0}))))))</f>
        <v/>
      </c>
      <c r="P2675" s="400">
        <f>IF(AND(B2675="",C2675=""),"",ROUND(H2675*O2675,2))</f>
        <v/>
      </c>
      <c r="Q2675" s="401" t="inlineStr">
        <is>
          <t>箱体</t>
        </is>
      </c>
      <c r="R2675" s="168" t="inlineStr"/>
      <c r="S2675" s="168" t="inlineStr"/>
      <c r="T2675" s="168" t="inlineStr">
        <is>
          <t>0</t>
        </is>
      </c>
      <c r="U2675" s="168" t="inlineStr"/>
      <c r="V2675" s="402" t="n"/>
      <c r="W2675" s="402" t="n"/>
      <c r="X2675" s="170" t="inlineStr">
        <is>
          <t>BlokSeT</t>
        </is>
      </c>
    </row>
    <row r="2676" s="308">
      <c r="A2676" s="64">
        <f>ROW()-ROW(A$2653)</f>
        <v/>
      </c>
      <c r="B2676" s="22" t="inlineStr"/>
      <c r="C2676" s="22" t="inlineStr"/>
      <c r="D2676" s="22" t="inlineStr"/>
      <c r="E2676" s="23" t="n"/>
      <c r="F2676" s="23">
        <f>IF(AND(B2676="",C2676=""),"",1)</f>
        <v/>
      </c>
      <c r="G2676" s="349">
        <f>IF(AND(B2676="",C2676=""),"",ROUND(M2676*L2676*N2676,2))</f>
        <v/>
      </c>
      <c r="H2676" s="349">
        <f>IF(AND(B2676="",C2676=""),"",ROUND(F2676*G2676,2))</f>
        <v/>
      </c>
      <c r="I2676" s="45" t="inlineStr"/>
      <c r="J2676" s="397">
        <f>IF(AND(B2676="",C2676=""),"",ROUND(M2676*N2676,2))</f>
        <v/>
      </c>
      <c r="K2676" s="398">
        <f>IF(AND(B2676="",C2676=""),"",ROUND(J2676*F2676,2))</f>
        <v/>
      </c>
      <c r="L2676" s="200">
        <f>IF(AND(B2676="",C2676=""),"",1)</f>
        <v/>
      </c>
      <c r="M2676" s="399" t="n"/>
      <c r="N2676" s="154">
        <f>IF(AND(B2676="",C2676=""),"",1)</f>
        <v/>
      </c>
      <c r="O2676" s="155">
        <f>IF(AND(B2676="",C2676=""),"",IF(J2676&gt;=20000,0.05,IF(J2676&gt;=10000,0.1,IF(J2676&gt;=5000,0.2,IF(J2676&gt;=1000,0.3,IF(J2676&gt;=0,0.4,{0}))))))</f>
        <v/>
      </c>
      <c r="P2676" s="400">
        <f>IF(AND(B2676="",C2676=""),"",ROUND(H2676*O2676,2))</f>
        <v/>
      </c>
      <c r="Q2676" s="401">
        <f>IF(AND(B2676="",C2676=""),"","元件")</f>
        <v/>
      </c>
      <c r="R2676" s="168" t="inlineStr"/>
      <c r="S2676" s="168" t="inlineStr"/>
      <c r="T2676" s="168" t="inlineStr"/>
      <c r="U2676" s="168" t="inlineStr"/>
      <c r="V2676" s="402" t="n"/>
      <c r="W2676" s="402" t="n"/>
      <c r="X2676" s="170" t="inlineStr"/>
    </row>
    <row r="2677" s="308">
      <c r="A2677" s="64">
        <f>ROW()-ROW(A$2653)</f>
        <v/>
      </c>
      <c r="B2677" s="171" t="inlineStr">
        <is>
          <t>小计</t>
        </is>
      </c>
      <c r="C2677" s="172" t="n"/>
      <c r="D2677" s="204" t="n"/>
      <c r="E2677" s="114" t="n"/>
      <c r="F2677" s="114" t="n"/>
      <c r="G2677" s="396" t="n"/>
      <c r="H2677" s="396">
        <f>ROUND(SUM(H2653:INDEX(H:H,ROW()-1)),2)</f>
        <v/>
      </c>
      <c r="I2677" s="45" t="inlineStr"/>
      <c r="J2677" s="397" t="n"/>
      <c r="K2677" s="398">
        <f>ROUND(SUM(K2653:INDEX(K:K,ROW()-1)),2)</f>
        <v/>
      </c>
      <c r="L2677" s="200" t="n"/>
      <c r="M2677" s="399" t="n"/>
      <c r="N2677" s="154" t="n"/>
      <c r="O2677" s="155" t="n"/>
      <c r="P2677" s="400" t="n"/>
      <c r="Q2677" s="401" t="n"/>
      <c r="R2677" s="168" t="inlineStr"/>
      <c r="S2677" s="168" t="inlineStr"/>
      <c r="T2677" s="168" t="inlineStr"/>
      <c r="U2677" s="168" t="inlineStr"/>
      <c r="V2677" s="402">
        <f>ROUND(SUMPRODUCT(F2653:INDEX(F:F,ROW()-1),V2653:INDEX(V:V,ROW()-1)),2)</f>
        <v/>
      </c>
      <c r="W2677" s="402">
        <f>ROUND(SUMPRODUCT(F2653:INDEX(F:F,ROW()-1),W2653:INDEX(W:W,ROW()-1)),2)</f>
        <v/>
      </c>
      <c r="X2677" s="170" t="inlineStr"/>
    </row>
    <row r="2678" s="308">
      <c r="A2678" s="64">
        <f>ROW()-ROW(A$2653)</f>
        <v/>
      </c>
      <c r="B2678" s="171" t="inlineStr">
        <is>
          <t>综合费(人工、管理、税金、利润等)</t>
        </is>
      </c>
      <c r="C2678" s="172" t="n"/>
      <c r="D2678" s="204" t="n"/>
      <c r="E2678" s="114" t="n"/>
      <c r="F2678" s="114" t="n"/>
      <c r="G2678" s="396" t="n"/>
      <c r="H2678" s="396">
        <f>2500</f>
        <v/>
      </c>
      <c r="I2678" s="45" t="inlineStr"/>
      <c r="J2678" s="397" t="n"/>
      <c r="K2678" s="398" t="n"/>
      <c r="L2678" s="200" t="n"/>
      <c r="M2678" s="399" t="n"/>
      <c r="N2678" s="154" t="n"/>
      <c r="O2678" s="155" t="n"/>
      <c r="P2678" s="400" t="n"/>
      <c r="Q2678" s="401" t="inlineStr">
        <is>
          <t>费用</t>
        </is>
      </c>
      <c r="R2678" s="168" t="inlineStr"/>
      <c r="S2678" s="168" t="inlineStr"/>
      <c r="T2678" s="168" t="inlineStr"/>
      <c r="U2678" s="168" t="inlineStr"/>
      <c r="V2678" s="402" t="n"/>
      <c r="W2678" s="402" t="n"/>
      <c r="X2678" s="170" t="inlineStr"/>
    </row>
    <row r="2679" s="308">
      <c r="A2679" s="64">
        <f>ROW()-ROW(A$2653)</f>
        <v/>
      </c>
      <c r="B2679" s="204" t="inlineStr">
        <is>
          <t>单台合计</t>
        </is>
      </c>
      <c r="C2679" s="172" t="n"/>
      <c r="D2679" s="204" t="n"/>
      <c r="E2679" s="114" t="n"/>
      <c r="F2679" s="114" t="n"/>
      <c r="G2679" s="396" t="n"/>
      <c r="H2679" s="396">
        <f>ROUND(SUM(H2677:H2678),2)</f>
        <v/>
      </c>
      <c r="I2679" s="181" t="n"/>
      <c r="J2679" s="397" t="n"/>
      <c r="K2679" s="398">
        <f>ROUND(SUM(K2677:K2678),2)</f>
        <v/>
      </c>
      <c r="L2679" s="209" t="n"/>
      <c r="M2679" s="399" t="n"/>
      <c r="N2679" s="210" t="n"/>
      <c r="O2679" s="211" t="n"/>
      <c r="P2679" s="400" t="n"/>
      <c r="Q2679" s="401" t="n"/>
      <c r="R2679" s="168" t="inlineStr"/>
      <c r="S2679" s="168" t="inlineStr"/>
      <c r="T2679" s="168" t="inlineStr"/>
      <c r="U2679" s="168" t="inlineStr"/>
      <c r="V2679" s="402" t="n"/>
      <c r="W2679" s="402" t="n"/>
      <c r="X2679" s="170" t="inlineStr"/>
    </row>
    <row r="2680" s="308">
      <c r="A2680" s="173" t="inlineStr">
        <is>
          <t>总计</t>
        </is>
      </c>
      <c r="B2680" s="205" t="n"/>
      <c r="C2680" s="175" t="n"/>
      <c r="D2680" s="206" t="n"/>
      <c r="E2680" s="206" t="inlineStr">
        <is>
          <t>台</t>
        </is>
      </c>
      <c r="F2680" s="206" t="n">
        <v>1</v>
      </c>
      <c r="G2680" s="414">
        <f>ROUND(H2679,2)</f>
        <v/>
      </c>
      <c r="H2680" s="414">
        <f>ROUND(F2680*G2680,2)</f>
        <v/>
      </c>
      <c r="I2680" s="185" t="n"/>
      <c r="J2680" s="415" t="n"/>
      <c r="K2680" s="416">
        <f>ROUND(K2679*F2680,2)</f>
        <v/>
      </c>
      <c r="L2680" s="214" t="n"/>
      <c r="M2680" s="417" t="n"/>
      <c r="N2680" s="216" t="n"/>
      <c r="O2680" s="217" t="n"/>
      <c r="P2680" s="418" t="n"/>
      <c r="Q2680" s="401" t="n"/>
      <c r="R2680" s="168" t="inlineStr"/>
      <c r="S2680" s="168" t="inlineStr"/>
      <c r="T2680" s="168" t="inlineStr"/>
      <c r="U2680" s="168" t="inlineStr"/>
      <c r="V2680" s="402" t="n"/>
      <c r="W2680" s="402" t="n"/>
      <c r="X2680" s="170" t="inlineStr"/>
    </row>
    <row r="2681" customFormat="1" s="4">
      <c r="A2681" s="6" t="n"/>
      <c r="B2681" s="195" t="inlineStr"/>
      <c r="C2681" s="195" t="inlineStr"/>
      <c r="D2681" s="195" t="inlineStr"/>
      <c r="Q2681" s="159" t="n"/>
      <c r="R2681" s="159" t="n"/>
      <c r="S2681" s="159" t="n"/>
      <c r="T2681" s="159" t="n"/>
      <c r="U2681" s="159" t="n"/>
      <c r="X2681" s="195" t="inlineStr"/>
    </row>
    <row r="2682" customFormat="1" s="4">
      <c r="A2682" s="6" t="n"/>
      <c r="B2682" s="195" t="inlineStr"/>
      <c r="C2682" s="195" t="inlineStr"/>
      <c r="D2682" s="195" t="inlineStr"/>
      <c r="Q2682" s="159" t="n"/>
      <c r="R2682" s="159" t="n"/>
      <c r="S2682" s="159" t="n"/>
      <c r="T2682" s="159" t="n"/>
      <c r="U2682" s="159" t="n"/>
      <c r="X2682" s="195" t="inlineStr"/>
    </row>
    <row r="2683" s="308">
      <c r="A2683" s="208">
        <f>CONCATENATE("报价人：",项目信息!$B$8)</f>
        <v/>
      </c>
      <c r="B2683" s="208" t="n"/>
      <c r="C2683" s="4" t="n"/>
      <c r="D2683" s="4" t="n"/>
      <c r="E2683" s="4" t="n"/>
      <c r="F2683" s="4" t="n"/>
      <c r="G2683" s="4" t="n"/>
      <c r="H2683" s="178">
        <f>项目信息!$B$9</f>
        <v/>
      </c>
      <c r="Q2683" s="159" t="n"/>
      <c r="R2683" s="159" t="n"/>
      <c r="S2683" s="159" t="n"/>
      <c r="T2683" s="159" t="n"/>
      <c r="U2683" s="159" t="n"/>
      <c r="X2683" s="203" t="inlineStr"/>
    </row>
    <row r="2684" s="308">
      <c r="A2684" s="8">
        <f>T(项目信息!$B$22)</f>
        <v/>
      </c>
      <c r="Q2684" s="159" t="n"/>
      <c r="R2684" s="159" t="n"/>
      <c r="S2684" s="159" t="n"/>
      <c r="T2684" s="159" t="n"/>
      <c r="U2684" s="159" t="n"/>
    </row>
    <row r="2685" s="308">
      <c r="A2685" s="9">
        <f>T(项目信息!$B$23)</f>
        <v/>
      </c>
      <c r="Q2685" s="159" t="n"/>
      <c r="R2685" s="159" t="n"/>
      <c r="S2685" s="159" t="n"/>
      <c r="T2685" s="159" t="n"/>
      <c r="U2685" s="159" t="n"/>
    </row>
    <row r="2686" s="308">
      <c r="A2686" s="97" t="inlineStr">
        <is>
          <t>成套产品报价明细表</t>
        </is>
      </c>
      <c r="B2686" s="378" t="n"/>
      <c r="C2686" s="378" t="n"/>
      <c r="D2686" s="378" t="n"/>
      <c r="E2686" s="378" t="n"/>
      <c r="F2686" s="378" t="n"/>
      <c r="G2686" s="378" t="n"/>
      <c r="H2686" s="378" t="n"/>
      <c r="I2686" s="378" t="n"/>
      <c r="Q2686" s="159" t="n"/>
      <c r="R2686" s="159" t="n"/>
      <c r="S2686" s="159" t="n"/>
      <c r="T2686" s="159" t="n"/>
      <c r="U2686" s="159" t="n"/>
    </row>
    <row r="2687" customFormat="1" s="4">
      <c r="A2687" s="98" t="inlineStr">
        <is>
          <t>柜号:</t>
        </is>
      </c>
      <c r="B2687" s="99" t="inlineStr">
        <is>
          <t>T3-AU22</t>
        </is>
      </c>
      <c r="C2687" s="100" t="inlineStr">
        <is>
          <t>型号:</t>
        </is>
      </c>
      <c r="D2687" s="99" t="inlineStr">
        <is>
          <t>BlokSeT</t>
        </is>
      </c>
      <c r="E2687" s="379" t="n"/>
      <c r="F2687" s="101" t="inlineStr">
        <is>
          <t>名称:</t>
        </is>
      </c>
      <c r="G2687" s="99" t="inlineStr">
        <is>
          <t>馈线柜</t>
        </is>
      </c>
      <c r="H2687" s="379" t="n"/>
      <c r="I2687" s="408" t="inlineStr"/>
      <c r="J2687" s="194" t="inlineStr">
        <is>
          <t>箱柜尺寸:</t>
        </is>
      </c>
      <c r="K2687" s="195" t="inlineStr">
        <is>
          <t>600W*1200D*2200H</t>
        </is>
      </c>
      <c r="L2687" s="194" t="inlineStr">
        <is>
          <t>类别:</t>
        </is>
      </c>
      <c r="M2687" s="195" t="inlineStr">
        <is>
          <t>低压固定柜</t>
        </is>
      </c>
      <c r="N2687" s="409" t="inlineStr"/>
      <c r="Q2687" s="159" t="n"/>
      <c r="R2687" s="159" t="n"/>
      <c r="S2687" s="159" t="n"/>
      <c r="T2687" s="159" t="n"/>
      <c r="U2687" s="159" t="n"/>
    </row>
    <row r="2688" ht="20.1" customHeight="1" s="308">
      <c r="A2688" s="102" t="inlineStr">
        <is>
          <t>序号</t>
        </is>
      </c>
      <c r="B2688" s="103" t="inlineStr">
        <is>
          <t>元件名称</t>
        </is>
      </c>
      <c r="C2688" s="103" t="inlineStr">
        <is>
          <t>型号规格</t>
        </is>
      </c>
      <c r="D2688" s="104" t="inlineStr">
        <is>
          <t>生产厂家</t>
        </is>
      </c>
      <c r="E2688" s="105" t="inlineStr">
        <is>
          <t>单位</t>
        </is>
      </c>
      <c r="F2688" s="105" t="inlineStr">
        <is>
          <t>数量</t>
        </is>
      </c>
      <c r="G2688" s="382" t="inlineStr">
        <is>
          <t>单   价</t>
        </is>
      </c>
      <c r="H2688" s="383" t="inlineStr">
        <is>
          <t>总   价</t>
        </is>
      </c>
      <c r="I2688" s="134" t="inlineStr">
        <is>
          <t>备注</t>
        </is>
      </c>
      <c r="J2688" s="384" t="inlineStr">
        <is>
          <t>成本单价</t>
        </is>
      </c>
      <c r="K2688" s="384" t="inlineStr">
        <is>
          <t>成本总价</t>
        </is>
      </c>
      <c r="L2688" s="136" t="inlineStr">
        <is>
          <t>报出
系数</t>
        </is>
      </c>
      <c r="M2688" s="384" t="inlineStr">
        <is>
          <t>表价</t>
        </is>
      </c>
      <c r="N2688" s="136" t="inlineStr">
        <is>
          <t>折扣
系数</t>
        </is>
      </c>
      <c r="O2688" s="137" t="inlineStr">
        <is>
          <t>取费
系数</t>
        </is>
      </c>
      <c r="P2688" s="384" t="inlineStr">
        <is>
          <t>成套费</t>
        </is>
      </c>
      <c r="Q2688" s="161" t="inlineStr">
        <is>
          <t>类别</t>
        </is>
      </c>
      <c r="R2688" s="161" t="inlineStr">
        <is>
          <t>物料编码</t>
        </is>
      </c>
      <c r="S2688" s="161" t="inlineStr">
        <is>
          <t>产地</t>
        </is>
      </c>
      <c r="T2688" s="161" t="inlineStr">
        <is>
          <t>加工费</t>
        </is>
      </c>
      <c r="U2688" s="161" t="inlineStr">
        <is>
          <t>订货号</t>
        </is>
      </c>
      <c r="V2688" s="161" t="inlineStr">
        <is>
          <t>人工</t>
        </is>
      </c>
      <c r="W2688" s="161" t="inlineStr">
        <is>
          <t>辅料</t>
        </is>
      </c>
      <c r="X2688" s="203" t="inlineStr"/>
    </row>
    <row r="2689" s="308">
      <c r="A2689" s="64">
        <f>ROW()-ROW(A$2688)</f>
        <v/>
      </c>
      <c r="B2689" s="22" t="inlineStr">
        <is>
          <t>塑壳断路器</t>
        </is>
      </c>
      <c r="C2689" s="22" t="inlineStr">
        <is>
          <t>NSX100H TM100D 3P3D P</t>
        </is>
      </c>
      <c r="D2689" s="22" t="inlineStr">
        <is>
          <t>甲供/施耐德电气</t>
        </is>
      </c>
      <c r="E2689" s="23" t="inlineStr">
        <is>
          <t>只</t>
        </is>
      </c>
      <c r="F2689" s="23" t="n">
        <v>2</v>
      </c>
      <c r="G2689" s="349">
        <f>IF(AND(B2689="",C2689=""),"",ROUND(M2689*L2689*N2689,2))</f>
        <v/>
      </c>
      <c r="H2689" s="349">
        <f>IF(AND(B2689="",C2689=""),"",ROUND(F2689*G2689,2))</f>
        <v/>
      </c>
      <c r="I2689" s="45" t="inlineStr"/>
      <c r="J2689" s="397">
        <f>IF(AND(B2689="",C2689=""),"",ROUND(M2689*N2689,2))</f>
        <v/>
      </c>
      <c r="K2689" s="398">
        <f>IF(AND(B2689="",C2689=""),"",ROUND(J2689*F2689,2))</f>
        <v/>
      </c>
      <c r="L2689" s="200" t="n">
        <v>1</v>
      </c>
      <c r="M2689" s="399" t="n">
        <v>1e-07</v>
      </c>
      <c r="N2689" s="154" t="n">
        <v>1</v>
      </c>
      <c r="O2689" s="155">
        <f>IF(AND(B2689="",C2689=""),"",IF(G2689&gt;=20000,0.05,IF(G2689&gt;=10000,0.1,IF(G2689&gt;=5000,0.2,IF(G2689&gt;=1000,0.3,IF(G2689&gt;=0,0.4,{0}))))))</f>
        <v/>
      </c>
      <c r="P2689" s="400">
        <f>IF(AND(B2689="",C2689=""),"",ROUND(H2689*O2689,2))</f>
        <v/>
      </c>
      <c r="Q2689" s="401" t="inlineStr">
        <is>
          <t>元件</t>
        </is>
      </c>
      <c r="R2689" s="168" t="inlineStr"/>
      <c r="S2689" s="168" t="inlineStr"/>
      <c r="T2689" s="168" t="inlineStr">
        <is>
          <t>0</t>
        </is>
      </c>
      <c r="U2689" s="168" t="inlineStr">
        <is>
          <t>C16F32D160</t>
        </is>
      </c>
      <c r="V2689" s="402" t="n"/>
      <c r="W2689" s="402" t="n"/>
      <c r="X2689" s="170" t="inlineStr">
        <is>
          <t>NSX630N Mic2.3 630A 3P3D F→NSX630F MIC2.3 630 3P F→NSX630F MIC 2.3 630 3P F</t>
        </is>
      </c>
    </row>
    <row r="2690" s="308">
      <c r="A2690" s="64">
        <f>ROW()-ROW(A$2688)</f>
        <v/>
      </c>
      <c r="B2690" s="22" t="inlineStr">
        <is>
          <t>塑壳断路器</t>
        </is>
      </c>
      <c r="C2690" s="22" t="inlineStr">
        <is>
          <t>NSX160H TM160D 3P3D P</t>
        </is>
      </c>
      <c r="D2690" s="22" t="inlineStr">
        <is>
          <t>甲供/施耐德电气</t>
        </is>
      </c>
      <c r="E2690" s="23" t="inlineStr">
        <is>
          <t>只</t>
        </is>
      </c>
      <c r="F2690" s="23" t="n">
        <v>4</v>
      </c>
      <c r="G2690" s="349">
        <f>IF(AND(B2690="",C2690=""),"",ROUND(M2690*L2690*N2690,2))</f>
        <v/>
      </c>
      <c r="H2690" s="349">
        <f>IF(AND(B2690="",C2690=""),"",ROUND(F2690*G2690,2))</f>
        <v/>
      </c>
      <c r="I2690" s="45" t="inlineStr"/>
      <c r="J2690" s="397">
        <f>IF(AND(B2690="",C2690=""),"",ROUND(M2690*N2690,2))</f>
        <v/>
      </c>
      <c r="K2690" s="398">
        <f>IF(AND(B2690="",C2690=""),"",ROUND(J2690*F2690,2))</f>
        <v/>
      </c>
      <c r="L2690" s="200" t="n">
        <v>1</v>
      </c>
      <c r="M2690" s="399" t="n">
        <v>1e-07</v>
      </c>
      <c r="N2690" s="154" t="n">
        <v>1</v>
      </c>
      <c r="O2690" s="155">
        <f>IF(AND(B2690="",C2690=""),"",IF(G2690&gt;=20000,0.05,IF(G2690&gt;=10000,0.1,IF(G2690&gt;=5000,0.2,IF(G2690&gt;=1000,0.3,IF(G2690&gt;=0,0.4,{0}))))))</f>
        <v/>
      </c>
      <c r="P2690" s="400">
        <f>IF(AND(B2690="",C2690=""),"",ROUND(H2690*O2690,2))</f>
        <v/>
      </c>
      <c r="Q2690" s="401" t="inlineStr">
        <is>
          <t>元件</t>
        </is>
      </c>
      <c r="R2690" s="168" t="inlineStr"/>
      <c r="S2690" s="168" t="inlineStr"/>
      <c r="T2690" s="168" t="inlineStr">
        <is>
          <t>0</t>
        </is>
      </c>
      <c r="U2690" s="168" t="inlineStr">
        <is>
          <t>C16F32D160</t>
        </is>
      </c>
      <c r="V2690" s="402" t="n"/>
      <c r="W2690" s="402" t="n"/>
      <c r="X2690" s="170" t="inlineStr">
        <is>
          <t>NSX630N Mic2.3 630A 3P3D F→NSX630F MIC2.3 630 3P F→NSX630F MIC 2.3 630 3P F</t>
        </is>
      </c>
    </row>
    <row r="2691" s="308">
      <c r="A2691" s="64">
        <f>ROW()-ROW(A$2688)</f>
        <v/>
      </c>
      <c r="B2691" s="22" t="inlineStr">
        <is>
          <t>塑壳断路器</t>
        </is>
      </c>
      <c r="C2691" s="22" t="inlineStr">
        <is>
          <t>NSX250H TM250D 3P3D P</t>
        </is>
      </c>
      <c r="D2691" s="22" t="inlineStr">
        <is>
          <t>甲供/施耐德电气</t>
        </is>
      </c>
      <c r="E2691" s="23" t="inlineStr">
        <is>
          <t>只</t>
        </is>
      </c>
      <c r="F2691" s="23" t="n">
        <v>3</v>
      </c>
      <c r="G2691" s="349">
        <f>IF(AND(B2691="",C2691=""),"",ROUND(M2691*L2691*N2691,2))</f>
        <v/>
      </c>
      <c r="H2691" s="349">
        <f>IF(AND(B2691="",C2691=""),"",ROUND(F2691*G2691,2))</f>
        <v/>
      </c>
      <c r="I2691" s="45" t="inlineStr"/>
      <c r="J2691" s="397">
        <f>IF(AND(B2691="",C2691=""),"",ROUND(M2691*N2691,2))</f>
        <v/>
      </c>
      <c r="K2691" s="398">
        <f>IF(AND(B2691="",C2691=""),"",ROUND(J2691*F2691,2))</f>
        <v/>
      </c>
      <c r="L2691" s="200" t="n">
        <v>1</v>
      </c>
      <c r="M2691" s="399" t="n">
        <v>1e-07</v>
      </c>
      <c r="N2691" s="154" t="n">
        <v>1</v>
      </c>
      <c r="O2691" s="155">
        <f>IF(AND(B2691="",C2691=""),"",IF(G2691&gt;=20000,0.05,IF(G2691&gt;=10000,0.1,IF(G2691&gt;=5000,0.2,IF(G2691&gt;=1000,0.3,IF(G2691&gt;=0,0.4,{0}))))))</f>
        <v/>
      </c>
      <c r="P2691" s="400">
        <f>IF(AND(B2691="",C2691=""),"",ROUND(H2691*O2691,2))</f>
        <v/>
      </c>
      <c r="Q2691" s="401" t="inlineStr">
        <is>
          <t>元件</t>
        </is>
      </c>
      <c r="R2691" s="168" t="inlineStr"/>
      <c r="S2691" s="168" t="inlineStr"/>
      <c r="T2691" s="168" t="inlineStr">
        <is>
          <t>0</t>
        </is>
      </c>
      <c r="U2691" s="168" t="inlineStr">
        <is>
          <t>C16F32D160</t>
        </is>
      </c>
      <c r="V2691" s="402" t="n"/>
      <c r="W2691" s="402" t="n"/>
      <c r="X2691" s="170" t="inlineStr">
        <is>
          <t>NSX630N Mic2.3 630A 3P3D F→NSX630F MIC2.3 630 3P F→NSX630F MIC 2.3 630 3P F</t>
        </is>
      </c>
    </row>
    <row r="2692" s="308">
      <c r="A2692" s="64">
        <f>ROW()-ROW(A$2688)</f>
        <v/>
      </c>
      <c r="B2692" s="22" t="inlineStr">
        <is>
          <t>塑壳断路器</t>
        </is>
      </c>
      <c r="C2692" s="22" t="inlineStr">
        <is>
          <t>NSX400H Mic2.3 400A 3P3D P</t>
        </is>
      </c>
      <c r="D2692" s="22" t="inlineStr">
        <is>
          <t>甲供/施耐德电气</t>
        </is>
      </c>
      <c r="E2692" s="23" t="inlineStr">
        <is>
          <t>只</t>
        </is>
      </c>
      <c r="F2692" s="23" t="n">
        <v>1</v>
      </c>
      <c r="G2692" s="349">
        <f>IF(AND(B2692="",C2692=""),"",ROUND(M2692*L2692*N2692,2))</f>
        <v/>
      </c>
      <c r="H2692" s="349">
        <f>IF(AND(B2692="",C2692=""),"",ROUND(F2692*G2692,2))</f>
        <v/>
      </c>
      <c r="I2692" s="45" t="inlineStr"/>
      <c r="J2692" s="397">
        <f>IF(AND(B2692="",C2692=""),"",ROUND(M2692*N2692,2))</f>
        <v/>
      </c>
      <c r="K2692" s="398">
        <f>IF(AND(B2692="",C2692=""),"",ROUND(J2692*F2692,2))</f>
        <v/>
      </c>
      <c r="L2692" s="200" t="n">
        <v>1</v>
      </c>
      <c r="M2692" s="399" t="n">
        <v>1e-07</v>
      </c>
      <c r="N2692" s="154" t="n">
        <v>1</v>
      </c>
      <c r="O2692" s="155">
        <f>IF(AND(B2692="",C2692=""),"",IF(G2692&gt;=20000,0.05,IF(G2692&gt;=10000,0.1,IF(G2692&gt;=5000,0.2,IF(G2692&gt;=1000,0.3,IF(G2692&gt;=0,0.4,{0}))))))</f>
        <v/>
      </c>
      <c r="P2692" s="400">
        <f>IF(AND(B2692="",C2692=""),"",ROUND(H2692*O2692,2))</f>
        <v/>
      </c>
      <c r="Q2692" s="401" t="inlineStr">
        <is>
          <t>元件</t>
        </is>
      </c>
      <c r="R2692" s="168" t="inlineStr"/>
      <c r="S2692" s="168" t="inlineStr"/>
      <c r="T2692" s="168" t="inlineStr">
        <is>
          <t>0</t>
        </is>
      </c>
      <c r="U2692" s="168" t="inlineStr"/>
      <c r="V2692" s="402" t="n"/>
      <c r="W2692" s="402" t="n"/>
      <c r="X2692" s="170" t="inlineStr"/>
    </row>
    <row r="2693" s="308">
      <c r="A2693" s="64">
        <f>ROW()-ROW(A$2688)</f>
        <v/>
      </c>
      <c r="B2693" s="22" t="inlineStr">
        <is>
          <t>电流互感器</t>
        </is>
      </c>
      <c r="C2693" s="22" t="inlineStr">
        <is>
          <t>SD-0.66-30I 150/5A</t>
        </is>
      </c>
      <c r="D2693" s="22" t="inlineStr">
        <is>
          <t>桑迪</t>
        </is>
      </c>
      <c r="E2693" s="23" t="inlineStr">
        <is>
          <t>只</t>
        </is>
      </c>
      <c r="F2693" s="23" t="n">
        <v>12</v>
      </c>
      <c r="G2693" s="349">
        <f>IF(AND(B2693="",C2693=""),"",ROUND(M2693*L2693*N2693,2))</f>
        <v/>
      </c>
      <c r="H2693" s="396">
        <f>IF(AND(B2693="",C2693=""),"",ROUND(F2693*G2693,2))</f>
        <v/>
      </c>
      <c r="I2693" s="219" t="inlineStr"/>
      <c r="J2693" s="397">
        <f>IF(AND(B2693="",C2693=""),"",ROUND(M2693*N2693,2))</f>
        <v/>
      </c>
      <c r="K2693" s="398">
        <f>IF(AND(B2693="",C2693=""),"",ROUND(J2693*F2693,2))</f>
        <v/>
      </c>
      <c r="L2693" s="200" t="n">
        <v>1</v>
      </c>
      <c r="M2693" s="399" t="n">
        <v>29.95</v>
      </c>
      <c r="N2693" s="154" t="n">
        <v>1</v>
      </c>
      <c r="O2693" s="155">
        <f>IF(AND(B2693="",C2693=""),"",IF(G2693&gt;=20000,0.05,IF(G2693&gt;=10000,0.1,IF(G2693&gt;=5000,0.2,IF(G2693&gt;=1000,0.3,IF(G2693&gt;=0,0.4,{0}))))))</f>
        <v/>
      </c>
      <c r="P2693" s="400">
        <f>IF(AND(B2693="",C2693=""),"",ROUND(H2693*O2693,2))</f>
        <v/>
      </c>
      <c r="Q2693" s="401" t="inlineStr">
        <is>
          <t>元件</t>
        </is>
      </c>
      <c r="R2693" s="168" t="inlineStr"/>
      <c r="S2693" s="168" t="inlineStr"/>
      <c r="T2693" s="168" t="inlineStr">
        <is>
          <t>0</t>
        </is>
      </c>
      <c r="U2693" s="168" t="inlineStr">
        <is>
          <t>710140200000049</t>
        </is>
      </c>
      <c r="V2693" s="402" t="n"/>
      <c r="W2693" s="402" t="n"/>
      <c r="X2693" s="170" t="inlineStr">
        <is>
          <t>SD→SD-0.66-40II-C 400/5A→SD-0.66-30I 250/5A→SD-0.66-30I 150/5A→SD-0.66-60II-C 750/5A→SD-0.66-60II-C 600/5A→SD-0.66-30I 150/5A→SD-0.66-40II-C 400/5A→SD-0.66-100II-C 1600/5A→SD-0.66-80II-V 1000/5A</t>
        </is>
      </c>
    </row>
    <row r="2694" s="308">
      <c r="A2694" s="64">
        <f>ROW()-ROW(A$2688)</f>
        <v/>
      </c>
      <c r="B2694" s="22" t="inlineStr">
        <is>
          <t>电流互感器</t>
        </is>
      </c>
      <c r="C2694" s="22" t="inlineStr">
        <is>
          <t>SD-0.66-30I 250/5A</t>
        </is>
      </c>
      <c r="D2694" s="22" t="inlineStr">
        <is>
          <t>桑迪</t>
        </is>
      </c>
      <c r="E2694" s="23" t="inlineStr">
        <is>
          <t>只</t>
        </is>
      </c>
      <c r="F2694" s="23" t="n">
        <v>9</v>
      </c>
      <c r="G2694" s="349">
        <f>IF(AND(B2694="",C2694=""),"",ROUND(M2694*L2694*N2694,2))</f>
        <v/>
      </c>
      <c r="H2694" s="396">
        <f>IF(AND(B2694="",C2694=""),"",ROUND(F2694*G2694,2))</f>
        <v/>
      </c>
      <c r="I2694" s="219" t="inlineStr"/>
      <c r="J2694" s="397">
        <f>IF(AND(B2694="",C2694=""),"",ROUND(M2694*N2694,2))</f>
        <v/>
      </c>
      <c r="K2694" s="398">
        <f>IF(AND(B2694="",C2694=""),"",ROUND(J2694*F2694,2))</f>
        <v/>
      </c>
      <c r="L2694" s="200" t="n">
        <v>1</v>
      </c>
      <c r="M2694" s="399" t="n">
        <v>26.65</v>
      </c>
      <c r="N2694" s="154" t="n">
        <v>1</v>
      </c>
      <c r="O2694" s="155">
        <f>IF(AND(B2694="",C2694=""),"",IF(G2694&gt;=20000,0.05,IF(G2694&gt;=10000,0.1,IF(G2694&gt;=5000,0.2,IF(G2694&gt;=1000,0.3,IF(G2694&gt;=0,0.4,{0}))))))</f>
        <v/>
      </c>
      <c r="P2694" s="400">
        <f>IF(AND(B2694="",C2694=""),"",ROUND(H2694*O2694,2))</f>
        <v/>
      </c>
      <c r="Q2694" s="401" t="inlineStr">
        <is>
          <t>元件</t>
        </is>
      </c>
      <c r="R2694" s="168" t="inlineStr"/>
      <c r="S2694" s="168" t="inlineStr"/>
      <c r="T2694" s="168" t="inlineStr">
        <is>
          <t>0</t>
        </is>
      </c>
      <c r="U2694" s="168" t="inlineStr">
        <is>
          <t>710140200000049</t>
        </is>
      </c>
      <c r="V2694" s="402" t="n"/>
      <c r="W2694" s="402" t="n"/>
      <c r="X2694" s="170" t="inlineStr">
        <is>
          <t>SD→SD-0.66-40II-C 400/5A→SD-0.66-30I 250/5A→SD-0.66-30I 150/5A→SD-0.66-60II-C 750/5A→SD-0.66-60II-C 600/5A→SD-0.66-30I 150/5A→SD-0.66-40II-C 400/5A→SD-0.66-100II-C 1600/5A→SD-0.66-80II-V 1000/5A</t>
        </is>
      </c>
    </row>
    <row r="2695" s="308">
      <c r="A2695" s="64">
        <f>ROW()-ROW(A$2688)</f>
        <v/>
      </c>
      <c r="B2695" s="22" t="inlineStr">
        <is>
          <t>电流互感器</t>
        </is>
      </c>
      <c r="C2695" s="22" t="inlineStr">
        <is>
          <t>SD-0.66-40II-C 400/5A</t>
        </is>
      </c>
      <c r="D2695" s="22" t="inlineStr">
        <is>
          <t>桑迪</t>
        </is>
      </c>
      <c r="E2695" s="23" t="inlineStr">
        <is>
          <t>只</t>
        </is>
      </c>
      <c r="F2695" s="23" t="n">
        <v>3</v>
      </c>
      <c r="G2695" s="349">
        <f>IF(AND(B2695="",C2695=""),"",ROUND(M2695*L2695*N2695,2))</f>
        <v/>
      </c>
      <c r="H2695" s="396">
        <f>IF(AND(B2695="",C2695=""),"",ROUND(F2695*G2695,2))</f>
        <v/>
      </c>
      <c r="I2695" s="219" t="inlineStr"/>
      <c r="J2695" s="397">
        <f>IF(AND(B2695="",C2695=""),"",ROUND(M2695*N2695,2))</f>
        <v/>
      </c>
      <c r="K2695" s="398">
        <f>IF(AND(B2695="",C2695=""),"",ROUND(J2695*F2695,2))</f>
        <v/>
      </c>
      <c r="L2695" s="200" t="n">
        <v>1</v>
      </c>
      <c r="M2695" s="399" t="n">
        <v>52</v>
      </c>
      <c r="N2695" s="154" t="n">
        <v>1</v>
      </c>
      <c r="O2695" s="155">
        <f>IF(AND(B2695="",C2695=""),"",IF(G2695&gt;=20000,0.05,IF(G2695&gt;=10000,0.1,IF(G2695&gt;=5000,0.2,IF(G2695&gt;=1000,0.3,IF(G2695&gt;=0,0.4,{0}))))))</f>
        <v/>
      </c>
      <c r="P2695" s="400">
        <f>IF(AND(B2695="",C2695=""),"",ROUND(H2695*O2695,2))</f>
        <v/>
      </c>
      <c r="Q2695" s="401" t="inlineStr">
        <is>
          <t>元件</t>
        </is>
      </c>
      <c r="R2695" s="168" t="inlineStr"/>
      <c r="S2695" s="168" t="inlineStr"/>
      <c r="T2695" s="168" t="inlineStr">
        <is>
          <t>0</t>
        </is>
      </c>
      <c r="U2695" s="168" t="inlineStr">
        <is>
          <t>710140200000049</t>
        </is>
      </c>
      <c r="V2695" s="402" t="n"/>
      <c r="W2695" s="402" t="n"/>
      <c r="X2695" s="170" t="inlineStr">
        <is>
          <t>SD→SD-0.66-40II-C 400/5A→SD-0.66-30I 250/5A→SD-0.66-30I 150/5A→SD-0.66-60II-C 750/5A→SD-0.66-60II-C 600/5A→SD-0.66-30I 150/5A→SD-0.66-40II-C 400/5A→SD-0.66-100II-C 1600/5A→SD-0.66-80II-V 1000/5A</t>
        </is>
      </c>
    </row>
    <row r="2696" s="308">
      <c r="A2696" s="64">
        <f>ROW()-ROW(A$2688)</f>
        <v/>
      </c>
      <c r="B2696" s="22" t="inlineStr">
        <is>
          <t>电流互感器</t>
        </is>
      </c>
      <c r="C2696" s="22" t="inlineStr">
        <is>
          <t>SD-0.66-M8 100/5A</t>
        </is>
      </c>
      <c r="D2696" s="22" t="inlineStr">
        <is>
          <t>桑迪</t>
        </is>
      </c>
      <c r="E2696" s="23" t="inlineStr">
        <is>
          <t>只</t>
        </is>
      </c>
      <c r="F2696" s="23" t="n">
        <v>6</v>
      </c>
      <c r="G2696" s="349">
        <f>IF(AND(B2696="",C2696=""),"",ROUND(M2696*L2696*N2696,2))</f>
        <v/>
      </c>
      <c r="H2696" s="396">
        <f>IF(AND(B2696="",C2696=""),"",ROUND(F2696*G2696,2))</f>
        <v/>
      </c>
      <c r="I2696" s="219" t="inlineStr"/>
      <c r="J2696" s="397">
        <f>IF(AND(B2696="",C2696=""),"",ROUND(M2696*N2696,2))</f>
        <v/>
      </c>
      <c r="K2696" s="398">
        <f>IF(AND(B2696="",C2696=""),"",ROUND(J2696*F2696,2))</f>
        <v/>
      </c>
      <c r="L2696" s="200" t="n">
        <v>1</v>
      </c>
      <c r="M2696" s="399" t="n">
        <v>61.75</v>
      </c>
      <c r="N2696" s="154" t="n">
        <v>1</v>
      </c>
      <c r="O2696" s="155">
        <f>IF(AND(B2696="",C2696=""),"",IF(G2696&gt;=20000,0.05,IF(G2696&gt;=10000,0.1,IF(G2696&gt;=5000,0.2,IF(G2696&gt;=1000,0.3,IF(G2696&gt;=0,0.4,{0}))))))</f>
        <v/>
      </c>
      <c r="P2696" s="400">
        <f>IF(AND(B2696="",C2696=""),"",ROUND(H2696*O2696,2))</f>
        <v/>
      </c>
      <c r="Q2696" s="401" t="inlineStr">
        <is>
          <t>元件</t>
        </is>
      </c>
      <c r="R2696" s="168" t="inlineStr"/>
      <c r="S2696" s="168" t="inlineStr"/>
      <c r="T2696" s="168" t="inlineStr">
        <is>
          <t>0</t>
        </is>
      </c>
      <c r="U2696" s="168" t="inlineStr">
        <is>
          <t>710140200000049</t>
        </is>
      </c>
      <c r="V2696" s="402" t="n"/>
      <c r="W2696" s="402" t="n"/>
      <c r="X2696" s="170" t="inlineStr">
        <is>
          <t>SD→SD-0.66-40II-C 400/5A→SD-0.66-30I 250/5A→SD-0.66-30I 150/5A→SD-0.66-60II-C 750/5A→SD-0.66-60II-C 600/5A→SD-0.66-30I 150/5A→SD-0.66-40II-C 400/5A→SD-0.66-100II-C 1600/5A→SD-0.66-80II-V 1000/5A→SD-0.66-40II-C 400/5A→SD-0.66-60II-C 600/5A</t>
        </is>
      </c>
    </row>
    <row r="2697" s="308">
      <c r="A2697" s="64">
        <f>ROW()-ROW(A$2688)</f>
        <v/>
      </c>
      <c r="B2697" s="112" t="inlineStr">
        <is>
          <t>多功能表</t>
        </is>
      </c>
      <c r="C2697" s="112" t="inlineStr">
        <is>
          <t>PM4101</t>
        </is>
      </c>
      <c r="D2697" s="112" t="inlineStr">
        <is>
          <t>甲供/施耐德电气</t>
        </is>
      </c>
      <c r="E2697" s="114" t="inlineStr">
        <is>
          <t>只</t>
        </is>
      </c>
      <c r="F2697" s="114" t="n">
        <v>10</v>
      </c>
      <c r="G2697" s="396">
        <f>IF(AND(B2697="",C2697=""),"",ROUND(M2697*L2697*N2697,2))</f>
        <v/>
      </c>
      <c r="H2697" s="349">
        <f>IF(AND(B2697="",C2697=""),"",ROUND(F2697*G2697,2))</f>
        <v/>
      </c>
      <c r="I2697" s="45" t="inlineStr"/>
      <c r="J2697" s="397">
        <f>IF(AND(B2697="",C2697=""),"",ROUND(M2697*N2697,2))</f>
        <v/>
      </c>
      <c r="K2697" s="398">
        <f>IF(AND(B2697="",C2697=""),"",ROUND(J2697*F2697,2))</f>
        <v/>
      </c>
      <c r="L2697" s="200" t="n">
        <v>1</v>
      </c>
      <c r="M2697" s="399" t="n">
        <v>1e-07</v>
      </c>
      <c r="N2697" s="154" t="n">
        <v>1</v>
      </c>
      <c r="O2697" s="155">
        <f>IF(AND(B2697="",C2697=""),"",IF(J2697&gt;=20000,0.05,IF(J2697&gt;=10000,0.1,IF(J2697&gt;=5000,0.2,IF(J2697&gt;=1000,0.3,IF(J2697&gt;=0,0.4,{0}))))))</f>
        <v/>
      </c>
      <c r="P2697" s="400">
        <f>IF(AND(B2697="",C2697=""),"",ROUND(H2697*O2697,2))</f>
        <v/>
      </c>
      <c r="Q2697" s="401" t="inlineStr">
        <is>
          <t>元件</t>
        </is>
      </c>
      <c r="R2697" s="168" t="inlineStr"/>
      <c r="S2697" s="168" t="inlineStr"/>
      <c r="T2697" s="168" t="inlineStr">
        <is>
          <t>0</t>
        </is>
      </c>
      <c r="U2697" s="168" t="inlineStr"/>
      <c r="V2697" s="402" t="n"/>
      <c r="W2697" s="402" t="n"/>
      <c r="X2697" s="170" t="inlineStr"/>
    </row>
    <row r="2698" customFormat="1" s="3">
      <c r="A2698" s="64">
        <f>ROW()-ROW(A$2688)</f>
        <v/>
      </c>
      <c r="B2698" s="22" t="inlineStr">
        <is>
          <t>指示灯</t>
        </is>
      </c>
      <c r="C2698" s="22" t="inlineStr">
        <is>
          <t>XB2BVM3LC</t>
        </is>
      </c>
      <c r="D2698" s="22" t="inlineStr">
        <is>
          <t>甲供/施耐德电气</t>
        </is>
      </c>
      <c r="E2698" s="23" t="inlineStr">
        <is>
          <t>只</t>
        </is>
      </c>
      <c r="F2698" s="23" t="n">
        <v>10</v>
      </c>
      <c r="G2698" s="349">
        <f>IF(AND(B2698="",C2698=""),"",ROUND(M2698*L2698*N2698,2))</f>
        <v/>
      </c>
      <c r="H2698" s="353">
        <f>IF(AND(B2698="",C2698=""),"",ROUND(F2698*G2698,2))</f>
        <v/>
      </c>
      <c r="I2698" s="180" t="inlineStr"/>
      <c r="J2698" s="392">
        <f>IF(AND(B2698="",C2698=""),"",ROUND(M2698*N2698,2))</f>
        <v/>
      </c>
      <c r="K2698" s="393">
        <f>IF(AND(B2698="",C2698=""),"",ROUND(J2698*F2698,2))</f>
        <v/>
      </c>
      <c r="L2698" s="141" t="n">
        <v>1</v>
      </c>
      <c r="M2698" s="394" t="n">
        <v>1e-07</v>
      </c>
      <c r="N2698" s="220" t="n">
        <v>1</v>
      </c>
      <c r="O2698" s="221">
        <f>IF(AND(B2698="",C2698=""),"",IF(G2698&gt;=20000,0.05,IF(G2698&gt;=10000,0.1,IF(G2698&gt;=5000,0.2,IF(G2698&gt;=1000,0.3,IF(G2698&gt;=0,0.4,{0}))))))</f>
        <v/>
      </c>
      <c r="P2698" s="419">
        <f>IF(AND(B2698="",C2698=""),"",ROUND(H2698*O2698,2))</f>
        <v/>
      </c>
      <c r="Q2698" s="420" t="inlineStr">
        <is>
          <t>元件</t>
        </is>
      </c>
      <c r="R2698" s="231" t="inlineStr"/>
      <c r="S2698" s="231" t="inlineStr"/>
      <c r="T2698" s="231" t="inlineStr">
        <is>
          <t>0</t>
        </is>
      </c>
      <c r="U2698" s="231" t="inlineStr">
        <is>
          <t>XB2BVM3LC</t>
        </is>
      </c>
      <c r="V2698" s="421" t="n"/>
      <c r="W2698" s="421" t="n"/>
      <c r="X2698" s="166" t="inlineStr">
        <is>
          <t>XA2EVM3LC</t>
        </is>
      </c>
    </row>
    <row r="2699" customFormat="1" s="3">
      <c r="A2699" s="64">
        <f>ROW()-ROW(A$2688)</f>
        <v/>
      </c>
      <c r="B2699" s="22" t="inlineStr">
        <is>
          <t>指示灯</t>
        </is>
      </c>
      <c r="C2699" s="22" t="inlineStr">
        <is>
          <t>XB2BVM4LC</t>
        </is>
      </c>
      <c r="D2699" s="22" t="inlineStr">
        <is>
          <t>甲供/施耐德电气</t>
        </is>
      </c>
      <c r="E2699" s="23" t="inlineStr">
        <is>
          <t>只</t>
        </is>
      </c>
      <c r="F2699" s="23" t="n">
        <v>10</v>
      </c>
      <c r="G2699" s="349">
        <f>IF(AND(B2699="",C2699=""),"",ROUND(M2699*L2699*N2699,2))</f>
        <v/>
      </c>
      <c r="H2699" s="353">
        <f>IF(AND(B2699="",C2699=""),"",ROUND(F2699*G2699,2))</f>
        <v/>
      </c>
      <c r="I2699" s="180" t="inlineStr"/>
      <c r="J2699" s="392">
        <f>IF(AND(B2699="",C2699=""),"",ROUND(M2699*N2699,2))</f>
        <v/>
      </c>
      <c r="K2699" s="393">
        <f>IF(AND(B2699="",C2699=""),"",ROUND(J2699*F2699,2))</f>
        <v/>
      </c>
      <c r="L2699" s="141" t="n">
        <v>1</v>
      </c>
      <c r="M2699" s="394" t="n">
        <v>1e-07</v>
      </c>
      <c r="N2699" s="220" t="n">
        <v>1</v>
      </c>
      <c r="O2699" s="221">
        <f>IF(AND(B2699="",C2699=""),"",IF(G2699&gt;=20000,0.05,IF(G2699&gt;=10000,0.1,IF(G2699&gt;=5000,0.2,IF(G2699&gt;=1000,0.3,IF(G2699&gt;=0,0.4,{0}))))))</f>
        <v/>
      </c>
      <c r="P2699" s="419">
        <f>IF(AND(B2699="",C2699=""),"",ROUND(H2699*O2699,2))</f>
        <v/>
      </c>
      <c r="Q2699" s="420" t="inlineStr">
        <is>
          <t>元件</t>
        </is>
      </c>
      <c r="R2699" s="231" t="inlineStr"/>
      <c r="S2699" s="231" t="inlineStr"/>
      <c r="T2699" s="231" t="inlineStr">
        <is>
          <t>0</t>
        </is>
      </c>
      <c r="U2699" s="231" t="inlineStr">
        <is>
          <t>XB2BVM4LC</t>
        </is>
      </c>
      <c r="V2699" s="421" t="n"/>
      <c r="W2699" s="421" t="n"/>
      <c r="X2699" s="166" t="inlineStr">
        <is>
          <t>XA2EVM4LC</t>
        </is>
      </c>
    </row>
    <row r="2700" s="308">
      <c r="A2700" s="64">
        <f>ROW()-ROW(A$2688)</f>
        <v/>
      </c>
      <c r="B2700" s="112" t="inlineStr">
        <is>
          <t>温湿度控制器</t>
        </is>
      </c>
      <c r="C2700" s="112" t="inlineStr">
        <is>
          <t>ATH48G-11</t>
        </is>
      </c>
      <c r="D2700" s="22" t="inlineStr">
        <is>
          <t>杭州安廷</t>
        </is>
      </c>
      <c r="E2700" s="23" t="inlineStr">
        <is>
          <t>套</t>
        </is>
      </c>
      <c r="F2700" s="23" t="n">
        <v>1</v>
      </c>
      <c r="G2700" s="349">
        <f>IF(AND(B2700="",C2700=""),"",ROUND(M2700*L2700*N2700,2))</f>
        <v/>
      </c>
      <c r="H2700" s="396">
        <f>IF(AND(B2700="",C2700=""),"",ROUND(F2700*G2700,2))</f>
        <v/>
      </c>
      <c r="I2700" s="150" t="inlineStr"/>
      <c r="J2700" s="397">
        <f>IF(AND(B2700="",C2700=""),"",ROUND(M2700*N2700,2))</f>
        <v/>
      </c>
      <c r="K2700" s="398">
        <f>IF(AND(B2700="",C2700=""),"",ROUND(J2700*F2700,2))</f>
        <v/>
      </c>
      <c r="L2700" s="141" t="n">
        <v>1</v>
      </c>
      <c r="M2700" s="399" t="n">
        <v>450</v>
      </c>
      <c r="N2700" s="154" t="n">
        <v>1</v>
      </c>
      <c r="O2700" s="155">
        <f>IF(AND(B2700="",C2700=""),"",IF(G2700&gt;=20000,0.05,IF(G2700&gt;=10000,0.1,IF(G2700&gt;=5000,0.2,IF(G2700&gt;=1000,0.3,IF(G2700&gt;=0,0.4,{0}))))))</f>
        <v/>
      </c>
      <c r="P2700" s="400">
        <f>IF(AND(B2700="",C2700=""),"",ROUND(H2700*O2700,2))</f>
        <v/>
      </c>
      <c r="Q2700" s="401" t="inlineStr">
        <is>
          <t>元件</t>
        </is>
      </c>
      <c r="R2700" s="168" t="inlineStr"/>
      <c r="S2700" s="168" t="inlineStr"/>
      <c r="T2700" s="168" t="inlineStr">
        <is>
          <t>0</t>
        </is>
      </c>
      <c r="U2700" s="168" t="inlineStr"/>
      <c r="V2700" s="402" t="n"/>
      <c r="W2700" s="402" t="n"/>
      <c r="X2700" s="170" t="inlineStr"/>
    </row>
    <row r="2701" s="308">
      <c r="A2701" s="64">
        <f>ROW()-ROW(A$2688)</f>
        <v/>
      </c>
      <c r="B2701" s="22" t="inlineStr">
        <is>
          <t>中间继电器</t>
        </is>
      </c>
      <c r="C2701" s="22" t="inlineStr">
        <is>
          <t>RXM4AB2P7+RXZE2S114M+RXZ400</t>
        </is>
      </c>
      <c r="D2701" s="22" t="inlineStr">
        <is>
          <t>甲供/施耐德电气</t>
        </is>
      </c>
      <c r="E2701" s="23" t="inlineStr">
        <is>
          <t>只</t>
        </is>
      </c>
      <c r="F2701" s="23" t="n">
        <v>20</v>
      </c>
      <c r="G2701" s="349">
        <f>IF(AND(B2701="",C2701=""),"",ROUND(M2701*L2701*N2701,2))</f>
        <v/>
      </c>
      <c r="H2701" s="349">
        <f>IF(AND(B2701="",C2701=""),"",ROUND(F2701*G2701,2))</f>
        <v/>
      </c>
      <c r="I2701" s="45" t="inlineStr"/>
      <c r="J2701" s="397">
        <f>IF(AND(B2701="",C2701=""),"",ROUND(M2701*N2701,2))</f>
        <v/>
      </c>
      <c r="K2701" s="398">
        <f>IF(AND(B2701="",C2701=""),"",ROUND(J2701*F2701,2))</f>
        <v/>
      </c>
      <c r="L2701" s="141" t="n">
        <v>1</v>
      </c>
      <c r="M2701" s="399" t="n">
        <v>1e-07</v>
      </c>
      <c r="N2701" s="154" t="n">
        <v>1</v>
      </c>
      <c r="O2701" s="155">
        <f>IF(AND(B2701="",C2701=""),"",IF(G2701&gt;=20000,0.05,IF(G2701&gt;=10000,0.1,IF(G2701&gt;=5000,0.2,IF(G2701&gt;=1000,0.3,IF(G2701&gt;=0,0.4,{0}))))))</f>
        <v/>
      </c>
      <c r="P2701" s="400">
        <f>IF(AND(B2701="",C2701=""),"",ROUND(H2701*O2701,2))</f>
        <v/>
      </c>
      <c r="Q2701" s="401" t="inlineStr">
        <is>
          <t>元件</t>
        </is>
      </c>
      <c r="R2701" s="168" t="inlineStr"/>
      <c r="S2701" s="168" t="inlineStr"/>
      <c r="T2701" s="168" t="inlineStr">
        <is>
          <t>0</t>
        </is>
      </c>
      <c r="U2701" s="168" t="inlineStr">
        <is>
          <t>RXM4AB2P7+RXZE2S114M+RXZ400</t>
        </is>
      </c>
      <c r="V2701" s="402" t="n"/>
      <c r="W2701" s="402" t="n"/>
      <c r="X2701" s="170" t="inlineStr">
        <is>
          <t>REL-IR-BL/L-230AC/4X21，含底座→RXM4AB2P7+RXZE2S114M+RXZ400→REL-IR-BL/L-230AC/4X21，含底座</t>
        </is>
      </c>
    </row>
    <row r="2702" customFormat="1" s="3">
      <c r="A2702" s="64">
        <f>ROW()-ROW(A$2688)</f>
        <v/>
      </c>
      <c r="B2702" s="22" t="inlineStr">
        <is>
          <t>带熔丝端子</t>
        </is>
      </c>
      <c r="C2702" s="22" t="inlineStr">
        <is>
          <t>UK 5-HESI</t>
        </is>
      </c>
      <c r="D2702" s="22" t="inlineStr">
        <is>
          <t>菲尼克斯</t>
        </is>
      </c>
      <c r="E2702" s="23" t="inlineStr">
        <is>
          <t>只</t>
        </is>
      </c>
      <c r="F2702" s="23" t="n">
        <v>40</v>
      </c>
      <c r="G2702" s="349">
        <f>IF(AND(B2702="",C2702=""),"",ROUND(M2702*L2702*N2702,2))</f>
        <v/>
      </c>
      <c r="H2702" s="349">
        <f>IF(AND(B2702="",C2702=""),"",ROUND(F2702*G2702,2))</f>
        <v/>
      </c>
      <c r="I2702" s="45" t="inlineStr"/>
      <c r="J2702" s="392">
        <f>IF(AND(B2702="",C2702=""),"",ROUND(M2702*N2702,2))</f>
        <v/>
      </c>
      <c r="K2702" s="393">
        <f>IF(AND(B2702="",C2702=""),"",ROUND(J2702*F2702,2))</f>
        <v/>
      </c>
      <c r="L2702" s="141" t="n">
        <v>1</v>
      </c>
      <c r="M2702" s="394" t="n">
        <v>7</v>
      </c>
      <c r="N2702" s="220" t="n">
        <v>1</v>
      </c>
      <c r="O2702" s="221">
        <f>IF(AND(B2702="",C2702=""),"",IF(G2702&gt;=20000,0.05,IF(G2702&gt;=10000,0.1,IF(G2702&gt;=5000,0.2,IF(G2702&gt;=1000,0.3,IF(G2702&gt;=0,0.4,{0}))))))</f>
        <v/>
      </c>
      <c r="P2702" s="419">
        <f>IF(AND(B2702="",C2702=""),"",ROUND(H2702*O2702,2))</f>
        <v/>
      </c>
      <c r="Q2702" s="420" t="inlineStr">
        <is>
          <t>元件</t>
        </is>
      </c>
      <c r="R2702" s="231" t="inlineStr"/>
      <c r="S2702" s="231" t="inlineStr"/>
      <c r="T2702" s="231" t="inlineStr">
        <is>
          <t>0</t>
        </is>
      </c>
      <c r="U2702" s="231" t="inlineStr">
        <is>
          <t>True</t>
        </is>
      </c>
      <c r="V2702" s="421" t="n"/>
      <c r="W2702" s="421" t="n"/>
      <c r="X2702" s="166" t="inlineStr"/>
    </row>
    <row r="2703" s="308">
      <c r="A2703" s="64">
        <f>ROW()-ROW(A$2688)</f>
        <v/>
      </c>
      <c r="B2703" s="22" t="inlineStr">
        <is>
          <t>水平母排</t>
        </is>
      </c>
      <c r="C2703" s="22" t="inlineStr">
        <is>
          <t>TMY 4*(100*5)+50*5</t>
        </is>
      </c>
      <c r="D2703" s="22" t="inlineStr">
        <is>
          <t>国产优质</t>
        </is>
      </c>
      <c r="E2703" s="23" t="inlineStr">
        <is>
          <t>米</t>
        </is>
      </c>
      <c r="F2703" s="23" t="n">
        <v>0.7</v>
      </c>
      <c r="G2703" s="349">
        <f>IF(AND(B2703="",C2703=""),"",ROUND(M2703*L2703*N2703,2))</f>
        <v/>
      </c>
      <c r="H2703" s="349">
        <f>IF(AND(B2703="",C2703=""),"",ROUND(F2703*G2703,2))</f>
        <v/>
      </c>
      <c r="I2703" s="45" t="inlineStr"/>
      <c r="J2703" s="397">
        <f>IF(AND(B2703="",C2703=""),"",ROUND(M2703*N2703,2))</f>
        <v/>
      </c>
      <c r="K2703" s="398">
        <f>IF(AND(B2703="",C2703=""),"",ROUND(J2703*F2703,2))</f>
        <v/>
      </c>
      <c r="L2703" s="200" t="n">
        <v>1</v>
      </c>
      <c r="M2703" s="399" t="n">
        <v>2164.802625</v>
      </c>
      <c r="N2703" s="154">
        <f>(6317.932*1*1+2684.8*1*1)/9002.732</f>
        <v/>
      </c>
      <c r="O2703" s="155">
        <f>IF(AND(B2703="",C2703=""),"",IF(J2703&gt;=20000,0.05,IF(J2703&gt;=10000,0.1,IF(J2703&gt;=5000,0.2,IF(J2703&gt;=1000,0.3,IF(J2703&gt;=0,0.4,{0}))))))</f>
        <v/>
      </c>
      <c r="P2703" s="400">
        <f>IF(AND(B2703="",C2703=""),"",ROUND(H2703*O2703,2))</f>
        <v/>
      </c>
      <c r="Q2703" s="401" t="inlineStr">
        <is>
          <t>母排</t>
        </is>
      </c>
      <c r="R2703" s="168" t="inlineStr"/>
      <c r="S2703" s="168" t="inlineStr"/>
      <c r="T2703" s="168" t="inlineStr">
        <is>
          <t>0</t>
        </is>
      </c>
      <c r="U2703" s="168" t="inlineStr"/>
      <c r="V2703" s="402" t="n"/>
      <c r="W2703" s="402" t="n"/>
      <c r="X2703" s="170" t="inlineStr"/>
    </row>
    <row r="2704" customFormat="1" s="5">
      <c r="A2704" s="64">
        <f>ROW()-ROW(A$2688)</f>
        <v/>
      </c>
      <c r="B2704" s="22" t="inlineStr">
        <is>
          <t>垂直排</t>
        </is>
      </c>
      <c r="C2704" s="22" t="inlineStr">
        <is>
          <t>TMY 3*80*5</t>
        </is>
      </c>
      <c r="D2704" s="22" t="inlineStr">
        <is>
          <t>国产优质</t>
        </is>
      </c>
      <c r="E2704" s="23" t="inlineStr">
        <is>
          <t>米</t>
        </is>
      </c>
      <c r="F2704" s="23" t="n">
        <v>2</v>
      </c>
      <c r="G2704" s="349">
        <f>IF(AND(B2704="",C2704=""),"",ROUND(M2704*L2704*N2704,2))</f>
        <v/>
      </c>
      <c r="H2704" s="349">
        <f>IF(AND(B2704="",C2704=""),"",ROUND(F2704*G2704,2))</f>
        <v/>
      </c>
      <c r="I2704" s="45" t="inlineStr"/>
      <c r="J2704" s="422">
        <f>IF(AND(B2704="",C2704=""),"",ROUND(M2704*N2704,2))</f>
        <v/>
      </c>
      <c r="K2704" s="423">
        <f>IF(AND(B2704="",C2704=""),"",ROUND(J2704*F2704,2))</f>
        <v/>
      </c>
      <c r="L2704" s="225" t="n">
        <v>1</v>
      </c>
      <c r="M2704" s="424" t="n">
        <v>1154.5614</v>
      </c>
      <c r="N2704" s="227" t="n">
        <v>1</v>
      </c>
      <c r="O2704" s="228">
        <f>IF(AND(B2704="",C2704=""),"",IF(G2704&gt;=20000,0.05,IF(G2704&gt;=10000,0.1,IF(G2704&gt;=5000,0.2,IF(G2704&gt;=1000,0.3,IF(G2704&gt;=0,0.4,{0}))))))</f>
        <v/>
      </c>
      <c r="P2704" s="425">
        <f>IF(AND(B2704="",C2704=""),"",ROUND(H2704*O2704,2))</f>
        <v/>
      </c>
      <c r="Q2704" s="426" t="inlineStr">
        <is>
          <t>母排</t>
        </is>
      </c>
      <c r="R2704" s="234" t="inlineStr"/>
      <c r="S2704" s="234" t="inlineStr"/>
      <c r="T2704" s="235" t="inlineStr">
        <is>
          <t>0</t>
        </is>
      </c>
      <c r="U2704" s="235" t="inlineStr"/>
      <c r="V2704" s="427" t="n"/>
      <c r="W2704" s="427" t="n"/>
      <c r="X2704" s="237" t="inlineStr">
        <is>
          <t>TMY 2*30*5→TMY 30*8</t>
        </is>
      </c>
    </row>
    <row r="2705" customFormat="1" s="5">
      <c r="A2705" s="64">
        <f>ROW()-ROW(A$2688)</f>
        <v/>
      </c>
      <c r="B2705" s="22" t="inlineStr">
        <is>
          <t>N排</t>
        </is>
      </c>
      <c r="C2705" s="22" t="inlineStr">
        <is>
          <t>TMY 40*10</t>
        </is>
      </c>
      <c r="D2705" s="22" t="inlineStr">
        <is>
          <t>国产优质</t>
        </is>
      </c>
      <c r="E2705" s="23" t="inlineStr">
        <is>
          <t>米</t>
        </is>
      </c>
      <c r="F2705" s="23" t="n">
        <v>3</v>
      </c>
      <c r="G2705" s="349">
        <f>IF(AND(B2705="",C2705=""),"",ROUND(M2705*L2705*N2705,2))</f>
        <v/>
      </c>
      <c r="H2705" s="349">
        <f>IF(AND(B2705="",C2705=""),"",ROUND(F2705*G2705,2))</f>
        <v/>
      </c>
      <c r="I2705" s="45" t="inlineStr"/>
      <c r="J2705" s="422">
        <f>IF(AND(B2705="",C2705=""),"",ROUND(M2705*N2705,2))</f>
        <v/>
      </c>
      <c r="K2705" s="423">
        <f>IF(AND(B2705="",C2705=""),"",ROUND(J2705*F2705,2))</f>
        <v/>
      </c>
      <c r="L2705" s="225" t="n">
        <v>1</v>
      </c>
      <c r="M2705" s="424" t="n">
        <v>384.8538</v>
      </c>
      <c r="N2705" s="227" t="n">
        <v>1</v>
      </c>
      <c r="O2705" s="228">
        <f>IF(AND(B2705="",C2705=""),"",IF(G2705&gt;=20000,0.05,IF(G2705&gt;=10000,0.1,IF(G2705&gt;=5000,0.2,IF(G2705&gt;=1000,0.3,IF(G2705&gt;=0,0.4,{0}))))))</f>
        <v/>
      </c>
      <c r="P2705" s="425">
        <f>IF(AND(B2705="",C2705=""),"",ROUND(H2705*O2705,2))</f>
        <v/>
      </c>
      <c r="Q2705" s="426" t="inlineStr">
        <is>
          <t>母排</t>
        </is>
      </c>
      <c r="R2705" s="234" t="inlineStr"/>
      <c r="S2705" s="234" t="inlineStr"/>
      <c r="T2705" s="235" t="inlineStr">
        <is>
          <t>0</t>
        </is>
      </c>
      <c r="U2705" s="235" t="inlineStr"/>
      <c r="V2705" s="427" t="n"/>
      <c r="W2705" s="427" t="n"/>
      <c r="X2705" s="237" t="inlineStr">
        <is>
          <t>TMY 2*30*5→TMY 30*8</t>
        </is>
      </c>
    </row>
    <row r="2706" customFormat="1" s="5">
      <c r="A2706" s="64">
        <f>ROW()-ROW(A$2688)</f>
        <v/>
      </c>
      <c r="B2706" s="22" t="inlineStr">
        <is>
          <t>PE排</t>
        </is>
      </c>
      <c r="C2706" s="22" t="inlineStr">
        <is>
          <t>TMY 50*5</t>
        </is>
      </c>
      <c r="D2706" s="22" t="inlineStr">
        <is>
          <t>国产优质</t>
        </is>
      </c>
      <c r="E2706" s="23" t="inlineStr">
        <is>
          <t>米</t>
        </is>
      </c>
      <c r="F2706" s="23" t="n">
        <v>2</v>
      </c>
      <c r="G2706" s="349">
        <f>IF(AND(B2706="",C2706=""),"",ROUND(M2706*L2706*N2706,2))</f>
        <v/>
      </c>
      <c r="H2706" s="349">
        <f>IF(AND(B2706="",C2706=""),"",ROUND(F2706*G2706,2))</f>
        <v/>
      </c>
      <c r="I2706" s="45" t="inlineStr"/>
      <c r="J2706" s="422">
        <f>IF(AND(B2706="",C2706=""),"",ROUND(M2706*N2706,2))</f>
        <v/>
      </c>
      <c r="K2706" s="423">
        <f>IF(AND(B2706="",C2706=""),"",ROUND(J2706*F2706,2))</f>
        <v/>
      </c>
      <c r="L2706" s="225" t="n">
        <v>1</v>
      </c>
      <c r="M2706" s="424" t="n">
        <v>240.533625</v>
      </c>
      <c r="N2706" s="227" t="n">
        <v>1</v>
      </c>
      <c r="O2706" s="228">
        <f>IF(AND(B2706="",C2706=""),"",IF(G2706&gt;=20000,0.05,IF(G2706&gt;=10000,0.1,IF(G2706&gt;=5000,0.2,IF(G2706&gt;=1000,0.3,IF(G2706&gt;=0,0.4,{0}))))))</f>
        <v/>
      </c>
      <c r="P2706" s="425">
        <f>IF(AND(B2706="",C2706=""),"",ROUND(H2706*O2706,2))</f>
        <v/>
      </c>
      <c r="Q2706" s="426" t="inlineStr">
        <is>
          <t>母排</t>
        </is>
      </c>
      <c r="R2706" s="234" t="inlineStr"/>
      <c r="S2706" s="234" t="inlineStr"/>
      <c r="T2706" s="235" t="inlineStr">
        <is>
          <t>0</t>
        </is>
      </c>
      <c r="U2706" s="235" t="inlineStr"/>
      <c r="V2706" s="427" t="n"/>
      <c r="W2706" s="427" t="n"/>
      <c r="X2706" s="237" t="inlineStr">
        <is>
          <t>TMY 2*30*5→TMY 30*8</t>
        </is>
      </c>
    </row>
    <row r="2707" customFormat="1" s="5">
      <c r="A2707" s="64">
        <f>ROW()-ROW(A$2688)</f>
        <v/>
      </c>
      <c r="B2707" s="22" t="inlineStr">
        <is>
          <t>400A铜排</t>
        </is>
      </c>
      <c r="C2707" s="22" t="inlineStr">
        <is>
          <t>TMY 30*5</t>
        </is>
      </c>
      <c r="D2707" s="22" t="inlineStr">
        <is>
          <t>国产优质</t>
        </is>
      </c>
      <c r="E2707" s="23" t="inlineStr">
        <is>
          <t>米</t>
        </is>
      </c>
      <c r="F2707" s="23" t="n">
        <v>9.6</v>
      </c>
      <c r="G2707" s="349">
        <f>IF(AND(B2707="",C2707=""),"",ROUND(M2707*L2707*N2707,2))</f>
        <v/>
      </c>
      <c r="H2707" s="349">
        <f>IF(AND(B2707="",C2707=""),"",ROUND(F2707*G2707,2))</f>
        <v/>
      </c>
      <c r="I2707" s="45" t="inlineStr"/>
      <c r="J2707" s="422">
        <f>IF(AND(B2707="",C2707=""),"",ROUND(M2707*N2707,2))</f>
        <v/>
      </c>
      <c r="K2707" s="423">
        <f>IF(AND(B2707="",C2707=""),"",ROUND(J2707*F2707,2))</f>
        <v/>
      </c>
      <c r="L2707" s="225" t="n">
        <v>1</v>
      </c>
      <c r="M2707" s="424" t="n">
        <v>144.320175</v>
      </c>
      <c r="N2707" s="227" t="n">
        <v>1</v>
      </c>
      <c r="O2707" s="228">
        <f>IF(AND(B2707="",C2707=""),"",IF(G2707&gt;=20000,0.05,IF(G2707&gt;=10000,0.1,IF(G2707&gt;=5000,0.2,IF(G2707&gt;=1000,0.3,IF(G2707&gt;=0,0.4,{0}))))))</f>
        <v/>
      </c>
      <c r="P2707" s="425">
        <f>IF(AND(B2707="",C2707=""),"",ROUND(H2707*O2707,2))</f>
        <v/>
      </c>
      <c r="Q2707" s="426" t="inlineStr">
        <is>
          <t>母排</t>
        </is>
      </c>
      <c r="R2707" s="234" t="inlineStr"/>
      <c r="S2707" s="234" t="inlineStr"/>
      <c r="T2707" s="235" t="inlineStr">
        <is>
          <t>0</t>
        </is>
      </c>
      <c r="U2707" s="235" t="inlineStr"/>
      <c r="V2707" s="427" t="n"/>
      <c r="W2707" s="427" t="n"/>
      <c r="X2707" s="237" t="inlineStr">
        <is>
          <t>TMY 2*30*5→TMY 30*8</t>
        </is>
      </c>
    </row>
    <row r="2708" s="308">
      <c r="A2708" s="64">
        <f>ROW()-ROW(A$2688)</f>
        <v/>
      </c>
      <c r="B2708" s="112" t="inlineStr">
        <is>
          <t>辅料</t>
        </is>
      </c>
      <c r="C2708" s="112" t="inlineStr"/>
      <c r="D2708" s="112" t="inlineStr"/>
      <c r="E2708" s="114" t="inlineStr">
        <is>
          <t>套</t>
        </is>
      </c>
      <c r="F2708" s="114" t="n">
        <v>1</v>
      </c>
      <c r="G2708" s="396">
        <f>IF(AND(B2708="",C2708=""),"",ROUND(M2708*L2708*N2708,2))</f>
        <v/>
      </c>
      <c r="H2708" s="396">
        <f>IF(AND(B2708="",C2708=""),"",ROUND(F2708*G2708,2))</f>
        <v/>
      </c>
      <c r="I2708" s="219" t="inlineStr"/>
      <c r="J2708" s="397">
        <f>IF(AND(B2708="",C2708=""),"",ROUND(M2708*N2708,2))</f>
        <v/>
      </c>
      <c r="K2708" s="398">
        <f>IF(AND(B2708="",C2708=""),"",ROUND(J2708*F2708,2))</f>
        <v/>
      </c>
      <c r="L2708" s="200" t="n">
        <v>1</v>
      </c>
      <c r="M2708" s="399" t="n">
        <v>2668.47</v>
      </c>
      <c r="N2708" s="154" t="n">
        <v>1</v>
      </c>
      <c r="O2708" s="155">
        <f>IF(AND(B2708="",C2708=""),"",IF(G2708&gt;=20000,0.05,IF(G2708&gt;=10000,0.1,IF(G2708&gt;=5000,0.2,IF(G2708&gt;=1000,0.3,IF(G2708&gt;=0,0.4,{0}))))))</f>
        <v/>
      </c>
      <c r="P2708" s="400">
        <f>IF(AND(B2708="",C2708=""),"",ROUND(H2708*O2708,2))</f>
        <v/>
      </c>
      <c r="Q2708" s="401" t="inlineStr">
        <is>
          <t>辅料</t>
        </is>
      </c>
      <c r="R2708" s="168" t="inlineStr"/>
      <c r="S2708" s="168" t="inlineStr"/>
      <c r="T2708" s="168" t="inlineStr">
        <is>
          <t>0</t>
        </is>
      </c>
      <c r="U2708" s="168" t="inlineStr"/>
      <c r="V2708" s="402" t="n"/>
      <c r="W2708" s="402" t="n"/>
      <c r="X2708" s="170" t="inlineStr"/>
    </row>
    <row r="2709" s="308">
      <c r="A2709" s="64">
        <f>ROW()-ROW(A$2688)</f>
        <v/>
      </c>
      <c r="B2709" s="112" t="inlineStr">
        <is>
          <t>柜体Blokset</t>
        </is>
      </c>
      <c r="C2709" s="22" t="inlineStr">
        <is>
          <t>600W*1200D*2200H</t>
        </is>
      </c>
      <c r="D2709" s="112" t="inlineStr">
        <is>
          <t>清科</t>
        </is>
      </c>
      <c r="E2709" s="114" t="inlineStr">
        <is>
          <t>台</t>
        </is>
      </c>
      <c r="F2709" s="114" t="n">
        <v>1</v>
      </c>
      <c r="G2709" s="396">
        <f>IF(AND(B2709="",C2709=""),"",ROUND(M2709*L2709*N2709,2))</f>
        <v/>
      </c>
      <c r="H2709" s="396">
        <f>IF(AND(B2709="",C2709=""),"",ROUND(F2709*G2709,2))</f>
        <v/>
      </c>
      <c r="I2709" s="219" t="inlineStr"/>
      <c r="J2709" s="397">
        <f>IF(AND(B2709="",C2709=""),"",ROUND(M2709*N2709,2))</f>
        <v/>
      </c>
      <c r="K2709" s="398">
        <f>IF(AND(B2709="",C2709=""),"",ROUND(J2709*F2709,2))</f>
        <v/>
      </c>
      <c r="L2709" s="200" t="n">
        <v>1</v>
      </c>
      <c r="M2709" s="399" t="n">
        <v>6169</v>
      </c>
      <c r="N2709" s="154" t="n">
        <v>1</v>
      </c>
      <c r="O2709" s="155">
        <f>IF(AND(B2709="",C2709=""),"",IF(G2709&gt;=20000,0.05,IF(G2709&gt;=10000,0.1,IF(G2709&gt;=5000,0.2,IF(G2709&gt;=1000,0.3,IF(G2709&gt;=0,0.4,{0}))))))</f>
        <v/>
      </c>
      <c r="P2709" s="400">
        <f>IF(AND(B2709="",C2709=""),"",ROUND(H2709*O2709,2))</f>
        <v/>
      </c>
      <c r="Q2709" s="401" t="inlineStr">
        <is>
          <t>箱体</t>
        </is>
      </c>
      <c r="R2709" s="168" t="inlineStr"/>
      <c r="S2709" s="168" t="inlineStr"/>
      <c r="T2709" s="168" t="inlineStr">
        <is>
          <t>0</t>
        </is>
      </c>
      <c r="U2709" s="168" t="inlineStr"/>
      <c r="V2709" s="402" t="n"/>
      <c r="W2709" s="402" t="n"/>
      <c r="X2709" s="170" t="inlineStr">
        <is>
          <t>BlokSeT</t>
        </is>
      </c>
    </row>
    <row r="2710" s="308">
      <c r="A2710" s="64">
        <f>ROW()-ROW(A$2688)</f>
        <v/>
      </c>
      <c r="B2710" s="22" t="inlineStr"/>
      <c r="C2710" s="22" t="inlineStr"/>
      <c r="D2710" s="22" t="inlineStr"/>
      <c r="E2710" s="23" t="n"/>
      <c r="F2710" s="23">
        <f>IF(AND(B2710="",C2710=""),"",1)</f>
        <v/>
      </c>
      <c r="G2710" s="349">
        <f>IF(AND(B2710="",C2710=""),"",ROUND(M2710*L2710*N2710,2))</f>
        <v/>
      </c>
      <c r="H2710" s="349">
        <f>IF(AND(B2710="",C2710=""),"",ROUND(F2710*G2710,2))</f>
        <v/>
      </c>
      <c r="I2710" s="45" t="inlineStr"/>
      <c r="J2710" s="397">
        <f>IF(AND(B2710="",C2710=""),"",ROUND(M2710*N2710,2))</f>
        <v/>
      </c>
      <c r="K2710" s="398">
        <f>IF(AND(B2710="",C2710=""),"",ROUND(J2710*F2710,2))</f>
        <v/>
      </c>
      <c r="L2710" s="200">
        <f>IF(AND(B2710="",C2710=""),"",1)</f>
        <v/>
      </c>
      <c r="M2710" s="399" t="n"/>
      <c r="N2710" s="154">
        <f>IF(AND(B2710="",C2710=""),"",1)</f>
        <v/>
      </c>
      <c r="O2710" s="155">
        <f>IF(AND(B2710="",C2710=""),"",IF(J2710&gt;=20000,0.05,IF(J2710&gt;=10000,0.1,IF(J2710&gt;=5000,0.2,IF(J2710&gt;=1000,0.3,IF(J2710&gt;=0,0.4,{0}))))))</f>
        <v/>
      </c>
      <c r="P2710" s="400">
        <f>IF(AND(B2710="",C2710=""),"",ROUND(H2710*O2710,2))</f>
        <v/>
      </c>
      <c r="Q2710" s="401">
        <f>IF(AND(B2710="",C2710=""),"","元件")</f>
        <v/>
      </c>
      <c r="R2710" s="168" t="inlineStr"/>
      <c r="S2710" s="168" t="inlineStr"/>
      <c r="T2710" s="168" t="inlineStr"/>
      <c r="U2710" s="168" t="inlineStr"/>
      <c r="V2710" s="402" t="n"/>
      <c r="W2710" s="402" t="n"/>
      <c r="X2710" s="170" t="inlineStr"/>
    </row>
    <row r="2711" s="308">
      <c r="A2711" s="64">
        <f>ROW()-ROW(A$2688)</f>
        <v/>
      </c>
      <c r="B2711" s="171" t="inlineStr">
        <is>
          <t>小计</t>
        </is>
      </c>
      <c r="C2711" s="172" t="n"/>
      <c r="D2711" s="204" t="n"/>
      <c r="E2711" s="114" t="n"/>
      <c r="F2711" s="114" t="n"/>
      <c r="G2711" s="396" t="n"/>
      <c r="H2711" s="396">
        <f>ROUND(SUM(H2688:INDEX(H:H,ROW()-1)),2)</f>
        <v/>
      </c>
      <c r="I2711" s="45" t="inlineStr"/>
      <c r="J2711" s="397" t="n"/>
      <c r="K2711" s="398">
        <f>ROUND(SUM(K2688:INDEX(K:K,ROW()-1)),2)</f>
        <v/>
      </c>
      <c r="L2711" s="200" t="n"/>
      <c r="M2711" s="399" t="n"/>
      <c r="N2711" s="154" t="n"/>
      <c r="O2711" s="155" t="n"/>
      <c r="P2711" s="400" t="n"/>
      <c r="Q2711" s="401" t="n"/>
      <c r="R2711" s="168" t="inlineStr"/>
      <c r="S2711" s="168" t="inlineStr"/>
      <c r="T2711" s="168" t="inlineStr"/>
      <c r="U2711" s="168" t="inlineStr"/>
      <c r="V2711" s="402">
        <f>ROUND(SUMPRODUCT(F2688:INDEX(F:F,ROW()-1),V2688:INDEX(V:V,ROW()-1)),2)</f>
        <v/>
      </c>
      <c r="W2711" s="402">
        <f>ROUND(SUMPRODUCT(F2688:INDEX(F:F,ROW()-1),W2688:INDEX(W:W,ROW()-1)),2)</f>
        <v/>
      </c>
      <c r="X2711" s="170" t="inlineStr"/>
    </row>
    <row r="2712" s="308">
      <c r="A2712" s="64">
        <f>ROW()-ROW(A$2688)</f>
        <v/>
      </c>
      <c r="B2712" s="171" t="inlineStr">
        <is>
          <t>综合费(人工、管理、税金、利润等)</t>
        </is>
      </c>
      <c r="C2712" s="172" t="n"/>
      <c r="D2712" s="204" t="n"/>
      <c r="E2712" s="114" t="n"/>
      <c r="F2712" s="114" t="n"/>
      <c r="G2712" s="396" t="n"/>
      <c r="H2712" s="396">
        <f>2500</f>
        <v/>
      </c>
      <c r="I2712" s="45" t="inlineStr"/>
      <c r="J2712" s="397" t="n"/>
      <c r="K2712" s="398" t="n"/>
      <c r="L2712" s="200" t="n"/>
      <c r="M2712" s="399" t="n"/>
      <c r="N2712" s="154" t="n"/>
      <c r="O2712" s="155" t="n"/>
      <c r="P2712" s="400" t="n"/>
      <c r="Q2712" s="401" t="inlineStr">
        <is>
          <t>费用</t>
        </is>
      </c>
      <c r="R2712" s="168" t="inlineStr"/>
      <c r="S2712" s="168" t="inlineStr"/>
      <c r="T2712" s="168" t="inlineStr"/>
      <c r="U2712" s="168" t="inlineStr"/>
      <c r="V2712" s="402" t="n"/>
      <c r="W2712" s="402" t="n"/>
      <c r="X2712" s="170" t="inlineStr"/>
    </row>
    <row r="2713" s="308">
      <c r="A2713" s="64">
        <f>ROW()-ROW(A$2688)</f>
        <v/>
      </c>
      <c r="B2713" s="204" t="inlineStr">
        <is>
          <t>单台合计</t>
        </is>
      </c>
      <c r="C2713" s="172" t="n"/>
      <c r="D2713" s="204" t="n"/>
      <c r="E2713" s="114" t="n"/>
      <c r="F2713" s="114" t="n"/>
      <c r="G2713" s="396" t="n"/>
      <c r="H2713" s="396">
        <f>ROUND(SUM(H2711:H2712),2)</f>
        <v/>
      </c>
      <c r="I2713" s="181" t="n"/>
      <c r="J2713" s="397" t="n"/>
      <c r="K2713" s="398">
        <f>ROUND(SUM(K2711:K2712),2)</f>
        <v/>
      </c>
      <c r="L2713" s="209" t="n"/>
      <c r="M2713" s="399" t="n"/>
      <c r="N2713" s="210" t="n"/>
      <c r="O2713" s="211" t="n"/>
      <c r="P2713" s="400" t="n"/>
      <c r="Q2713" s="401" t="n"/>
      <c r="R2713" s="168" t="inlineStr"/>
      <c r="S2713" s="168" t="inlineStr"/>
      <c r="T2713" s="168" t="inlineStr"/>
      <c r="U2713" s="168" t="inlineStr"/>
      <c r="V2713" s="402" t="n"/>
      <c r="W2713" s="402" t="n"/>
      <c r="X2713" s="170" t="inlineStr"/>
    </row>
    <row r="2714" s="308">
      <c r="A2714" s="173" t="inlineStr">
        <is>
          <t>总计</t>
        </is>
      </c>
      <c r="B2714" s="205" t="n"/>
      <c r="C2714" s="175" t="n"/>
      <c r="D2714" s="206" t="n"/>
      <c r="E2714" s="206" t="inlineStr">
        <is>
          <t>台</t>
        </is>
      </c>
      <c r="F2714" s="206" t="n">
        <v>1</v>
      </c>
      <c r="G2714" s="414">
        <f>ROUND(H2713,2)</f>
        <v/>
      </c>
      <c r="H2714" s="414">
        <f>ROUND(F2714*G2714,2)</f>
        <v/>
      </c>
      <c r="I2714" s="185" t="n"/>
      <c r="J2714" s="415" t="n"/>
      <c r="K2714" s="416">
        <f>ROUND(K2713*F2714,2)</f>
        <v/>
      </c>
      <c r="L2714" s="214" t="n"/>
      <c r="M2714" s="417" t="n"/>
      <c r="N2714" s="216" t="n"/>
      <c r="O2714" s="217" t="n"/>
      <c r="P2714" s="418" t="n"/>
      <c r="Q2714" s="401" t="n"/>
      <c r="R2714" s="168" t="inlineStr"/>
      <c r="S2714" s="168" t="inlineStr"/>
      <c r="T2714" s="168" t="inlineStr"/>
      <c r="U2714" s="168" t="inlineStr"/>
      <c r="V2714" s="402" t="n"/>
      <c r="W2714" s="402" t="n"/>
      <c r="X2714" s="170" t="inlineStr"/>
    </row>
    <row r="2715" customFormat="1" s="4">
      <c r="A2715" s="6" t="n"/>
      <c r="B2715" s="195" t="inlineStr"/>
      <c r="C2715" s="195" t="inlineStr"/>
      <c r="D2715" s="195" t="inlineStr"/>
      <c r="Q2715" s="159" t="n"/>
      <c r="R2715" s="159" t="n"/>
      <c r="S2715" s="159" t="n"/>
      <c r="T2715" s="159" t="n"/>
      <c r="U2715" s="159" t="n"/>
      <c r="X2715" s="195" t="inlineStr"/>
    </row>
    <row r="2716" customFormat="1" s="4">
      <c r="A2716" s="6" t="n"/>
      <c r="B2716" s="195" t="inlineStr"/>
      <c r="C2716" s="195" t="inlineStr"/>
      <c r="D2716" s="195" t="inlineStr"/>
      <c r="Q2716" s="159" t="n"/>
      <c r="R2716" s="159" t="n"/>
      <c r="S2716" s="159" t="n"/>
      <c r="T2716" s="159" t="n"/>
      <c r="U2716" s="159" t="n"/>
      <c r="X2716" s="195" t="inlineStr"/>
    </row>
    <row r="2717" s="308">
      <c r="A2717" s="208">
        <f>CONCATENATE("报价人：",项目信息!$B$8)</f>
        <v/>
      </c>
      <c r="B2717" s="208" t="n"/>
      <c r="C2717" s="4" t="n"/>
      <c r="D2717" s="4" t="n"/>
      <c r="E2717" s="4" t="n"/>
      <c r="F2717" s="4" t="n"/>
      <c r="G2717" s="4" t="n"/>
      <c r="H2717" s="178">
        <f>项目信息!$B$9</f>
        <v/>
      </c>
      <c r="Q2717" s="159" t="n"/>
      <c r="R2717" s="159" t="n"/>
      <c r="S2717" s="159" t="n"/>
      <c r="T2717" s="159" t="n"/>
      <c r="U2717" s="159" t="n"/>
      <c r="X2717" s="203" t="inlineStr"/>
    </row>
    <row r="2718" s="308">
      <c r="A2718" s="8">
        <f>T(项目信息!$B$22)</f>
        <v/>
      </c>
      <c r="Q2718" s="159" t="n"/>
      <c r="R2718" s="159" t="n"/>
      <c r="S2718" s="159" t="n"/>
      <c r="T2718" s="159" t="n"/>
      <c r="U2718" s="159" t="n"/>
    </row>
    <row r="2719" s="308">
      <c r="A2719" s="9">
        <f>T(项目信息!$B$23)</f>
        <v/>
      </c>
      <c r="Q2719" s="159" t="n"/>
      <c r="R2719" s="159" t="n"/>
      <c r="S2719" s="159" t="n"/>
      <c r="T2719" s="159" t="n"/>
      <c r="U2719" s="159" t="n"/>
    </row>
    <row r="2720" s="308">
      <c r="A2720" s="97" t="inlineStr">
        <is>
          <t>成套产品报价明细表</t>
        </is>
      </c>
      <c r="B2720" s="378" t="n"/>
      <c r="C2720" s="378" t="n"/>
      <c r="D2720" s="378" t="n"/>
      <c r="E2720" s="378" t="n"/>
      <c r="F2720" s="378" t="n"/>
      <c r="G2720" s="378" t="n"/>
      <c r="H2720" s="378" t="n"/>
      <c r="I2720" s="378" t="n"/>
      <c r="Q2720" s="159" t="n"/>
      <c r="R2720" s="159" t="n"/>
      <c r="S2720" s="159" t="n"/>
      <c r="T2720" s="159" t="n"/>
      <c r="U2720" s="159" t="n"/>
    </row>
    <row r="2721" customFormat="1" s="4">
      <c r="A2721" s="98" t="inlineStr">
        <is>
          <t>柜号:</t>
        </is>
      </c>
      <c r="B2721" s="99" t="inlineStr">
        <is>
          <t>T6-BU31</t>
        </is>
      </c>
      <c r="C2721" s="100" t="inlineStr">
        <is>
          <t>型号:</t>
        </is>
      </c>
      <c r="D2721" s="99" t="inlineStr">
        <is>
          <t>BlokSeT</t>
        </is>
      </c>
      <c r="E2721" s="379" t="n"/>
      <c r="F2721" s="101" t="inlineStr">
        <is>
          <t>名称:</t>
        </is>
      </c>
      <c r="G2721" s="99" t="inlineStr">
        <is>
          <t>进线柜</t>
        </is>
      </c>
      <c r="H2721" s="379" t="n"/>
      <c r="I2721" s="408" t="inlineStr"/>
      <c r="J2721" s="194" t="inlineStr">
        <is>
          <t>箱柜尺寸:</t>
        </is>
      </c>
      <c r="K2721" s="195" t="inlineStr">
        <is>
          <t>400W*1200D*2200H</t>
        </is>
      </c>
      <c r="L2721" s="194" t="inlineStr">
        <is>
          <t>类别:</t>
        </is>
      </c>
      <c r="M2721" s="195" t="inlineStr">
        <is>
          <t>低压固定柜</t>
        </is>
      </c>
      <c r="N2721" s="409" t="inlineStr"/>
      <c r="Q2721" s="159" t="n"/>
      <c r="R2721" s="159" t="n"/>
      <c r="S2721" s="159" t="n"/>
      <c r="T2721" s="159" t="n"/>
      <c r="U2721" s="159" t="n"/>
    </row>
    <row r="2722" ht="20.1" customHeight="1" s="308">
      <c r="A2722" s="102" t="inlineStr">
        <is>
          <t>序号</t>
        </is>
      </c>
      <c r="B2722" s="103" t="inlineStr">
        <is>
          <t>元件名称</t>
        </is>
      </c>
      <c r="C2722" s="103" t="inlineStr">
        <is>
          <t>型号规格</t>
        </is>
      </c>
      <c r="D2722" s="104" t="inlineStr">
        <is>
          <t>生产厂家</t>
        </is>
      </c>
      <c r="E2722" s="105" t="inlineStr">
        <is>
          <t>单位</t>
        </is>
      </c>
      <c r="F2722" s="105" t="inlineStr">
        <is>
          <t>数量</t>
        </is>
      </c>
      <c r="G2722" s="382" t="inlineStr">
        <is>
          <t>单   价</t>
        </is>
      </c>
      <c r="H2722" s="383" t="inlineStr">
        <is>
          <t>总   价</t>
        </is>
      </c>
      <c r="I2722" s="134" t="inlineStr">
        <is>
          <t>备注</t>
        </is>
      </c>
      <c r="J2722" s="384" t="inlineStr">
        <is>
          <t>成本单价</t>
        </is>
      </c>
      <c r="K2722" s="384" t="inlineStr">
        <is>
          <t>成本总价</t>
        </is>
      </c>
      <c r="L2722" s="136" t="inlineStr">
        <is>
          <t>报出
系数</t>
        </is>
      </c>
      <c r="M2722" s="384" t="inlineStr">
        <is>
          <t>表价</t>
        </is>
      </c>
      <c r="N2722" s="136" t="inlineStr">
        <is>
          <t>折扣
系数</t>
        </is>
      </c>
      <c r="O2722" s="137" t="inlineStr">
        <is>
          <t>取费
系数</t>
        </is>
      </c>
      <c r="P2722" s="384" t="inlineStr">
        <is>
          <t>成套费</t>
        </is>
      </c>
      <c r="Q2722" s="161" t="inlineStr">
        <is>
          <t>类别</t>
        </is>
      </c>
      <c r="R2722" s="161" t="inlineStr">
        <is>
          <t>物料编码</t>
        </is>
      </c>
      <c r="S2722" s="161" t="inlineStr">
        <is>
          <t>产地</t>
        </is>
      </c>
      <c r="T2722" s="161" t="inlineStr">
        <is>
          <t>加工费</t>
        </is>
      </c>
      <c r="U2722" s="161" t="inlineStr">
        <is>
          <t>订货号</t>
        </is>
      </c>
      <c r="V2722" s="161" t="inlineStr">
        <is>
          <t>人工</t>
        </is>
      </c>
      <c r="W2722" s="161" t="inlineStr">
        <is>
          <t>辅料</t>
        </is>
      </c>
      <c r="X2722" s="203" t="inlineStr"/>
    </row>
    <row r="2723" s="308">
      <c r="A2723" s="64">
        <f>ROW()-ROW(A$2722)</f>
        <v/>
      </c>
      <c r="B2723" s="22" t="inlineStr">
        <is>
          <t>框架断路器</t>
        </is>
      </c>
      <c r="C2723" s="22" t="inlineStr">
        <is>
          <t>MT08 N1a SG 3P MIC5.0 E</t>
        </is>
      </c>
      <c r="D2723" s="22" t="inlineStr">
        <is>
          <t>甲供/施耐德电气</t>
        </is>
      </c>
      <c r="E2723" s="23" t="inlineStr">
        <is>
          <t>只</t>
        </is>
      </c>
      <c r="F2723" s="23" t="n">
        <v>2</v>
      </c>
      <c r="G2723" s="349">
        <f>IF(AND(B2723="",C2723=""),"",ROUND(M2723*L2723*N2723,2))</f>
        <v/>
      </c>
      <c r="H2723" s="349">
        <f>IF(AND(B2723="",C2723=""),"",ROUND(F2723*G2723,2))</f>
        <v/>
      </c>
      <c r="I2723" s="45" t="inlineStr"/>
      <c r="J2723" s="397">
        <f>IF(AND(B2723="",C2723=""),"",ROUND(M2723*N2723,2))</f>
        <v/>
      </c>
      <c r="K2723" s="398">
        <f>IF(AND(B2723="",C2723=""),"",ROUND(J2723*F2723,2))</f>
        <v/>
      </c>
      <c r="L2723" s="200" t="n">
        <v>1</v>
      </c>
      <c r="M2723" s="399" t="n">
        <v>1e-07</v>
      </c>
      <c r="N2723" s="154" t="n">
        <v>1</v>
      </c>
      <c r="O2723" s="155">
        <f>IF(AND(B2723="",C2723=""),"",IF(G2723&gt;=20000,0.05,IF(G2723&gt;=10000,0.1,IF(G2723&gt;=5000,0.2,IF(G2723&gt;=1000,0.3,IF(G2723&gt;=0,0.4,{0}))))))</f>
        <v/>
      </c>
      <c r="P2723" s="400">
        <f>IF(AND(B2723="",C2723=""),"",ROUND(H2723*O2723,2))</f>
        <v/>
      </c>
      <c r="Q2723" s="401" t="inlineStr">
        <is>
          <t>元件</t>
        </is>
      </c>
      <c r="R2723" s="168" t="inlineStr"/>
      <c r="S2723" s="168" t="inlineStr"/>
      <c r="T2723" s="168" t="inlineStr">
        <is>
          <t>0</t>
        </is>
      </c>
      <c r="U2723" s="168" t="inlineStr">
        <is>
          <t>C16F32D160</t>
        </is>
      </c>
      <c r="V2723" s="402" t="n"/>
      <c r="W2723" s="402" t="n"/>
      <c r="X2723" s="170" t="inlineStr">
        <is>
          <t>NSX630N Mic2.3 630A 3P3D F→NSX630F MIC2.3 630 3P F→NSX630F MIC 2.3 630 3P F</t>
        </is>
      </c>
    </row>
    <row r="2724" s="308">
      <c r="A2724" s="64">
        <f>ROW()-ROW(A$2722)</f>
        <v/>
      </c>
      <c r="B2724" s="22" t="inlineStr">
        <is>
          <t>电流互感器</t>
        </is>
      </c>
      <c r="C2724" s="22" t="inlineStr">
        <is>
          <t>SD-0.66-80II-V 800/5A</t>
        </is>
      </c>
      <c r="D2724" s="22" t="inlineStr">
        <is>
          <t>桑迪</t>
        </is>
      </c>
      <c r="E2724" s="23" t="inlineStr">
        <is>
          <t>只</t>
        </is>
      </c>
      <c r="F2724" s="23" t="n">
        <v>6</v>
      </c>
      <c r="G2724" s="349">
        <f>IF(AND(B2724="",C2724=""),"",ROUND(M2724*L2724*N2724,2))</f>
        <v/>
      </c>
      <c r="H2724" s="396">
        <f>IF(AND(B2724="",C2724=""),"",ROUND(F2724*G2724,2))</f>
        <v/>
      </c>
      <c r="I2724" s="219" t="inlineStr"/>
      <c r="J2724" s="397">
        <f>IF(AND(B2724="",C2724=""),"",ROUND(M2724*N2724,2))</f>
        <v/>
      </c>
      <c r="K2724" s="398">
        <f>IF(AND(B2724="",C2724=""),"",ROUND(J2724*F2724,2))</f>
        <v/>
      </c>
      <c r="L2724" s="200" t="n">
        <v>1</v>
      </c>
      <c r="M2724" s="399" t="n">
        <v>80.59999999999999</v>
      </c>
      <c r="N2724" s="154" t="n">
        <v>1</v>
      </c>
      <c r="O2724" s="155">
        <f>IF(AND(B2724="",C2724=""),"",IF(G2724&gt;=20000,0.05,IF(G2724&gt;=10000,0.1,IF(G2724&gt;=5000,0.2,IF(G2724&gt;=1000,0.3,IF(G2724&gt;=0,0.4,{0}))))))</f>
        <v/>
      </c>
      <c r="P2724" s="400">
        <f>IF(AND(B2724="",C2724=""),"",ROUND(H2724*O2724,2))</f>
        <v/>
      </c>
      <c r="Q2724" s="401" t="inlineStr">
        <is>
          <t>元件</t>
        </is>
      </c>
      <c r="R2724" s="168" t="inlineStr"/>
      <c r="S2724" s="168" t="inlineStr"/>
      <c r="T2724" s="168" t="inlineStr">
        <is>
          <t>0</t>
        </is>
      </c>
      <c r="U2724" s="168" t="inlineStr">
        <is>
          <t>710141426552500</t>
        </is>
      </c>
      <c r="V2724" s="402" t="n"/>
      <c r="W2724" s="402" t="n"/>
      <c r="X2724" s="170" t="inlineStr">
        <is>
          <t>SD→SD-0.66-40II-C 400/5A→SD-0.66-30I 250/5A→SD-0.66-30I 150/5A→SD-0.66-60II-C 750/5A→SD-0.66-60II-C 600/5A→SD-0.66-30I 150/5A→SD-0.66-40II-C 400/5A→SD-0.66-100II-C 1600/5A→SD-0.66-80II-V 1000/5A→SD-0.66-80II-V 1250/5A→SD-0.66-80II-V 1000/5A</t>
        </is>
      </c>
    </row>
    <row r="2725" s="308">
      <c r="A2725" s="64">
        <f>ROW()-ROW(A$2722)</f>
        <v/>
      </c>
      <c r="B2725" s="112" t="inlineStr">
        <is>
          <t>多功能表</t>
        </is>
      </c>
      <c r="C2725" s="112" t="inlineStr">
        <is>
          <t>PM4101</t>
        </is>
      </c>
      <c r="D2725" s="112" t="inlineStr">
        <is>
          <t>甲供/施耐德电气</t>
        </is>
      </c>
      <c r="E2725" s="114" t="inlineStr">
        <is>
          <t>只</t>
        </is>
      </c>
      <c r="F2725" s="114" t="n">
        <v>2</v>
      </c>
      <c r="G2725" s="396">
        <f>IF(AND(B2725="",C2725=""),"",ROUND(M2725*L2725*N2725,2))</f>
        <v/>
      </c>
      <c r="H2725" s="349">
        <f>IF(AND(B2725="",C2725=""),"",ROUND(F2725*G2725,2))</f>
        <v/>
      </c>
      <c r="I2725" s="45" t="inlineStr"/>
      <c r="J2725" s="397">
        <f>IF(AND(B2725="",C2725=""),"",ROUND(M2725*N2725,2))</f>
        <v/>
      </c>
      <c r="K2725" s="398">
        <f>IF(AND(B2725="",C2725=""),"",ROUND(J2725*F2725,2))</f>
        <v/>
      </c>
      <c r="L2725" s="200" t="n">
        <v>1</v>
      </c>
      <c r="M2725" s="399" t="n">
        <v>1e-07</v>
      </c>
      <c r="N2725" s="154" t="n">
        <v>1</v>
      </c>
      <c r="O2725" s="155">
        <f>IF(AND(B2725="",C2725=""),"",IF(J2725&gt;=20000,0.05,IF(J2725&gt;=10000,0.1,IF(J2725&gt;=5000,0.2,IF(J2725&gt;=1000,0.3,IF(J2725&gt;=0,0.4,{0}))))))</f>
        <v/>
      </c>
      <c r="P2725" s="400">
        <f>IF(AND(B2725="",C2725=""),"",ROUND(H2725*O2725,2))</f>
        <v/>
      </c>
      <c r="Q2725" s="401" t="inlineStr">
        <is>
          <t>元件</t>
        </is>
      </c>
      <c r="R2725" s="168" t="inlineStr"/>
      <c r="S2725" s="168" t="inlineStr"/>
      <c r="T2725" s="168" t="inlineStr">
        <is>
          <t>0</t>
        </is>
      </c>
      <c r="U2725" s="168" t="inlineStr"/>
      <c r="V2725" s="402" t="n"/>
      <c r="W2725" s="402" t="n"/>
      <c r="X2725" s="170" t="inlineStr"/>
    </row>
    <row r="2726" customFormat="1" s="3">
      <c r="A2726" s="64">
        <f>ROW()-ROW(A$2722)</f>
        <v/>
      </c>
      <c r="B2726" s="27" t="inlineStr">
        <is>
          <t>后备保护器</t>
        </is>
      </c>
      <c r="C2726" s="22" t="inlineStr">
        <is>
          <t>iSCB2 40H2 4P</t>
        </is>
      </c>
      <c r="D2726" s="22" t="inlineStr">
        <is>
          <t>甲供/施耐德万高</t>
        </is>
      </c>
      <c r="E2726" s="110" t="inlineStr">
        <is>
          <t>只</t>
        </is>
      </c>
      <c r="F2726" s="23" t="n">
        <v>1</v>
      </c>
      <c r="G2726" s="349">
        <f>IF(AND(B2726="",C2726=""),"",ROUND(M2726*L2726*N2726,2))</f>
        <v/>
      </c>
      <c r="H2726" s="349">
        <f>IF(AND(B2726="",C2726=""),"",ROUND(F2726*G2726,2))</f>
        <v/>
      </c>
      <c r="I2726" s="45" t="inlineStr"/>
      <c r="J2726" s="392">
        <f>IF(AND(B2726="",C2726=""),"",ROUND(M2726*N2726,2))</f>
        <v/>
      </c>
      <c r="K2726" s="393">
        <f>IF(AND(B2726="",C2726=""),"",ROUND(J2726*F2726,2))</f>
        <v/>
      </c>
      <c r="L2726" s="141" t="n">
        <v>1</v>
      </c>
      <c r="M2726" s="394" t="n">
        <v>1e-07</v>
      </c>
      <c r="N2726" s="143" t="n">
        <v>1</v>
      </c>
      <c r="O2726" s="144">
        <f>IF(AND(B2726="",C2726=""),"",IF(G2726&gt;=20000,0.05,IF(G2726&gt;=10000,0.1,IF(G2726&gt;=5000,0.2,IF(G2726&gt;=1000,0.3,IF(G2726&gt;=0,0.4,{0}))))))</f>
        <v/>
      </c>
      <c r="P2726" s="395">
        <f>IF(AND(B2726="",C2726=""),"",ROUND(H2726*O2726,2))</f>
        <v/>
      </c>
      <c r="Q2726" s="390" t="inlineStr">
        <is>
          <t>元件</t>
        </is>
      </c>
      <c r="R2726" s="164" t="inlineStr"/>
      <c r="S2726" s="164" t="inlineStr"/>
      <c r="T2726" s="164" t="inlineStr">
        <is>
          <t>0</t>
        </is>
      </c>
      <c r="U2726" s="164" t="inlineStr">
        <is>
          <t>A9L102554</t>
        </is>
      </c>
      <c r="V2726" s="391" t="n"/>
      <c r="W2726" s="391" t="n"/>
      <c r="X2726" s="166" t="inlineStr">
        <is>
          <t>iSCB1 25L1 4P→iSCB2 40H2 4P</t>
        </is>
      </c>
    </row>
    <row r="2727" customFormat="1" s="3">
      <c r="A2727" s="64">
        <f>ROW()-ROW(A$2722)</f>
        <v/>
      </c>
      <c r="B2727" s="27" t="inlineStr">
        <is>
          <t>电涌保护器</t>
        </is>
      </c>
      <c r="C2727" s="22" t="inlineStr">
        <is>
          <t>iPRU 40r 3P+N</t>
        </is>
      </c>
      <c r="D2727" s="22" t="inlineStr">
        <is>
          <t>甲供/施耐德万高</t>
        </is>
      </c>
      <c r="E2727" s="110" t="inlineStr">
        <is>
          <t>只</t>
        </is>
      </c>
      <c r="F2727" s="23" t="n">
        <v>1</v>
      </c>
      <c r="G2727" s="349">
        <f>IF(AND(B2727="",C2727=""),"",ROUND(M2727*L2727*N2727,2))</f>
        <v/>
      </c>
      <c r="H2727" s="349">
        <f>IF(AND(B2727="",C2727=""),"",ROUND(F2727*G2727,2))</f>
        <v/>
      </c>
      <c r="I2727" s="45" t="inlineStr"/>
      <c r="J2727" s="392">
        <f>IF(AND(B2727="",C2727=""),"",ROUND(M2727*N2727,2))</f>
        <v/>
      </c>
      <c r="K2727" s="393">
        <f>IF(AND(B2727="",C2727=""),"",ROUND(J2727*F2727,2))</f>
        <v/>
      </c>
      <c r="L2727" s="141" t="n">
        <v>1</v>
      </c>
      <c r="M2727" s="394" t="n">
        <v>1e-07</v>
      </c>
      <c r="N2727" s="143" t="n">
        <v>1</v>
      </c>
      <c r="O2727" s="144">
        <f>IF(AND(B2727="",C2727=""),"",IF(G2727&gt;=20000,0.05,IF(G2727&gt;=10000,0.1,IF(G2727&gt;=5000,0.2,IF(G2727&gt;=1000,0.3,IF(G2727&gt;=0,0.4,{0}))))))</f>
        <v/>
      </c>
      <c r="P2727" s="395">
        <f>IF(AND(B2727="",C2727=""),"",ROUND(H2727*O2727,2))</f>
        <v/>
      </c>
      <c r="Q2727" s="390" t="inlineStr">
        <is>
          <t>元件</t>
        </is>
      </c>
      <c r="R2727" s="164" t="inlineStr"/>
      <c r="S2727" s="164" t="inlineStr"/>
      <c r="T2727" s="164" t="inlineStr">
        <is>
          <t>0</t>
        </is>
      </c>
      <c r="U2727" s="164" t="inlineStr">
        <is>
          <t>A9L620601</t>
        </is>
      </c>
      <c r="V2727" s="391" t="n"/>
      <c r="W2727" s="391" t="n"/>
      <c r="X2727" s="166" t="inlineStr">
        <is>
          <t>iPRF1 12.5r 3P+N→iPRU 40r 3P→iPRF1 12.5r 3P+N</t>
        </is>
      </c>
    </row>
    <row r="2728" customFormat="1" s="3">
      <c r="A2728" s="64">
        <f>ROW()-ROW(A$2722)</f>
        <v/>
      </c>
      <c r="B2728" s="27" t="inlineStr">
        <is>
          <t>微型断路器</t>
        </is>
      </c>
      <c r="C2728" s="22" t="inlineStr">
        <is>
          <t>iC65H 2P C16A</t>
        </is>
      </c>
      <c r="D2728" s="22" t="inlineStr">
        <is>
          <t>甲供/施耐德电气</t>
        </is>
      </c>
      <c r="E2728" s="110" t="inlineStr">
        <is>
          <t>只</t>
        </is>
      </c>
      <c r="F2728" s="23" t="n">
        <v>2</v>
      </c>
      <c r="G2728" s="349">
        <f>IF(AND(B2728="",C2728=""),"",ROUND(M2728*L2728*N2728,2))</f>
        <v/>
      </c>
      <c r="H2728" s="349">
        <f>IF(AND(B2728="",C2728=""),"",ROUND(F2728*G2728,2))</f>
        <v/>
      </c>
      <c r="I2728" s="45" t="inlineStr"/>
      <c r="J2728" s="392">
        <f>IF(AND(B2728="",C2728=""),"",ROUND(M2728*N2728,2))</f>
        <v/>
      </c>
      <c r="K2728" s="393">
        <f>IF(AND(B2728="",C2728=""),"",ROUND(J2728*F2728,2))</f>
        <v/>
      </c>
      <c r="L2728" s="141" t="n">
        <v>1</v>
      </c>
      <c r="M2728" s="394" t="n">
        <v>1e-07</v>
      </c>
      <c r="N2728" s="143" t="n">
        <v>1</v>
      </c>
      <c r="O2728" s="144">
        <f>IF(AND(B2728="",C2728=""),"",IF(G2728&gt;=20000,0.05,IF(G2728&gt;=10000,0.1,IF(G2728&gt;=5000,0.2,IF(G2728&gt;=1000,0.3,IF(G2728&gt;=0,0.4,{0}))))))</f>
        <v/>
      </c>
      <c r="P2728" s="395">
        <f>IF(AND(B2728="",C2728=""),"",ROUND(H2728*O2728,2))</f>
        <v/>
      </c>
      <c r="Q2728" s="390" t="inlineStr">
        <is>
          <t>元件</t>
        </is>
      </c>
      <c r="R2728" s="164" t="inlineStr"/>
      <c r="S2728" s="164" t="inlineStr"/>
      <c r="T2728" s="164" t="n">
        <v>0</v>
      </c>
      <c r="U2728" s="164" t="inlineStr"/>
      <c r="V2728" s="391" t="n"/>
      <c r="W2728" s="391" t="n"/>
      <c r="X2728" s="166" t="inlineStr"/>
    </row>
    <row r="2729" customFormat="1" s="3">
      <c r="A2729" s="64">
        <f>ROW()-ROW(A$2722)</f>
        <v/>
      </c>
      <c r="B2729" s="22" t="inlineStr">
        <is>
          <t>指示灯</t>
        </is>
      </c>
      <c r="C2729" s="22" t="inlineStr">
        <is>
          <t>XB2BVM3LC</t>
        </is>
      </c>
      <c r="D2729" s="22" t="inlineStr">
        <is>
          <t>甲供/施耐德电气</t>
        </is>
      </c>
      <c r="E2729" s="23" t="inlineStr">
        <is>
          <t>只</t>
        </is>
      </c>
      <c r="F2729" s="23" t="n">
        <v>2</v>
      </c>
      <c r="G2729" s="349">
        <f>IF(AND(B2729="",C2729=""),"",ROUND(M2729*L2729*N2729,2))</f>
        <v/>
      </c>
      <c r="H2729" s="353">
        <f>IF(AND(B2729="",C2729=""),"",ROUND(F2729*G2729,2))</f>
        <v/>
      </c>
      <c r="I2729" s="180" t="inlineStr"/>
      <c r="J2729" s="392">
        <f>IF(AND(B2729="",C2729=""),"",ROUND(M2729*N2729,2))</f>
        <v/>
      </c>
      <c r="K2729" s="393">
        <f>IF(AND(B2729="",C2729=""),"",ROUND(J2729*F2729,2))</f>
        <v/>
      </c>
      <c r="L2729" s="141" t="n">
        <v>1</v>
      </c>
      <c r="M2729" s="394" t="n">
        <v>1e-07</v>
      </c>
      <c r="N2729" s="220" t="n">
        <v>1</v>
      </c>
      <c r="O2729" s="221">
        <f>IF(AND(B2729="",C2729=""),"",IF(G2729&gt;=20000,0.05,IF(G2729&gt;=10000,0.1,IF(G2729&gt;=5000,0.2,IF(G2729&gt;=1000,0.3,IF(G2729&gt;=0,0.4,{0}))))))</f>
        <v/>
      </c>
      <c r="P2729" s="419">
        <f>IF(AND(B2729="",C2729=""),"",ROUND(H2729*O2729,2))</f>
        <v/>
      </c>
      <c r="Q2729" s="420" t="inlineStr">
        <is>
          <t>元件</t>
        </is>
      </c>
      <c r="R2729" s="231" t="inlineStr"/>
      <c r="S2729" s="231" t="inlineStr"/>
      <c r="T2729" s="231" t="inlineStr">
        <is>
          <t>0</t>
        </is>
      </c>
      <c r="U2729" s="231" t="inlineStr">
        <is>
          <t>XB2BVM3LC</t>
        </is>
      </c>
      <c r="V2729" s="421" t="n"/>
      <c r="W2729" s="421" t="n"/>
      <c r="X2729" s="166" t="inlineStr">
        <is>
          <t>XA2EVM3LC</t>
        </is>
      </c>
    </row>
    <row r="2730" customFormat="1" s="3">
      <c r="A2730" s="64">
        <f>ROW()-ROW(A$2722)</f>
        <v/>
      </c>
      <c r="B2730" s="22" t="inlineStr">
        <is>
          <t>指示灯</t>
        </is>
      </c>
      <c r="C2730" s="22" t="inlineStr">
        <is>
          <t>XB2BVM4LC</t>
        </is>
      </c>
      <c r="D2730" s="22" t="inlineStr">
        <is>
          <t>甲供/施耐德电气</t>
        </is>
      </c>
      <c r="E2730" s="23" t="inlineStr">
        <is>
          <t>只</t>
        </is>
      </c>
      <c r="F2730" s="23" t="n">
        <v>2</v>
      </c>
      <c r="G2730" s="349">
        <f>IF(AND(B2730="",C2730=""),"",ROUND(M2730*L2730*N2730,2))</f>
        <v/>
      </c>
      <c r="H2730" s="353">
        <f>IF(AND(B2730="",C2730=""),"",ROUND(F2730*G2730,2))</f>
        <v/>
      </c>
      <c r="I2730" s="180" t="inlineStr"/>
      <c r="J2730" s="392">
        <f>IF(AND(B2730="",C2730=""),"",ROUND(M2730*N2730,2))</f>
        <v/>
      </c>
      <c r="K2730" s="393">
        <f>IF(AND(B2730="",C2730=""),"",ROUND(J2730*F2730,2))</f>
        <v/>
      </c>
      <c r="L2730" s="141" t="n">
        <v>1</v>
      </c>
      <c r="M2730" s="394" t="n">
        <v>1e-07</v>
      </c>
      <c r="N2730" s="220" t="n">
        <v>1</v>
      </c>
      <c r="O2730" s="221">
        <f>IF(AND(B2730="",C2730=""),"",IF(G2730&gt;=20000,0.05,IF(G2730&gt;=10000,0.1,IF(G2730&gt;=5000,0.2,IF(G2730&gt;=1000,0.3,IF(G2730&gt;=0,0.4,{0}))))))</f>
        <v/>
      </c>
      <c r="P2730" s="419">
        <f>IF(AND(B2730="",C2730=""),"",ROUND(H2730*O2730,2))</f>
        <v/>
      </c>
      <c r="Q2730" s="420" t="inlineStr">
        <is>
          <t>元件</t>
        </is>
      </c>
      <c r="R2730" s="231" t="inlineStr"/>
      <c r="S2730" s="231" t="inlineStr"/>
      <c r="T2730" s="231" t="inlineStr">
        <is>
          <t>0</t>
        </is>
      </c>
      <c r="U2730" s="231" t="inlineStr">
        <is>
          <t>XB2BVM4LC</t>
        </is>
      </c>
      <c r="V2730" s="421" t="n"/>
      <c r="W2730" s="421" t="n"/>
      <c r="X2730" s="166" t="inlineStr">
        <is>
          <t>XA2EVM4LC</t>
        </is>
      </c>
    </row>
    <row r="2731" s="308">
      <c r="A2731" s="64">
        <f>ROW()-ROW(A$2722)</f>
        <v/>
      </c>
      <c r="B2731" s="112" t="inlineStr">
        <is>
          <t>指示灯</t>
        </is>
      </c>
      <c r="C2731" s="112" t="inlineStr">
        <is>
          <t>XB2BVM5LC</t>
        </is>
      </c>
      <c r="D2731" s="112" t="inlineStr">
        <is>
          <t>甲供/施耐德电气</t>
        </is>
      </c>
      <c r="E2731" s="114" t="inlineStr">
        <is>
          <t>只</t>
        </is>
      </c>
      <c r="F2731" s="114" t="n">
        <v>2</v>
      </c>
      <c r="G2731" s="396">
        <f>IF(AND(B2731="",C2731=""),"",ROUND(M2731*L2731*N2731,2))</f>
        <v/>
      </c>
      <c r="H2731" s="396">
        <f>IF(AND(B2731="",C2731=""),"",ROUND(F2731*G2731,2))</f>
        <v/>
      </c>
      <c r="I2731" s="150" t="inlineStr"/>
      <c r="J2731" s="397">
        <f>IF(AND(B2731="",C2731=""),"",ROUND(M2731*N2731,2))</f>
        <v/>
      </c>
      <c r="K2731" s="398">
        <f>IF(AND(B2731="",C2731=""),"",ROUND(J2731*F2731,2))</f>
        <v/>
      </c>
      <c r="L2731" s="141" t="n">
        <v>1</v>
      </c>
      <c r="M2731" s="399" t="n">
        <v>1e-07</v>
      </c>
      <c r="N2731" s="154" t="n">
        <v>1</v>
      </c>
      <c r="O2731" s="155">
        <f>IF(AND(B2731="",C2731=""),"",IF(G2731&gt;=20000,0.05,IF(G2731&gt;=10000,0.1,IF(G2731&gt;=5000,0.2,IF(G2731&gt;=1000,0.3,IF(G2731&gt;=0,0.4,{0}))))))</f>
        <v/>
      </c>
      <c r="P2731" s="400">
        <f>IF(AND(B2731="",C2731=""),"",ROUND(H2731*O2731,2))</f>
        <v/>
      </c>
      <c r="Q2731" s="401" t="inlineStr">
        <is>
          <t>元件</t>
        </is>
      </c>
      <c r="R2731" s="168" t="inlineStr"/>
      <c r="S2731" s="168" t="inlineStr"/>
      <c r="T2731" s="168" t="inlineStr">
        <is>
          <t>0</t>
        </is>
      </c>
      <c r="U2731" s="168" t="inlineStr">
        <is>
          <t>XA2EVM5LC</t>
        </is>
      </c>
      <c r="V2731" s="402" t="n"/>
      <c r="W2731" s="402" t="n"/>
      <c r="X2731" s="170" t="inlineStr"/>
    </row>
    <row r="2732" s="308">
      <c r="A2732" s="64">
        <f>ROW()-ROW(A$2722)</f>
        <v/>
      </c>
      <c r="B2732" s="112" t="inlineStr">
        <is>
          <t>按钮</t>
        </is>
      </c>
      <c r="C2732" s="112" t="inlineStr">
        <is>
          <t>XB2BA31C</t>
        </is>
      </c>
      <c r="D2732" s="112" t="inlineStr">
        <is>
          <t>甲供/施耐德电气</t>
        </is>
      </c>
      <c r="E2732" s="114" t="inlineStr">
        <is>
          <t>只</t>
        </is>
      </c>
      <c r="F2732" s="114" t="n">
        <v>2</v>
      </c>
      <c r="G2732" s="396">
        <f>IF(AND(B2732="",C2732=""),"",ROUND(M2732*L2732*N2732,2))</f>
        <v/>
      </c>
      <c r="H2732" s="396">
        <f>IF(AND(B2732="",C2732=""),"",ROUND(F2732*G2732,2))</f>
        <v/>
      </c>
      <c r="I2732" s="150" t="inlineStr"/>
      <c r="J2732" s="397">
        <f>IF(AND(B2732="",C2732=""),"",ROUND(M2732*N2732,2))</f>
        <v/>
      </c>
      <c r="K2732" s="398">
        <f>IF(AND(B2732="",C2732=""),"",ROUND(J2732*F2732,2))</f>
        <v/>
      </c>
      <c r="L2732" s="141" t="n">
        <v>1</v>
      </c>
      <c r="M2732" s="399" t="n">
        <v>1e-07</v>
      </c>
      <c r="N2732" s="154" t="n">
        <v>1</v>
      </c>
      <c r="O2732" s="155">
        <f>IF(AND(B2732="",C2732=""),"",IF(G2732&gt;=20000,0.05,IF(G2732&gt;=10000,0.1,IF(G2732&gt;=5000,0.2,IF(G2732&gt;=1000,0.3,IF(G2732&gt;=0,0.4,{0}))))))</f>
        <v/>
      </c>
      <c r="P2732" s="400">
        <f>IF(AND(B2732="",C2732=""),"",ROUND(H2732*O2732,2))</f>
        <v/>
      </c>
      <c r="Q2732" s="401" t="inlineStr">
        <is>
          <t>元件</t>
        </is>
      </c>
      <c r="R2732" s="168" t="inlineStr"/>
      <c r="S2732" s="168" t="inlineStr"/>
      <c r="T2732" s="168" t="inlineStr">
        <is>
          <t>0</t>
        </is>
      </c>
      <c r="U2732" s="168" t="inlineStr">
        <is>
          <t>XB2BA31C</t>
        </is>
      </c>
      <c r="V2732" s="402" t="n"/>
      <c r="W2732" s="402" t="n"/>
      <c r="X2732" s="170" t="inlineStr">
        <is>
          <t>XA2EA31</t>
        </is>
      </c>
    </row>
    <row r="2733" s="308">
      <c r="A2733" s="64">
        <f>ROW()-ROW(A$2722)</f>
        <v/>
      </c>
      <c r="B2733" s="22" t="inlineStr">
        <is>
          <t>按钮</t>
        </is>
      </c>
      <c r="C2733" s="22" t="inlineStr">
        <is>
          <t>XB2BA42C</t>
        </is>
      </c>
      <c r="D2733" s="22" t="inlineStr">
        <is>
          <t>甲供/施耐德电气</t>
        </is>
      </c>
      <c r="E2733" s="23" t="inlineStr">
        <is>
          <t>只</t>
        </is>
      </c>
      <c r="F2733" s="23" t="n">
        <v>2</v>
      </c>
      <c r="G2733" s="349">
        <f>IF(AND(B2733="",C2733=""),"",ROUND(M2733*L2733*N2733,2))</f>
        <v/>
      </c>
      <c r="H2733" s="396">
        <f>IF(AND(B2733="",C2733=""),"",ROUND(F2733*G2733,2))</f>
        <v/>
      </c>
      <c r="I2733" s="150" t="inlineStr"/>
      <c r="J2733" s="397">
        <f>IF(AND(B2733="",C2733=""),"",ROUND(M2733*N2733,2))</f>
        <v/>
      </c>
      <c r="K2733" s="398">
        <f>IF(AND(B2733="",C2733=""),"",ROUND(J2733*F2733,2))</f>
        <v/>
      </c>
      <c r="L2733" s="141" t="n">
        <v>1</v>
      </c>
      <c r="M2733" s="399" t="n">
        <v>1e-07</v>
      </c>
      <c r="N2733" s="154" t="n">
        <v>1</v>
      </c>
      <c r="O2733" s="155">
        <f>IF(AND(B2733="",C2733=""),"",IF(G2733&gt;=20000,0.05,IF(G2733&gt;=10000,0.1,IF(G2733&gt;=5000,0.2,IF(G2733&gt;=1000,0.3,IF(G2733&gt;=0,0.4,{0}))))))</f>
        <v/>
      </c>
      <c r="P2733" s="400">
        <f>IF(AND(B2733="",C2733=""),"",ROUND(H2733*O2733,2))</f>
        <v/>
      </c>
      <c r="Q2733" s="401" t="inlineStr">
        <is>
          <t>元件</t>
        </is>
      </c>
      <c r="R2733" s="168" t="inlineStr"/>
      <c r="S2733" s="168" t="inlineStr"/>
      <c r="T2733" s="168" t="inlineStr">
        <is>
          <t>0</t>
        </is>
      </c>
      <c r="U2733" s="168" t="inlineStr">
        <is>
          <t>XB2BA42C</t>
        </is>
      </c>
      <c r="V2733" s="402" t="n"/>
      <c r="W2733" s="402" t="n"/>
      <c r="X2733" s="170" t="inlineStr">
        <is>
          <t>XA2EA41</t>
        </is>
      </c>
    </row>
    <row r="2734" s="308">
      <c r="A2734" s="64">
        <f>ROW()-ROW(A$2722)</f>
        <v/>
      </c>
      <c r="B2734" s="112" t="inlineStr">
        <is>
          <t>温湿度控制器</t>
        </is>
      </c>
      <c r="C2734" s="112" t="inlineStr">
        <is>
          <t>ATH48G-11</t>
        </is>
      </c>
      <c r="D2734" s="22" t="inlineStr">
        <is>
          <t>杭州安廷</t>
        </is>
      </c>
      <c r="E2734" s="23" t="inlineStr">
        <is>
          <t>套</t>
        </is>
      </c>
      <c r="F2734" s="23" t="n">
        <v>1</v>
      </c>
      <c r="G2734" s="349">
        <f>IF(AND(B2734="",C2734=""),"",ROUND(M2734*L2734*N2734,2))</f>
        <v/>
      </c>
      <c r="H2734" s="396">
        <f>IF(AND(B2734="",C2734=""),"",ROUND(F2734*G2734,2))</f>
        <v/>
      </c>
      <c r="I2734" s="150" t="inlineStr"/>
      <c r="J2734" s="397">
        <f>IF(AND(B2734="",C2734=""),"",ROUND(M2734*N2734,2))</f>
        <v/>
      </c>
      <c r="K2734" s="398">
        <f>IF(AND(B2734="",C2734=""),"",ROUND(J2734*F2734,2))</f>
        <v/>
      </c>
      <c r="L2734" s="141" t="n">
        <v>1</v>
      </c>
      <c r="M2734" s="399" t="n">
        <v>450</v>
      </c>
      <c r="N2734" s="154" t="n">
        <v>1</v>
      </c>
      <c r="O2734" s="155">
        <f>IF(AND(B2734="",C2734=""),"",IF(G2734&gt;=20000,0.05,IF(G2734&gt;=10000,0.1,IF(G2734&gt;=5000,0.2,IF(G2734&gt;=1000,0.3,IF(G2734&gt;=0,0.4,{0}))))))</f>
        <v/>
      </c>
      <c r="P2734" s="400">
        <f>IF(AND(B2734="",C2734=""),"",ROUND(H2734*O2734,2))</f>
        <v/>
      </c>
      <c r="Q2734" s="401" t="inlineStr">
        <is>
          <t>元件</t>
        </is>
      </c>
      <c r="R2734" s="168" t="inlineStr"/>
      <c r="S2734" s="168" t="inlineStr"/>
      <c r="T2734" s="168" t="inlineStr">
        <is>
          <t>0</t>
        </is>
      </c>
      <c r="U2734" s="168" t="inlineStr"/>
      <c r="V2734" s="402" t="n"/>
      <c r="W2734" s="402" t="n"/>
      <c r="X2734" s="170" t="inlineStr"/>
    </row>
    <row r="2735" s="308">
      <c r="A2735" s="64">
        <f>ROW()-ROW(A$2722)</f>
        <v/>
      </c>
      <c r="B2735" s="22" t="inlineStr">
        <is>
          <t>中间继电器</t>
        </is>
      </c>
      <c r="C2735" s="22" t="inlineStr">
        <is>
          <t>RXM4AB2P7+RXZE2S114M+RXZ400</t>
        </is>
      </c>
      <c r="D2735" s="22" t="inlineStr">
        <is>
          <t>甲供/施耐德电气</t>
        </is>
      </c>
      <c r="E2735" s="23" t="inlineStr">
        <is>
          <t>只</t>
        </is>
      </c>
      <c r="F2735" s="23" t="n">
        <v>4</v>
      </c>
      <c r="G2735" s="349">
        <f>IF(AND(B2735="",C2735=""),"",ROUND(M2735*L2735*N2735,2))</f>
        <v/>
      </c>
      <c r="H2735" s="349">
        <f>IF(AND(B2735="",C2735=""),"",ROUND(F2735*G2735,2))</f>
        <v/>
      </c>
      <c r="I2735" s="45" t="inlineStr"/>
      <c r="J2735" s="397">
        <f>IF(AND(B2735="",C2735=""),"",ROUND(M2735*N2735,2))</f>
        <v/>
      </c>
      <c r="K2735" s="398">
        <f>IF(AND(B2735="",C2735=""),"",ROUND(J2735*F2735,2))</f>
        <v/>
      </c>
      <c r="L2735" s="141" t="n">
        <v>1</v>
      </c>
      <c r="M2735" s="399" t="n">
        <v>1e-07</v>
      </c>
      <c r="N2735" s="154" t="n">
        <v>1</v>
      </c>
      <c r="O2735" s="155">
        <f>IF(AND(B2735="",C2735=""),"",IF(G2735&gt;=20000,0.05,IF(G2735&gt;=10000,0.1,IF(G2735&gt;=5000,0.2,IF(G2735&gt;=1000,0.3,IF(G2735&gt;=0,0.4,{0}))))))</f>
        <v/>
      </c>
      <c r="P2735" s="400">
        <f>IF(AND(B2735="",C2735=""),"",ROUND(H2735*O2735,2))</f>
        <v/>
      </c>
      <c r="Q2735" s="401" t="inlineStr">
        <is>
          <t>元件</t>
        </is>
      </c>
      <c r="R2735" s="168" t="inlineStr"/>
      <c r="S2735" s="168" t="inlineStr"/>
      <c r="T2735" s="168" t="inlineStr">
        <is>
          <t>0</t>
        </is>
      </c>
      <c r="U2735" s="168" t="inlineStr">
        <is>
          <t>RXM4AB2P7+RXZE2S114M+RXZ400</t>
        </is>
      </c>
      <c r="V2735" s="402" t="n"/>
      <c r="W2735" s="402" t="n"/>
      <c r="X2735" s="170" t="inlineStr">
        <is>
          <t>REL-IR-BL/L-230AC/4X21，含底座→RXM4AB2P7+RXZE2S114M+RXZ400→REL-IR-BL/L-230AC/4X21，含底座</t>
        </is>
      </c>
    </row>
    <row r="2736" customFormat="1" s="3">
      <c r="A2736" s="64">
        <f>ROW()-ROW(A$2722)</f>
        <v/>
      </c>
      <c r="B2736" s="22" t="inlineStr">
        <is>
          <t>带熔丝端子</t>
        </is>
      </c>
      <c r="C2736" s="22" t="inlineStr">
        <is>
          <t>UK 5-HESI</t>
        </is>
      </c>
      <c r="D2736" s="22" t="inlineStr">
        <is>
          <t>菲尼克斯</t>
        </is>
      </c>
      <c r="E2736" s="23" t="inlineStr">
        <is>
          <t>只</t>
        </is>
      </c>
      <c r="F2736" s="23" t="n">
        <v>8</v>
      </c>
      <c r="G2736" s="349">
        <f>IF(AND(B2736="",C2736=""),"",ROUND(M2736*L2736*N2736,2))</f>
        <v/>
      </c>
      <c r="H2736" s="349">
        <f>IF(AND(B2736="",C2736=""),"",ROUND(F2736*G2736,2))</f>
        <v/>
      </c>
      <c r="I2736" s="45" t="inlineStr"/>
      <c r="J2736" s="392">
        <f>IF(AND(B2736="",C2736=""),"",ROUND(M2736*N2736,2))</f>
        <v/>
      </c>
      <c r="K2736" s="393">
        <f>IF(AND(B2736="",C2736=""),"",ROUND(J2736*F2736,2))</f>
        <v/>
      </c>
      <c r="L2736" s="141" t="n">
        <v>1</v>
      </c>
      <c r="M2736" s="394" t="n">
        <v>7</v>
      </c>
      <c r="N2736" s="220" t="n">
        <v>1</v>
      </c>
      <c r="O2736" s="221">
        <f>IF(AND(B2736="",C2736=""),"",IF(G2736&gt;=20000,0.05,IF(G2736&gt;=10000,0.1,IF(G2736&gt;=5000,0.2,IF(G2736&gt;=1000,0.3,IF(G2736&gt;=0,0.4,{0}))))))</f>
        <v/>
      </c>
      <c r="P2736" s="419">
        <f>IF(AND(B2736="",C2736=""),"",ROUND(H2736*O2736,2))</f>
        <v/>
      </c>
      <c r="Q2736" s="420" t="inlineStr">
        <is>
          <t>元件</t>
        </is>
      </c>
      <c r="R2736" s="231" t="inlineStr"/>
      <c r="S2736" s="231" t="inlineStr"/>
      <c r="T2736" s="231" t="inlineStr">
        <is>
          <t>0</t>
        </is>
      </c>
      <c r="U2736" s="231" t="inlineStr">
        <is>
          <t>True</t>
        </is>
      </c>
      <c r="V2736" s="421" t="n"/>
      <c r="W2736" s="421" t="n"/>
      <c r="X2736" s="166" t="inlineStr"/>
    </row>
    <row r="2737" s="308">
      <c r="A2737" s="64">
        <f>ROW()-ROW(A$2722)</f>
        <v/>
      </c>
      <c r="B2737" s="22" t="inlineStr">
        <is>
          <t>水平母排</t>
        </is>
      </c>
      <c r="C2737" s="22" t="inlineStr">
        <is>
          <t>TMY 4*(2*100*5)+2*50*5</t>
        </is>
      </c>
      <c r="D2737" s="22" t="inlineStr">
        <is>
          <t>国产优质</t>
        </is>
      </c>
      <c r="E2737" s="23" t="inlineStr">
        <is>
          <t>米</t>
        </is>
      </c>
      <c r="F2737" s="23" t="n">
        <v>0.4</v>
      </c>
      <c r="G2737" s="349">
        <f>IF(AND(B2737="",C2737=""),"",ROUND(M2737*L2737*N2737,2))</f>
        <v/>
      </c>
      <c r="H2737" s="349">
        <f>IF(AND(B2737="",C2737=""),"",ROUND(F2737*G2737,2))</f>
        <v/>
      </c>
      <c r="I2737" s="45" t="inlineStr"/>
      <c r="J2737" s="397">
        <f>IF(AND(B2737="",C2737=""),"",ROUND(M2737*N2737,2))</f>
        <v/>
      </c>
      <c r="K2737" s="398">
        <f>IF(AND(B2737="",C2737=""),"",ROUND(J2737*F2737,2))</f>
        <v/>
      </c>
      <c r="L2737" s="200" t="n">
        <v>1</v>
      </c>
      <c r="M2737" s="399" t="n">
        <v>4329.60525</v>
      </c>
      <c r="N2737" s="154">
        <f>(6317.932*1*1+2684.8*1*1)/9002.732</f>
        <v/>
      </c>
      <c r="O2737" s="155">
        <f>IF(AND(B2737="",C2737=""),"",IF(J2737&gt;=20000,0.05,IF(J2737&gt;=10000,0.1,IF(J2737&gt;=5000,0.2,IF(J2737&gt;=1000,0.3,IF(J2737&gt;=0,0.4,{0}))))))</f>
        <v/>
      </c>
      <c r="P2737" s="400">
        <f>IF(AND(B2737="",C2737=""),"",ROUND(H2737*O2737,2))</f>
        <v/>
      </c>
      <c r="Q2737" s="401" t="inlineStr">
        <is>
          <t>母排</t>
        </is>
      </c>
      <c r="R2737" s="168" t="inlineStr"/>
      <c r="S2737" s="168" t="inlineStr"/>
      <c r="T2737" s="168" t="inlineStr">
        <is>
          <t>0</t>
        </is>
      </c>
      <c r="U2737" s="168" t="inlineStr"/>
      <c r="V2737" s="402" t="n"/>
      <c r="W2737" s="402" t="n"/>
      <c r="X2737" s="170" t="inlineStr"/>
    </row>
    <row r="2738" customFormat="1" s="5">
      <c r="A2738" s="64">
        <f>ROW()-ROW(A$2722)</f>
        <v/>
      </c>
      <c r="B2738" s="22" t="inlineStr">
        <is>
          <t>桩头排</t>
        </is>
      </c>
      <c r="C2738" s="22" t="inlineStr">
        <is>
          <t>TMY 3*80*5</t>
        </is>
      </c>
      <c r="D2738" s="22" t="inlineStr">
        <is>
          <t>国产优质</t>
        </is>
      </c>
      <c r="E2738" s="23" t="inlineStr">
        <is>
          <t>米</t>
        </is>
      </c>
      <c r="F2738" s="23" t="n">
        <v>3</v>
      </c>
      <c r="G2738" s="349">
        <f>IF(AND(B2738="",C2738=""),"",ROUND(M2738*L2738*N2738,2))</f>
        <v/>
      </c>
      <c r="H2738" s="349">
        <f>IF(AND(B2738="",C2738=""),"",ROUND(F2738*G2738,2))</f>
        <v/>
      </c>
      <c r="I2738" s="45" t="inlineStr"/>
      <c r="J2738" s="422">
        <f>IF(AND(B2738="",C2738=""),"",ROUND(M2738*N2738,2))</f>
        <v/>
      </c>
      <c r="K2738" s="423">
        <f>IF(AND(B2738="",C2738=""),"",ROUND(J2738*F2738,2))</f>
        <v/>
      </c>
      <c r="L2738" s="225" t="n">
        <v>1</v>
      </c>
      <c r="M2738" s="424" t="n">
        <v>1154.5614</v>
      </c>
      <c r="N2738" s="227" t="n">
        <v>1</v>
      </c>
      <c r="O2738" s="228">
        <f>IF(AND(B2738="",C2738=""),"",IF(G2738&gt;=20000,0.05,IF(G2738&gt;=10000,0.1,IF(G2738&gt;=5000,0.2,IF(G2738&gt;=1000,0.3,IF(G2738&gt;=0,0.4,{0}))))))</f>
        <v/>
      </c>
      <c r="P2738" s="425">
        <f>IF(AND(B2738="",C2738=""),"",ROUND(H2738*O2738,2))</f>
        <v/>
      </c>
      <c r="Q2738" s="426" t="inlineStr">
        <is>
          <t>母排</t>
        </is>
      </c>
      <c r="R2738" s="234" t="inlineStr"/>
      <c r="S2738" s="234" t="inlineStr"/>
      <c r="T2738" s="235" t="inlineStr">
        <is>
          <t>0</t>
        </is>
      </c>
      <c r="U2738" s="235" t="inlineStr"/>
      <c r="V2738" s="427" t="n"/>
      <c r="W2738" s="427" t="n"/>
      <c r="X2738" s="237" t="inlineStr">
        <is>
          <t>TMY 2*30*5→TMY 30*8</t>
        </is>
      </c>
    </row>
    <row r="2739" customFormat="1" s="5">
      <c r="A2739" s="64">
        <f>ROW()-ROW(A$2722)</f>
        <v/>
      </c>
      <c r="B2739" s="22" t="inlineStr">
        <is>
          <t>垂直排</t>
        </is>
      </c>
      <c r="C2739" s="22" t="inlineStr">
        <is>
          <t>TMY 3*80*5</t>
        </is>
      </c>
      <c r="D2739" s="22" t="inlineStr">
        <is>
          <t>国产优质</t>
        </is>
      </c>
      <c r="E2739" s="23" t="inlineStr">
        <is>
          <t>米</t>
        </is>
      </c>
      <c r="F2739" s="23" t="n">
        <v>2</v>
      </c>
      <c r="G2739" s="349">
        <f>IF(AND(B2739="",C2739=""),"",ROUND(M2739*L2739*N2739,2))</f>
        <v/>
      </c>
      <c r="H2739" s="349">
        <f>IF(AND(B2739="",C2739=""),"",ROUND(F2739*G2739,2))</f>
        <v/>
      </c>
      <c r="I2739" s="45" t="inlineStr"/>
      <c r="J2739" s="422">
        <f>IF(AND(B2739="",C2739=""),"",ROUND(M2739*N2739,2))</f>
        <v/>
      </c>
      <c r="K2739" s="423">
        <f>IF(AND(B2739="",C2739=""),"",ROUND(J2739*F2739,2))</f>
        <v/>
      </c>
      <c r="L2739" s="225" t="n">
        <v>1</v>
      </c>
      <c r="M2739" s="424" t="n">
        <v>1154.5614</v>
      </c>
      <c r="N2739" s="227" t="n">
        <v>1</v>
      </c>
      <c r="O2739" s="228">
        <f>IF(AND(B2739="",C2739=""),"",IF(G2739&gt;=20000,0.05,IF(G2739&gt;=10000,0.1,IF(G2739&gt;=5000,0.2,IF(G2739&gt;=1000,0.3,IF(G2739&gt;=0,0.4,{0}))))))</f>
        <v/>
      </c>
      <c r="P2739" s="425">
        <f>IF(AND(B2739="",C2739=""),"",ROUND(H2739*O2739,2))</f>
        <v/>
      </c>
      <c r="Q2739" s="426" t="inlineStr">
        <is>
          <t>母排</t>
        </is>
      </c>
      <c r="R2739" s="234" t="inlineStr"/>
      <c r="S2739" s="234" t="inlineStr"/>
      <c r="T2739" s="235" t="inlineStr">
        <is>
          <t>0</t>
        </is>
      </c>
      <c r="U2739" s="235" t="inlineStr"/>
      <c r="V2739" s="427" t="n"/>
      <c r="W2739" s="427" t="n"/>
      <c r="X2739" s="237" t="inlineStr">
        <is>
          <t>TMY 2*30*5→TMY 30*8</t>
        </is>
      </c>
    </row>
    <row r="2740" customFormat="1" s="5">
      <c r="A2740" s="64">
        <f>ROW()-ROW(A$2722)</f>
        <v/>
      </c>
      <c r="B2740" s="22" t="inlineStr">
        <is>
          <t>N排</t>
        </is>
      </c>
      <c r="C2740" s="22" t="inlineStr">
        <is>
          <t>TMY 80*10</t>
        </is>
      </c>
      <c r="D2740" s="22" t="inlineStr">
        <is>
          <t>国产优质</t>
        </is>
      </c>
      <c r="E2740" s="23" t="inlineStr">
        <is>
          <t>米</t>
        </is>
      </c>
      <c r="F2740" s="23" t="n">
        <v>3</v>
      </c>
      <c r="G2740" s="349">
        <f>IF(AND(B2740="",C2740=""),"",ROUND(M2740*L2740*N2740,2))</f>
        <v/>
      </c>
      <c r="H2740" s="349">
        <f>IF(AND(B2740="",C2740=""),"",ROUND(F2740*G2740,2))</f>
        <v/>
      </c>
      <c r="I2740" s="45" t="inlineStr"/>
      <c r="J2740" s="422">
        <f>IF(AND(B2740="",C2740=""),"",ROUND(M2740*N2740,2))</f>
        <v/>
      </c>
      <c r="K2740" s="423">
        <f>IF(AND(B2740="",C2740=""),"",ROUND(J2740*F2740,2))</f>
        <v/>
      </c>
      <c r="L2740" s="225" t="n">
        <v>1</v>
      </c>
      <c r="M2740" s="424" t="n">
        <v>769.7076</v>
      </c>
      <c r="N2740" s="227" t="n">
        <v>1</v>
      </c>
      <c r="O2740" s="228">
        <f>IF(AND(B2740="",C2740=""),"",IF(G2740&gt;=20000,0.05,IF(G2740&gt;=10000,0.1,IF(G2740&gt;=5000,0.2,IF(G2740&gt;=1000,0.3,IF(G2740&gt;=0,0.4,{0}))))))</f>
        <v/>
      </c>
      <c r="P2740" s="425">
        <f>IF(AND(B2740="",C2740=""),"",ROUND(H2740*O2740,2))</f>
        <v/>
      </c>
      <c r="Q2740" s="426" t="inlineStr">
        <is>
          <t>母排</t>
        </is>
      </c>
      <c r="R2740" s="234" t="inlineStr"/>
      <c r="S2740" s="234" t="inlineStr"/>
      <c r="T2740" s="235" t="inlineStr">
        <is>
          <t>0</t>
        </is>
      </c>
      <c r="U2740" s="235" t="inlineStr"/>
      <c r="V2740" s="427" t="n"/>
      <c r="W2740" s="427" t="n"/>
      <c r="X2740" s="237" t="inlineStr">
        <is>
          <t>TMY 2*30*5→TMY 30*8</t>
        </is>
      </c>
    </row>
    <row r="2741" customFormat="1" s="5">
      <c r="A2741" s="64">
        <f>ROW()-ROW(A$2722)</f>
        <v/>
      </c>
      <c r="B2741" s="22" t="inlineStr">
        <is>
          <t>PE排</t>
        </is>
      </c>
      <c r="C2741" s="22" t="inlineStr">
        <is>
          <t>TMY 2*50*5</t>
        </is>
      </c>
      <c r="D2741" s="22" t="inlineStr">
        <is>
          <t>国产优质</t>
        </is>
      </c>
      <c r="E2741" s="23" t="inlineStr">
        <is>
          <t>米</t>
        </is>
      </c>
      <c r="F2741" s="23" t="n">
        <v>2</v>
      </c>
      <c r="G2741" s="349">
        <f>IF(AND(B2741="",C2741=""),"",ROUND(M2741*L2741*N2741,2))</f>
        <v/>
      </c>
      <c r="H2741" s="349">
        <f>IF(AND(B2741="",C2741=""),"",ROUND(F2741*G2741,2))</f>
        <v/>
      </c>
      <c r="I2741" s="45" t="inlineStr"/>
      <c r="J2741" s="422">
        <f>IF(AND(B2741="",C2741=""),"",ROUND(M2741*N2741,2))</f>
        <v/>
      </c>
      <c r="K2741" s="423">
        <f>IF(AND(B2741="",C2741=""),"",ROUND(J2741*F2741,2))</f>
        <v/>
      </c>
      <c r="L2741" s="225" t="n">
        <v>1</v>
      </c>
      <c r="M2741" s="424" t="n">
        <v>481.06725</v>
      </c>
      <c r="N2741" s="227" t="n">
        <v>1</v>
      </c>
      <c r="O2741" s="228">
        <f>IF(AND(B2741="",C2741=""),"",IF(G2741&gt;=20000,0.05,IF(G2741&gt;=10000,0.1,IF(G2741&gt;=5000,0.2,IF(G2741&gt;=1000,0.3,IF(G2741&gt;=0,0.4,{0}))))))</f>
        <v/>
      </c>
      <c r="P2741" s="425">
        <f>IF(AND(B2741="",C2741=""),"",ROUND(H2741*O2741,2))</f>
        <v/>
      </c>
      <c r="Q2741" s="426" t="inlineStr">
        <is>
          <t>母排</t>
        </is>
      </c>
      <c r="R2741" s="234" t="inlineStr"/>
      <c r="S2741" s="234" t="inlineStr"/>
      <c r="T2741" s="235" t="inlineStr">
        <is>
          <t>0</t>
        </is>
      </c>
      <c r="U2741" s="235" t="inlineStr"/>
      <c r="V2741" s="427" t="n"/>
      <c r="W2741" s="427" t="n"/>
      <c r="X2741" s="237" t="inlineStr">
        <is>
          <t>TMY 2*30*5→TMY 30*8</t>
        </is>
      </c>
    </row>
    <row r="2742" s="308">
      <c r="A2742" s="64">
        <f>ROW()-ROW(A$2722)</f>
        <v/>
      </c>
      <c r="B2742" s="112" t="inlineStr">
        <is>
          <t>辅料</t>
        </is>
      </c>
      <c r="C2742" s="112" t="inlineStr"/>
      <c r="D2742" s="112" t="inlineStr"/>
      <c r="E2742" s="114" t="inlineStr">
        <is>
          <t>套</t>
        </is>
      </c>
      <c r="F2742" s="114" t="n">
        <v>1</v>
      </c>
      <c r="G2742" s="396">
        <f>IF(AND(B2742="",C2742=""),"",ROUND(M2742*L2742*N2742,2))</f>
        <v/>
      </c>
      <c r="H2742" s="396">
        <f>IF(AND(B2742="",C2742=""),"",ROUND(F2742*G2742,2))</f>
        <v/>
      </c>
      <c r="I2742" s="219" t="inlineStr"/>
      <c r="J2742" s="397">
        <f>IF(AND(B2742="",C2742=""),"",ROUND(M2742*N2742,2))</f>
        <v/>
      </c>
      <c r="K2742" s="398">
        <f>IF(AND(B2742="",C2742=""),"",ROUND(J2742*F2742,2))</f>
        <v/>
      </c>
      <c r="L2742" s="200" t="n">
        <v>1</v>
      </c>
      <c r="M2742" s="399" t="n">
        <v>800</v>
      </c>
      <c r="N2742" s="154" t="n">
        <v>1</v>
      </c>
      <c r="O2742" s="155">
        <f>IF(AND(B2742="",C2742=""),"",IF(G2742&gt;=20000,0.05,IF(G2742&gt;=10000,0.1,IF(G2742&gt;=5000,0.2,IF(G2742&gt;=1000,0.3,IF(G2742&gt;=0,0.4,{0}))))))</f>
        <v/>
      </c>
      <c r="P2742" s="400">
        <f>IF(AND(B2742="",C2742=""),"",ROUND(H2742*O2742,2))</f>
        <v/>
      </c>
      <c r="Q2742" s="401" t="inlineStr">
        <is>
          <t>辅料</t>
        </is>
      </c>
      <c r="R2742" s="168" t="inlineStr"/>
      <c r="S2742" s="168" t="inlineStr"/>
      <c r="T2742" s="168" t="inlineStr">
        <is>
          <t>0</t>
        </is>
      </c>
      <c r="U2742" s="168" t="inlineStr"/>
      <c r="V2742" s="402" t="n"/>
      <c r="W2742" s="402" t="n"/>
      <c r="X2742" s="170" t="inlineStr"/>
    </row>
    <row r="2743" s="308">
      <c r="A2743" s="64">
        <f>ROW()-ROW(A$2722)</f>
        <v/>
      </c>
      <c r="B2743" s="112" t="inlineStr">
        <is>
          <t>柜体Blokset</t>
        </is>
      </c>
      <c r="C2743" s="22" t="inlineStr">
        <is>
          <t>400W*1200D*2200H</t>
        </is>
      </c>
      <c r="D2743" s="112" t="inlineStr">
        <is>
          <t>清科</t>
        </is>
      </c>
      <c r="E2743" s="114" t="inlineStr">
        <is>
          <t>台</t>
        </is>
      </c>
      <c r="F2743" s="114" t="n">
        <v>1</v>
      </c>
      <c r="G2743" s="396">
        <f>IF(AND(B2743="",C2743=""),"",ROUND(M2743*L2743*N2743,2))</f>
        <v/>
      </c>
      <c r="H2743" s="396">
        <f>IF(AND(B2743="",C2743=""),"",ROUND(F2743*G2743,2))</f>
        <v/>
      </c>
      <c r="I2743" s="219" t="inlineStr"/>
      <c r="J2743" s="397">
        <f>IF(AND(B2743="",C2743=""),"",ROUND(M2743*N2743,2))</f>
        <v/>
      </c>
      <c r="K2743" s="398">
        <f>IF(AND(B2743="",C2743=""),"",ROUND(J2743*F2743,2))</f>
        <v/>
      </c>
      <c r="L2743" s="200" t="n">
        <v>1</v>
      </c>
      <c r="M2743" s="399" t="n">
        <v>4916</v>
      </c>
      <c r="N2743" s="154" t="n">
        <v>1</v>
      </c>
      <c r="O2743" s="155">
        <f>IF(AND(B2743="",C2743=""),"",IF(G2743&gt;=20000,0.05,IF(G2743&gt;=10000,0.1,IF(G2743&gt;=5000,0.2,IF(G2743&gt;=1000,0.3,IF(G2743&gt;=0,0.4,{0}))))))</f>
        <v/>
      </c>
      <c r="P2743" s="400">
        <f>IF(AND(B2743="",C2743=""),"",ROUND(H2743*O2743,2))</f>
        <v/>
      </c>
      <c r="Q2743" s="401" t="inlineStr">
        <is>
          <t>箱体</t>
        </is>
      </c>
      <c r="R2743" s="168" t="inlineStr"/>
      <c r="S2743" s="168" t="inlineStr"/>
      <c r="T2743" s="168" t="inlineStr">
        <is>
          <t>0</t>
        </is>
      </c>
      <c r="U2743" s="168" t="inlineStr"/>
      <c r="V2743" s="402" t="n"/>
      <c r="W2743" s="402" t="n"/>
      <c r="X2743" s="170" t="inlineStr">
        <is>
          <t>BlokSeT</t>
        </is>
      </c>
    </row>
    <row r="2744" s="308">
      <c r="A2744" s="64">
        <f>ROW()-ROW(A$2722)</f>
        <v/>
      </c>
      <c r="B2744" s="22" t="inlineStr"/>
      <c r="C2744" s="22" t="inlineStr"/>
      <c r="D2744" s="22" t="inlineStr"/>
      <c r="E2744" s="23" t="n"/>
      <c r="F2744" s="23">
        <f>IF(AND(B2744="",C2744=""),"",1)</f>
        <v/>
      </c>
      <c r="G2744" s="349">
        <f>IF(AND(B2744="",C2744=""),"",ROUND(M2744*L2744*N2744,2))</f>
        <v/>
      </c>
      <c r="H2744" s="349">
        <f>IF(AND(B2744="",C2744=""),"",ROUND(F2744*G2744,2))</f>
        <v/>
      </c>
      <c r="I2744" s="45" t="inlineStr"/>
      <c r="J2744" s="397">
        <f>IF(AND(B2744="",C2744=""),"",ROUND(M2744*N2744,2))</f>
        <v/>
      </c>
      <c r="K2744" s="398">
        <f>IF(AND(B2744="",C2744=""),"",ROUND(J2744*F2744,2))</f>
        <v/>
      </c>
      <c r="L2744" s="200">
        <f>IF(AND(B2744="",C2744=""),"",1)</f>
        <v/>
      </c>
      <c r="M2744" s="399" t="n"/>
      <c r="N2744" s="154">
        <f>IF(AND(B2744="",C2744=""),"",1)</f>
        <v/>
      </c>
      <c r="O2744" s="155">
        <f>IF(AND(B2744="",C2744=""),"",IF(J2744&gt;=20000,0.05,IF(J2744&gt;=10000,0.1,IF(J2744&gt;=5000,0.2,IF(J2744&gt;=1000,0.3,IF(J2744&gt;=0,0.4,{0}))))))</f>
        <v/>
      </c>
      <c r="P2744" s="400">
        <f>IF(AND(B2744="",C2744=""),"",ROUND(H2744*O2744,2))</f>
        <v/>
      </c>
      <c r="Q2744" s="401">
        <f>IF(AND(B2744="",C2744=""),"","元件")</f>
        <v/>
      </c>
      <c r="R2744" s="168" t="inlineStr"/>
      <c r="S2744" s="168" t="inlineStr"/>
      <c r="T2744" s="168" t="inlineStr"/>
      <c r="U2744" s="168" t="inlineStr"/>
      <c r="V2744" s="402" t="n"/>
      <c r="W2744" s="402" t="n"/>
      <c r="X2744" s="170" t="inlineStr"/>
    </row>
    <row r="2745" s="308">
      <c r="A2745" s="64">
        <f>ROW()-ROW(A$2722)</f>
        <v/>
      </c>
      <c r="B2745" s="171" t="inlineStr">
        <is>
          <t>小计</t>
        </is>
      </c>
      <c r="C2745" s="172" t="n"/>
      <c r="D2745" s="204" t="n"/>
      <c r="E2745" s="114" t="n"/>
      <c r="F2745" s="114" t="n"/>
      <c r="G2745" s="396" t="n"/>
      <c r="H2745" s="396">
        <f>ROUND(SUM(H2722:INDEX(H:H,ROW()-1)),2)</f>
        <v/>
      </c>
      <c r="I2745" s="45" t="inlineStr"/>
      <c r="J2745" s="397" t="n"/>
      <c r="K2745" s="398">
        <f>ROUND(SUM(K2722:INDEX(K:K,ROW()-1)),2)</f>
        <v/>
      </c>
      <c r="L2745" s="200" t="n"/>
      <c r="M2745" s="399" t="n"/>
      <c r="N2745" s="154" t="n"/>
      <c r="O2745" s="155" t="n"/>
      <c r="P2745" s="400" t="n"/>
      <c r="Q2745" s="401" t="n"/>
      <c r="R2745" s="168" t="inlineStr"/>
      <c r="S2745" s="168" t="inlineStr"/>
      <c r="T2745" s="168" t="inlineStr"/>
      <c r="U2745" s="168" t="inlineStr"/>
      <c r="V2745" s="402">
        <f>ROUND(SUMPRODUCT(F2722:INDEX(F:F,ROW()-1),V2722:INDEX(V:V,ROW()-1)),2)</f>
        <v/>
      </c>
      <c r="W2745" s="402">
        <f>ROUND(SUMPRODUCT(F2722:INDEX(F:F,ROW()-1),W2722:INDEX(W:W,ROW()-1)),2)</f>
        <v/>
      </c>
      <c r="X2745" s="170" t="inlineStr"/>
    </row>
    <row r="2746" s="308">
      <c r="A2746" s="64">
        <f>ROW()-ROW(A$2722)</f>
        <v/>
      </c>
      <c r="B2746" s="171" t="inlineStr">
        <is>
          <t>综合费(人工、管理、税金、利润等)</t>
        </is>
      </c>
      <c r="C2746" s="172" t="n"/>
      <c r="D2746" s="204" t="n"/>
      <c r="E2746" s="114" t="n"/>
      <c r="F2746" s="114" t="n"/>
      <c r="G2746" s="396" t="n"/>
      <c r="H2746" s="396">
        <f>2500</f>
        <v/>
      </c>
      <c r="I2746" s="45" t="inlineStr"/>
      <c r="J2746" s="397" t="n"/>
      <c r="K2746" s="398" t="n"/>
      <c r="L2746" s="200" t="n"/>
      <c r="M2746" s="399" t="n"/>
      <c r="N2746" s="154" t="n"/>
      <c r="O2746" s="155" t="n"/>
      <c r="P2746" s="400" t="n"/>
      <c r="Q2746" s="401" t="inlineStr">
        <is>
          <t>费用</t>
        </is>
      </c>
      <c r="R2746" s="168" t="inlineStr"/>
      <c r="S2746" s="168" t="inlineStr"/>
      <c r="T2746" s="168" t="inlineStr"/>
      <c r="U2746" s="168" t="inlineStr"/>
      <c r="V2746" s="402" t="n"/>
      <c r="W2746" s="402" t="n"/>
      <c r="X2746" s="170" t="inlineStr"/>
    </row>
    <row r="2747" s="308">
      <c r="A2747" s="64">
        <f>ROW()-ROW(A$2722)</f>
        <v/>
      </c>
      <c r="B2747" s="204" t="inlineStr">
        <is>
          <t>单台合计</t>
        </is>
      </c>
      <c r="C2747" s="172" t="n"/>
      <c r="D2747" s="204" t="n"/>
      <c r="E2747" s="114" t="n"/>
      <c r="F2747" s="114" t="n"/>
      <c r="G2747" s="396" t="n"/>
      <c r="H2747" s="396">
        <f>ROUND(SUM(H2745:H2746),2)</f>
        <v/>
      </c>
      <c r="I2747" s="181" t="n"/>
      <c r="J2747" s="397" t="n"/>
      <c r="K2747" s="398">
        <f>ROUND(SUM(K2745:K2746),2)</f>
        <v/>
      </c>
      <c r="L2747" s="209" t="n"/>
      <c r="M2747" s="399" t="n"/>
      <c r="N2747" s="210" t="n"/>
      <c r="O2747" s="211" t="n"/>
      <c r="P2747" s="400" t="n"/>
      <c r="Q2747" s="401" t="n"/>
      <c r="R2747" s="168" t="inlineStr"/>
      <c r="S2747" s="168" t="inlineStr"/>
      <c r="T2747" s="168" t="inlineStr"/>
      <c r="U2747" s="168" t="inlineStr"/>
      <c r="V2747" s="402" t="n"/>
      <c r="W2747" s="402" t="n"/>
      <c r="X2747" s="170" t="inlineStr"/>
    </row>
    <row r="2748" s="308">
      <c r="A2748" s="173" t="inlineStr">
        <is>
          <t>总计</t>
        </is>
      </c>
      <c r="B2748" s="205" t="n"/>
      <c r="C2748" s="175" t="n"/>
      <c r="D2748" s="206" t="n"/>
      <c r="E2748" s="206" t="inlineStr">
        <is>
          <t>台</t>
        </is>
      </c>
      <c r="F2748" s="206" t="n">
        <v>1</v>
      </c>
      <c r="G2748" s="414">
        <f>ROUND(H2747,2)</f>
        <v/>
      </c>
      <c r="H2748" s="414">
        <f>ROUND(F2748*G2748,2)</f>
        <v/>
      </c>
      <c r="I2748" s="185" t="n"/>
      <c r="J2748" s="415" t="n"/>
      <c r="K2748" s="416">
        <f>ROUND(K2747*F2748,2)</f>
        <v/>
      </c>
      <c r="L2748" s="214" t="n"/>
      <c r="M2748" s="417" t="n"/>
      <c r="N2748" s="216" t="n"/>
      <c r="O2748" s="217" t="n"/>
      <c r="P2748" s="418" t="n"/>
      <c r="Q2748" s="401" t="n"/>
      <c r="R2748" s="168" t="inlineStr"/>
      <c r="S2748" s="168" t="inlineStr"/>
      <c r="T2748" s="168" t="inlineStr"/>
      <c r="U2748" s="168" t="inlineStr"/>
      <c r="V2748" s="402" t="n"/>
      <c r="W2748" s="402" t="n"/>
      <c r="X2748" s="170" t="inlineStr"/>
    </row>
    <row r="2749" customFormat="1" s="4">
      <c r="A2749" s="6" t="n"/>
      <c r="B2749" s="195" t="inlineStr"/>
      <c r="C2749" s="195" t="inlineStr"/>
      <c r="D2749" s="195" t="inlineStr"/>
      <c r="Q2749" s="159" t="n"/>
      <c r="R2749" s="159" t="n"/>
      <c r="S2749" s="159" t="n"/>
      <c r="T2749" s="159" t="n"/>
      <c r="U2749" s="159" t="n"/>
      <c r="X2749" s="195" t="inlineStr"/>
    </row>
    <row r="2750" customFormat="1" s="4">
      <c r="A2750" s="6" t="n"/>
      <c r="B2750" s="195" t="inlineStr"/>
      <c r="C2750" s="195" t="inlineStr"/>
      <c r="D2750" s="195" t="inlineStr"/>
      <c r="Q2750" s="159" t="n"/>
      <c r="R2750" s="159" t="n"/>
      <c r="S2750" s="159" t="n"/>
      <c r="T2750" s="159" t="n"/>
      <c r="U2750" s="159" t="n"/>
      <c r="X2750" s="195" t="inlineStr"/>
    </row>
    <row r="2751" s="308">
      <c r="A2751" s="208">
        <f>CONCATENATE("报价人：",项目信息!$B$8)</f>
        <v/>
      </c>
      <c r="B2751" s="208" t="n"/>
      <c r="C2751" s="4" t="n"/>
      <c r="D2751" s="4" t="n"/>
      <c r="E2751" s="4" t="n"/>
      <c r="F2751" s="4" t="n"/>
      <c r="G2751" s="4" t="n"/>
      <c r="H2751" s="178">
        <f>项目信息!$B$9</f>
        <v/>
      </c>
      <c r="Q2751" s="159" t="n"/>
      <c r="R2751" s="159" t="n"/>
      <c r="S2751" s="159" t="n"/>
      <c r="T2751" s="159" t="n"/>
      <c r="U2751" s="159" t="n"/>
      <c r="X2751" s="203" t="inlineStr"/>
    </row>
    <row r="2752" s="308">
      <c r="A2752" s="8">
        <f>T(项目信息!$B$22)</f>
        <v/>
      </c>
      <c r="Q2752" s="159" t="n"/>
      <c r="R2752" s="159" t="n"/>
      <c r="S2752" s="159" t="n"/>
      <c r="T2752" s="159" t="n"/>
      <c r="U2752" s="159" t="n"/>
    </row>
    <row r="2753" s="308">
      <c r="A2753" s="9">
        <f>T(项目信息!$B$23)</f>
        <v/>
      </c>
      <c r="Q2753" s="159" t="n"/>
      <c r="R2753" s="159" t="n"/>
      <c r="S2753" s="159" t="n"/>
      <c r="T2753" s="159" t="n"/>
      <c r="U2753" s="159" t="n"/>
    </row>
    <row r="2754" s="308">
      <c r="A2754" s="97" t="inlineStr">
        <is>
          <t>成套产品报价明细表</t>
        </is>
      </c>
      <c r="B2754" s="378" t="n"/>
      <c r="C2754" s="378" t="n"/>
      <c r="D2754" s="378" t="n"/>
      <c r="E2754" s="378" t="n"/>
      <c r="F2754" s="378" t="n"/>
      <c r="G2754" s="378" t="n"/>
      <c r="H2754" s="378" t="n"/>
      <c r="I2754" s="378" t="n"/>
      <c r="Q2754" s="159" t="n"/>
      <c r="R2754" s="159" t="n"/>
      <c r="S2754" s="159" t="n"/>
      <c r="T2754" s="159" t="n"/>
      <c r="U2754" s="159" t="n"/>
    </row>
    <row r="2755" customFormat="1" s="4">
      <c r="A2755" s="98" t="inlineStr">
        <is>
          <t>柜号:</t>
        </is>
      </c>
      <c r="B2755" s="99" t="inlineStr">
        <is>
          <t>T6-BU32</t>
        </is>
      </c>
      <c r="C2755" s="100" t="inlineStr">
        <is>
          <t>型号:</t>
        </is>
      </c>
      <c r="D2755" s="99" t="inlineStr">
        <is>
          <t>BlokSeT</t>
        </is>
      </c>
      <c r="E2755" s="379" t="n"/>
      <c r="F2755" s="101" t="inlineStr">
        <is>
          <t>名称:</t>
        </is>
      </c>
      <c r="G2755" s="99" t="inlineStr">
        <is>
          <t>馈线柜</t>
        </is>
      </c>
      <c r="H2755" s="379" t="n"/>
      <c r="I2755" s="408" t="inlineStr"/>
      <c r="J2755" s="194" t="inlineStr">
        <is>
          <t>箱柜尺寸:</t>
        </is>
      </c>
      <c r="K2755" s="195" t="inlineStr">
        <is>
          <t>600W*1200D*2200H</t>
        </is>
      </c>
      <c r="L2755" s="194" t="inlineStr">
        <is>
          <t>类别:</t>
        </is>
      </c>
      <c r="M2755" s="195" t="inlineStr">
        <is>
          <t>低压固定柜</t>
        </is>
      </c>
      <c r="N2755" s="409" t="inlineStr"/>
      <c r="Q2755" s="159" t="n"/>
      <c r="R2755" s="159" t="n"/>
      <c r="S2755" s="159" t="n"/>
      <c r="T2755" s="159" t="n"/>
      <c r="U2755" s="159" t="n"/>
    </row>
    <row r="2756" ht="20.1" customHeight="1" s="308">
      <c r="A2756" s="102" t="inlineStr">
        <is>
          <t>序号</t>
        </is>
      </c>
      <c r="B2756" s="103" t="inlineStr">
        <is>
          <t>元件名称</t>
        </is>
      </c>
      <c r="C2756" s="103" t="inlineStr">
        <is>
          <t>型号规格</t>
        </is>
      </c>
      <c r="D2756" s="104" t="inlineStr">
        <is>
          <t>生产厂家</t>
        </is>
      </c>
      <c r="E2756" s="105" t="inlineStr">
        <is>
          <t>单位</t>
        </is>
      </c>
      <c r="F2756" s="105" t="inlineStr">
        <is>
          <t>数量</t>
        </is>
      </c>
      <c r="G2756" s="382" t="inlineStr">
        <is>
          <t>单   价</t>
        </is>
      </c>
      <c r="H2756" s="383" t="inlineStr">
        <is>
          <t>总   价</t>
        </is>
      </c>
      <c r="I2756" s="134" t="inlineStr">
        <is>
          <t>备注</t>
        </is>
      </c>
      <c r="J2756" s="384" t="inlineStr">
        <is>
          <t>成本单价</t>
        </is>
      </c>
      <c r="K2756" s="384" t="inlineStr">
        <is>
          <t>成本总价</t>
        </is>
      </c>
      <c r="L2756" s="136" t="inlineStr">
        <is>
          <t>报出
系数</t>
        </is>
      </c>
      <c r="M2756" s="384" t="inlineStr">
        <is>
          <t>表价</t>
        </is>
      </c>
      <c r="N2756" s="136" t="inlineStr">
        <is>
          <t>折扣
系数</t>
        </is>
      </c>
      <c r="O2756" s="137" t="inlineStr">
        <is>
          <t>取费
系数</t>
        </is>
      </c>
      <c r="P2756" s="384" t="inlineStr">
        <is>
          <t>成套费</t>
        </is>
      </c>
      <c r="Q2756" s="161" t="inlineStr">
        <is>
          <t>类别</t>
        </is>
      </c>
      <c r="R2756" s="161" t="inlineStr">
        <is>
          <t>物料编码</t>
        </is>
      </c>
      <c r="S2756" s="161" t="inlineStr">
        <is>
          <t>产地</t>
        </is>
      </c>
      <c r="T2756" s="161" t="inlineStr">
        <is>
          <t>加工费</t>
        </is>
      </c>
      <c r="U2756" s="161" t="inlineStr">
        <is>
          <t>订货号</t>
        </is>
      </c>
      <c r="V2756" s="161" t="inlineStr">
        <is>
          <t>人工</t>
        </is>
      </c>
      <c r="W2756" s="161" t="inlineStr">
        <is>
          <t>辅料</t>
        </is>
      </c>
      <c r="X2756" s="203" t="inlineStr"/>
    </row>
    <row r="2757" s="308">
      <c r="A2757" s="64">
        <f>ROW()-ROW(A$2756)</f>
        <v/>
      </c>
      <c r="B2757" s="22" t="inlineStr">
        <is>
          <t>塑壳断路器</t>
        </is>
      </c>
      <c r="C2757" s="22" t="inlineStr">
        <is>
          <t>NSX100H TM100D 3P3D P</t>
        </is>
      </c>
      <c r="D2757" s="22" t="inlineStr">
        <is>
          <t>甲供/施耐德电气</t>
        </is>
      </c>
      <c r="E2757" s="23" t="inlineStr">
        <is>
          <t>只</t>
        </is>
      </c>
      <c r="F2757" s="23" t="n">
        <v>2</v>
      </c>
      <c r="G2757" s="349">
        <f>IF(AND(B2757="",C2757=""),"",ROUND(M2757*L2757*N2757,2))</f>
        <v/>
      </c>
      <c r="H2757" s="349">
        <f>IF(AND(B2757="",C2757=""),"",ROUND(F2757*G2757,2))</f>
        <v/>
      </c>
      <c r="I2757" s="45" t="inlineStr"/>
      <c r="J2757" s="397">
        <f>IF(AND(B2757="",C2757=""),"",ROUND(M2757*N2757,2))</f>
        <v/>
      </c>
      <c r="K2757" s="398">
        <f>IF(AND(B2757="",C2757=""),"",ROUND(J2757*F2757,2))</f>
        <v/>
      </c>
      <c r="L2757" s="200" t="n">
        <v>1</v>
      </c>
      <c r="M2757" s="399" t="n">
        <v>1e-07</v>
      </c>
      <c r="N2757" s="154" t="n">
        <v>1</v>
      </c>
      <c r="O2757" s="155">
        <f>IF(AND(B2757="",C2757=""),"",IF(G2757&gt;=20000,0.05,IF(G2757&gt;=10000,0.1,IF(G2757&gt;=5000,0.2,IF(G2757&gt;=1000,0.3,IF(G2757&gt;=0,0.4,{0}))))))</f>
        <v/>
      </c>
      <c r="P2757" s="400">
        <f>IF(AND(B2757="",C2757=""),"",ROUND(H2757*O2757,2))</f>
        <v/>
      </c>
      <c r="Q2757" s="401" t="inlineStr">
        <is>
          <t>元件</t>
        </is>
      </c>
      <c r="R2757" s="168" t="inlineStr"/>
      <c r="S2757" s="168" t="inlineStr"/>
      <c r="T2757" s="168" t="inlineStr">
        <is>
          <t>0</t>
        </is>
      </c>
      <c r="U2757" s="168" t="inlineStr">
        <is>
          <t>C16F32D160</t>
        </is>
      </c>
      <c r="V2757" s="402" t="n"/>
      <c r="W2757" s="402" t="n"/>
      <c r="X2757" s="170" t="inlineStr">
        <is>
          <t>NSX630N Mic2.3 630A 3P3D F→NSX630F MIC2.3 630 3P F→NSX630F MIC 2.3 630 3P F</t>
        </is>
      </c>
    </row>
    <row r="2758" s="308">
      <c r="A2758" s="64">
        <f>ROW()-ROW(A$2756)</f>
        <v/>
      </c>
      <c r="B2758" s="22" t="inlineStr">
        <is>
          <t>塑壳断路器</t>
        </is>
      </c>
      <c r="C2758" s="22" t="inlineStr">
        <is>
          <t>NSX250H TM250D 3P3D P</t>
        </is>
      </c>
      <c r="D2758" s="22" t="inlineStr">
        <is>
          <t>甲供/施耐德电气</t>
        </is>
      </c>
      <c r="E2758" s="23" t="inlineStr">
        <is>
          <t>只</t>
        </is>
      </c>
      <c r="F2758" s="23" t="n">
        <v>4</v>
      </c>
      <c r="G2758" s="349">
        <f>IF(AND(B2758="",C2758=""),"",ROUND(M2758*L2758*N2758,2))</f>
        <v/>
      </c>
      <c r="H2758" s="349">
        <f>IF(AND(B2758="",C2758=""),"",ROUND(F2758*G2758,2))</f>
        <v/>
      </c>
      <c r="I2758" s="45" t="inlineStr"/>
      <c r="J2758" s="397">
        <f>IF(AND(B2758="",C2758=""),"",ROUND(M2758*N2758,2))</f>
        <v/>
      </c>
      <c r="K2758" s="398">
        <f>IF(AND(B2758="",C2758=""),"",ROUND(J2758*F2758,2))</f>
        <v/>
      </c>
      <c r="L2758" s="200" t="n">
        <v>1</v>
      </c>
      <c r="M2758" s="399" t="n">
        <v>1e-07</v>
      </c>
      <c r="N2758" s="154" t="n">
        <v>1</v>
      </c>
      <c r="O2758" s="155">
        <f>IF(AND(B2758="",C2758=""),"",IF(G2758&gt;=20000,0.05,IF(G2758&gt;=10000,0.1,IF(G2758&gt;=5000,0.2,IF(G2758&gt;=1000,0.3,IF(G2758&gt;=0,0.4,{0}))))))</f>
        <v/>
      </c>
      <c r="P2758" s="400">
        <f>IF(AND(B2758="",C2758=""),"",ROUND(H2758*O2758,2))</f>
        <v/>
      </c>
      <c r="Q2758" s="401" t="inlineStr">
        <is>
          <t>元件</t>
        </is>
      </c>
      <c r="R2758" s="168" t="inlineStr"/>
      <c r="S2758" s="168" t="inlineStr"/>
      <c r="T2758" s="168" t="inlineStr">
        <is>
          <t>0</t>
        </is>
      </c>
      <c r="U2758" s="168" t="inlineStr">
        <is>
          <t>C16F32D160</t>
        </is>
      </c>
      <c r="V2758" s="402" t="n"/>
      <c r="W2758" s="402" t="n"/>
      <c r="X2758" s="170" t="inlineStr">
        <is>
          <t>NSX630N Mic2.3 630A 3P3D F→NSX630F MIC2.3 630 3P F→NSX630F MIC 2.3 630 3P F</t>
        </is>
      </c>
    </row>
    <row r="2759" s="308">
      <c r="A2759" s="64">
        <f>ROW()-ROW(A$2756)</f>
        <v/>
      </c>
      <c r="B2759" s="22" t="inlineStr">
        <is>
          <t>塑壳断路器</t>
        </is>
      </c>
      <c r="C2759" s="22" t="inlineStr">
        <is>
          <t>NSX400H Mic2.3 400A 3P3D P</t>
        </is>
      </c>
      <c r="D2759" s="22" t="inlineStr">
        <is>
          <t>甲供/施耐德电气</t>
        </is>
      </c>
      <c r="E2759" s="23" t="inlineStr">
        <is>
          <t>只</t>
        </is>
      </c>
      <c r="F2759" s="23" t="n">
        <v>2</v>
      </c>
      <c r="G2759" s="349">
        <f>IF(AND(B2759="",C2759=""),"",ROUND(M2759*L2759*N2759,2))</f>
        <v/>
      </c>
      <c r="H2759" s="349">
        <f>IF(AND(B2759="",C2759=""),"",ROUND(F2759*G2759,2))</f>
        <v/>
      </c>
      <c r="I2759" s="45" t="inlineStr"/>
      <c r="J2759" s="397">
        <f>IF(AND(B2759="",C2759=""),"",ROUND(M2759*N2759,2))</f>
        <v/>
      </c>
      <c r="K2759" s="398">
        <f>IF(AND(B2759="",C2759=""),"",ROUND(J2759*F2759,2))</f>
        <v/>
      </c>
      <c r="L2759" s="200" t="n">
        <v>1</v>
      </c>
      <c r="M2759" s="399" t="n">
        <v>1e-07</v>
      </c>
      <c r="N2759" s="154" t="n">
        <v>1</v>
      </c>
      <c r="O2759" s="155">
        <f>IF(AND(B2759="",C2759=""),"",IF(G2759&gt;=20000,0.05,IF(G2759&gt;=10000,0.1,IF(G2759&gt;=5000,0.2,IF(G2759&gt;=1000,0.3,IF(G2759&gt;=0,0.4,{0}))))))</f>
        <v/>
      </c>
      <c r="P2759" s="400">
        <f>IF(AND(B2759="",C2759=""),"",ROUND(H2759*O2759,2))</f>
        <v/>
      </c>
      <c r="Q2759" s="401" t="inlineStr">
        <is>
          <t>元件</t>
        </is>
      </c>
      <c r="R2759" s="168" t="inlineStr"/>
      <c r="S2759" s="168" t="inlineStr"/>
      <c r="T2759" s="168" t="inlineStr">
        <is>
          <t>0</t>
        </is>
      </c>
      <c r="U2759" s="168" t="inlineStr"/>
      <c r="V2759" s="402" t="n"/>
      <c r="W2759" s="402" t="n"/>
      <c r="X2759" s="170" t="inlineStr"/>
    </row>
    <row r="2760" s="308">
      <c r="A2760" s="64">
        <f>ROW()-ROW(A$2756)</f>
        <v/>
      </c>
      <c r="B2760" s="22" t="inlineStr">
        <is>
          <t>电流互感器</t>
        </is>
      </c>
      <c r="C2760" s="22" t="inlineStr">
        <is>
          <t>SD-0.66-M8 100/5A</t>
        </is>
      </c>
      <c r="D2760" s="22" t="inlineStr">
        <is>
          <t>桑迪</t>
        </is>
      </c>
      <c r="E2760" s="23" t="inlineStr">
        <is>
          <t>只</t>
        </is>
      </c>
      <c r="F2760" s="23" t="n">
        <v>6</v>
      </c>
      <c r="G2760" s="349">
        <f>IF(AND(B2760="",C2760=""),"",ROUND(M2760*L2760*N2760,2))</f>
        <v/>
      </c>
      <c r="H2760" s="396">
        <f>IF(AND(B2760="",C2760=""),"",ROUND(F2760*G2760,2))</f>
        <v/>
      </c>
      <c r="I2760" s="219" t="inlineStr"/>
      <c r="J2760" s="397">
        <f>IF(AND(B2760="",C2760=""),"",ROUND(M2760*N2760,2))</f>
        <v/>
      </c>
      <c r="K2760" s="398">
        <f>IF(AND(B2760="",C2760=""),"",ROUND(J2760*F2760,2))</f>
        <v/>
      </c>
      <c r="L2760" s="200" t="n">
        <v>1</v>
      </c>
      <c r="M2760" s="399" t="n">
        <v>61.75</v>
      </c>
      <c r="N2760" s="154" t="n">
        <v>1</v>
      </c>
      <c r="O2760" s="155">
        <f>IF(AND(B2760="",C2760=""),"",IF(G2760&gt;=20000,0.05,IF(G2760&gt;=10000,0.1,IF(G2760&gt;=5000,0.2,IF(G2760&gt;=1000,0.3,IF(G2760&gt;=0,0.4,{0}))))))</f>
        <v/>
      </c>
      <c r="P2760" s="400">
        <f>IF(AND(B2760="",C2760=""),"",ROUND(H2760*O2760,2))</f>
        <v/>
      </c>
      <c r="Q2760" s="401" t="inlineStr">
        <is>
          <t>元件</t>
        </is>
      </c>
      <c r="R2760" s="168" t="inlineStr"/>
      <c r="S2760" s="168" t="inlineStr"/>
      <c r="T2760" s="168" t="inlineStr">
        <is>
          <t>0</t>
        </is>
      </c>
      <c r="U2760" s="168" t="inlineStr">
        <is>
          <t>710140200000049</t>
        </is>
      </c>
      <c r="V2760" s="402" t="n"/>
      <c r="W2760" s="402" t="n"/>
      <c r="X2760" s="170" t="inlineStr">
        <is>
          <t>SD→SD-0.66-40II-C 400/5A→SD-0.66-30I 250/5A→SD-0.66-30I 150/5A→SD-0.66-60II-C 750/5A→SD-0.66-60II-C 600/5A→SD-0.66-30I 150/5A→SD-0.66-40II-C 400/5A→SD-0.66-100II-C 1600/5A→SD-0.66-80II-V 1000/5A→SD-0.66-40II-C 400/5A→SD-0.66-60II-C 600/5A</t>
        </is>
      </c>
    </row>
    <row r="2761" s="308">
      <c r="A2761" s="64">
        <f>ROW()-ROW(A$2756)</f>
        <v/>
      </c>
      <c r="B2761" s="22" t="inlineStr">
        <is>
          <t>电流互感器</t>
        </is>
      </c>
      <c r="C2761" s="22" t="inlineStr">
        <is>
          <t>SD-0.66-30I 250/5A</t>
        </is>
      </c>
      <c r="D2761" s="22" t="inlineStr">
        <is>
          <t>桑迪</t>
        </is>
      </c>
      <c r="E2761" s="23" t="inlineStr">
        <is>
          <t>只</t>
        </is>
      </c>
      <c r="F2761" s="23" t="n">
        <v>12</v>
      </c>
      <c r="G2761" s="349">
        <f>IF(AND(B2761="",C2761=""),"",ROUND(M2761*L2761*N2761,2))</f>
        <v/>
      </c>
      <c r="H2761" s="396">
        <f>IF(AND(B2761="",C2761=""),"",ROUND(F2761*G2761,2))</f>
        <v/>
      </c>
      <c r="I2761" s="219" t="inlineStr"/>
      <c r="J2761" s="397">
        <f>IF(AND(B2761="",C2761=""),"",ROUND(M2761*N2761,2))</f>
        <v/>
      </c>
      <c r="K2761" s="398">
        <f>IF(AND(B2761="",C2761=""),"",ROUND(J2761*F2761,2))</f>
        <v/>
      </c>
      <c r="L2761" s="200" t="n">
        <v>1</v>
      </c>
      <c r="M2761" s="399" t="n">
        <v>26.65</v>
      </c>
      <c r="N2761" s="154" t="n">
        <v>1</v>
      </c>
      <c r="O2761" s="155">
        <f>IF(AND(B2761="",C2761=""),"",IF(G2761&gt;=20000,0.05,IF(G2761&gt;=10000,0.1,IF(G2761&gt;=5000,0.2,IF(G2761&gt;=1000,0.3,IF(G2761&gt;=0,0.4,{0}))))))</f>
        <v/>
      </c>
      <c r="P2761" s="400">
        <f>IF(AND(B2761="",C2761=""),"",ROUND(H2761*O2761,2))</f>
        <v/>
      </c>
      <c r="Q2761" s="401" t="inlineStr">
        <is>
          <t>元件</t>
        </is>
      </c>
      <c r="R2761" s="168" t="inlineStr"/>
      <c r="S2761" s="168" t="inlineStr"/>
      <c r="T2761" s="168" t="inlineStr">
        <is>
          <t>0</t>
        </is>
      </c>
      <c r="U2761" s="168" t="inlineStr">
        <is>
          <t>710140200000049</t>
        </is>
      </c>
      <c r="V2761" s="402" t="n"/>
      <c r="W2761" s="402" t="n"/>
      <c r="X2761" s="170" t="inlineStr">
        <is>
          <t>SD→SD-0.66-40II-C 400/5A→SD-0.66-30I 250/5A→SD-0.66-30I 150/5A→SD-0.66-60II-C 750/5A→SD-0.66-60II-C 600/5A→SD-0.66-30I 150/5A→SD-0.66-40II-C 400/5A→SD-0.66-100II-C 1600/5A→SD-0.66-80II-V 1000/5A</t>
        </is>
      </c>
    </row>
    <row r="2762" s="308">
      <c r="A2762" s="64">
        <f>ROW()-ROW(A$2756)</f>
        <v/>
      </c>
      <c r="B2762" s="22" t="inlineStr">
        <is>
          <t>电流互感器</t>
        </is>
      </c>
      <c r="C2762" s="22" t="inlineStr">
        <is>
          <t>SD-0.66-40II-C 400/5A</t>
        </is>
      </c>
      <c r="D2762" s="22" t="inlineStr">
        <is>
          <t>桑迪</t>
        </is>
      </c>
      <c r="E2762" s="23" t="inlineStr">
        <is>
          <t>只</t>
        </is>
      </c>
      <c r="F2762" s="23" t="n">
        <v>6</v>
      </c>
      <c r="G2762" s="349">
        <f>IF(AND(B2762="",C2762=""),"",ROUND(M2762*L2762*N2762,2))</f>
        <v/>
      </c>
      <c r="H2762" s="396">
        <f>IF(AND(B2762="",C2762=""),"",ROUND(F2762*G2762,2))</f>
        <v/>
      </c>
      <c r="I2762" s="219" t="inlineStr"/>
      <c r="J2762" s="397">
        <f>IF(AND(B2762="",C2762=""),"",ROUND(M2762*N2762,2))</f>
        <v/>
      </c>
      <c r="K2762" s="398">
        <f>IF(AND(B2762="",C2762=""),"",ROUND(J2762*F2762,2))</f>
        <v/>
      </c>
      <c r="L2762" s="200" t="n">
        <v>1</v>
      </c>
      <c r="M2762" s="399" t="n">
        <v>52</v>
      </c>
      <c r="N2762" s="154" t="n">
        <v>1</v>
      </c>
      <c r="O2762" s="155">
        <f>IF(AND(B2762="",C2762=""),"",IF(G2762&gt;=20000,0.05,IF(G2762&gt;=10000,0.1,IF(G2762&gt;=5000,0.2,IF(G2762&gt;=1000,0.3,IF(G2762&gt;=0,0.4,{0}))))))</f>
        <v/>
      </c>
      <c r="P2762" s="400">
        <f>IF(AND(B2762="",C2762=""),"",ROUND(H2762*O2762,2))</f>
        <v/>
      </c>
      <c r="Q2762" s="401" t="inlineStr">
        <is>
          <t>元件</t>
        </is>
      </c>
      <c r="R2762" s="168" t="inlineStr"/>
      <c r="S2762" s="168" t="inlineStr"/>
      <c r="T2762" s="168" t="inlineStr">
        <is>
          <t>0</t>
        </is>
      </c>
      <c r="U2762" s="168" t="inlineStr">
        <is>
          <t>710140200000049</t>
        </is>
      </c>
      <c r="V2762" s="402" t="n"/>
      <c r="W2762" s="402" t="n"/>
      <c r="X2762" s="170" t="inlineStr">
        <is>
          <t>SD→SD-0.66-40II-C 400/5A→SD-0.66-30I 250/5A→SD-0.66-30I 150/5A→SD-0.66-60II-C 750/5A→SD-0.66-60II-C 600/5A→SD-0.66-30I 150/5A→SD-0.66-40II-C 400/5A→SD-0.66-100II-C 1600/5A→SD-0.66-80II-V 1000/5A</t>
        </is>
      </c>
    </row>
    <row r="2763" s="308">
      <c r="A2763" s="64">
        <f>ROW()-ROW(A$2756)</f>
        <v/>
      </c>
      <c r="B2763" s="112" t="inlineStr">
        <is>
          <t>多功能表</t>
        </is>
      </c>
      <c r="C2763" s="112" t="inlineStr">
        <is>
          <t>PM4101</t>
        </is>
      </c>
      <c r="D2763" s="112" t="inlineStr">
        <is>
          <t>甲供/施耐德电气</t>
        </is>
      </c>
      <c r="E2763" s="114" t="inlineStr">
        <is>
          <t>只</t>
        </is>
      </c>
      <c r="F2763" s="114" t="n">
        <v>8</v>
      </c>
      <c r="G2763" s="396">
        <f>IF(AND(B2763="",C2763=""),"",ROUND(M2763*L2763*N2763,2))</f>
        <v/>
      </c>
      <c r="H2763" s="349">
        <f>IF(AND(B2763="",C2763=""),"",ROUND(F2763*G2763,2))</f>
        <v/>
      </c>
      <c r="I2763" s="45" t="inlineStr"/>
      <c r="J2763" s="397">
        <f>IF(AND(B2763="",C2763=""),"",ROUND(M2763*N2763,2))</f>
        <v/>
      </c>
      <c r="K2763" s="398">
        <f>IF(AND(B2763="",C2763=""),"",ROUND(J2763*F2763,2))</f>
        <v/>
      </c>
      <c r="L2763" s="200" t="n">
        <v>1</v>
      </c>
      <c r="M2763" s="399" t="n">
        <v>1e-07</v>
      </c>
      <c r="N2763" s="154" t="n">
        <v>1</v>
      </c>
      <c r="O2763" s="155">
        <f>IF(AND(B2763="",C2763=""),"",IF(J2763&gt;=20000,0.05,IF(J2763&gt;=10000,0.1,IF(J2763&gt;=5000,0.2,IF(J2763&gt;=1000,0.3,IF(J2763&gt;=0,0.4,{0}))))))</f>
        <v/>
      </c>
      <c r="P2763" s="400">
        <f>IF(AND(B2763="",C2763=""),"",ROUND(H2763*O2763,2))</f>
        <v/>
      </c>
      <c r="Q2763" s="401" t="inlineStr">
        <is>
          <t>元件</t>
        </is>
      </c>
      <c r="R2763" s="168" t="inlineStr"/>
      <c r="S2763" s="168" t="inlineStr"/>
      <c r="T2763" s="168" t="inlineStr">
        <is>
          <t>0</t>
        </is>
      </c>
      <c r="U2763" s="168" t="inlineStr"/>
      <c r="V2763" s="402" t="n"/>
      <c r="W2763" s="402" t="n"/>
      <c r="X2763" s="170" t="inlineStr"/>
    </row>
    <row r="2764" customFormat="1" s="3">
      <c r="A2764" s="64">
        <f>ROW()-ROW(A$2756)</f>
        <v/>
      </c>
      <c r="B2764" s="22" t="inlineStr">
        <is>
          <t>指示灯</t>
        </is>
      </c>
      <c r="C2764" s="22" t="inlineStr">
        <is>
          <t>XB2BVM3LC</t>
        </is>
      </c>
      <c r="D2764" s="22" t="inlineStr">
        <is>
          <t>甲供/施耐德电气</t>
        </is>
      </c>
      <c r="E2764" s="23" t="inlineStr">
        <is>
          <t>只</t>
        </is>
      </c>
      <c r="F2764" s="23" t="n">
        <v>8</v>
      </c>
      <c r="G2764" s="349">
        <f>IF(AND(B2764="",C2764=""),"",ROUND(M2764*L2764*N2764,2))</f>
        <v/>
      </c>
      <c r="H2764" s="353">
        <f>IF(AND(B2764="",C2764=""),"",ROUND(F2764*G2764,2))</f>
        <v/>
      </c>
      <c r="I2764" s="180" t="inlineStr"/>
      <c r="J2764" s="392">
        <f>IF(AND(B2764="",C2764=""),"",ROUND(M2764*N2764,2))</f>
        <v/>
      </c>
      <c r="K2764" s="393">
        <f>IF(AND(B2764="",C2764=""),"",ROUND(J2764*F2764,2))</f>
        <v/>
      </c>
      <c r="L2764" s="141" t="n">
        <v>1</v>
      </c>
      <c r="M2764" s="394" t="n">
        <v>1e-07</v>
      </c>
      <c r="N2764" s="220" t="n">
        <v>1</v>
      </c>
      <c r="O2764" s="221">
        <f>IF(AND(B2764="",C2764=""),"",IF(G2764&gt;=20000,0.05,IF(G2764&gt;=10000,0.1,IF(G2764&gt;=5000,0.2,IF(G2764&gt;=1000,0.3,IF(G2764&gt;=0,0.4,{0}))))))</f>
        <v/>
      </c>
      <c r="P2764" s="419">
        <f>IF(AND(B2764="",C2764=""),"",ROUND(H2764*O2764,2))</f>
        <v/>
      </c>
      <c r="Q2764" s="420" t="inlineStr">
        <is>
          <t>元件</t>
        </is>
      </c>
      <c r="R2764" s="231" t="inlineStr"/>
      <c r="S2764" s="231" t="inlineStr"/>
      <c r="T2764" s="231" t="inlineStr">
        <is>
          <t>0</t>
        </is>
      </c>
      <c r="U2764" s="231" t="inlineStr">
        <is>
          <t>XB2BVM3LC</t>
        </is>
      </c>
      <c r="V2764" s="421" t="n"/>
      <c r="W2764" s="421" t="n"/>
      <c r="X2764" s="166" t="inlineStr">
        <is>
          <t>XA2EVM3LC</t>
        </is>
      </c>
    </row>
    <row r="2765" customFormat="1" s="3">
      <c r="A2765" s="64">
        <f>ROW()-ROW(A$2756)</f>
        <v/>
      </c>
      <c r="B2765" s="22" t="inlineStr">
        <is>
          <t>指示灯</t>
        </is>
      </c>
      <c r="C2765" s="22" t="inlineStr">
        <is>
          <t>XB2BVM4LC</t>
        </is>
      </c>
      <c r="D2765" s="22" t="inlineStr">
        <is>
          <t>甲供/施耐德电气</t>
        </is>
      </c>
      <c r="E2765" s="23" t="inlineStr">
        <is>
          <t>只</t>
        </is>
      </c>
      <c r="F2765" s="23" t="n">
        <v>8</v>
      </c>
      <c r="G2765" s="349">
        <f>IF(AND(B2765="",C2765=""),"",ROUND(M2765*L2765*N2765,2))</f>
        <v/>
      </c>
      <c r="H2765" s="353">
        <f>IF(AND(B2765="",C2765=""),"",ROUND(F2765*G2765,2))</f>
        <v/>
      </c>
      <c r="I2765" s="180" t="inlineStr"/>
      <c r="J2765" s="392">
        <f>IF(AND(B2765="",C2765=""),"",ROUND(M2765*N2765,2))</f>
        <v/>
      </c>
      <c r="K2765" s="393">
        <f>IF(AND(B2765="",C2765=""),"",ROUND(J2765*F2765,2))</f>
        <v/>
      </c>
      <c r="L2765" s="141" t="n">
        <v>1</v>
      </c>
      <c r="M2765" s="394" t="n">
        <v>1e-07</v>
      </c>
      <c r="N2765" s="220" t="n">
        <v>1</v>
      </c>
      <c r="O2765" s="221">
        <f>IF(AND(B2765="",C2765=""),"",IF(G2765&gt;=20000,0.05,IF(G2765&gt;=10000,0.1,IF(G2765&gt;=5000,0.2,IF(G2765&gt;=1000,0.3,IF(G2765&gt;=0,0.4,{0}))))))</f>
        <v/>
      </c>
      <c r="P2765" s="419">
        <f>IF(AND(B2765="",C2765=""),"",ROUND(H2765*O2765,2))</f>
        <v/>
      </c>
      <c r="Q2765" s="420" t="inlineStr">
        <is>
          <t>元件</t>
        </is>
      </c>
      <c r="R2765" s="231" t="inlineStr"/>
      <c r="S2765" s="231" t="inlineStr"/>
      <c r="T2765" s="231" t="inlineStr">
        <is>
          <t>0</t>
        </is>
      </c>
      <c r="U2765" s="231" t="inlineStr">
        <is>
          <t>XB2BVM4LC</t>
        </is>
      </c>
      <c r="V2765" s="421" t="n"/>
      <c r="W2765" s="421" t="n"/>
      <c r="X2765" s="166" t="inlineStr">
        <is>
          <t>XA2EVM4LC</t>
        </is>
      </c>
    </row>
    <row r="2766" s="308">
      <c r="A2766" s="64">
        <f>ROW()-ROW(A$2756)</f>
        <v/>
      </c>
      <c r="B2766" s="112" t="inlineStr">
        <is>
          <t>温湿度控制器</t>
        </is>
      </c>
      <c r="C2766" s="112" t="inlineStr">
        <is>
          <t>ATH48G-11</t>
        </is>
      </c>
      <c r="D2766" s="22" t="inlineStr">
        <is>
          <t>杭州安廷</t>
        </is>
      </c>
      <c r="E2766" s="23" t="inlineStr">
        <is>
          <t>套</t>
        </is>
      </c>
      <c r="F2766" s="23" t="n">
        <v>1</v>
      </c>
      <c r="G2766" s="349">
        <f>IF(AND(B2766="",C2766=""),"",ROUND(M2766*L2766*N2766,2))</f>
        <v/>
      </c>
      <c r="H2766" s="396">
        <f>IF(AND(B2766="",C2766=""),"",ROUND(F2766*G2766,2))</f>
        <v/>
      </c>
      <c r="I2766" s="150" t="inlineStr"/>
      <c r="J2766" s="397">
        <f>IF(AND(B2766="",C2766=""),"",ROUND(M2766*N2766,2))</f>
        <v/>
      </c>
      <c r="K2766" s="398">
        <f>IF(AND(B2766="",C2766=""),"",ROUND(J2766*F2766,2))</f>
        <v/>
      </c>
      <c r="L2766" s="141" t="n">
        <v>1</v>
      </c>
      <c r="M2766" s="399" t="n">
        <v>450</v>
      </c>
      <c r="N2766" s="154" t="n">
        <v>1</v>
      </c>
      <c r="O2766" s="155">
        <f>IF(AND(B2766="",C2766=""),"",IF(G2766&gt;=20000,0.05,IF(G2766&gt;=10000,0.1,IF(G2766&gt;=5000,0.2,IF(G2766&gt;=1000,0.3,IF(G2766&gt;=0,0.4,{0}))))))</f>
        <v/>
      </c>
      <c r="P2766" s="400">
        <f>IF(AND(B2766="",C2766=""),"",ROUND(H2766*O2766,2))</f>
        <v/>
      </c>
      <c r="Q2766" s="401" t="inlineStr">
        <is>
          <t>元件</t>
        </is>
      </c>
      <c r="R2766" s="168" t="inlineStr"/>
      <c r="S2766" s="168" t="inlineStr"/>
      <c r="T2766" s="168" t="inlineStr">
        <is>
          <t>0</t>
        </is>
      </c>
      <c r="U2766" s="168" t="inlineStr"/>
      <c r="V2766" s="402" t="n"/>
      <c r="W2766" s="402" t="n"/>
      <c r="X2766" s="170" t="inlineStr"/>
    </row>
    <row r="2767" s="308">
      <c r="A2767" s="64">
        <f>ROW()-ROW(A$2756)</f>
        <v/>
      </c>
      <c r="B2767" s="22" t="inlineStr">
        <is>
          <t>中间继电器</t>
        </is>
      </c>
      <c r="C2767" s="22" t="inlineStr">
        <is>
          <t>RXM4AB2P7+RXZE2S114M+RXZ400</t>
        </is>
      </c>
      <c r="D2767" s="22" t="inlineStr">
        <is>
          <t>甲供/施耐德电气</t>
        </is>
      </c>
      <c r="E2767" s="23" t="inlineStr">
        <is>
          <t>只</t>
        </is>
      </c>
      <c r="F2767" s="23" t="n">
        <v>16</v>
      </c>
      <c r="G2767" s="349">
        <f>IF(AND(B2767="",C2767=""),"",ROUND(M2767*L2767*N2767,2))</f>
        <v/>
      </c>
      <c r="H2767" s="349">
        <f>IF(AND(B2767="",C2767=""),"",ROUND(F2767*G2767,2))</f>
        <v/>
      </c>
      <c r="I2767" s="45" t="inlineStr"/>
      <c r="J2767" s="397">
        <f>IF(AND(B2767="",C2767=""),"",ROUND(M2767*N2767,2))</f>
        <v/>
      </c>
      <c r="K2767" s="398">
        <f>IF(AND(B2767="",C2767=""),"",ROUND(J2767*F2767,2))</f>
        <v/>
      </c>
      <c r="L2767" s="141" t="n">
        <v>1</v>
      </c>
      <c r="M2767" s="399" t="n">
        <v>1e-07</v>
      </c>
      <c r="N2767" s="154" t="n">
        <v>1</v>
      </c>
      <c r="O2767" s="155">
        <f>IF(AND(B2767="",C2767=""),"",IF(G2767&gt;=20000,0.05,IF(G2767&gt;=10000,0.1,IF(G2767&gt;=5000,0.2,IF(G2767&gt;=1000,0.3,IF(G2767&gt;=0,0.4,{0}))))))</f>
        <v/>
      </c>
      <c r="P2767" s="400">
        <f>IF(AND(B2767="",C2767=""),"",ROUND(H2767*O2767,2))</f>
        <v/>
      </c>
      <c r="Q2767" s="401" t="inlineStr">
        <is>
          <t>元件</t>
        </is>
      </c>
      <c r="R2767" s="168" t="inlineStr"/>
      <c r="S2767" s="168" t="inlineStr"/>
      <c r="T2767" s="168" t="inlineStr">
        <is>
          <t>0</t>
        </is>
      </c>
      <c r="U2767" s="168" t="inlineStr">
        <is>
          <t>RXM4AB2P7+RXZE2S114M+RXZ400</t>
        </is>
      </c>
      <c r="V2767" s="402" t="n"/>
      <c r="W2767" s="402" t="n"/>
      <c r="X2767" s="170" t="inlineStr">
        <is>
          <t>REL-IR-BL/L-230AC/4X21，含底座→RXM4AB2P7+RXZE2S114M+RXZ400→REL-IR-BL/L-230AC/4X21，含底座</t>
        </is>
      </c>
    </row>
    <row r="2768" customFormat="1" s="3">
      <c r="A2768" s="64">
        <f>ROW()-ROW(A$2756)</f>
        <v/>
      </c>
      <c r="B2768" s="22" t="inlineStr">
        <is>
          <t>带熔丝端子</t>
        </is>
      </c>
      <c r="C2768" s="22" t="inlineStr">
        <is>
          <t>UK 5-HESI</t>
        </is>
      </c>
      <c r="D2768" s="22" t="inlineStr">
        <is>
          <t>菲尼克斯</t>
        </is>
      </c>
      <c r="E2768" s="23" t="inlineStr">
        <is>
          <t>只</t>
        </is>
      </c>
      <c r="F2768" s="23" t="n">
        <v>32</v>
      </c>
      <c r="G2768" s="349">
        <f>IF(AND(B2768="",C2768=""),"",ROUND(M2768*L2768*N2768,2))</f>
        <v/>
      </c>
      <c r="H2768" s="349">
        <f>IF(AND(B2768="",C2768=""),"",ROUND(F2768*G2768,2))</f>
        <v/>
      </c>
      <c r="I2768" s="45" t="inlineStr"/>
      <c r="J2768" s="392">
        <f>IF(AND(B2768="",C2768=""),"",ROUND(M2768*N2768,2))</f>
        <v/>
      </c>
      <c r="K2768" s="393">
        <f>IF(AND(B2768="",C2768=""),"",ROUND(J2768*F2768,2))</f>
        <v/>
      </c>
      <c r="L2768" s="141" t="n">
        <v>1</v>
      </c>
      <c r="M2768" s="394" t="n">
        <v>7</v>
      </c>
      <c r="N2768" s="220" t="n">
        <v>1</v>
      </c>
      <c r="O2768" s="221">
        <f>IF(AND(B2768="",C2768=""),"",IF(G2768&gt;=20000,0.05,IF(G2768&gt;=10000,0.1,IF(G2768&gt;=5000,0.2,IF(G2768&gt;=1000,0.3,IF(G2768&gt;=0,0.4,{0}))))))</f>
        <v/>
      </c>
      <c r="P2768" s="419">
        <f>IF(AND(B2768="",C2768=""),"",ROUND(H2768*O2768,2))</f>
        <v/>
      </c>
      <c r="Q2768" s="420" t="inlineStr">
        <is>
          <t>元件</t>
        </is>
      </c>
      <c r="R2768" s="231" t="inlineStr"/>
      <c r="S2768" s="231" t="inlineStr"/>
      <c r="T2768" s="231" t="inlineStr">
        <is>
          <t>0</t>
        </is>
      </c>
      <c r="U2768" s="231" t="inlineStr">
        <is>
          <t>True</t>
        </is>
      </c>
      <c r="V2768" s="421" t="n"/>
      <c r="W2768" s="421" t="n"/>
      <c r="X2768" s="166" t="inlineStr"/>
    </row>
    <row r="2769" s="308">
      <c r="A2769" s="64">
        <f>ROW()-ROW(A$2756)</f>
        <v/>
      </c>
      <c r="B2769" s="22" t="inlineStr">
        <is>
          <t>水平母排</t>
        </is>
      </c>
      <c r="C2769" s="22" t="inlineStr">
        <is>
          <t>TMY 4*(100*5)+50*5</t>
        </is>
      </c>
      <c r="D2769" s="22" t="inlineStr">
        <is>
          <t>国产优质</t>
        </is>
      </c>
      <c r="E2769" s="23" t="inlineStr">
        <is>
          <t>米</t>
        </is>
      </c>
      <c r="F2769" s="23" t="n">
        <v>0.7</v>
      </c>
      <c r="G2769" s="349">
        <f>IF(AND(B2769="",C2769=""),"",ROUND(M2769*L2769*N2769,2))</f>
        <v/>
      </c>
      <c r="H2769" s="349">
        <f>IF(AND(B2769="",C2769=""),"",ROUND(F2769*G2769,2))</f>
        <v/>
      </c>
      <c r="I2769" s="45" t="inlineStr"/>
      <c r="J2769" s="397">
        <f>IF(AND(B2769="",C2769=""),"",ROUND(M2769*N2769,2))</f>
        <v/>
      </c>
      <c r="K2769" s="398">
        <f>IF(AND(B2769="",C2769=""),"",ROUND(J2769*F2769,2))</f>
        <v/>
      </c>
      <c r="L2769" s="200" t="n">
        <v>1</v>
      </c>
      <c r="M2769" s="399" t="n">
        <v>2164.802625</v>
      </c>
      <c r="N2769" s="154">
        <f>(6317.932*1*1+2684.8*1*1)/9002.732</f>
        <v/>
      </c>
      <c r="O2769" s="155">
        <f>IF(AND(B2769="",C2769=""),"",IF(J2769&gt;=20000,0.05,IF(J2769&gt;=10000,0.1,IF(J2769&gt;=5000,0.2,IF(J2769&gt;=1000,0.3,IF(J2769&gt;=0,0.4,{0}))))))</f>
        <v/>
      </c>
      <c r="P2769" s="400">
        <f>IF(AND(B2769="",C2769=""),"",ROUND(H2769*O2769,2))</f>
        <v/>
      </c>
      <c r="Q2769" s="401" t="inlineStr">
        <is>
          <t>母排</t>
        </is>
      </c>
      <c r="R2769" s="168" t="inlineStr"/>
      <c r="S2769" s="168" t="inlineStr"/>
      <c r="T2769" s="168" t="inlineStr">
        <is>
          <t>0</t>
        </is>
      </c>
      <c r="U2769" s="168" t="inlineStr"/>
      <c r="V2769" s="402" t="n"/>
      <c r="W2769" s="402" t="n"/>
      <c r="X2769" s="170" t="inlineStr"/>
    </row>
    <row r="2770" customFormat="1" s="5">
      <c r="A2770" s="64">
        <f>ROW()-ROW(A$2756)</f>
        <v/>
      </c>
      <c r="B2770" s="22" t="inlineStr">
        <is>
          <t>垂直排</t>
        </is>
      </c>
      <c r="C2770" s="22" t="inlineStr">
        <is>
          <t>TMY 3*80*5</t>
        </is>
      </c>
      <c r="D2770" s="22" t="inlineStr">
        <is>
          <t>国产优质</t>
        </is>
      </c>
      <c r="E2770" s="23" t="inlineStr">
        <is>
          <t>米</t>
        </is>
      </c>
      <c r="F2770" s="23" t="n">
        <v>2</v>
      </c>
      <c r="G2770" s="349">
        <f>IF(AND(B2770="",C2770=""),"",ROUND(M2770*L2770*N2770,2))</f>
        <v/>
      </c>
      <c r="H2770" s="349">
        <f>IF(AND(B2770="",C2770=""),"",ROUND(F2770*G2770,2))</f>
        <v/>
      </c>
      <c r="I2770" s="45" t="inlineStr"/>
      <c r="J2770" s="422">
        <f>IF(AND(B2770="",C2770=""),"",ROUND(M2770*N2770,2))</f>
        <v/>
      </c>
      <c r="K2770" s="423">
        <f>IF(AND(B2770="",C2770=""),"",ROUND(J2770*F2770,2))</f>
        <v/>
      </c>
      <c r="L2770" s="225" t="n">
        <v>1</v>
      </c>
      <c r="M2770" s="424" t="n">
        <v>1154.5614</v>
      </c>
      <c r="N2770" s="227" t="n">
        <v>1</v>
      </c>
      <c r="O2770" s="228">
        <f>IF(AND(B2770="",C2770=""),"",IF(G2770&gt;=20000,0.05,IF(G2770&gt;=10000,0.1,IF(G2770&gt;=5000,0.2,IF(G2770&gt;=1000,0.3,IF(G2770&gt;=0,0.4,{0}))))))</f>
        <v/>
      </c>
      <c r="P2770" s="425">
        <f>IF(AND(B2770="",C2770=""),"",ROUND(H2770*O2770,2))</f>
        <v/>
      </c>
      <c r="Q2770" s="426" t="inlineStr">
        <is>
          <t>母排</t>
        </is>
      </c>
      <c r="R2770" s="234" t="inlineStr"/>
      <c r="S2770" s="234" t="inlineStr"/>
      <c r="T2770" s="235" t="inlineStr">
        <is>
          <t>0</t>
        </is>
      </c>
      <c r="U2770" s="235" t="inlineStr"/>
      <c r="V2770" s="427" t="n"/>
      <c r="W2770" s="427" t="n"/>
      <c r="X2770" s="237" t="inlineStr">
        <is>
          <t>TMY 2*30*5→TMY 30*8</t>
        </is>
      </c>
    </row>
    <row r="2771" customFormat="1" s="5">
      <c r="A2771" s="64">
        <f>ROW()-ROW(A$2756)</f>
        <v/>
      </c>
      <c r="B2771" s="22" t="inlineStr">
        <is>
          <t>N排</t>
        </is>
      </c>
      <c r="C2771" s="22" t="inlineStr">
        <is>
          <t>TMY 40*10</t>
        </is>
      </c>
      <c r="D2771" s="22" t="inlineStr">
        <is>
          <t>国产优质</t>
        </is>
      </c>
      <c r="E2771" s="23" t="inlineStr">
        <is>
          <t>米</t>
        </is>
      </c>
      <c r="F2771" s="23" t="n">
        <v>3</v>
      </c>
      <c r="G2771" s="349">
        <f>IF(AND(B2771="",C2771=""),"",ROUND(M2771*L2771*N2771,2))</f>
        <v/>
      </c>
      <c r="H2771" s="349">
        <f>IF(AND(B2771="",C2771=""),"",ROUND(F2771*G2771,2))</f>
        <v/>
      </c>
      <c r="I2771" s="45" t="inlineStr"/>
      <c r="J2771" s="422">
        <f>IF(AND(B2771="",C2771=""),"",ROUND(M2771*N2771,2))</f>
        <v/>
      </c>
      <c r="K2771" s="423">
        <f>IF(AND(B2771="",C2771=""),"",ROUND(J2771*F2771,2))</f>
        <v/>
      </c>
      <c r="L2771" s="225" t="n">
        <v>1</v>
      </c>
      <c r="M2771" s="424" t="n">
        <v>384.8538</v>
      </c>
      <c r="N2771" s="227" t="n">
        <v>1</v>
      </c>
      <c r="O2771" s="228">
        <f>IF(AND(B2771="",C2771=""),"",IF(G2771&gt;=20000,0.05,IF(G2771&gt;=10000,0.1,IF(G2771&gt;=5000,0.2,IF(G2771&gt;=1000,0.3,IF(G2771&gt;=0,0.4,{0}))))))</f>
        <v/>
      </c>
      <c r="P2771" s="425">
        <f>IF(AND(B2771="",C2771=""),"",ROUND(H2771*O2771,2))</f>
        <v/>
      </c>
      <c r="Q2771" s="426" t="inlineStr">
        <is>
          <t>母排</t>
        </is>
      </c>
      <c r="R2771" s="234" t="inlineStr"/>
      <c r="S2771" s="234" t="inlineStr"/>
      <c r="T2771" s="235" t="inlineStr">
        <is>
          <t>0</t>
        </is>
      </c>
      <c r="U2771" s="235" t="inlineStr"/>
      <c r="V2771" s="427" t="n"/>
      <c r="W2771" s="427" t="n"/>
      <c r="X2771" s="237" t="inlineStr">
        <is>
          <t>TMY 2*30*5→TMY 30*8</t>
        </is>
      </c>
    </row>
    <row r="2772" customFormat="1" s="5">
      <c r="A2772" s="64">
        <f>ROW()-ROW(A$2756)</f>
        <v/>
      </c>
      <c r="B2772" s="22" t="inlineStr">
        <is>
          <t>PE排</t>
        </is>
      </c>
      <c r="C2772" s="22" t="inlineStr">
        <is>
          <t>TMY 50*5</t>
        </is>
      </c>
      <c r="D2772" s="22" t="inlineStr">
        <is>
          <t>国产优质</t>
        </is>
      </c>
      <c r="E2772" s="23" t="inlineStr">
        <is>
          <t>米</t>
        </is>
      </c>
      <c r="F2772" s="23" t="n">
        <v>2</v>
      </c>
      <c r="G2772" s="349">
        <f>IF(AND(B2772="",C2772=""),"",ROUND(M2772*L2772*N2772,2))</f>
        <v/>
      </c>
      <c r="H2772" s="349">
        <f>IF(AND(B2772="",C2772=""),"",ROUND(F2772*G2772,2))</f>
        <v/>
      </c>
      <c r="I2772" s="45" t="inlineStr"/>
      <c r="J2772" s="422">
        <f>IF(AND(B2772="",C2772=""),"",ROUND(M2772*N2772,2))</f>
        <v/>
      </c>
      <c r="K2772" s="423">
        <f>IF(AND(B2772="",C2772=""),"",ROUND(J2772*F2772,2))</f>
        <v/>
      </c>
      <c r="L2772" s="225" t="n">
        <v>1</v>
      </c>
      <c r="M2772" s="424" t="n">
        <v>240.533625</v>
      </c>
      <c r="N2772" s="227" t="n">
        <v>1</v>
      </c>
      <c r="O2772" s="228">
        <f>IF(AND(B2772="",C2772=""),"",IF(G2772&gt;=20000,0.05,IF(G2772&gt;=10000,0.1,IF(G2772&gt;=5000,0.2,IF(G2772&gt;=1000,0.3,IF(G2772&gt;=0,0.4,{0}))))))</f>
        <v/>
      </c>
      <c r="P2772" s="425">
        <f>IF(AND(B2772="",C2772=""),"",ROUND(H2772*O2772,2))</f>
        <v/>
      </c>
      <c r="Q2772" s="426" t="inlineStr">
        <is>
          <t>母排</t>
        </is>
      </c>
      <c r="R2772" s="234" t="inlineStr"/>
      <c r="S2772" s="234" t="inlineStr"/>
      <c r="T2772" s="235" t="inlineStr">
        <is>
          <t>0</t>
        </is>
      </c>
      <c r="U2772" s="235" t="inlineStr"/>
      <c r="V2772" s="427" t="n"/>
      <c r="W2772" s="427" t="n"/>
      <c r="X2772" s="237" t="inlineStr">
        <is>
          <t>TMY 2*30*5→TMY 30*8</t>
        </is>
      </c>
    </row>
    <row r="2773" customFormat="1" s="5">
      <c r="A2773" s="64">
        <f>ROW()-ROW(A$2756)</f>
        <v/>
      </c>
      <c r="B2773" s="22" t="inlineStr">
        <is>
          <t>400A铜排</t>
        </is>
      </c>
      <c r="C2773" s="22" t="inlineStr">
        <is>
          <t>TMY 30*5</t>
        </is>
      </c>
      <c r="D2773" s="22" t="inlineStr">
        <is>
          <t>国产优质</t>
        </is>
      </c>
      <c r="E2773" s="23" t="inlineStr">
        <is>
          <t>米</t>
        </is>
      </c>
      <c r="F2773" s="23" t="n">
        <v>6.4</v>
      </c>
      <c r="G2773" s="349">
        <f>IF(AND(B2773="",C2773=""),"",ROUND(M2773*L2773*N2773,2))</f>
        <v/>
      </c>
      <c r="H2773" s="349">
        <f>IF(AND(B2773="",C2773=""),"",ROUND(F2773*G2773,2))</f>
        <v/>
      </c>
      <c r="I2773" s="45" t="inlineStr"/>
      <c r="J2773" s="422">
        <f>IF(AND(B2773="",C2773=""),"",ROUND(M2773*N2773,2))</f>
        <v/>
      </c>
      <c r="K2773" s="423">
        <f>IF(AND(B2773="",C2773=""),"",ROUND(J2773*F2773,2))</f>
        <v/>
      </c>
      <c r="L2773" s="225" t="n">
        <v>1</v>
      </c>
      <c r="M2773" s="424" t="n">
        <v>144.320175</v>
      </c>
      <c r="N2773" s="227" t="n">
        <v>1</v>
      </c>
      <c r="O2773" s="228">
        <f>IF(AND(B2773="",C2773=""),"",IF(G2773&gt;=20000,0.05,IF(G2773&gt;=10000,0.1,IF(G2773&gt;=5000,0.2,IF(G2773&gt;=1000,0.3,IF(G2773&gt;=0,0.4,{0}))))))</f>
        <v/>
      </c>
      <c r="P2773" s="425">
        <f>IF(AND(B2773="",C2773=""),"",ROUND(H2773*O2773,2))</f>
        <v/>
      </c>
      <c r="Q2773" s="426" t="inlineStr">
        <is>
          <t>母排</t>
        </is>
      </c>
      <c r="R2773" s="234" t="inlineStr"/>
      <c r="S2773" s="234" t="inlineStr"/>
      <c r="T2773" s="235" t="inlineStr">
        <is>
          <t>0</t>
        </is>
      </c>
      <c r="U2773" s="235" t="inlineStr"/>
      <c r="V2773" s="427" t="n"/>
      <c r="W2773" s="427" t="n"/>
      <c r="X2773" s="237" t="inlineStr">
        <is>
          <t>TMY 2*30*5→TMY 30*8</t>
        </is>
      </c>
    </row>
    <row r="2774" s="308">
      <c r="A2774" s="64">
        <f>ROW()-ROW(A$2756)</f>
        <v/>
      </c>
      <c r="B2774" s="112" t="inlineStr">
        <is>
          <t>辅料</t>
        </is>
      </c>
      <c r="C2774" s="112" t="inlineStr"/>
      <c r="D2774" s="112" t="inlineStr"/>
      <c r="E2774" s="114" t="inlineStr">
        <is>
          <t>套</t>
        </is>
      </c>
      <c r="F2774" s="114" t="n">
        <v>1</v>
      </c>
      <c r="G2774" s="396">
        <f>IF(AND(B2774="",C2774=""),"",ROUND(M2774*L2774*N2774,2))</f>
        <v/>
      </c>
      <c r="H2774" s="396">
        <f>IF(AND(B2774="",C2774=""),"",ROUND(F2774*G2774,2))</f>
        <v/>
      </c>
      <c r="I2774" s="219" t="inlineStr"/>
      <c r="J2774" s="397">
        <f>IF(AND(B2774="",C2774=""),"",ROUND(M2774*N2774,2))</f>
        <v/>
      </c>
      <c r="K2774" s="398">
        <f>IF(AND(B2774="",C2774=""),"",ROUND(J2774*F2774,2))</f>
        <v/>
      </c>
      <c r="L2774" s="200" t="n">
        <v>1</v>
      </c>
      <c r="M2774" s="399" t="n">
        <v>2021.48</v>
      </c>
      <c r="N2774" s="154" t="n">
        <v>1</v>
      </c>
      <c r="O2774" s="155">
        <f>IF(AND(B2774="",C2774=""),"",IF(G2774&gt;=20000,0.05,IF(G2774&gt;=10000,0.1,IF(G2774&gt;=5000,0.2,IF(G2774&gt;=1000,0.3,IF(G2774&gt;=0,0.4,{0}))))))</f>
        <v/>
      </c>
      <c r="P2774" s="400">
        <f>IF(AND(B2774="",C2774=""),"",ROUND(H2774*O2774,2))</f>
        <v/>
      </c>
      <c r="Q2774" s="401" t="inlineStr">
        <is>
          <t>辅料</t>
        </is>
      </c>
      <c r="R2774" s="168" t="inlineStr"/>
      <c r="S2774" s="168" t="inlineStr"/>
      <c r="T2774" s="168" t="inlineStr">
        <is>
          <t>0</t>
        </is>
      </c>
      <c r="U2774" s="168" t="inlineStr"/>
      <c r="V2774" s="402" t="n"/>
      <c r="W2774" s="402" t="n"/>
      <c r="X2774" s="170" t="inlineStr"/>
    </row>
    <row r="2775" s="308">
      <c r="A2775" s="64">
        <f>ROW()-ROW(A$2756)</f>
        <v/>
      </c>
      <c r="B2775" s="112" t="inlineStr">
        <is>
          <t>柜体Blokset</t>
        </is>
      </c>
      <c r="C2775" s="22" t="inlineStr">
        <is>
          <t>600W*1200D*2200H</t>
        </is>
      </c>
      <c r="D2775" s="112" t="inlineStr">
        <is>
          <t>清科</t>
        </is>
      </c>
      <c r="E2775" s="114" t="inlineStr">
        <is>
          <t>台</t>
        </is>
      </c>
      <c r="F2775" s="114" t="n">
        <v>1</v>
      </c>
      <c r="G2775" s="396">
        <f>IF(AND(B2775="",C2775=""),"",ROUND(M2775*L2775*N2775,2))</f>
        <v/>
      </c>
      <c r="H2775" s="396">
        <f>IF(AND(B2775="",C2775=""),"",ROUND(F2775*G2775,2))</f>
        <v/>
      </c>
      <c r="I2775" s="219" t="inlineStr"/>
      <c r="J2775" s="397">
        <f>IF(AND(B2775="",C2775=""),"",ROUND(M2775*N2775,2))</f>
        <v/>
      </c>
      <c r="K2775" s="398">
        <f>IF(AND(B2775="",C2775=""),"",ROUND(J2775*F2775,2))</f>
        <v/>
      </c>
      <c r="L2775" s="200" t="n">
        <v>1</v>
      </c>
      <c r="M2775" s="399" t="n">
        <v>5831</v>
      </c>
      <c r="N2775" s="154" t="n">
        <v>1</v>
      </c>
      <c r="O2775" s="155">
        <f>IF(AND(B2775="",C2775=""),"",IF(G2775&gt;=20000,0.05,IF(G2775&gt;=10000,0.1,IF(G2775&gt;=5000,0.2,IF(G2775&gt;=1000,0.3,IF(G2775&gt;=0,0.4,{0}))))))</f>
        <v/>
      </c>
      <c r="P2775" s="400">
        <f>IF(AND(B2775="",C2775=""),"",ROUND(H2775*O2775,2))</f>
        <v/>
      </c>
      <c r="Q2775" s="401" t="inlineStr">
        <is>
          <t>箱体</t>
        </is>
      </c>
      <c r="R2775" s="168" t="inlineStr"/>
      <c r="S2775" s="168" t="inlineStr"/>
      <c r="T2775" s="168" t="inlineStr">
        <is>
          <t>0</t>
        </is>
      </c>
      <c r="U2775" s="168" t="inlineStr"/>
      <c r="V2775" s="402" t="n"/>
      <c r="W2775" s="402" t="n"/>
      <c r="X2775" s="170" t="inlineStr">
        <is>
          <t>BlokSeT</t>
        </is>
      </c>
    </row>
    <row r="2776" s="308">
      <c r="A2776" s="64">
        <f>ROW()-ROW(A$2756)</f>
        <v/>
      </c>
      <c r="B2776" s="22" t="inlineStr"/>
      <c r="C2776" s="22" t="inlineStr"/>
      <c r="D2776" s="22" t="inlineStr"/>
      <c r="E2776" s="23" t="n"/>
      <c r="F2776" s="23">
        <f>IF(AND(B2776="",C2776=""),"",1)</f>
        <v/>
      </c>
      <c r="G2776" s="349">
        <f>IF(AND(B2776="",C2776=""),"",ROUND(M2776*L2776*N2776,2))</f>
        <v/>
      </c>
      <c r="H2776" s="349">
        <f>IF(AND(B2776="",C2776=""),"",ROUND(F2776*G2776,2))</f>
        <v/>
      </c>
      <c r="I2776" s="45" t="inlineStr"/>
      <c r="J2776" s="397">
        <f>IF(AND(B2776="",C2776=""),"",ROUND(M2776*N2776,2))</f>
        <v/>
      </c>
      <c r="K2776" s="398">
        <f>IF(AND(B2776="",C2776=""),"",ROUND(J2776*F2776,2))</f>
        <v/>
      </c>
      <c r="L2776" s="200">
        <f>IF(AND(B2776="",C2776=""),"",1)</f>
        <v/>
      </c>
      <c r="M2776" s="399" t="n"/>
      <c r="N2776" s="154">
        <f>IF(AND(B2776="",C2776=""),"",1)</f>
        <v/>
      </c>
      <c r="O2776" s="155">
        <f>IF(AND(B2776="",C2776=""),"",IF(J2776&gt;=20000,0.05,IF(J2776&gt;=10000,0.1,IF(J2776&gt;=5000,0.2,IF(J2776&gt;=1000,0.3,IF(J2776&gt;=0,0.4,{0}))))))</f>
        <v/>
      </c>
      <c r="P2776" s="400">
        <f>IF(AND(B2776="",C2776=""),"",ROUND(H2776*O2776,2))</f>
        <v/>
      </c>
      <c r="Q2776" s="401">
        <f>IF(AND(B2776="",C2776=""),"","元件")</f>
        <v/>
      </c>
      <c r="R2776" s="168" t="inlineStr"/>
      <c r="S2776" s="168" t="inlineStr"/>
      <c r="T2776" s="168" t="inlineStr"/>
      <c r="U2776" s="168" t="inlineStr"/>
      <c r="V2776" s="402" t="n"/>
      <c r="W2776" s="402" t="n"/>
      <c r="X2776" s="170" t="inlineStr"/>
    </row>
    <row r="2777" s="308">
      <c r="A2777" s="64">
        <f>ROW()-ROW(A$2756)</f>
        <v/>
      </c>
      <c r="B2777" s="171" t="inlineStr">
        <is>
          <t>小计</t>
        </is>
      </c>
      <c r="C2777" s="172" t="n"/>
      <c r="D2777" s="204" t="n"/>
      <c r="E2777" s="114" t="n"/>
      <c r="F2777" s="114" t="n"/>
      <c r="G2777" s="396" t="n"/>
      <c r="H2777" s="396">
        <f>ROUND(SUM(H2756:INDEX(H:H,ROW()-1)),2)</f>
        <v/>
      </c>
      <c r="I2777" s="45" t="inlineStr"/>
      <c r="J2777" s="397" t="n"/>
      <c r="K2777" s="398">
        <f>ROUND(SUM(K2756:INDEX(K:K,ROW()-1)),2)</f>
        <v/>
      </c>
      <c r="L2777" s="200" t="n"/>
      <c r="M2777" s="399" t="n"/>
      <c r="N2777" s="154" t="n"/>
      <c r="O2777" s="155" t="n"/>
      <c r="P2777" s="400" t="n"/>
      <c r="Q2777" s="401" t="n"/>
      <c r="R2777" s="168" t="inlineStr"/>
      <c r="S2777" s="168" t="inlineStr"/>
      <c r="T2777" s="168" t="inlineStr"/>
      <c r="U2777" s="168" t="inlineStr"/>
      <c r="V2777" s="402">
        <f>ROUND(SUMPRODUCT(F2756:INDEX(F:F,ROW()-1),V2756:INDEX(V:V,ROW()-1)),2)</f>
        <v/>
      </c>
      <c r="W2777" s="402">
        <f>ROUND(SUMPRODUCT(F2756:INDEX(F:F,ROW()-1),W2756:INDEX(W:W,ROW()-1)),2)</f>
        <v/>
      </c>
      <c r="X2777" s="170" t="inlineStr"/>
    </row>
    <row r="2778" s="308">
      <c r="A2778" s="64">
        <f>ROW()-ROW(A$2756)</f>
        <v/>
      </c>
      <c r="B2778" s="171" t="inlineStr">
        <is>
          <t>综合费(人工、管理、税金、利润等)</t>
        </is>
      </c>
      <c r="C2778" s="172" t="n"/>
      <c r="D2778" s="204" t="n"/>
      <c r="E2778" s="114" t="n"/>
      <c r="F2778" s="114" t="n"/>
      <c r="G2778" s="396" t="n"/>
      <c r="H2778" s="396">
        <f>2500</f>
        <v/>
      </c>
      <c r="I2778" s="45" t="inlineStr"/>
      <c r="J2778" s="397" t="n"/>
      <c r="K2778" s="398" t="n"/>
      <c r="L2778" s="200" t="n"/>
      <c r="M2778" s="399" t="n"/>
      <c r="N2778" s="154" t="n"/>
      <c r="O2778" s="155" t="n"/>
      <c r="P2778" s="400" t="n"/>
      <c r="Q2778" s="401" t="inlineStr">
        <is>
          <t>费用</t>
        </is>
      </c>
      <c r="R2778" s="168" t="inlineStr"/>
      <c r="S2778" s="168" t="inlineStr"/>
      <c r="T2778" s="168" t="inlineStr"/>
      <c r="U2778" s="168" t="inlineStr"/>
      <c r="V2778" s="402" t="n"/>
      <c r="W2778" s="402" t="n"/>
      <c r="X2778" s="170" t="inlineStr"/>
    </row>
    <row r="2779" s="308">
      <c r="A2779" s="64">
        <f>ROW()-ROW(A$2756)</f>
        <v/>
      </c>
      <c r="B2779" s="204" t="inlineStr">
        <is>
          <t>单台合计</t>
        </is>
      </c>
      <c r="C2779" s="172" t="n"/>
      <c r="D2779" s="204" t="n"/>
      <c r="E2779" s="114" t="n"/>
      <c r="F2779" s="114" t="n"/>
      <c r="G2779" s="396" t="n"/>
      <c r="H2779" s="396">
        <f>ROUND(SUM(H2777:H2778),2)</f>
        <v/>
      </c>
      <c r="I2779" s="181" t="n"/>
      <c r="J2779" s="397" t="n"/>
      <c r="K2779" s="398">
        <f>ROUND(SUM(K2777:K2778),2)</f>
        <v/>
      </c>
      <c r="L2779" s="209" t="n"/>
      <c r="M2779" s="399" t="n"/>
      <c r="N2779" s="210" t="n"/>
      <c r="O2779" s="211" t="n"/>
      <c r="P2779" s="400" t="n"/>
      <c r="Q2779" s="401" t="n"/>
      <c r="R2779" s="168" t="inlineStr"/>
      <c r="S2779" s="168" t="inlineStr"/>
      <c r="T2779" s="168" t="inlineStr"/>
      <c r="U2779" s="168" t="inlineStr"/>
      <c r="V2779" s="402" t="n"/>
      <c r="W2779" s="402" t="n"/>
      <c r="X2779" s="170" t="inlineStr"/>
    </row>
    <row r="2780" s="308">
      <c r="A2780" s="173" t="inlineStr">
        <is>
          <t>总计</t>
        </is>
      </c>
      <c r="B2780" s="205" t="n"/>
      <c r="C2780" s="175" t="n"/>
      <c r="D2780" s="206" t="n"/>
      <c r="E2780" s="206" t="inlineStr">
        <is>
          <t>台</t>
        </is>
      </c>
      <c r="F2780" s="206" t="n">
        <v>1</v>
      </c>
      <c r="G2780" s="414">
        <f>ROUND(H2779,2)</f>
        <v/>
      </c>
      <c r="H2780" s="414">
        <f>ROUND(F2780*G2780,2)</f>
        <v/>
      </c>
      <c r="I2780" s="185" t="n"/>
      <c r="J2780" s="415" t="n"/>
      <c r="K2780" s="416">
        <f>ROUND(K2779*F2780,2)</f>
        <v/>
      </c>
      <c r="L2780" s="214" t="n"/>
      <c r="M2780" s="417" t="n"/>
      <c r="N2780" s="216" t="n"/>
      <c r="O2780" s="217" t="n"/>
      <c r="P2780" s="418" t="n"/>
      <c r="Q2780" s="401" t="n"/>
      <c r="R2780" s="168" t="inlineStr"/>
      <c r="S2780" s="168" t="inlineStr"/>
      <c r="T2780" s="168" t="inlineStr"/>
      <c r="U2780" s="168" t="inlineStr"/>
      <c r="V2780" s="402" t="n"/>
      <c r="W2780" s="402" t="n"/>
      <c r="X2780" s="170" t="inlineStr"/>
    </row>
    <row r="2781" customFormat="1" s="4">
      <c r="A2781" s="6" t="n"/>
      <c r="B2781" s="195" t="inlineStr"/>
      <c r="C2781" s="195" t="inlineStr"/>
      <c r="D2781" s="195" t="inlineStr"/>
      <c r="Q2781" s="159" t="n"/>
      <c r="R2781" s="159" t="n"/>
      <c r="S2781" s="159" t="n"/>
      <c r="T2781" s="159" t="n"/>
      <c r="U2781" s="159" t="n"/>
      <c r="X2781" s="195" t="inlineStr"/>
    </row>
    <row r="2782" customFormat="1" s="4">
      <c r="A2782" s="6" t="n"/>
      <c r="B2782" s="195" t="inlineStr"/>
      <c r="C2782" s="195" t="inlineStr"/>
      <c r="D2782" s="195" t="inlineStr"/>
      <c r="Q2782" s="159" t="n"/>
      <c r="R2782" s="159" t="n"/>
      <c r="S2782" s="159" t="n"/>
      <c r="T2782" s="159" t="n"/>
      <c r="U2782" s="159" t="n"/>
      <c r="X2782" s="195" t="inlineStr"/>
    </row>
    <row r="2783" s="308">
      <c r="A2783" s="208">
        <f>CONCATENATE("报价人：",项目信息!$B$8)</f>
        <v/>
      </c>
      <c r="B2783" s="208" t="n"/>
      <c r="C2783" s="4" t="n"/>
      <c r="D2783" s="4" t="n"/>
      <c r="E2783" s="4" t="n"/>
      <c r="F2783" s="4" t="n"/>
      <c r="G2783" s="4" t="n"/>
      <c r="H2783" s="178">
        <f>项目信息!$B$9</f>
        <v/>
      </c>
      <c r="Q2783" s="159" t="n"/>
      <c r="R2783" s="159" t="n"/>
      <c r="S2783" s="159" t="n"/>
      <c r="T2783" s="159" t="n"/>
      <c r="U2783" s="159" t="n"/>
      <c r="X2783" s="203" t="inlineStr"/>
    </row>
    <row r="2784" s="308">
      <c r="A2784" s="8">
        <f>T(项目信息!$B$22)</f>
        <v/>
      </c>
      <c r="Q2784" s="159" t="n"/>
      <c r="R2784" s="159" t="n"/>
      <c r="S2784" s="159" t="n"/>
      <c r="T2784" s="159" t="n"/>
      <c r="U2784" s="159" t="n"/>
    </row>
    <row r="2785" s="308">
      <c r="A2785" s="9">
        <f>T(项目信息!$B$23)</f>
        <v/>
      </c>
      <c r="Q2785" s="159" t="n"/>
      <c r="R2785" s="159" t="n"/>
      <c r="S2785" s="159" t="n"/>
      <c r="T2785" s="159" t="n"/>
      <c r="U2785" s="159" t="n"/>
    </row>
    <row r="2786" s="308">
      <c r="A2786" s="97" t="inlineStr">
        <is>
          <t>成套产品报价明细表</t>
        </is>
      </c>
      <c r="B2786" s="378" t="n"/>
      <c r="C2786" s="378" t="n"/>
      <c r="D2786" s="378" t="n"/>
      <c r="E2786" s="378" t="n"/>
      <c r="F2786" s="378" t="n"/>
      <c r="G2786" s="378" t="n"/>
      <c r="H2786" s="378" t="n"/>
      <c r="I2786" s="378" t="n"/>
      <c r="Q2786" s="159" t="n"/>
      <c r="R2786" s="159" t="n"/>
      <c r="S2786" s="159" t="n"/>
      <c r="T2786" s="159" t="n"/>
      <c r="U2786" s="159" t="n"/>
    </row>
    <row r="2787" customFormat="1" s="4">
      <c r="A2787" s="98" t="inlineStr">
        <is>
          <t>柜号:</t>
        </is>
      </c>
      <c r="B2787" s="99" t="inlineStr">
        <is>
          <t>T10-BU31</t>
        </is>
      </c>
      <c r="C2787" s="100" t="inlineStr">
        <is>
          <t>型号:</t>
        </is>
      </c>
      <c r="D2787" s="99" t="inlineStr">
        <is>
          <t>BlokSeT</t>
        </is>
      </c>
      <c r="E2787" s="379" t="n"/>
      <c r="F2787" s="101" t="inlineStr">
        <is>
          <t>名称:</t>
        </is>
      </c>
      <c r="G2787" s="99" t="inlineStr">
        <is>
          <t>进线柜</t>
        </is>
      </c>
      <c r="H2787" s="379" t="n"/>
      <c r="I2787" s="408" t="inlineStr"/>
      <c r="J2787" s="194" t="inlineStr">
        <is>
          <t>箱柜尺寸:</t>
        </is>
      </c>
      <c r="K2787" s="195" t="inlineStr">
        <is>
          <t>400W*1200D*2200H</t>
        </is>
      </c>
      <c r="L2787" s="194" t="inlineStr">
        <is>
          <t>类别:</t>
        </is>
      </c>
      <c r="M2787" s="195" t="inlineStr">
        <is>
          <t>低压固定柜</t>
        </is>
      </c>
      <c r="N2787" s="409" t="inlineStr"/>
      <c r="Q2787" s="159" t="n"/>
      <c r="R2787" s="159" t="n"/>
      <c r="S2787" s="159" t="n"/>
      <c r="T2787" s="159" t="n"/>
      <c r="U2787" s="159" t="n"/>
    </row>
    <row r="2788" ht="20.1" customHeight="1" s="308">
      <c r="A2788" s="102" t="inlineStr">
        <is>
          <t>序号</t>
        </is>
      </c>
      <c r="B2788" s="103" t="inlineStr">
        <is>
          <t>元件名称</t>
        </is>
      </c>
      <c r="C2788" s="103" t="inlineStr">
        <is>
          <t>型号规格</t>
        </is>
      </c>
      <c r="D2788" s="104" t="inlineStr">
        <is>
          <t>生产厂家</t>
        </is>
      </c>
      <c r="E2788" s="105" t="inlineStr">
        <is>
          <t>单位</t>
        </is>
      </c>
      <c r="F2788" s="105" t="inlineStr">
        <is>
          <t>数量</t>
        </is>
      </c>
      <c r="G2788" s="382" t="inlineStr">
        <is>
          <t>单   价</t>
        </is>
      </c>
      <c r="H2788" s="383" t="inlineStr">
        <is>
          <t>总   价</t>
        </is>
      </c>
      <c r="I2788" s="134" t="inlineStr">
        <is>
          <t>备注</t>
        </is>
      </c>
      <c r="J2788" s="384" t="inlineStr">
        <is>
          <t>成本单价</t>
        </is>
      </c>
      <c r="K2788" s="384" t="inlineStr">
        <is>
          <t>成本总价</t>
        </is>
      </c>
      <c r="L2788" s="136" t="inlineStr">
        <is>
          <t>报出
系数</t>
        </is>
      </c>
      <c r="M2788" s="384" t="inlineStr">
        <is>
          <t>表价</t>
        </is>
      </c>
      <c r="N2788" s="136" t="inlineStr">
        <is>
          <t>折扣
系数</t>
        </is>
      </c>
      <c r="O2788" s="137" t="inlineStr">
        <is>
          <t>取费
系数</t>
        </is>
      </c>
      <c r="P2788" s="384" t="inlineStr">
        <is>
          <t>成套费</t>
        </is>
      </c>
      <c r="Q2788" s="161" t="inlineStr">
        <is>
          <t>类别</t>
        </is>
      </c>
      <c r="R2788" s="161" t="inlineStr">
        <is>
          <t>物料编码</t>
        </is>
      </c>
      <c r="S2788" s="161" t="inlineStr">
        <is>
          <t>产地</t>
        </is>
      </c>
      <c r="T2788" s="161" t="inlineStr">
        <is>
          <t>加工费</t>
        </is>
      </c>
      <c r="U2788" s="161" t="inlineStr">
        <is>
          <t>订货号</t>
        </is>
      </c>
      <c r="V2788" s="161" t="inlineStr">
        <is>
          <t>人工</t>
        </is>
      </c>
      <c r="W2788" s="161" t="inlineStr">
        <is>
          <t>辅料</t>
        </is>
      </c>
      <c r="X2788" s="203" t="inlineStr"/>
    </row>
    <row r="2789" s="308">
      <c r="A2789" s="64">
        <f>ROW()-ROW(A$2788)</f>
        <v/>
      </c>
      <c r="B2789" s="22" t="inlineStr">
        <is>
          <t>框架断路器</t>
        </is>
      </c>
      <c r="C2789" s="22" t="inlineStr">
        <is>
          <t>MT08 N1a SG 3P MIC5.0 E</t>
        </is>
      </c>
      <c r="D2789" s="22" t="inlineStr">
        <is>
          <t>甲供/施耐德电气</t>
        </is>
      </c>
      <c r="E2789" s="23" t="inlineStr">
        <is>
          <t>只</t>
        </is>
      </c>
      <c r="F2789" s="23" t="n">
        <v>2</v>
      </c>
      <c r="G2789" s="349">
        <f>IF(AND(B2789="",C2789=""),"",ROUND(M2789*L2789*N2789,2))</f>
        <v/>
      </c>
      <c r="H2789" s="349">
        <f>IF(AND(B2789="",C2789=""),"",ROUND(F2789*G2789,2))</f>
        <v/>
      </c>
      <c r="I2789" s="45" t="inlineStr"/>
      <c r="J2789" s="397">
        <f>IF(AND(B2789="",C2789=""),"",ROUND(M2789*N2789,2))</f>
        <v/>
      </c>
      <c r="K2789" s="398">
        <f>IF(AND(B2789="",C2789=""),"",ROUND(J2789*F2789,2))</f>
        <v/>
      </c>
      <c r="L2789" s="200" t="n">
        <v>1</v>
      </c>
      <c r="M2789" s="399" t="n">
        <v>1e-07</v>
      </c>
      <c r="N2789" s="154" t="n">
        <v>1</v>
      </c>
      <c r="O2789" s="155">
        <f>IF(AND(B2789="",C2789=""),"",IF(G2789&gt;=20000,0.05,IF(G2789&gt;=10000,0.1,IF(G2789&gt;=5000,0.2,IF(G2789&gt;=1000,0.3,IF(G2789&gt;=0,0.4,{0}))))))</f>
        <v/>
      </c>
      <c r="P2789" s="400">
        <f>IF(AND(B2789="",C2789=""),"",ROUND(H2789*O2789,2))</f>
        <v/>
      </c>
      <c r="Q2789" s="401" t="inlineStr">
        <is>
          <t>元件</t>
        </is>
      </c>
      <c r="R2789" s="168" t="inlineStr"/>
      <c r="S2789" s="168" t="inlineStr"/>
      <c r="T2789" s="168" t="inlineStr">
        <is>
          <t>0</t>
        </is>
      </c>
      <c r="U2789" s="168" t="inlineStr">
        <is>
          <t>C16F32D160</t>
        </is>
      </c>
      <c r="V2789" s="402" t="n"/>
      <c r="W2789" s="402" t="n"/>
      <c r="X2789" s="170" t="inlineStr">
        <is>
          <t>NSX630N Mic2.3 630A 3P3D F→NSX630F MIC2.3 630 3P F→NSX630F MIC 2.3 630 3P F</t>
        </is>
      </c>
    </row>
    <row r="2790" s="308">
      <c r="A2790" s="64">
        <f>ROW()-ROW(A$2788)</f>
        <v/>
      </c>
      <c r="B2790" s="22" t="inlineStr">
        <is>
          <t>电流互感器</t>
        </is>
      </c>
      <c r="C2790" s="22" t="inlineStr">
        <is>
          <t>SD-0.66-80II-V 800/5A</t>
        </is>
      </c>
      <c r="D2790" s="22" t="inlineStr">
        <is>
          <t>桑迪</t>
        </is>
      </c>
      <c r="E2790" s="23" t="inlineStr">
        <is>
          <t>只</t>
        </is>
      </c>
      <c r="F2790" s="23" t="n">
        <v>6</v>
      </c>
      <c r="G2790" s="349">
        <f>IF(AND(B2790="",C2790=""),"",ROUND(M2790*L2790*N2790,2))</f>
        <v/>
      </c>
      <c r="H2790" s="396">
        <f>IF(AND(B2790="",C2790=""),"",ROUND(F2790*G2790,2))</f>
        <v/>
      </c>
      <c r="I2790" s="219" t="inlineStr"/>
      <c r="J2790" s="397">
        <f>IF(AND(B2790="",C2790=""),"",ROUND(M2790*N2790,2))</f>
        <v/>
      </c>
      <c r="K2790" s="398">
        <f>IF(AND(B2790="",C2790=""),"",ROUND(J2790*F2790,2))</f>
        <v/>
      </c>
      <c r="L2790" s="200" t="n">
        <v>1</v>
      </c>
      <c r="M2790" s="399" t="n">
        <v>80.59999999999999</v>
      </c>
      <c r="N2790" s="154" t="n">
        <v>1</v>
      </c>
      <c r="O2790" s="155">
        <f>IF(AND(B2790="",C2790=""),"",IF(G2790&gt;=20000,0.05,IF(G2790&gt;=10000,0.1,IF(G2790&gt;=5000,0.2,IF(G2790&gt;=1000,0.3,IF(G2790&gt;=0,0.4,{0}))))))</f>
        <v/>
      </c>
      <c r="P2790" s="400">
        <f>IF(AND(B2790="",C2790=""),"",ROUND(H2790*O2790,2))</f>
        <v/>
      </c>
      <c r="Q2790" s="401" t="inlineStr">
        <is>
          <t>元件</t>
        </is>
      </c>
      <c r="R2790" s="168" t="inlineStr"/>
      <c r="S2790" s="168" t="inlineStr"/>
      <c r="T2790" s="168" t="inlineStr">
        <is>
          <t>0</t>
        </is>
      </c>
      <c r="U2790" s="168" t="inlineStr">
        <is>
          <t>710141426552500</t>
        </is>
      </c>
      <c r="V2790" s="402" t="n"/>
      <c r="W2790" s="402" t="n"/>
      <c r="X2790" s="170" t="inlineStr">
        <is>
          <t>SD→SD-0.66-40II-C 400/5A→SD-0.66-30I 250/5A→SD-0.66-30I 150/5A→SD-0.66-60II-C 750/5A→SD-0.66-60II-C 600/5A→SD-0.66-30I 150/5A→SD-0.66-40II-C 400/5A→SD-0.66-100II-C 1600/5A→SD-0.66-80II-V 1000/5A→SD-0.66-80II-V 1250/5A→SD-0.66-80II-V 1000/5A</t>
        </is>
      </c>
    </row>
    <row r="2791" s="308">
      <c r="A2791" s="64">
        <f>ROW()-ROW(A$2788)</f>
        <v/>
      </c>
      <c r="B2791" s="112" t="inlineStr">
        <is>
          <t>多功能表</t>
        </is>
      </c>
      <c r="C2791" s="112" t="inlineStr">
        <is>
          <t>PM4101</t>
        </is>
      </c>
      <c r="D2791" s="112" t="inlineStr">
        <is>
          <t>甲供/施耐德电气</t>
        </is>
      </c>
      <c r="E2791" s="114" t="inlineStr">
        <is>
          <t>只</t>
        </is>
      </c>
      <c r="F2791" s="114" t="n">
        <v>2</v>
      </c>
      <c r="G2791" s="396">
        <f>IF(AND(B2791="",C2791=""),"",ROUND(M2791*L2791*N2791,2))</f>
        <v/>
      </c>
      <c r="H2791" s="349">
        <f>IF(AND(B2791="",C2791=""),"",ROUND(F2791*G2791,2))</f>
        <v/>
      </c>
      <c r="I2791" s="45" t="inlineStr"/>
      <c r="J2791" s="397">
        <f>IF(AND(B2791="",C2791=""),"",ROUND(M2791*N2791,2))</f>
        <v/>
      </c>
      <c r="K2791" s="398">
        <f>IF(AND(B2791="",C2791=""),"",ROUND(J2791*F2791,2))</f>
        <v/>
      </c>
      <c r="L2791" s="200" t="n">
        <v>1</v>
      </c>
      <c r="M2791" s="399" t="n">
        <v>1e-07</v>
      </c>
      <c r="N2791" s="154" t="n">
        <v>1</v>
      </c>
      <c r="O2791" s="155">
        <f>IF(AND(B2791="",C2791=""),"",IF(J2791&gt;=20000,0.05,IF(J2791&gt;=10000,0.1,IF(J2791&gt;=5000,0.2,IF(J2791&gt;=1000,0.3,IF(J2791&gt;=0,0.4,{0}))))))</f>
        <v/>
      </c>
      <c r="P2791" s="400">
        <f>IF(AND(B2791="",C2791=""),"",ROUND(H2791*O2791,2))</f>
        <v/>
      </c>
      <c r="Q2791" s="401" t="inlineStr">
        <is>
          <t>元件</t>
        </is>
      </c>
      <c r="R2791" s="168" t="inlineStr"/>
      <c r="S2791" s="168" t="inlineStr"/>
      <c r="T2791" s="168" t="inlineStr">
        <is>
          <t>0</t>
        </is>
      </c>
      <c r="U2791" s="168" t="inlineStr"/>
      <c r="V2791" s="402" t="n"/>
      <c r="W2791" s="402" t="n"/>
      <c r="X2791" s="170" t="inlineStr"/>
    </row>
    <row r="2792" customFormat="1" s="3">
      <c r="A2792" s="64">
        <f>ROW()-ROW(A$2788)</f>
        <v/>
      </c>
      <c r="B2792" s="27" t="inlineStr">
        <is>
          <t>后备保护器</t>
        </is>
      </c>
      <c r="C2792" s="22" t="inlineStr">
        <is>
          <t>iSCB2 40H2 4P</t>
        </is>
      </c>
      <c r="D2792" s="22" t="inlineStr">
        <is>
          <t>甲供/施耐德万高</t>
        </is>
      </c>
      <c r="E2792" s="110" t="inlineStr">
        <is>
          <t>只</t>
        </is>
      </c>
      <c r="F2792" s="23" t="n">
        <v>1</v>
      </c>
      <c r="G2792" s="349">
        <f>IF(AND(B2792="",C2792=""),"",ROUND(M2792*L2792*N2792,2))</f>
        <v/>
      </c>
      <c r="H2792" s="349">
        <f>IF(AND(B2792="",C2792=""),"",ROUND(F2792*G2792,2))</f>
        <v/>
      </c>
      <c r="I2792" s="45" t="inlineStr"/>
      <c r="J2792" s="392">
        <f>IF(AND(B2792="",C2792=""),"",ROUND(M2792*N2792,2))</f>
        <v/>
      </c>
      <c r="K2792" s="393">
        <f>IF(AND(B2792="",C2792=""),"",ROUND(J2792*F2792,2))</f>
        <v/>
      </c>
      <c r="L2792" s="141" t="n">
        <v>1</v>
      </c>
      <c r="M2792" s="394" t="n">
        <v>1e-07</v>
      </c>
      <c r="N2792" s="143" t="n">
        <v>1</v>
      </c>
      <c r="O2792" s="144">
        <f>IF(AND(B2792="",C2792=""),"",IF(G2792&gt;=20000,0.05,IF(G2792&gt;=10000,0.1,IF(G2792&gt;=5000,0.2,IF(G2792&gt;=1000,0.3,IF(G2792&gt;=0,0.4,{0}))))))</f>
        <v/>
      </c>
      <c r="P2792" s="395">
        <f>IF(AND(B2792="",C2792=""),"",ROUND(H2792*O2792,2))</f>
        <v/>
      </c>
      <c r="Q2792" s="390" t="inlineStr">
        <is>
          <t>元件</t>
        </is>
      </c>
      <c r="R2792" s="164" t="inlineStr"/>
      <c r="S2792" s="164" t="inlineStr"/>
      <c r="T2792" s="164" t="inlineStr">
        <is>
          <t>0</t>
        </is>
      </c>
      <c r="U2792" s="164" t="inlineStr">
        <is>
          <t>A9L102554</t>
        </is>
      </c>
      <c r="V2792" s="391" t="n"/>
      <c r="W2792" s="391" t="n"/>
      <c r="X2792" s="166" t="inlineStr">
        <is>
          <t>iSCB1 25L1 4P→iSCB2 40H2 4P</t>
        </is>
      </c>
    </row>
    <row r="2793" customFormat="1" s="3">
      <c r="A2793" s="64">
        <f>ROW()-ROW(A$2788)</f>
        <v/>
      </c>
      <c r="B2793" s="27" t="inlineStr">
        <is>
          <t>电涌保护器</t>
        </is>
      </c>
      <c r="C2793" s="22" t="inlineStr">
        <is>
          <t>iPRU 40r 3P+N</t>
        </is>
      </c>
      <c r="D2793" s="22" t="inlineStr">
        <is>
          <t>甲供/施耐德万高</t>
        </is>
      </c>
      <c r="E2793" s="110" t="inlineStr">
        <is>
          <t>只</t>
        </is>
      </c>
      <c r="F2793" s="23" t="n">
        <v>1</v>
      </c>
      <c r="G2793" s="349">
        <f>IF(AND(B2793="",C2793=""),"",ROUND(M2793*L2793*N2793,2))</f>
        <v/>
      </c>
      <c r="H2793" s="349">
        <f>IF(AND(B2793="",C2793=""),"",ROUND(F2793*G2793,2))</f>
        <v/>
      </c>
      <c r="I2793" s="45" t="inlineStr"/>
      <c r="J2793" s="392">
        <f>IF(AND(B2793="",C2793=""),"",ROUND(M2793*N2793,2))</f>
        <v/>
      </c>
      <c r="K2793" s="393">
        <f>IF(AND(B2793="",C2793=""),"",ROUND(J2793*F2793,2))</f>
        <v/>
      </c>
      <c r="L2793" s="141" t="n">
        <v>1</v>
      </c>
      <c r="M2793" s="394" t="n">
        <v>1e-07</v>
      </c>
      <c r="N2793" s="143" t="n">
        <v>1</v>
      </c>
      <c r="O2793" s="144">
        <f>IF(AND(B2793="",C2793=""),"",IF(G2793&gt;=20000,0.05,IF(G2793&gt;=10000,0.1,IF(G2793&gt;=5000,0.2,IF(G2793&gt;=1000,0.3,IF(G2793&gt;=0,0.4,{0}))))))</f>
        <v/>
      </c>
      <c r="P2793" s="395">
        <f>IF(AND(B2793="",C2793=""),"",ROUND(H2793*O2793,2))</f>
        <v/>
      </c>
      <c r="Q2793" s="390" t="inlineStr">
        <is>
          <t>元件</t>
        </is>
      </c>
      <c r="R2793" s="164" t="inlineStr"/>
      <c r="S2793" s="164" t="inlineStr"/>
      <c r="T2793" s="164" t="inlineStr">
        <is>
          <t>0</t>
        </is>
      </c>
      <c r="U2793" s="164" t="inlineStr">
        <is>
          <t>A9L620601</t>
        </is>
      </c>
      <c r="V2793" s="391" t="n"/>
      <c r="W2793" s="391" t="n"/>
      <c r="X2793" s="166" t="inlineStr">
        <is>
          <t>iPRF1 12.5r 3P+N→iPRU 40r 3P→iPRF1 12.5r 3P+N</t>
        </is>
      </c>
    </row>
    <row r="2794" customFormat="1" s="3">
      <c r="A2794" s="64">
        <f>ROW()-ROW(A$2788)</f>
        <v/>
      </c>
      <c r="B2794" s="27" t="inlineStr">
        <is>
          <t>微型断路器</t>
        </is>
      </c>
      <c r="C2794" s="22" t="inlineStr">
        <is>
          <t>iC65H 2P C16A</t>
        </is>
      </c>
      <c r="D2794" s="22" t="inlineStr">
        <is>
          <t>甲供/施耐德电气</t>
        </is>
      </c>
      <c r="E2794" s="110" t="inlineStr">
        <is>
          <t>只</t>
        </is>
      </c>
      <c r="F2794" s="23" t="n">
        <v>2</v>
      </c>
      <c r="G2794" s="349">
        <f>IF(AND(B2794="",C2794=""),"",ROUND(M2794*L2794*N2794,2))</f>
        <v/>
      </c>
      <c r="H2794" s="349">
        <f>IF(AND(B2794="",C2794=""),"",ROUND(F2794*G2794,2))</f>
        <v/>
      </c>
      <c r="I2794" s="45" t="inlineStr"/>
      <c r="J2794" s="392">
        <f>IF(AND(B2794="",C2794=""),"",ROUND(M2794*N2794,2))</f>
        <v/>
      </c>
      <c r="K2794" s="393">
        <f>IF(AND(B2794="",C2794=""),"",ROUND(J2794*F2794,2))</f>
        <v/>
      </c>
      <c r="L2794" s="141" t="n">
        <v>1</v>
      </c>
      <c r="M2794" s="394" t="n">
        <v>1e-07</v>
      </c>
      <c r="N2794" s="143" t="n">
        <v>1</v>
      </c>
      <c r="O2794" s="144">
        <f>IF(AND(B2794="",C2794=""),"",IF(G2794&gt;=20000,0.05,IF(G2794&gt;=10000,0.1,IF(G2794&gt;=5000,0.2,IF(G2794&gt;=1000,0.3,IF(G2794&gt;=0,0.4,{0}))))))</f>
        <v/>
      </c>
      <c r="P2794" s="395">
        <f>IF(AND(B2794="",C2794=""),"",ROUND(H2794*O2794,2))</f>
        <v/>
      </c>
      <c r="Q2794" s="390" t="inlineStr">
        <is>
          <t>元件</t>
        </is>
      </c>
      <c r="R2794" s="164" t="inlineStr"/>
      <c r="S2794" s="164" t="inlineStr"/>
      <c r="T2794" s="164" t="n">
        <v>0</v>
      </c>
      <c r="U2794" s="164" t="inlineStr"/>
      <c r="V2794" s="391" t="n"/>
      <c r="W2794" s="391" t="n"/>
      <c r="X2794" s="166" t="inlineStr"/>
    </row>
    <row r="2795" customFormat="1" s="3">
      <c r="A2795" s="64">
        <f>ROW()-ROW(A$2788)</f>
        <v/>
      </c>
      <c r="B2795" s="22" t="inlineStr">
        <is>
          <t>指示灯</t>
        </is>
      </c>
      <c r="C2795" s="22" t="inlineStr">
        <is>
          <t>XB2BVM3LC</t>
        </is>
      </c>
      <c r="D2795" s="22" t="inlineStr">
        <is>
          <t>甲供/施耐德电气</t>
        </is>
      </c>
      <c r="E2795" s="23" t="inlineStr">
        <is>
          <t>只</t>
        </is>
      </c>
      <c r="F2795" s="23" t="n">
        <v>2</v>
      </c>
      <c r="G2795" s="349">
        <f>IF(AND(B2795="",C2795=""),"",ROUND(M2795*L2795*N2795,2))</f>
        <v/>
      </c>
      <c r="H2795" s="353">
        <f>IF(AND(B2795="",C2795=""),"",ROUND(F2795*G2795,2))</f>
        <v/>
      </c>
      <c r="I2795" s="180" t="inlineStr"/>
      <c r="J2795" s="392">
        <f>IF(AND(B2795="",C2795=""),"",ROUND(M2795*N2795,2))</f>
        <v/>
      </c>
      <c r="K2795" s="393">
        <f>IF(AND(B2795="",C2795=""),"",ROUND(J2795*F2795,2))</f>
        <v/>
      </c>
      <c r="L2795" s="141" t="n">
        <v>1</v>
      </c>
      <c r="M2795" s="394" t="n">
        <v>1e-07</v>
      </c>
      <c r="N2795" s="220" t="n">
        <v>1</v>
      </c>
      <c r="O2795" s="221">
        <f>IF(AND(B2795="",C2795=""),"",IF(G2795&gt;=20000,0.05,IF(G2795&gt;=10000,0.1,IF(G2795&gt;=5000,0.2,IF(G2795&gt;=1000,0.3,IF(G2795&gt;=0,0.4,{0}))))))</f>
        <v/>
      </c>
      <c r="P2795" s="419">
        <f>IF(AND(B2795="",C2795=""),"",ROUND(H2795*O2795,2))</f>
        <v/>
      </c>
      <c r="Q2795" s="420" t="inlineStr">
        <is>
          <t>元件</t>
        </is>
      </c>
      <c r="R2795" s="231" t="inlineStr"/>
      <c r="S2795" s="231" t="inlineStr"/>
      <c r="T2795" s="231" t="inlineStr">
        <is>
          <t>0</t>
        </is>
      </c>
      <c r="U2795" s="231" t="inlineStr">
        <is>
          <t>XB2BVM3LC</t>
        </is>
      </c>
      <c r="V2795" s="421" t="n"/>
      <c r="W2795" s="421" t="n"/>
      <c r="X2795" s="166" t="inlineStr">
        <is>
          <t>XA2EVM3LC</t>
        </is>
      </c>
    </row>
    <row r="2796" customFormat="1" s="3">
      <c r="A2796" s="64">
        <f>ROW()-ROW(A$2788)</f>
        <v/>
      </c>
      <c r="B2796" s="22" t="inlineStr">
        <is>
          <t>指示灯</t>
        </is>
      </c>
      <c r="C2796" s="22" t="inlineStr">
        <is>
          <t>XB2BVM4LC</t>
        </is>
      </c>
      <c r="D2796" s="22" t="inlineStr">
        <is>
          <t>甲供/施耐德电气</t>
        </is>
      </c>
      <c r="E2796" s="23" t="inlineStr">
        <is>
          <t>只</t>
        </is>
      </c>
      <c r="F2796" s="23" t="n">
        <v>2</v>
      </c>
      <c r="G2796" s="349">
        <f>IF(AND(B2796="",C2796=""),"",ROUND(M2796*L2796*N2796,2))</f>
        <v/>
      </c>
      <c r="H2796" s="353">
        <f>IF(AND(B2796="",C2796=""),"",ROUND(F2796*G2796,2))</f>
        <v/>
      </c>
      <c r="I2796" s="180" t="inlineStr"/>
      <c r="J2796" s="392">
        <f>IF(AND(B2796="",C2796=""),"",ROUND(M2796*N2796,2))</f>
        <v/>
      </c>
      <c r="K2796" s="393">
        <f>IF(AND(B2796="",C2796=""),"",ROUND(J2796*F2796,2))</f>
        <v/>
      </c>
      <c r="L2796" s="141" t="n">
        <v>1</v>
      </c>
      <c r="M2796" s="394" t="n">
        <v>1e-07</v>
      </c>
      <c r="N2796" s="220" t="n">
        <v>1</v>
      </c>
      <c r="O2796" s="221">
        <f>IF(AND(B2796="",C2796=""),"",IF(G2796&gt;=20000,0.05,IF(G2796&gt;=10000,0.1,IF(G2796&gt;=5000,0.2,IF(G2796&gt;=1000,0.3,IF(G2796&gt;=0,0.4,{0}))))))</f>
        <v/>
      </c>
      <c r="P2796" s="419">
        <f>IF(AND(B2796="",C2796=""),"",ROUND(H2796*O2796,2))</f>
        <v/>
      </c>
      <c r="Q2796" s="420" t="inlineStr">
        <is>
          <t>元件</t>
        </is>
      </c>
      <c r="R2796" s="231" t="inlineStr"/>
      <c r="S2796" s="231" t="inlineStr"/>
      <c r="T2796" s="231" t="inlineStr">
        <is>
          <t>0</t>
        </is>
      </c>
      <c r="U2796" s="231" t="inlineStr">
        <is>
          <t>XB2BVM4LC</t>
        </is>
      </c>
      <c r="V2796" s="421" t="n"/>
      <c r="W2796" s="421" t="n"/>
      <c r="X2796" s="166" t="inlineStr">
        <is>
          <t>XA2EVM4LC</t>
        </is>
      </c>
    </row>
    <row r="2797" s="308">
      <c r="A2797" s="64">
        <f>ROW()-ROW(A$2788)</f>
        <v/>
      </c>
      <c r="B2797" s="112" t="inlineStr">
        <is>
          <t>指示灯</t>
        </is>
      </c>
      <c r="C2797" s="112" t="inlineStr">
        <is>
          <t>XB2BVM5LC</t>
        </is>
      </c>
      <c r="D2797" s="112" t="inlineStr">
        <is>
          <t>甲供/施耐德电气</t>
        </is>
      </c>
      <c r="E2797" s="114" t="inlineStr">
        <is>
          <t>只</t>
        </is>
      </c>
      <c r="F2797" s="114" t="n">
        <v>2</v>
      </c>
      <c r="G2797" s="396">
        <f>IF(AND(B2797="",C2797=""),"",ROUND(M2797*L2797*N2797,2))</f>
        <v/>
      </c>
      <c r="H2797" s="396">
        <f>IF(AND(B2797="",C2797=""),"",ROUND(F2797*G2797,2))</f>
        <v/>
      </c>
      <c r="I2797" s="150" t="inlineStr"/>
      <c r="J2797" s="397">
        <f>IF(AND(B2797="",C2797=""),"",ROUND(M2797*N2797,2))</f>
        <v/>
      </c>
      <c r="K2797" s="398">
        <f>IF(AND(B2797="",C2797=""),"",ROUND(J2797*F2797,2))</f>
        <v/>
      </c>
      <c r="L2797" s="141" t="n">
        <v>1</v>
      </c>
      <c r="M2797" s="399" t="n">
        <v>1e-07</v>
      </c>
      <c r="N2797" s="154" t="n">
        <v>1</v>
      </c>
      <c r="O2797" s="155">
        <f>IF(AND(B2797="",C2797=""),"",IF(G2797&gt;=20000,0.05,IF(G2797&gt;=10000,0.1,IF(G2797&gt;=5000,0.2,IF(G2797&gt;=1000,0.3,IF(G2797&gt;=0,0.4,{0}))))))</f>
        <v/>
      </c>
      <c r="P2797" s="400">
        <f>IF(AND(B2797="",C2797=""),"",ROUND(H2797*O2797,2))</f>
        <v/>
      </c>
      <c r="Q2797" s="401" t="inlineStr">
        <is>
          <t>元件</t>
        </is>
      </c>
      <c r="R2797" s="168" t="inlineStr"/>
      <c r="S2797" s="168" t="inlineStr"/>
      <c r="T2797" s="168" t="inlineStr">
        <is>
          <t>0</t>
        </is>
      </c>
      <c r="U2797" s="168" t="inlineStr">
        <is>
          <t>XA2EVM5LC</t>
        </is>
      </c>
      <c r="V2797" s="402" t="n"/>
      <c r="W2797" s="402" t="n"/>
      <c r="X2797" s="170" t="inlineStr"/>
    </row>
    <row r="2798" s="308">
      <c r="A2798" s="64">
        <f>ROW()-ROW(A$2788)</f>
        <v/>
      </c>
      <c r="B2798" s="112" t="inlineStr">
        <is>
          <t>按钮</t>
        </is>
      </c>
      <c r="C2798" s="112" t="inlineStr">
        <is>
          <t>XB2BA31C</t>
        </is>
      </c>
      <c r="D2798" s="112" t="inlineStr">
        <is>
          <t>甲供/施耐德电气</t>
        </is>
      </c>
      <c r="E2798" s="114" t="inlineStr">
        <is>
          <t>只</t>
        </is>
      </c>
      <c r="F2798" s="114" t="n">
        <v>2</v>
      </c>
      <c r="G2798" s="396">
        <f>IF(AND(B2798="",C2798=""),"",ROUND(M2798*L2798*N2798,2))</f>
        <v/>
      </c>
      <c r="H2798" s="396">
        <f>IF(AND(B2798="",C2798=""),"",ROUND(F2798*G2798,2))</f>
        <v/>
      </c>
      <c r="I2798" s="150" t="inlineStr"/>
      <c r="J2798" s="397">
        <f>IF(AND(B2798="",C2798=""),"",ROUND(M2798*N2798,2))</f>
        <v/>
      </c>
      <c r="K2798" s="398">
        <f>IF(AND(B2798="",C2798=""),"",ROUND(J2798*F2798,2))</f>
        <v/>
      </c>
      <c r="L2798" s="141" t="n">
        <v>1</v>
      </c>
      <c r="M2798" s="399" t="n">
        <v>1e-07</v>
      </c>
      <c r="N2798" s="154" t="n">
        <v>1</v>
      </c>
      <c r="O2798" s="155">
        <f>IF(AND(B2798="",C2798=""),"",IF(G2798&gt;=20000,0.05,IF(G2798&gt;=10000,0.1,IF(G2798&gt;=5000,0.2,IF(G2798&gt;=1000,0.3,IF(G2798&gt;=0,0.4,{0}))))))</f>
        <v/>
      </c>
      <c r="P2798" s="400">
        <f>IF(AND(B2798="",C2798=""),"",ROUND(H2798*O2798,2))</f>
        <v/>
      </c>
      <c r="Q2798" s="401" t="inlineStr">
        <is>
          <t>元件</t>
        </is>
      </c>
      <c r="R2798" s="168" t="inlineStr"/>
      <c r="S2798" s="168" t="inlineStr"/>
      <c r="T2798" s="168" t="inlineStr">
        <is>
          <t>0</t>
        </is>
      </c>
      <c r="U2798" s="168" t="inlineStr">
        <is>
          <t>XB2BA31C</t>
        </is>
      </c>
      <c r="V2798" s="402" t="n"/>
      <c r="W2798" s="402" t="n"/>
      <c r="X2798" s="170" t="inlineStr">
        <is>
          <t>XA2EA31</t>
        </is>
      </c>
    </row>
    <row r="2799" s="308">
      <c r="A2799" s="64">
        <f>ROW()-ROW(A$2788)</f>
        <v/>
      </c>
      <c r="B2799" s="22" t="inlineStr">
        <is>
          <t>按钮</t>
        </is>
      </c>
      <c r="C2799" s="22" t="inlineStr">
        <is>
          <t>XB2BA42C</t>
        </is>
      </c>
      <c r="D2799" s="22" t="inlineStr">
        <is>
          <t>甲供/施耐德电气</t>
        </is>
      </c>
      <c r="E2799" s="23" t="inlineStr">
        <is>
          <t>只</t>
        </is>
      </c>
      <c r="F2799" s="23" t="n">
        <v>2</v>
      </c>
      <c r="G2799" s="349">
        <f>IF(AND(B2799="",C2799=""),"",ROUND(M2799*L2799*N2799,2))</f>
        <v/>
      </c>
      <c r="H2799" s="396">
        <f>IF(AND(B2799="",C2799=""),"",ROUND(F2799*G2799,2))</f>
        <v/>
      </c>
      <c r="I2799" s="150" t="inlineStr"/>
      <c r="J2799" s="397">
        <f>IF(AND(B2799="",C2799=""),"",ROUND(M2799*N2799,2))</f>
        <v/>
      </c>
      <c r="K2799" s="398">
        <f>IF(AND(B2799="",C2799=""),"",ROUND(J2799*F2799,2))</f>
        <v/>
      </c>
      <c r="L2799" s="141" t="n">
        <v>1</v>
      </c>
      <c r="M2799" s="399" t="n">
        <v>1e-07</v>
      </c>
      <c r="N2799" s="154" t="n">
        <v>1</v>
      </c>
      <c r="O2799" s="155">
        <f>IF(AND(B2799="",C2799=""),"",IF(G2799&gt;=20000,0.05,IF(G2799&gt;=10000,0.1,IF(G2799&gt;=5000,0.2,IF(G2799&gt;=1000,0.3,IF(G2799&gt;=0,0.4,{0}))))))</f>
        <v/>
      </c>
      <c r="P2799" s="400">
        <f>IF(AND(B2799="",C2799=""),"",ROUND(H2799*O2799,2))</f>
        <v/>
      </c>
      <c r="Q2799" s="401" t="inlineStr">
        <is>
          <t>元件</t>
        </is>
      </c>
      <c r="R2799" s="168" t="inlineStr"/>
      <c r="S2799" s="168" t="inlineStr"/>
      <c r="T2799" s="168" t="inlineStr">
        <is>
          <t>0</t>
        </is>
      </c>
      <c r="U2799" s="168" t="inlineStr">
        <is>
          <t>XB2BA42C</t>
        </is>
      </c>
      <c r="V2799" s="402" t="n"/>
      <c r="W2799" s="402" t="n"/>
      <c r="X2799" s="170" t="inlineStr">
        <is>
          <t>XA2EA41</t>
        </is>
      </c>
    </row>
    <row r="2800" s="308">
      <c r="A2800" s="64">
        <f>ROW()-ROW(A$2788)</f>
        <v/>
      </c>
      <c r="B2800" s="112" t="inlineStr">
        <is>
          <t>温湿度控制器</t>
        </is>
      </c>
      <c r="C2800" s="112" t="inlineStr">
        <is>
          <t>ATH48G-11</t>
        </is>
      </c>
      <c r="D2800" s="22" t="inlineStr">
        <is>
          <t>杭州安廷</t>
        </is>
      </c>
      <c r="E2800" s="23" t="inlineStr">
        <is>
          <t>套</t>
        </is>
      </c>
      <c r="F2800" s="23" t="n">
        <v>1</v>
      </c>
      <c r="G2800" s="349">
        <f>IF(AND(B2800="",C2800=""),"",ROUND(M2800*L2800*N2800,2))</f>
        <v/>
      </c>
      <c r="H2800" s="396">
        <f>IF(AND(B2800="",C2800=""),"",ROUND(F2800*G2800,2))</f>
        <v/>
      </c>
      <c r="I2800" s="150" t="inlineStr"/>
      <c r="J2800" s="397">
        <f>IF(AND(B2800="",C2800=""),"",ROUND(M2800*N2800,2))</f>
        <v/>
      </c>
      <c r="K2800" s="398">
        <f>IF(AND(B2800="",C2800=""),"",ROUND(J2800*F2800,2))</f>
        <v/>
      </c>
      <c r="L2800" s="141" t="n">
        <v>1</v>
      </c>
      <c r="M2800" s="399" t="n">
        <v>450</v>
      </c>
      <c r="N2800" s="154" t="n">
        <v>1</v>
      </c>
      <c r="O2800" s="155">
        <f>IF(AND(B2800="",C2800=""),"",IF(G2800&gt;=20000,0.05,IF(G2800&gt;=10000,0.1,IF(G2800&gt;=5000,0.2,IF(G2800&gt;=1000,0.3,IF(G2800&gt;=0,0.4,{0}))))))</f>
        <v/>
      </c>
      <c r="P2800" s="400">
        <f>IF(AND(B2800="",C2800=""),"",ROUND(H2800*O2800,2))</f>
        <v/>
      </c>
      <c r="Q2800" s="401" t="inlineStr">
        <is>
          <t>元件</t>
        </is>
      </c>
      <c r="R2800" s="168" t="inlineStr"/>
      <c r="S2800" s="168" t="inlineStr"/>
      <c r="T2800" s="168" t="inlineStr">
        <is>
          <t>0</t>
        </is>
      </c>
      <c r="U2800" s="168" t="inlineStr"/>
      <c r="V2800" s="402" t="n"/>
      <c r="W2800" s="402" t="n"/>
      <c r="X2800" s="170" t="inlineStr"/>
    </row>
    <row r="2801" s="308">
      <c r="A2801" s="64">
        <f>ROW()-ROW(A$2788)</f>
        <v/>
      </c>
      <c r="B2801" s="22" t="inlineStr">
        <is>
          <t>中间继电器</t>
        </is>
      </c>
      <c r="C2801" s="22" t="inlineStr">
        <is>
          <t>RXM4AB2P7+RXZE2S114M+RXZ400</t>
        </is>
      </c>
      <c r="D2801" s="22" t="inlineStr">
        <is>
          <t>甲供/施耐德电气</t>
        </is>
      </c>
      <c r="E2801" s="23" t="inlineStr">
        <is>
          <t>只</t>
        </is>
      </c>
      <c r="F2801" s="23" t="n">
        <v>4</v>
      </c>
      <c r="G2801" s="349">
        <f>IF(AND(B2801="",C2801=""),"",ROUND(M2801*L2801*N2801,2))</f>
        <v/>
      </c>
      <c r="H2801" s="349">
        <f>IF(AND(B2801="",C2801=""),"",ROUND(F2801*G2801,2))</f>
        <v/>
      </c>
      <c r="I2801" s="45" t="inlineStr"/>
      <c r="J2801" s="397">
        <f>IF(AND(B2801="",C2801=""),"",ROUND(M2801*N2801,2))</f>
        <v/>
      </c>
      <c r="K2801" s="398">
        <f>IF(AND(B2801="",C2801=""),"",ROUND(J2801*F2801,2))</f>
        <v/>
      </c>
      <c r="L2801" s="141" t="n">
        <v>1</v>
      </c>
      <c r="M2801" s="399" t="n">
        <v>1e-07</v>
      </c>
      <c r="N2801" s="154" t="n">
        <v>1</v>
      </c>
      <c r="O2801" s="155">
        <f>IF(AND(B2801="",C2801=""),"",IF(G2801&gt;=20000,0.05,IF(G2801&gt;=10000,0.1,IF(G2801&gt;=5000,0.2,IF(G2801&gt;=1000,0.3,IF(G2801&gt;=0,0.4,{0}))))))</f>
        <v/>
      </c>
      <c r="P2801" s="400">
        <f>IF(AND(B2801="",C2801=""),"",ROUND(H2801*O2801,2))</f>
        <v/>
      </c>
      <c r="Q2801" s="401" t="inlineStr">
        <is>
          <t>元件</t>
        </is>
      </c>
      <c r="R2801" s="168" t="inlineStr"/>
      <c r="S2801" s="168" t="inlineStr"/>
      <c r="T2801" s="168" t="inlineStr">
        <is>
          <t>0</t>
        </is>
      </c>
      <c r="U2801" s="168" t="inlineStr">
        <is>
          <t>RXM4AB2P7+RXZE2S114M+RXZ400</t>
        </is>
      </c>
      <c r="V2801" s="402" t="n"/>
      <c r="W2801" s="402" t="n"/>
      <c r="X2801" s="170" t="inlineStr">
        <is>
          <t>REL-IR-BL/L-230AC/4X21，含底座→RXM4AB2P7+RXZE2S114M+RXZ400→REL-IR-BL/L-230AC/4X21，含底座</t>
        </is>
      </c>
    </row>
    <row r="2802" customFormat="1" s="3">
      <c r="A2802" s="64">
        <f>ROW()-ROW(A$2788)</f>
        <v/>
      </c>
      <c r="B2802" s="22" t="inlineStr">
        <is>
          <t>带熔丝端子</t>
        </is>
      </c>
      <c r="C2802" s="22" t="inlineStr">
        <is>
          <t>UK 5-HESI</t>
        </is>
      </c>
      <c r="D2802" s="22" t="inlineStr">
        <is>
          <t>菲尼克斯</t>
        </is>
      </c>
      <c r="E2802" s="23" t="inlineStr">
        <is>
          <t>只</t>
        </is>
      </c>
      <c r="F2802" s="23" t="n">
        <v>8</v>
      </c>
      <c r="G2802" s="349">
        <f>IF(AND(B2802="",C2802=""),"",ROUND(M2802*L2802*N2802,2))</f>
        <v/>
      </c>
      <c r="H2802" s="349">
        <f>IF(AND(B2802="",C2802=""),"",ROUND(F2802*G2802,2))</f>
        <v/>
      </c>
      <c r="I2802" s="45" t="inlineStr"/>
      <c r="J2802" s="392">
        <f>IF(AND(B2802="",C2802=""),"",ROUND(M2802*N2802,2))</f>
        <v/>
      </c>
      <c r="K2802" s="393">
        <f>IF(AND(B2802="",C2802=""),"",ROUND(J2802*F2802,2))</f>
        <v/>
      </c>
      <c r="L2802" s="141" t="n">
        <v>1</v>
      </c>
      <c r="M2802" s="394" t="n">
        <v>7</v>
      </c>
      <c r="N2802" s="220" t="n">
        <v>1</v>
      </c>
      <c r="O2802" s="221">
        <f>IF(AND(B2802="",C2802=""),"",IF(G2802&gt;=20000,0.05,IF(G2802&gt;=10000,0.1,IF(G2802&gt;=5000,0.2,IF(G2802&gt;=1000,0.3,IF(G2802&gt;=0,0.4,{0}))))))</f>
        <v/>
      </c>
      <c r="P2802" s="419">
        <f>IF(AND(B2802="",C2802=""),"",ROUND(H2802*O2802,2))</f>
        <v/>
      </c>
      <c r="Q2802" s="420" t="inlineStr">
        <is>
          <t>元件</t>
        </is>
      </c>
      <c r="R2802" s="231" t="inlineStr"/>
      <c r="S2802" s="231" t="inlineStr"/>
      <c r="T2802" s="231" t="inlineStr">
        <is>
          <t>0</t>
        </is>
      </c>
      <c r="U2802" s="231" t="inlineStr">
        <is>
          <t>True</t>
        </is>
      </c>
      <c r="V2802" s="421" t="n"/>
      <c r="W2802" s="421" t="n"/>
      <c r="X2802" s="166" t="inlineStr"/>
    </row>
    <row r="2803" s="308">
      <c r="A2803" s="64">
        <f>ROW()-ROW(A$2788)</f>
        <v/>
      </c>
      <c r="B2803" s="22" t="inlineStr">
        <is>
          <t>水平母排</t>
        </is>
      </c>
      <c r="C2803" s="22" t="inlineStr">
        <is>
          <t>TMY 4*(2*100*5)+2*50*5</t>
        </is>
      </c>
      <c r="D2803" s="22" t="inlineStr">
        <is>
          <t>国产优质</t>
        </is>
      </c>
      <c r="E2803" s="23" t="inlineStr">
        <is>
          <t>米</t>
        </is>
      </c>
      <c r="F2803" s="23" t="n">
        <v>0.4</v>
      </c>
      <c r="G2803" s="349">
        <f>IF(AND(B2803="",C2803=""),"",ROUND(M2803*L2803*N2803,2))</f>
        <v/>
      </c>
      <c r="H2803" s="349">
        <f>IF(AND(B2803="",C2803=""),"",ROUND(F2803*G2803,2))</f>
        <v/>
      </c>
      <c r="I2803" s="45" t="inlineStr"/>
      <c r="J2803" s="397">
        <f>IF(AND(B2803="",C2803=""),"",ROUND(M2803*N2803,2))</f>
        <v/>
      </c>
      <c r="K2803" s="398">
        <f>IF(AND(B2803="",C2803=""),"",ROUND(J2803*F2803,2))</f>
        <v/>
      </c>
      <c r="L2803" s="200" t="n">
        <v>1</v>
      </c>
      <c r="M2803" s="399" t="n">
        <v>4329.60525</v>
      </c>
      <c r="N2803" s="154">
        <f>(6317.932*1*1+2684.8*1*1)/9002.732</f>
        <v/>
      </c>
      <c r="O2803" s="155">
        <f>IF(AND(B2803="",C2803=""),"",IF(J2803&gt;=20000,0.05,IF(J2803&gt;=10000,0.1,IF(J2803&gt;=5000,0.2,IF(J2803&gt;=1000,0.3,IF(J2803&gt;=0,0.4,{0}))))))</f>
        <v/>
      </c>
      <c r="P2803" s="400">
        <f>IF(AND(B2803="",C2803=""),"",ROUND(H2803*O2803,2))</f>
        <v/>
      </c>
      <c r="Q2803" s="401" t="inlineStr">
        <is>
          <t>母排</t>
        </is>
      </c>
      <c r="R2803" s="168" t="inlineStr"/>
      <c r="S2803" s="168" t="inlineStr"/>
      <c r="T2803" s="168" t="inlineStr">
        <is>
          <t>0</t>
        </is>
      </c>
      <c r="U2803" s="168" t="inlineStr"/>
      <c r="V2803" s="402" t="n"/>
      <c r="W2803" s="402" t="n"/>
      <c r="X2803" s="170" t="inlineStr"/>
    </row>
    <row r="2804" customFormat="1" s="5">
      <c r="A2804" s="64">
        <f>ROW()-ROW(A$2788)</f>
        <v/>
      </c>
      <c r="B2804" s="22" t="inlineStr">
        <is>
          <t>桩头排</t>
        </is>
      </c>
      <c r="C2804" s="22" t="inlineStr">
        <is>
          <t>TMY 3*80*5</t>
        </is>
      </c>
      <c r="D2804" s="22" t="inlineStr">
        <is>
          <t>国产优质</t>
        </is>
      </c>
      <c r="E2804" s="23" t="inlineStr">
        <is>
          <t>米</t>
        </is>
      </c>
      <c r="F2804" s="23" t="n">
        <v>3</v>
      </c>
      <c r="G2804" s="349">
        <f>IF(AND(B2804="",C2804=""),"",ROUND(M2804*L2804*N2804,2))</f>
        <v/>
      </c>
      <c r="H2804" s="349">
        <f>IF(AND(B2804="",C2804=""),"",ROUND(F2804*G2804,2))</f>
        <v/>
      </c>
      <c r="I2804" s="45" t="inlineStr"/>
      <c r="J2804" s="422">
        <f>IF(AND(B2804="",C2804=""),"",ROUND(M2804*N2804,2))</f>
        <v/>
      </c>
      <c r="K2804" s="423">
        <f>IF(AND(B2804="",C2804=""),"",ROUND(J2804*F2804,2))</f>
        <v/>
      </c>
      <c r="L2804" s="225" t="n">
        <v>1</v>
      </c>
      <c r="M2804" s="424" t="n">
        <v>1154.5614</v>
      </c>
      <c r="N2804" s="227" t="n">
        <v>1</v>
      </c>
      <c r="O2804" s="228">
        <f>IF(AND(B2804="",C2804=""),"",IF(G2804&gt;=20000,0.05,IF(G2804&gt;=10000,0.1,IF(G2804&gt;=5000,0.2,IF(G2804&gt;=1000,0.3,IF(G2804&gt;=0,0.4,{0}))))))</f>
        <v/>
      </c>
      <c r="P2804" s="425">
        <f>IF(AND(B2804="",C2804=""),"",ROUND(H2804*O2804,2))</f>
        <v/>
      </c>
      <c r="Q2804" s="426" t="inlineStr">
        <is>
          <t>母排</t>
        </is>
      </c>
      <c r="R2804" s="234" t="inlineStr"/>
      <c r="S2804" s="234" t="inlineStr"/>
      <c r="T2804" s="235" t="inlineStr">
        <is>
          <t>0</t>
        </is>
      </c>
      <c r="U2804" s="235" t="inlineStr"/>
      <c r="V2804" s="427" t="n"/>
      <c r="W2804" s="427" t="n"/>
      <c r="X2804" s="237" t="inlineStr">
        <is>
          <t>TMY 2*30*5→TMY 30*8</t>
        </is>
      </c>
    </row>
    <row r="2805" customFormat="1" s="5">
      <c r="A2805" s="64">
        <f>ROW()-ROW(A$2788)</f>
        <v/>
      </c>
      <c r="B2805" s="22" t="inlineStr">
        <is>
          <t>垂直排</t>
        </is>
      </c>
      <c r="C2805" s="22" t="inlineStr">
        <is>
          <t>TMY 3*80*5</t>
        </is>
      </c>
      <c r="D2805" s="22" t="inlineStr">
        <is>
          <t>国产优质</t>
        </is>
      </c>
      <c r="E2805" s="23" t="inlineStr">
        <is>
          <t>米</t>
        </is>
      </c>
      <c r="F2805" s="23" t="n">
        <v>2</v>
      </c>
      <c r="G2805" s="349">
        <f>IF(AND(B2805="",C2805=""),"",ROUND(M2805*L2805*N2805,2))</f>
        <v/>
      </c>
      <c r="H2805" s="349">
        <f>IF(AND(B2805="",C2805=""),"",ROUND(F2805*G2805,2))</f>
        <v/>
      </c>
      <c r="I2805" s="45" t="inlineStr"/>
      <c r="J2805" s="422">
        <f>IF(AND(B2805="",C2805=""),"",ROUND(M2805*N2805,2))</f>
        <v/>
      </c>
      <c r="K2805" s="423">
        <f>IF(AND(B2805="",C2805=""),"",ROUND(J2805*F2805,2))</f>
        <v/>
      </c>
      <c r="L2805" s="225" t="n">
        <v>1</v>
      </c>
      <c r="M2805" s="424" t="n">
        <v>1154.5614</v>
      </c>
      <c r="N2805" s="227" t="n">
        <v>1</v>
      </c>
      <c r="O2805" s="228">
        <f>IF(AND(B2805="",C2805=""),"",IF(G2805&gt;=20000,0.05,IF(G2805&gt;=10000,0.1,IF(G2805&gt;=5000,0.2,IF(G2805&gt;=1000,0.3,IF(G2805&gt;=0,0.4,{0}))))))</f>
        <v/>
      </c>
      <c r="P2805" s="425">
        <f>IF(AND(B2805="",C2805=""),"",ROUND(H2805*O2805,2))</f>
        <v/>
      </c>
      <c r="Q2805" s="426" t="inlineStr">
        <is>
          <t>母排</t>
        </is>
      </c>
      <c r="R2805" s="234" t="inlineStr"/>
      <c r="S2805" s="234" t="inlineStr"/>
      <c r="T2805" s="235" t="inlineStr">
        <is>
          <t>0</t>
        </is>
      </c>
      <c r="U2805" s="235" t="inlineStr"/>
      <c r="V2805" s="427" t="n"/>
      <c r="W2805" s="427" t="n"/>
      <c r="X2805" s="237" t="inlineStr">
        <is>
          <t>TMY 2*30*5→TMY 30*8</t>
        </is>
      </c>
    </row>
    <row r="2806" customFormat="1" s="5">
      <c r="A2806" s="64">
        <f>ROW()-ROW(A$2788)</f>
        <v/>
      </c>
      <c r="B2806" s="22" t="inlineStr">
        <is>
          <t>N排</t>
        </is>
      </c>
      <c r="C2806" s="22" t="inlineStr">
        <is>
          <t>TMY 80*10</t>
        </is>
      </c>
      <c r="D2806" s="22" t="inlineStr">
        <is>
          <t>国产优质</t>
        </is>
      </c>
      <c r="E2806" s="23" t="inlineStr">
        <is>
          <t>米</t>
        </is>
      </c>
      <c r="F2806" s="23" t="n">
        <v>3</v>
      </c>
      <c r="G2806" s="349">
        <f>IF(AND(B2806="",C2806=""),"",ROUND(M2806*L2806*N2806,2))</f>
        <v/>
      </c>
      <c r="H2806" s="349">
        <f>IF(AND(B2806="",C2806=""),"",ROUND(F2806*G2806,2))</f>
        <v/>
      </c>
      <c r="I2806" s="45" t="inlineStr"/>
      <c r="J2806" s="422">
        <f>IF(AND(B2806="",C2806=""),"",ROUND(M2806*N2806,2))</f>
        <v/>
      </c>
      <c r="K2806" s="423">
        <f>IF(AND(B2806="",C2806=""),"",ROUND(J2806*F2806,2))</f>
        <v/>
      </c>
      <c r="L2806" s="225" t="n">
        <v>1</v>
      </c>
      <c r="M2806" s="424" t="n">
        <v>769.7076</v>
      </c>
      <c r="N2806" s="227" t="n">
        <v>1</v>
      </c>
      <c r="O2806" s="228">
        <f>IF(AND(B2806="",C2806=""),"",IF(G2806&gt;=20000,0.05,IF(G2806&gt;=10000,0.1,IF(G2806&gt;=5000,0.2,IF(G2806&gt;=1000,0.3,IF(G2806&gt;=0,0.4,{0}))))))</f>
        <v/>
      </c>
      <c r="P2806" s="425">
        <f>IF(AND(B2806="",C2806=""),"",ROUND(H2806*O2806,2))</f>
        <v/>
      </c>
      <c r="Q2806" s="426" t="inlineStr">
        <is>
          <t>母排</t>
        </is>
      </c>
      <c r="R2806" s="234" t="inlineStr"/>
      <c r="S2806" s="234" t="inlineStr"/>
      <c r="T2806" s="235" t="inlineStr">
        <is>
          <t>0</t>
        </is>
      </c>
      <c r="U2806" s="235" t="inlineStr"/>
      <c r="V2806" s="427" t="n"/>
      <c r="W2806" s="427" t="n"/>
      <c r="X2806" s="237" t="inlineStr">
        <is>
          <t>TMY 2*30*5→TMY 30*8</t>
        </is>
      </c>
    </row>
    <row r="2807" customFormat="1" s="5">
      <c r="A2807" s="64">
        <f>ROW()-ROW(A$2788)</f>
        <v/>
      </c>
      <c r="B2807" s="22" t="inlineStr">
        <is>
          <t>PE排</t>
        </is>
      </c>
      <c r="C2807" s="22" t="inlineStr">
        <is>
          <t>TMY 2*50*5</t>
        </is>
      </c>
      <c r="D2807" s="22" t="inlineStr">
        <is>
          <t>国产优质</t>
        </is>
      </c>
      <c r="E2807" s="23" t="inlineStr">
        <is>
          <t>米</t>
        </is>
      </c>
      <c r="F2807" s="23" t="n">
        <v>2</v>
      </c>
      <c r="G2807" s="349">
        <f>IF(AND(B2807="",C2807=""),"",ROUND(M2807*L2807*N2807,2))</f>
        <v/>
      </c>
      <c r="H2807" s="349">
        <f>IF(AND(B2807="",C2807=""),"",ROUND(F2807*G2807,2))</f>
        <v/>
      </c>
      <c r="I2807" s="45" t="inlineStr"/>
      <c r="J2807" s="422">
        <f>IF(AND(B2807="",C2807=""),"",ROUND(M2807*N2807,2))</f>
        <v/>
      </c>
      <c r="K2807" s="423">
        <f>IF(AND(B2807="",C2807=""),"",ROUND(J2807*F2807,2))</f>
        <v/>
      </c>
      <c r="L2807" s="225" t="n">
        <v>1</v>
      </c>
      <c r="M2807" s="424" t="n">
        <v>481.06725</v>
      </c>
      <c r="N2807" s="227" t="n">
        <v>1</v>
      </c>
      <c r="O2807" s="228">
        <f>IF(AND(B2807="",C2807=""),"",IF(G2807&gt;=20000,0.05,IF(G2807&gt;=10000,0.1,IF(G2807&gt;=5000,0.2,IF(G2807&gt;=1000,0.3,IF(G2807&gt;=0,0.4,{0}))))))</f>
        <v/>
      </c>
      <c r="P2807" s="425">
        <f>IF(AND(B2807="",C2807=""),"",ROUND(H2807*O2807,2))</f>
        <v/>
      </c>
      <c r="Q2807" s="426" t="inlineStr">
        <is>
          <t>母排</t>
        </is>
      </c>
      <c r="R2807" s="234" t="inlineStr"/>
      <c r="S2807" s="234" t="inlineStr"/>
      <c r="T2807" s="235" t="inlineStr">
        <is>
          <t>0</t>
        </is>
      </c>
      <c r="U2807" s="235" t="inlineStr"/>
      <c r="V2807" s="427" t="n"/>
      <c r="W2807" s="427" t="n"/>
      <c r="X2807" s="237" t="inlineStr">
        <is>
          <t>TMY 2*30*5→TMY 30*8</t>
        </is>
      </c>
    </row>
    <row r="2808" s="308">
      <c r="A2808" s="64">
        <f>ROW()-ROW(A$2788)</f>
        <v/>
      </c>
      <c r="B2808" s="112" t="inlineStr">
        <is>
          <t>辅料</t>
        </is>
      </c>
      <c r="C2808" s="112" t="inlineStr"/>
      <c r="D2808" s="112" t="inlineStr"/>
      <c r="E2808" s="114" t="inlineStr">
        <is>
          <t>套</t>
        </is>
      </c>
      <c r="F2808" s="114" t="n">
        <v>1</v>
      </c>
      <c r="G2808" s="396">
        <f>IF(AND(B2808="",C2808=""),"",ROUND(M2808*L2808*N2808,2))</f>
        <v/>
      </c>
      <c r="H2808" s="396">
        <f>IF(AND(B2808="",C2808=""),"",ROUND(F2808*G2808,2))</f>
        <v/>
      </c>
      <c r="I2808" s="219" t="inlineStr"/>
      <c r="J2808" s="397">
        <f>IF(AND(B2808="",C2808=""),"",ROUND(M2808*N2808,2))</f>
        <v/>
      </c>
      <c r="K2808" s="398">
        <f>IF(AND(B2808="",C2808=""),"",ROUND(J2808*F2808,2))</f>
        <v/>
      </c>
      <c r="L2808" s="200" t="n">
        <v>1</v>
      </c>
      <c r="M2808" s="399" t="n">
        <v>800</v>
      </c>
      <c r="N2808" s="154" t="n">
        <v>1</v>
      </c>
      <c r="O2808" s="155">
        <f>IF(AND(B2808="",C2808=""),"",IF(G2808&gt;=20000,0.05,IF(G2808&gt;=10000,0.1,IF(G2808&gt;=5000,0.2,IF(G2808&gt;=1000,0.3,IF(G2808&gt;=0,0.4,{0}))))))</f>
        <v/>
      </c>
      <c r="P2808" s="400">
        <f>IF(AND(B2808="",C2808=""),"",ROUND(H2808*O2808,2))</f>
        <v/>
      </c>
      <c r="Q2808" s="401" t="inlineStr">
        <is>
          <t>辅料</t>
        </is>
      </c>
      <c r="R2808" s="168" t="inlineStr"/>
      <c r="S2808" s="168" t="inlineStr"/>
      <c r="T2808" s="168" t="inlineStr">
        <is>
          <t>0</t>
        </is>
      </c>
      <c r="U2808" s="168" t="inlineStr"/>
      <c r="V2808" s="402" t="n"/>
      <c r="W2808" s="402" t="n"/>
      <c r="X2808" s="170" t="inlineStr"/>
    </row>
    <row r="2809" s="308">
      <c r="A2809" s="64">
        <f>ROW()-ROW(A$2788)</f>
        <v/>
      </c>
      <c r="B2809" s="112" t="inlineStr">
        <is>
          <t>柜体Blokset</t>
        </is>
      </c>
      <c r="C2809" s="22" t="inlineStr">
        <is>
          <t>400W*1200D*2200H</t>
        </is>
      </c>
      <c r="D2809" s="112" t="inlineStr">
        <is>
          <t>清科</t>
        </is>
      </c>
      <c r="E2809" s="114" t="inlineStr">
        <is>
          <t>台</t>
        </is>
      </c>
      <c r="F2809" s="114" t="n">
        <v>1</v>
      </c>
      <c r="G2809" s="396">
        <f>IF(AND(B2809="",C2809=""),"",ROUND(M2809*L2809*N2809,2))</f>
        <v/>
      </c>
      <c r="H2809" s="396">
        <f>IF(AND(B2809="",C2809=""),"",ROUND(F2809*G2809,2))</f>
        <v/>
      </c>
      <c r="I2809" s="219" t="inlineStr"/>
      <c r="J2809" s="397">
        <f>IF(AND(B2809="",C2809=""),"",ROUND(M2809*N2809,2))</f>
        <v/>
      </c>
      <c r="K2809" s="398">
        <f>IF(AND(B2809="",C2809=""),"",ROUND(J2809*F2809,2))</f>
        <v/>
      </c>
      <c r="L2809" s="200" t="n">
        <v>1</v>
      </c>
      <c r="M2809" s="399" t="n">
        <v>4916</v>
      </c>
      <c r="N2809" s="154" t="n">
        <v>1</v>
      </c>
      <c r="O2809" s="155">
        <f>IF(AND(B2809="",C2809=""),"",IF(G2809&gt;=20000,0.05,IF(G2809&gt;=10000,0.1,IF(G2809&gt;=5000,0.2,IF(G2809&gt;=1000,0.3,IF(G2809&gt;=0,0.4,{0}))))))</f>
        <v/>
      </c>
      <c r="P2809" s="400">
        <f>IF(AND(B2809="",C2809=""),"",ROUND(H2809*O2809,2))</f>
        <v/>
      </c>
      <c r="Q2809" s="401" t="inlineStr">
        <is>
          <t>箱体</t>
        </is>
      </c>
      <c r="R2809" s="168" t="inlineStr"/>
      <c r="S2809" s="168" t="inlineStr"/>
      <c r="T2809" s="168" t="inlineStr">
        <is>
          <t>0</t>
        </is>
      </c>
      <c r="U2809" s="168" t="inlineStr"/>
      <c r="V2809" s="402" t="n"/>
      <c r="W2809" s="402" t="n"/>
      <c r="X2809" s="170" t="inlineStr">
        <is>
          <t>BlokSeT</t>
        </is>
      </c>
    </row>
    <row r="2810" s="308">
      <c r="A2810" s="64">
        <f>ROW()-ROW(A$2788)</f>
        <v/>
      </c>
      <c r="B2810" s="22" t="inlineStr"/>
      <c r="C2810" s="22" t="inlineStr"/>
      <c r="D2810" s="22" t="inlineStr"/>
      <c r="E2810" s="23" t="n"/>
      <c r="F2810" s="23">
        <f>IF(AND(B2810="",C2810=""),"",1)</f>
        <v/>
      </c>
      <c r="G2810" s="349">
        <f>IF(AND(B2810="",C2810=""),"",ROUND(M2810*L2810*N2810,2))</f>
        <v/>
      </c>
      <c r="H2810" s="349">
        <f>IF(AND(B2810="",C2810=""),"",ROUND(F2810*G2810,2))</f>
        <v/>
      </c>
      <c r="I2810" s="45" t="inlineStr"/>
      <c r="J2810" s="397">
        <f>IF(AND(B2810="",C2810=""),"",ROUND(M2810*N2810,2))</f>
        <v/>
      </c>
      <c r="K2810" s="398">
        <f>IF(AND(B2810="",C2810=""),"",ROUND(J2810*F2810,2))</f>
        <v/>
      </c>
      <c r="L2810" s="200">
        <f>IF(AND(B2810="",C2810=""),"",1)</f>
        <v/>
      </c>
      <c r="M2810" s="399" t="n"/>
      <c r="N2810" s="154">
        <f>IF(AND(B2810="",C2810=""),"",1)</f>
        <v/>
      </c>
      <c r="O2810" s="155">
        <f>IF(AND(B2810="",C2810=""),"",IF(J2810&gt;=20000,0.05,IF(J2810&gt;=10000,0.1,IF(J2810&gt;=5000,0.2,IF(J2810&gt;=1000,0.3,IF(J2810&gt;=0,0.4,{0}))))))</f>
        <v/>
      </c>
      <c r="P2810" s="400">
        <f>IF(AND(B2810="",C2810=""),"",ROUND(H2810*O2810,2))</f>
        <v/>
      </c>
      <c r="Q2810" s="401">
        <f>IF(AND(B2810="",C2810=""),"","元件")</f>
        <v/>
      </c>
      <c r="R2810" s="168" t="inlineStr"/>
      <c r="S2810" s="168" t="inlineStr"/>
      <c r="T2810" s="168" t="inlineStr"/>
      <c r="U2810" s="168" t="inlineStr"/>
      <c r="V2810" s="402" t="n"/>
      <c r="W2810" s="402" t="n"/>
      <c r="X2810" s="170" t="inlineStr"/>
    </row>
    <row r="2811" s="308">
      <c r="A2811" s="64">
        <f>ROW()-ROW(A$2788)</f>
        <v/>
      </c>
      <c r="B2811" s="171" t="inlineStr">
        <is>
          <t>小计</t>
        </is>
      </c>
      <c r="C2811" s="172" t="n"/>
      <c r="D2811" s="204" t="n"/>
      <c r="E2811" s="114" t="n"/>
      <c r="F2811" s="114" t="n"/>
      <c r="G2811" s="396" t="n"/>
      <c r="H2811" s="396">
        <f>ROUND(SUM(H2788:INDEX(H:H,ROW()-1)),2)</f>
        <v/>
      </c>
      <c r="I2811" s="45" t="inlineStr"/>
      <c r="J2811" s="397" t="n"/>
      <c r="K2811" s="398">
        <f>ROUND(SUM(K2788:INDEX(K:K,ROW()-1)),2)</f>
        <v/>
      </c>
      <c r="L2811" s="200" t="n"/>
      <c r="M2811" s="399" t="n"/>
      <c r="N2811" s="154" t="n"/>
      <c r="O2811" s="155" t="n"/>
      <c r="P2811" s="400" t="n"/>
      <c r="Q2811" s="401" t="n"/>
      <c r="R2811" s="168" t="inlineStr"/>
      <c r="S2811" s="168" t="inlineStr"/>
      <c r="T2811" s="168" t="inlineStr"/>
      <c r="U2811" s="168" t="inlineStr"/>
      <c r="V2811" s="402">
        <f>ROUND(SUMPRODUCT(F2788:INDEX(F:F,ROW()-1),V2788:INDEX(V:V,ROW()-1)),2)</f>
        <v/>
      </c>
      <c r="W2811" s="402">
        <f>ROUND(SUMPRODUCT(F2788:INDEX(F:F,ROW()-1),W2788:INDEX(W:W,ROW()-1)),2)</f>
        <v/>
      </c>
      <c r="X2811" s="170" t="inlineStr"/>
    </row>
    <row r="2812" s="308">
      <c r="A2812" s="64">
        <f>ROW()-ROW(A$2788)</f>
        <v/>
      </c>
      <c r="B2812" s="171" t="inlineStr">
        <is>
          <t>综合费(人工、管理、税金、利润等)</t>
        </is>
      </c>
      <c r="C2812" s="172" t="n"/>
      <c r="D2812" s="204" t="n"/>
      <c r="E2812" s="114" t="n"/>
      <c r="F2812" s="114" t="n"/>
      <c r="G2812" s="396" t="n"/>
      <c r="H2812" s="396">
        <f>2500</f>
        <v/>
      </c>
      <c r="I2812" s="45" t="inlineStr"/>
      <c r="J2812" s="397" t="n"/>
      <c r="K2812" s="398" t="n"/>
      <c r="L2812" s="200" t="n"/>
      <c r="M2812" s="399" t="n"/>
      <c r="N2812" s="154" t="n"/>
      <c r="O2812" s="155" t="n"/>
      <c r="P2812" s="400" t="n"/>
      <c r="Q2812" s="401" t="inlineStr">
        <is>
          <t>费用</t>
        </is>
      </c>
      <c r="R2812" s="168" t="inlineStr"/>
      <c r="S2812" s="168" t="inlineStr"/>
      <c r="T2812" s="168" t="inlineStr"/>
      <c r="U2812" s="168" t="inlineStr"/>
      <c r="V2812" s="402" t="n"/>
      <c r="W2812" s="402" t="n"/>
      <c r="X2812" s="170" t="inlineStr"/>
    </row>
    <row r="2813" s="308">
      <c r="A2813" s="64">
        <f>ROW()-ROW(A$2788)</f>
        <v/>
      </c>
      <c r="B2813" s="204" t="inlineStr">
        <is>
          <t>单台合计</t>
        </is>
      </c>
      <c r="C2813" s="172" t="n"/>
      <c r="D2813" s="204" t="n"/>
      <c r="E2813" s="114" t="n"/>
      <c r="F2813" s="114" t="n"/>
      <c r="G2813" s="396" t="n"/>
      <c r="H2813" s="396">
        <f>ROUND(SUM(H2811:H2812),2)</f>
        <v/>
      </c>
      <c r="I2813" s="181" t="n"/>
      <c r="J2813" s="397" t="n"/>
      <c r="K2813" s="398">
        <f>ROUND(SUM(K2811:K2812),2)</f>
        <v/>
      </c>
      <c r="L2813" s="209" t="n"/>
      <c r="M2813" s="399" t="n"/>
      <c r="N2813" s="210" t="n"/>
      <c r="O2813" s="211" t="n"/>
      <c r="P2813" s="400" t="n"/>
      <c r="Q2813" s="401" t="n"/>
      <c r="R2813" s="168" t="inlineStr"/>
      <c r="S2813" s="168" t="inlineStr"/>
      <c r="T2813" s="168" t="inlineStr"/>
      <c r="U2813" s="168" t="inlineStr"/>
      <c r="V2813" s="402" t="n"/>
      <c r="W2813" s="402" t="n"/>
      <c r="X2813" s="170" t="inlineStr"/>
    </row>
    <row r="2814" s="308">
      <c r="A2814" s="173" t="inlineStr">
        <is>
          <t>总计</t>
        </is>
      </c>
      <c r="B2814" s="205" t="n"/>
      <c r="C2814" s="175" t="n"/>
      <c r="D2814" s="206" t="n"/>
      <c r="E2814" s="206" t="inlineStr">
        <is>
          <t>台</t>
        </is>
      </c>
      <c r="F2814" s="206" t="n">
        <v>1</v>
      </c>
      <c r="G2814" s="414">
        <f>ROUND(H2813,2)</f>
        <v/>
      </c>
      <c r="H2814" s="414">
        <f>ROUND(F2814*G2814,2)</f>
        <v/>
      </c>
      <c r="I2814" s="185" t="n"/>
      <c r="J2814" s="415" t="n"/>
      <c r="K2814" s="416">
        <f>ROUND(K2813*F2814,2)</f>
        <v/>
      </c>
      <c r="L2814" s="214" t="n"/>
      <c r="M2814" s="417" t="n"/>
      <c r="N2814" s="216" t="n"/>
      <c r="O2814" s="217" t="n"/>
      <c r="P2814" s="418" t="n"/>
      <c r="Q2814" s="401" t="n"/>
      <c r="R2814" s="168" t="inlineStr"/>
      <c r="S2814" s="168" t="inlineStr"/>
      <c r="T2814" s="168" t="inlineStr"/>
      <c r="U2814" s="168" t="inlineStr"/>
      <c r="V2814" s="402" t="n"/>
      <c r="W2814" s="402" t="n"/>
      <c r="X2814" s="170" t="inlineStr"/>
    </row>
    <row r="2815" customFormat="1" s="4">
      <c r="A2815" s="6" t="n"/>
      <c r="B2815" s="195" t="inlineStr"/>
      <c r="C2815" s="195" t="inlineStr"/>
      <c r="D2815" s="195" t="inlineStr"/>
      <c r="Q2815" s="159" t="n"/>
      <c r="R2815" s="159" t="n"/>
      <c r="S2815" s="159" t="n"/>
      <c r="T2815" s="159" t="n"/>
      <c r="U2815" s="159" t="n"/>
      <c r="X2815" s="195" t="inlineStr"/>
    </row>
    <row r="2816" customFormat="1" s="4">
      <c r="A2816" s="6" t="n"/>
      <c r="B2816" s="195" t="inlineStr"/>
      <c r="C2816" s="195" t="inlineStr"/>
      <c r="D2816" s="195" t="inlineStr"/>
      <c r="Q2816" s="159" t="n"/>
      <c r="R2816" s="159" t="n"/>
      <c r="S2816" s="159" t="n"/>
      <c r="T2816" s="159" t="n"/>
      <c r="U2816" s="159" t="n"/>
      <c r="X2816" s="195" t="inlineStr"/>
    </row>
    <row r="2817" s="308">
      <c r="A2817" s="208">
        <f>CONCATENATE("报价人：",项目信息!$B$8)</f>
        <v/>
      </c>
      <c r="B2817" s="208" t="n"/>
      <c r="C2817" s="4" t="n"/>
      <c r="D2817" s="4" t="n"/>
      <c r="E2817" s="4" t="n"/>
      <c r="F2817" s="4" t="n"/>
      <c r="G2817" s="4" t="n"/>
      <c r="H2817" s="178">
        <f>项目信息!$B$9</f>
        <v/>
      </c>
      <c r="Q2817" s="159" t="n"/>
      <c r="R2817" s="159" t="n"/>
      <c r="S2817" s="159" t="n"/>
      <c r="T2817" s="159" t="n"/>
      <c r="U2817" s="159" t="n"/>
      <c r="X2817" s="203" t="inlineStr"/>
    </row>
    <row r="2818" s="308">
      <c r="A2818" s="8">
        <f>T(项目信息!$B$22)</f>
        <v/>
      </c>
      <c r="Q2818" s="159" t="n"/>
      <c r="R2818" s="159" t="n"/>
      <c r="S2818" s="159" t="n"/>
      <c r="T2818" s="159" t="n"/>
      <c r="U2818" s="159" t="n"/>
    </row>
    <row r="2819" s="308">
      <c r="A2819" s="9">
        <f>T(项目信息!$B$23)</f>
        <v/>
      </c>
      <c r="Q2819" s="159" t="n"/>
      <c r="R2819" s="159" t="n"/>
      <c r="S2819" s="159" t="n"/>
      <c r="T2819" s="159" t="n"/>
      <c r="U2819" s="159" t="n"/>
    </row>
    <row r="2820" s="308">
      <c r="A2820" s="97" t="inlineStr">
        <is>
          <t>成套产品报价明细表</t>
        </is>
      </c>
      <c r="B2820" s="378" t="n"/>
      <c r="C2820" s="378" t="n"/>
      <c r="D2820" s="378" t="n"/>
      <c r="E2820" s="378" t="n"/>
      <c r="F2820" s="378" t="n"/>
      <c r="G2820" s="378" t="n"/>
      <c r="H2820" s="378" t="n"/>
      <c r="I2820" s="378" t="n"/>
      <c r="Q2820" s="159" t="n"/>
      <c r="R2820" s="159" t="n"/>
      <c r="S2820" s="159" t="n"/>
      <c r="T2820" s="159" t="n"/>
      <c r="U2820" s="159" t="n"/>
    </row>
    <row r="2821" customFormat="1" s="4">
      <c r="A2821" s="98" t="inlineStr">
        <is>
          <t>柜号:</t>
        </is>
      </c>
      <c r="B2821" s="99" t="inlineStr">
        <is>
          <t>T10-BU32</t>
        </is>
      </c>
      <c r="C2821" s="100" t="inlineStr">
        <is>
          <t>型号:</t>
        </is>
      </c>
      <c r="D2821" s="99" t="inlineStr">
        <is>
          <t>BlokSeT</t>
        </is>
      </c>
      <c r="E2821" s="379" t="n"/>
      <c r="F2821" s="101" t="inlineStr">
        <is>
          <t>名称:</t>
        </is>
      </c>
      <c r="G2821" s="99" t="inlineStr">
        <is>
          <t>馈线柜</t>
        </is>
      </c>
      <c r="H2821" s="379" t="n"/>
      <c r="I2821" s="408" t="inlineStr"/>
      <c r="J2821" s="194" t="inlineStr">
        <is>
          <t>箱柜尺寸:</t>
        </is>
      </c>
      <c r="K2821" s="195" t="inlineStr">
        <is>
          <t>600W*1200D*2200H</t>
        </is>
      </c>
      <c r="L2821" s="194" t="inlineStr">
        <is>
          <t>类别:</t>
        </is>
      </c>
      <c r="M2821" s="195" t="inlineStr">
        <is>
          <t>低压固定柜</t>
        </is>
      </c>
      <c r="N2821" s="409" t="inlineStr"/>
      <c r="Q2821" s="159" t="n"/>
      <c r="R2821" s="159" t="n"/>
      <c r="S2821" s="159" t="n"/>
      <c r="T2821" s="159" t="n"/>
      <c r="U2821" s="159" t="n"/>
    </row>
    <row r="2822" ht="20.1" customHeight="1" s="308">
      <c r="A2822" s="102" t="inlineStr">
        <is>
          <t>序号</t>
        </is>
      </c>
      <c r="B2822" s="103" t="inlineStr">
        <is>
          <t>元件名称</t>
        </is>
      </c>
      <c r="C2822" s="103" t="inlineStr">
        <is>
          <t>型号规格</t>
        </is>
      </c>
      <c r="D2822" s="104" t="inlineStr">
        <is>
          <t>生产厂家</t>
        </is>
      </c>
      <c r="E2822" s="105" t="inlineStr">
        <is>
          <t>单位</t>
        </is>
      </c>
      <c r="F2822" s="105" t="inlineStr">
        <is>
          <t>数量</t>
        </is>
      </c>
      <c r="G2822" s="382" t="inlineStr">
        <is>
          <t>单   价</t>
        </is>
      </c>
      <c r="H2822" s="383" t="inlineStr">
        <is>
          <t>总   价</t>
        </is>
      </c>
      <c r="I2822" s="134" t="inlineStr">
        <is>
          <t>备注</t>
        </is>
      </c>
      <c r="J2822" s="384" t="inlineStr">
        <is>
          <t>成本单价</t>
        </is>
      </c>
      <c r="K2822" s="384" t="inlineStr">
        <is>
          <t>成本总价</t>
        </is>
      </c>
      <c r="L2822" s="136" t="inlineStr">
        <is>
          <t>报出
系数</t>
        </is>
      </c>
      <c r="M2822" s="384" t="inlineStr">
        <is>
          <t>表价</t>
        </is>
      </c>
      <c r="N2822" s="136" t="inlineStr">
        <is>
          <t>折扣
系数</t>
        </is>
      </c>
      <c r="O2822" s="137" t="inlineStr">
        <is>
          <t>取费
系数</t>
        </is>
      </c>
      <c r="P2822" s="384" t="inlineStr">
        <is>
          <t>成套费</t>
        </is>
      </c>
      <c r="Q2822" s="161" t="inlineStr">
        <is>
          <t>类别</t>
        </is>
      </c>
      <c r="R2822" s="161" t="inlineStr">
        <is>
          <t>物料编码</t>
        </is>
      </c>
      <c r="S2822" s="161" t="inlineStr">
        <is>
          <t>产地</t>
        </is>
      </c>
      <c r="T2822" s="161" t="inlineStr">
        <is>
          <t>加工费</t>
        </is>
      </c>
      <c r="U2822" s="161" t="inlineStr">
        <is>
          <t>订货号</t>
        </is>
      </c>
      <c r="V2822" s="161" t="inlineStr">
        <is>
          <t>人工</t>
        </is>
      </c>
      <c r="W2822" s="161" t="inlineStr">
        <is>
          <t>辅料</t>
        </is>
      </c>
      <c r="X2822" s="203" t="inlineStr"/>
    </row>
    <row r="2823" s="308">
      <c r="A2823" s="64">
        <f>ROW()-ROW(A$2822)</f>
        <v/>
      </c>
      <c r="B2823" s="22" t="inlineStr">
        <is>
          <t>塑壳断路器</t>
        </is>
      </c>
      <c r="C2823" s="22" t="inlineStr">
        <is>
          <t>NSX100H TM100D 3P3D P</t>
        </is>
      </c>
      <c r="D2823" s="22" t="inlineStr">
        <is>
          <t>甲供/施耐德电气</t>
        </is>
      </c>
      <c r="E2823" s="23" t="inlineStr">
        <is>
          <t>只</t>
        </is>
      </c>
      <c r="F2823" s="23" t="n">
        <v>3</v>
      </c>
      <c r="G2823" s="349">
        <f>IF(AND(B2823="",C2823=""),"",ROUND(M2823*L2823*N2823,2))</f>
        <v/>
      </c>
      <c r="H2823" s="349">
        <f>IF(AND(B2823="",C2823=""),"",ROUND(F2823*G2823,2))</f>
        <v/>
      </c>
      <c r="I2823" s="45" t="inlineStr"/>
      <c r="J2823" s="397">
        <f>IF(AND(B2823="",C2823=""),"",ROUND(M2823*N2823,2))</f>
        <v/>
      </c>
      <c r="K2823" s="398">
        <f>IF(AND(B2823="",C2823=""),"",ROUND(J2823*F2823,2))</f>
        <v/>
      </c>
      <c r="L2823" s="200" t="n">
        <v>1</v>
      </c>
      <c r="M2823" s="399" t="n">
        <v>1e-07</v>
      </c>
      <c r="N2823" s="154" t="n">
        <v>1</v>
      </c>
      <c r="O2823" s="155">
        <f>IF(AND(B2823="",C2823=""),"",IF(G2823&gt;=20000,0.05,IF(G2823&gt;=10000,0.1,IF(G2823&gt;=5000,0.2,IF(G2823&gt;=1000,0.3,IF(G2823&gt;=0,0.4,{0}))))))</f>
        <v/>
      </c>
      <c r="P2823" s="400">
        <f>IF(AND(B2823="",C2823=""),"",ROUND(H2823*O2823,2))</f>
        <v/>
      </c>
      <c r="Q2823" s="401" t="inlineStr">
        <is>
          <t>元件</t>
        </is>
      </c>
      <c r="R2823" s="168" t="inlineStr"/>
      <c r="S2823" s="168" t="inlineStr"/>
      <c r="T2823" s="168" t="inlineStr">
        <is>
          <t>0</t>
        </is>
      </c>
      <c r="U2823" s="168" t="inlineStr">
        <is>
          <t>C16F32D160</t>
        </is>
      </c>
      <c r="V2823" s="402" t="n"/>
      <c r="W2823" s="402" t="n"/>
      <c r="X2823" s="170" t="inlineStr">
        <is>
          <t>NSX630N Mic2.3 630A 3P3D F→NSX630F MIC2.3 630 3P F→NSX630F MIC 2.3 630 3P F</t>
        </is>
      </c>
    </row>
    <row r="2824" s="308">
      <c r="A2824" s="64">
        <f>ROW()-ROW(A$2822)</f>
        <v/>
      </c>
      <c r="B2824" s="22" t="inlineStr">
        <is>
          <t>塑壳断路器</t>
        </is>
      </c>
      <c r="C2824" s="22" t="inlineStr">
        <is>
          <t>NSX160H TM160D 3P3D P</t>
        </is>
      </c>
      <c r="D2824" s="22" t="inlineStr">
        <is>
          <t>甲供/施耐德电气</t>
        </is>
      </c>
      <c r="E2824" s="23" t="inlineStr">
        <is>
          <t>只</t>
        </is>
      </c>
      <c r="F2824" s="23" t="n">
        <v>1</v>
      </c>
      <c r="G2824" s="349">
        <f>IF(AND(B2824="",C2824=""),"",ROUND(M2824*L2824*N2824,2))</f>
        <v/>
      </c>
      <c r="H2824" s="349">
        <f>IF(AND(B2824="",C2824=""),"",ROUND(F2824*G2824,2))</f>
        <v/>
      </c>
      <c r="I2824" s="45" t="inlineStr"/>
      <c r="J2824" s="397">
        <f>IF(AND(B2824="",C2824=""),"",ROUND(M2824*N2824,2))</f>
        <v/>
      </c>
      <c r="K2824" s="398">
        <f>IF(AND(B2824="",C2824=""),"",ROUND(J2824*F2824,2))</f>
        <v/>
      </c>
      <c r="L2824" s="200" t="n">
        <v>1</v>
      </c>
      <c r="M2824" s="399" t="n">
        <v>1e-07</v>
      </c>
      <c r="N2824" s="154" t="n">
        <v>1</v>
      </c>
      <c r="O2824" s="155">
        <f>IF(AND(B2824="",C2824=""),"",IF(G2824&gt;=20000,0.05,IF(G2824&gt;=10000,0.1,IF(G2824&gt;=5000,0.2,IF(G2824&gt;=1000,0.3,IF(G2824&gt;=0,0.4,{0}))))))</f>
        <v/>
      </c>
      <c r="P2824" s="400">
        <f>IF(AND(B2824="",C2824=""),"",ROUND(H2824*O2824,2))</f>
        <v/>
      </c>
      <c r="Q2824" s="401" t="inlineStr">
        <is>
          <t>元件</t>
        </is>
      </c>
      <c r="R2824" s="168" t="inlineStr"/>
      <c r="S2824" s="168" t="inlineStr"/>
      <c r="T2824" s="168" t="inlineStr">
        <is>
          <t>0</t>
        </is>
      </c>
      <c r="U2824" s="168" t="inlineStr">
        <is>
          <t>C16F32D160</t>
        </is>
      </c>
      <c r="V2824" s="402" t="n"/>
      <c r="W2824" s="402" t="n"/>
      <c r="X2824" s="170" t="inlineStr">
        <is>
          <t>NSX630N Mic2.3 630A 3P3D F→NSX630F MIC2.3 630 3P F→NSX630F MIC 2.3 630 3P F</t>
        </is>
      </c>
    </row>
    <row r="2825" s="308">
      <c r="A2825" s="64">
        <f>ROW()-ROW(A$2822)</f>
        <v/>
      </c>
      <c r="B2825" s="22" t="inlineStr">
        <is>
          <t>塑壳断路器</t>
        </is>
      </c>
      <c r="C2825" s="22" t="inlineStr">
        <is>
          <t>NSX250H TM250D 3P3D P</t>
        </is>
      </c>
      <c r="D2825" s="22" t="inlineStr">
        <is>
          <t>甲供/施耐德电气</t>
        </is>
      </c>
      <c r="E2825" s="23" t="inlineStr">
        <is>
          <t>只</t>
        </is>
      </c>
      <c r="F2825" s="23" t="n">
        <v>5</v>
      </c>
      <c r="G2825" s="349">
        <f>IF(AND(B2825="",C2825=""),"",ROUND(M2825*L2825*N2825,2))</f>
        <v/>
      </c>
      <c r="H2825" s="349">
        <f>IF(AND(B2825="",C2825=""),"",ROUND(F2825*G2825,2))</f>
        <v/>
      </c>
      <c r="I2825" s="45" t="inlineStr"/>
      <c r="J2825" s="397">
        <f>IF(AND(B2825="",C2825=""),"",ROUND(M2825*N2825,2))</f>
        <v/>
      </c>
      <c r="K2825" s="398">
        <f>IF(AND(B2825="",C2825=""),"",ROUND(J2825*F2825,2))</f>
        <v/>
      </c>
      <c r="L2825" s="200" t="n">
        <v>1</v>
      </c>
      <c r="M2825" s="399" t="n">
        <v>1e-07</v>
      </c>
      <c r="N2825" s="154" t="n">
        <v>1</v>
      </c>
      <c r="O2825" s="155">
        <f>IF(AND(B2825="",C2825=""),"",IF(G2825&gt;=20000,0.05,IF(G2825&gt;=10000,0.1,IF(G2825&gt;=5000,0.2,IF(G2825&gt;=1000,0.3,IF(G2825&gt;=0,0.4,{0}))))))</f>
        <v/>
      </c>
      <c r="P2825" s="400">
        <f>IF(AND(B2825="",C2825=""),"",ROUND(H2825*O2825,2))</f>
        <v/>
      </c>
      <c r="Q2825" s="401" t="inlineStr">
        <is>
          <t>元件</t>
        </is>
      </c>
      <c r="R2825" s="168" t="inlineStr"/>
      <c r="S2825" s="168" t="inlineStr"/>
      <c r="T2825" s="168" t="inlineStr">
        <is>
          <t>0</t>
        </is>
      </c>
      <c r="U2825" s="168" t="inlineStr">
        <is>
          <t>C16F32D160</t>
        </is>
      </c>
      <c r="V2825" s="402" t="n"/>
      <c r="W2825" s="402" t="n"/>
      <c r="X2825" s="170" t="inlineStr">
        <is>
          <t>NSX630N Mic2.3 630A 3P3D F→NSX630F MIC2.3 630 3P F→NSX630F MIC 2.3 630 3P F</t>
        </is>
      </c>
    </row>
    <row r="2826" s="308">
      <c r="A2826" s="64">
        <f>ROW()-ROW(A$2822)</f>
        <v/>
      </c>
      <c r="B2826" s="22" t="inlineStr">
        <is>
          <t>塑壳断路器</t>
        </is>
      </c>
      <c r="C2826" s="22" t="inlineStr">
        <is>
          <t>NSX400H Mic2.3 400A 3P3D P</t>
        </is>
      </c>
      <c r="D2826" s="22" t="inlineStr">
        <is>
          <t>甲供/施耐德电气</t>
        </is>
      </c>
      <c r="E2826" s="23" t="inlineStr">
        <is>
          <t>只</t>
        </is>
      </c>
      <c r="F2826" s="23" t="n">
        <v>1</v>
      </c>
      <c r="G2826" s="349">
        <f>IF(AND(B2826="",C2826=""),"",ROUND(M2826*L2826*N2826,2))</f>
        <v/>
      </c>
      <c r="H2826" s="349">
        <f>IF(AND(B2826="",C2826=""),"",ROUND(F2826*G2826,2))</f>
        <v/>
      </c>
      <c r="I2826" s="45" t="inlineStr"/>
      <c r="J2826" s="397">
        <f>IF(AND(B2826="",C2826=""),"",ROUND(M2826*N2826,2))</f>
        <v/>
      </c>
      <c r="K2826" s="398">
        <f>IF(AND(B2826="",C2826=""),"",ROUND(J2826*F2826,2))</f>
        <v/>
      </c>
      <c r="L2826" s="200" t="n">
        <v>1</v>
      </c>
      <c r="M2826" s="399" t="n">
        <v>1e-07</v>
      </c>
      <c r="N2826" s="154" t="n">
        <v>1</v>
      </c>
      <c r="O2826" s="155">
        <f>IF(AND(B2826="",C2826=""),"",IF(G2826&gt;=20000,0.05,IF(G2826&gt;=10000,0.1,IF(G2826&gt;=5000,0.2,IF(G2826&gt;=1000,0.3,IF(G2826&gt;=0,0.4,{0}))))))</f>
        <v/>
      </c>
      <c r="P2826" s="400">
        <f>IF(AND(B2826="",C2826=""),"",ROUND(H2826*O2826,2))</f>
        <v/>
      </c>
      <c r="Q2826" s="401" t="inlineStr">
        <is>
          <t>元件</t>
        </is>
      </c>
      <c r="R2826" s="168" t="inlineStr"/>
      <c r="S2826" s="168" t="inlineStr"/>
      <c r="T2826" s="168" t="inlineStr">
        <is>
          <t>0</t>
        </is>
      </c>
      <c r="U2826" s="168" t="inlineStr"/>
      <c r="V2826" s="402" t="n"/>
      <c r="W2826" s="402" t="n"/>
      <c r="X2826" s="170" t="inlineStr"/>
    </row>
    <row r="2827" s="308">
      <c r="A2827" s="64">
        <f>ROW()-ROW(A$2822)</f>
        <v/>
      </c>
      <c r="B2827" s="22" t="inlineStr">
        <is>
          <t>电流互感器</t>
        </is>
      </c>
      <c r="C2827" s="22" t="inlineStr">
        <is>
          <t>SD-0.66-M8 100/5A</t>
        </is>
      </c>
      <c r="D2827" s="22" t="inlineStr">
        <is>
          <t>桑迪</t>
        </is>
      </c>
      <c r="E2827" s="23" t="inlineStr">
        <is>
          <t>只</t>
        </is>
      </c>
      <c r="F2827" s="23" t="n">
        <v>9</v>
      </c>
      <c r="G2827" s="349">
        <f>IF(AND(B2827="",C2827=""),"",ROUND(M2827*L2827*N2827,2))</f>
        <v/>
      </c>
      <c r="H2827" s="396">
        <f>IF(AND(B2827="",C2827=""),"",ROUND(F2827*G2827,2))</f>
        <v/>
      </c>
      <c r="I2827" s="219" t="inlineStr"/>
      <c r="J2827" s="397">
        <f>IF(AND(B2827="",C2827=""),"",ROUND(M2827*N2827,2))</f>
        <v/>
      </c>
      <c r="K2827" s="398">
        <f>IF(AND(B2827="",C2827=""),"",ROUND(J2827*F2827,2))</f>
        <v/>
      </c>
      <c r="L2827" s="200" t="n">
        <v>1</v>
      </c>
      <c r="M2827" s="399" t="n">
        <v>61.75</v>
      </c>
      <c r="N2827" s="154" t="n">
        <v>1</v>
      </c>
      <c r="O2827" s="155">
        <f>IF(AND(B2827="",C2827=""),"",IF(G2827&gt;=20000,0.05,IF(G2827&gt;=10000,0.1,IF(G2827&gt;=5000,0.2,IF(G2827&gt;=1000,0.3,IF(G2827&gt;=0,0.4,{0}))))))</f>
        <v/>
      </c>
      <c r="P2827" s="400">
        <f>IF(AND(B2827="",C2827=""),"",ROUND(H2827*O2827,2))</f>
        <v/>
      </c>
      <c r="Q2827" s="401" t="inlineStr">
        <is>
          <t>元件</t>
        </is>
      </c>
      <c r="R2827" s="168" t="inlineStr"/>
      <c r="S2827" s="168" t="inlineStr"/>
      <c r="T2827" s="168" t="inlineStr">
        <is>
          <t>0</t>
        </is>
      </c>
      <c r="U2827" s="168" t="inlineStr">
        <is>
          <t>710140200000049</t>
        </is>
      </c>
      <c r="V2827" s="402" t="n"/>
      <c r="W2827" s="402" t="n"/>
      <c r="X2827" s="170" t="inlineStr">
        <is>
          <t>SD→SD-0.66-40II-C 400/5A→SD-0.66-30I 250/5A→SD-0.66-30I 150/5A→SD-0.66-60II-C 750/5A→SD-0.66-60II-C 600/5A→SD-0.66-30I 150/5A→SD-0.66-40II-C 400/5A→SD-0.66-100II-C 1600/5A→SD-0.66-80II-V 1000/5A→SD-0.66-40II-C 400/5A→SD-0.66-60II-C 600/5A</t>
        </is>
      </c>
    </row>
    <row r="2828" s="308">
      <c r="A2828" s="64">
        <f>ROW()-ROW(A$2822)</f>
        <v/>
      </c>
      <c r="B2828" s="22" t="inlineStr">
        <is>
          <t>电流互感器</t>
        </is>
      </c>
      <c r="C2828" s="22" t="inlineStr">
        <is>
          <t>SD-0.66-30I 150/5A</t>
        </is>
      </c>
      <c r="D2828" s="22" t="inlineStr">
        <is>
          <t>桑迪</t>
        </is>
      </c>
      <c r="E2828" s="23" t="inlineStr">
        <is>
          <t>只</t>
        </is>
      </c>
      <c r="F2828" s="23" t="n">
        <v>3</v>
      </c>
      <c r="G2828" s="349">
        <f>IF(AND(B2828="",C2828=""),"",ROUND(M2828*L2828*N2828,2))</f>
        <v/>
      </c>
      <c r="H2828" s="396">
        <f>IF(AND(B2828="",C2828=""),"",ROUND(F2828*G2828,2))</f>
        <v/>
      </c>
      <c r="I2828" s="219" t="inlineStr"/>
      <c r="J2828" s="397">
        <f>IF(AND(B2828="",C2828=""),"",ROUND(M2828*N2828,2))</f>
        <v/>
      </c>
      <c r="K2828" s="398">
        <f>IF(AND(B2828="",C2828=""),"",ROUND(J2828*F2828,2))</f>
        <v/>
      </c>
      <c r="L2828" s="200" t="n">
        <v>1</v>
      </c>
      <c r="M2828" s="399" t="n">
        <v>29.95</v>
      </c>
      <c r="N2828" s="154" t="n">
        <v>1</v>
      </c>
      <c r="O2828" s="155">
        <f>IF(AND(B2828="",C2828=""),"",IF(G2828&gt;=20000,0.05,IF(G2828&gt;=10000,0.1,IF(G2828&gt;=5000,0.2,IF(G2828&gt;=1000,0.3,IF(G2828&gt;=0,0.4,{0}))))))</f>
        <v/>
      </c>
      <c r="P2828" s="400">
        <f>IF(AND(B2828="",C2828=""),"",ROUND(H2828*O2828,2))</f>
        <v/>
      </c>
      <c r="Q2828" s="401" t="inlineStr">
        <is>
          <t>元件</t>
        </is>
      </c>
      <c r="R2828" s="168" t="inlineStr"/>
      <c r="S2828" s="168" t="inlineStr"/>
      <c r="T2828" s="168" t="inlineStr">
        <is>
          <t>0</t>
        </is>
      </c>
      <c r="U2828" s="168" t="inlineStr">
        <is>
          <t>710140200000049</t>
        </is>
      </c>
      <c r="V2828" s="402" t="n"/>
      <c r="W2828" s="402" t="n"/>
      <c r="X2828" s="170" t="inlineStr">
        <is>
          <t>SD→SD-0.66-40II-C 400/5A→SD-0.66-30I 250/5A→SD-0.66-30I 150/5A→SD-0.66-60II-C 750/5A→SD-0.66-60II-C 600/5A→SD-0.66-30I 150/5A→SD-0.66-40II-C 400/5A→SD-0.66-100II-C 1600/5A→SD-0.66-80II-V 1000/5A</t>
        </is>
      </c>
    </row>
    <row r="2829" s="308">
      <c r="A2829" s="64">
        <f>ROW()-ROW(A$2822)</f>
        <v/>
      </c>
      <c r="B2829" s="22" t="inlineStr">
        <is>
          <t>电流互感器</t>
        </is>
      </c>
      <c r="C2829" s="22" t="inlineStr">
        <is>
          <t>SD-0.66-30I 250/5A</t>
        </is>
      </c>
      <c r="D2829" s="22" t="inlineStr">
        <is>
          <t>桑迪</t>
        </is>
      </c>
      <c r="E2829" s="23" t="inlineStr">
        <is>
          <t>只</t>
        </is>
      </c>
      <c r="F2829" s="23" t="n">
        <v>15</v>
      </c>
      <c r="G2829" s="349">
        <f>IF(AND(B2829="",C2829=""),"",ROUND(M2829*L2829*N2829,2))</f>
        <v/>
      </c>
      <c r="H2829" s="396">
        <f>IF(AND(B2829="",C2829=""),"",ROUND(F2829*G2829,2))</f>
        <v/>
      </c>
      <c r="I2829" s="219" t="inlineStr"/>
      <c r="J2829" s="397">
        <f>IF(AND(B2829="",C2829=""),"",ROUND(M2829*N2829,2))</f>
        <v/>
      </c>
      <c r="K2829" s="398">
        <f>IF(AND(B2829="",C2829=""),"",ROUND(J2829*F2829,2))</f>
        <v/>
      </c>
      <c r="L2829" s="200" t="n">
        <v>1</v>
      </c>
      <c r="M2829" s="399" t="n">
        <v>26.65</v>
      </c>
      <c r="N2829" s="154" t="n">
        <v>1</v>
      </c>
      <c r="O2829" s="155">
        <f>IF(AND(B2829="",C2829=""),"",IF(G2829&gt;=20000,0.05,IF(G2829&gt;=10000,0.1,IF(G2829&gt;=5000,0.2,IF(G2829&gt;=1000,0.3,IF(G2829&gt;=0,0.4,{0}))))))</f>
        <v/>
      </c>
      <c r="P2829" s="400">
        <f>IF(AND(B2829="",C2829=""),"",ROUND(H2829*O2829,2))</f>
        <v/>
      </c>
      <c r="Q2829" s="401" t="inlineStr">
        <is>
          <t>元件</t>
        </is>
      </c>
      <c r="R2829" s="168" t="inlineStr"/>
      <c r="S2829" s="168" t="inlineStr"/>
      <c r="T2829" s="168" t="inlineStr">
        <is>
          <t>0</t>
        </is>
      </c>
      <c r="U2829" s="168" t="inlineStr">
        <is>
          <t>710140200000049</t>
        </is>
      </c>
      <c r="V2829" s="402" t="n"/>
      <c r="W2829" s="402" t="n"/>
      <c r="X2829" s="170" t="inlineStr">
        <is>
          <t>SD→SD-0.66-40II-C 400/5A→SD-0.66-30I 250/5A→SD-0.66-30I 150/5A→SD-0.66-60II-C 750/5A→SD-0.66-60II-C 600/5A→SD-0.66-30I 150/5A→SD-0.66-40II-C 400/5A→SD-0.66-100II-C 1600/5A→SD-0.66-80II-V 1000/5A</t>
        </is>
      </c>
    </row>
    <row r="2830" s="308">
      <c r="A2830" s="64">
        <f>ROW()-ROW(A$2822)</f>
        <v/>
      </c>
      <c r="B2830" s="22" t="inlineStr">
        <is>
          <t>电流互感器</t>
        </is>
      </c>
      <c r="C2830" s="22" t="inlineStr">
        <is>
          <t>SD-0.66-40II-C 400/5A</t>
        </is>
      </c>
      <c r="D2830" s="22" t="inlineStr">
        <is>
          <t>桑迪</t>
        </is>
      </c>
      <c r="E2830" s="23" t="inlineStr">
        <is>
          <t>只</t>
        </is>
      </c>
      <c r="F2830" s="23" t="n">
        <v>3</v>
      </c>
      <c r="G2830" s="349">
        <f>IF(AND(B2830="",C2830=""),"",ROUND(M2830*L2830*N2830,2))</f>
        <v/>
      </c>
      <c r="H2830" s="396">
        <f>IF(AND(B2830="",C2830=""),"",ROUND(F2830*G2830,2))</f>
        <v/>
      </c>
      <c r="I2830" s="219" t="inlineStr"/>
      <c r="J2830" s="397">
        <f>IF(AND(B2830="",C2830=""),"",ROUND(M2830*N2830,2))</f>
        <v/>
      </c>
      <c r="K2830" s="398">
        <f>IF(AND(B2830="",C2830=""),"",ROUND(J2830*F2830,2))</f>
        <v/>
      </c>
      <c r="L2830" s="200" t="n">
        <v>1</v>
      </c>
      <c r="M2830" s="399" t="n">
        <v>52</v>
      </c>
      <c r="N2830" s="154" t="n">
        <v>1</v>
      </c>
      <c r="O2830" s="155">
        <f>IF(AND(B2830="",C2830=""),"",IF(G2830&gt;=20000,0.05,IF(G2830&gt;=10000,0.1,IF(G2830&gt;=5000,0.2,IF(G2830&gt;=1000,0.3,IF(G2830&gt;=0,0.4,{0}))))))</f>
        <v/>
      </c>
      <c r="P2830" s="400">
        <f>IF(AND(B2830="",C2830=""),"",ROUND(H2830*O2830,2))</f>
        <v/>
      </c>
      <c r="Q2830" s="401" t="inlineStr">
        <is>
          <t>元件</t>
        </is>
      </c>
      <c r="R2830" s="168" t="inlineStr"/>
      <c r="S2830" s="168" t="inlineStr"/>
      <c r="T2830" s="168" t="inlineStr">
        <is>
          <t>0</t>
        </is>
      </c>
      <c r="U2830" s="168" t="inlineStr">
        <is>
          <t>710140200000049</t>
        </is>
      </c>
      <c r="V2830" s="402" t="n"/>
      <c r="W2830" s="402" t="n"/>
      <c r="X2830" s="170" t="inlineStr">
        <is>
          <t>SD→SD-0.66-40II-C 400/5A→SD-0.66-30I 250/5A→SD-0.66-30I 150/5A→SD-0.66-60II-C 750/5A→SD-0.66-60II-C 600/5A→SD-0.66-30I 150/5A→SD-0.66-40II-C 400/5A→SD-0.66-100II-C 1600/5A→SD-0.66-80II-V 1000/5A</t>
        </is>
      </c>
    </row>
    <row r="2831" s="308">
      <c r="A2831" s="64">
        <f>ROW()-ROW(A$2822)</f>
        <v/>
      </c>
      <c r="B2831" s="112" t="inlineStr">
        <is>
          <t>多功能表</t>
        </is>
      </c>
      <c r="C2831" s="112" t="inlineStr">
        <is>
          <t>PM4101</t>
        </is>
      </c>
      <c r="D2831" s="112" t="inlineStr">
        <is>
          <t>甲供/施耐德电气</t>
        </is>
      </c>
      <c r="E2831" s="114" t="inlineStr">
        <is>
          <t>只</t>
        </is>
      </c>
      <c r="F2831" s="114" t="n">
        <v>10</v>
      </c>
      <c r="G2831" s="396">
        <f>IF(AND(B2831="",C2831=""),"",ROUND(M2831*L2831*N2831,2))</f>
        <v/>
      </c>
      <c r="H2831" s="349">
        <f>IF(AND(B2831="",C2831=""),"",ROUND(F2831*G2831,2))</f>
        <v/>
      </c>
      <c r="I2831" s="45" t="inlineStr"/>
      <c r="J2831" s="397">
        <f>IF(AND(B2831="",C2831=""),"",ROUND(M2831*N2831,2))</f>
        <v/>
      </c>
      <c r="K2831" s="398">
        <f>IF(AND(B2831="",C2831=""),"",ROUND(J2831*F2831,2))</f>
        <v/>
      </c>
      <c r="L2831" s="200" t="n">
        <v>1</v>
      </c>
      <c r="M2831" s="399" t="n">
        <v>1e-07</v>
      </c>
      <c r="N2831" s="154" t="n">
        <v>1</v>
      </c>
      <c r="O2831" s="155">
        <f>IF(AND(B2831="",C2831=""),"",IF(J2831&gt;=20000,0.05,IF(J2831&gt;=10000,0.1,IF(J2831&gt;=5000,0.2,IF(J2831&gt;=1000,0.3,IF(J2831&gt;=0,0.4,{0}))))))</f>
        <v/>
      </c>
      <c r="P2831" s="400">
        <f>IF(AND(B2831="",C2831=""),"",ROUND(H2831*O2831,2))</f>
        <v/>
      </c>
      <c r="Q2831" s="401" t="inlineStr">
        <is>
          <t>元件</t>
        </is>
      </c>
      <c r="R2831" s="168" t="inlineStr"/>
      <c r="S2831" s="168" t="inlineStr"/>
      <c r="T2831" s="168" t="inlineStr">
        <is>
          <t>0</t>
        </is>
      </c>
      <c r="U2831" s="168" t="inlineStr"/>
      <c r="V2831" s="402" t="n"/>
      <c r="W2831" s="402" t="n"/>
      <c r="X2831" s="170" t="inlineStr"/>
    </row>
    <row r="2832" customFormat="1" s="3">
      <c r="A2832" s="64">
        <f>ROW()-ROW(A$2822)</f>
        <v/>
      </c>
      <c r="B2832" s="22" t="inlineStr">
        <is>
          <t>指示灯</t>
        </is>
      </c>
      <c r="C2832" s="22" t="inlineStr">
        <is>
          <t>XB2BVM3LC</t>
        </is>
      </c>
      <c r="D2832" s="22" t="inlineStr">
        <is>
          <t>甲供/施耐德电气</t>
        </is>
      </c>
      <c r="E2832" s="23" t="inlineStr">
        <is>
          <t>只</t>
        </is>
      </c>
      <c r="F2832" s="23" t="n">
        <v>10</v>
      </c>
      <c r="G2832" s="349">
        <f>IF(AND(B2832="",C2832=""),"",ROUND(M2832*L2832*N2832,2))</f>
        <v/>
      </c>
      <c r="H2832" s="353">
        <f>IF(AND(B2832="",C2832=""),"",ROUND(F2832*G2832,2))</f>
        <v/>
      </c>
      <c r="I2832" s="180" t="inlineStr"/>
      <c r="J2832" s="392">
        <f>IF(AND(B2832="",C2832=""),"",ROUND(M2832*N2832,2))</f>
        <v/>
      </c>
      <c r="K2832" s="393">
        <f>IF(AND(B2832="",C2832=""),"",ROUND(J2832*F2832,2))</f>
        <v/>
      </c>
      <c r="L2832" s="141" t="n">
        <v>1</v>
      </c>
      <c r="M2832" s="394" t="n">
        <v>1e-07</v>
      </c>
      <c r="N2832" s="220" t="n">
        <v>1</v>
      </c>
      <c r="O2832" s="221">
        <f>IF(AND(B2832="",C2832=""),"",IF(G2832&gt;=20000,0.05,IF(G2832&gt;=10000,0.1,IF(G2832&gt;=5000,0.2,IF(G2832&gt;=1000,0.3,IF(G2832&gt;=0,0.4,{0}))))))</f>
        <v/>
      </c>
      <c r="P2832" s="419">
        <f>IF(AND(B2832="",C2832=""),"",ROUND(H2832*O2832,2))</f>
        <v/>
      </c>
      <c r="Q2832" s="420" t="inlineStr">
        <is>
          <t>元件</t>
        </is>
      </c>
      <c r="R2832" s="231" t="inlineStr"/>
      <c r="S2832" s="231" t="inlineStr"/>
      <c r="T2832" s="231" t="inlineStr">
        <is>
          <t>0</t>
        </is>
      </c>
      <c r="U2832" s="231" t="inlineStr">
        <is>
          <t>XB2BVM3LC</t>
        </is>
      </c>
      <c r="V2832" s="421" t="n"/>
      <c r="W2832" s="421" t="n"/>
      <c r="X2832" s="166" t="inlineStr">
        <is>
          <t>XA2EVM3LC</t>
        </is>
      </c>
    </row>
    <row r="2833" customFormat="1" s="3">
      <c r="A2833" s="64">
        <f>ROW()-ROW(A$2822)</f>
        <v/>
      </c>
      <c r="B2833" s="22" t="inlineStr">
        <is>
          <t>指示灯</t>
        </is>
      </c>
      <c r="C2833" s="22" t="inlineStr">
        <is>
          <t>XB2BVM4LC</t>
        </is>
      </c>
      <c r="D2833" s="22" t="inlineStr">
        <is>
          <t>甲供/施耐德电气</t>
        </is>
      </c>
      <c r="E2833" s="23" t="inlineStr">
        <is>
          <t>只</t>
        </is>
      </c>
      <c r="F2833" s="23" t="n">
        <v>10</v>
      </c>
      <c r="G2833" s="349">
        <f>IF(AND(B2833="",C2833=""),"",ROUND(M2833*L2833*N2833,2))</f>
        <v/>
      </c>
      <c r="H2833" s="353">
        <f>IF(AND(B2833="",C2833=""),"",ROUND(F2833*G2833,2))</f>
        <v/>
      </c>
      <c r="I2833" s="180" t="inlineStr"/>
      <c r="J2833" s="392">
        <f>IF(AND(B2833="",C2833=""),"",ROUND(M2833*N2833,2))</f>
        <v/>
      </c>
      <c r="K2833" s="393">
        <f>IF(AND(B2833="",C2833=""),"",ROUND(J2833*F2833,2))</f>
        <v/>
      </c>
      <c r="L2833" s="141" t="n">
        <v>1</v>
      </c>
      <c r="M2833" s="394" t="n">
        <v>1e-07</v>
      </c>
      <c r="N2833" s="220" t="n">
        <v>1</v>
      </c>
      <c r="O2833" s="221">
        <f>IF(AND(B2833="",C2833=""),"",IF(G2833&gt;=20000,0.05,IF(G2833&gt;=10000,0.1,IF(G2833&gt;=5000,0.2,IF(G2833&gt;=1000,0.3,IF(G2833&gt;=0,0.4,{0}))))))</f>
        <v/>
      </c>
      <c r="P2833" s="419">
        <f>IF(AND(B2833="",C2833=""),"",ROUND(H2833*O2833,2))</f>
        <v/>
      </c>
      <c r="Q2833" s="420" t="inlineStr">
        <is>
          <t>元件</t>
        </is>
      </c>
      <c r="R2833" s="231" t="inlineStr"/>
      <c r="S2833" s="231" t="inlineStr"/>
      <c r="T2833" s="231" t="inlineStr">
        <is>
          <t>0</t>
        </is>
      </c>
      <c r="U2833" s="231" t="inlineStr">
        <is>
          <t>XB2BVM4LC</t>
        </is>
      </c>
      <c r="V2833" s="421" t="n"/>
      <c r="W2833" s="421" t="n"/>
      <c r="X2833" s="166" t="inlineStr">
        <is>
          <t>XA2EVM4LC</t>
        </is>
      </c>
    </row>
    <row r="2834" s="308">
      <c r="A2834" s="64">
        <f>ROW()-ROW(A$2822)</f>
        <v/>
      </c>
      <c r="B2834" s="112" t="inlineStr">
        <is>
          <t>温湿度控制器</t>
        </is>
      </c>
      <c r="C2834" s="112" t="inlineStr">
        <is>
          <t>ATH48G-11</t>
        </is>
      </c>
      <c r="D2834" s="22" t="inlineStr">
        <is>
          <t>杭州安廷</t>
        </is>
      </c>
      <c r="E2834" s="23" t="inlineStr">
        <is>
          <t>套</t>
        </is>
      </c>
      <c r="F2834" s="23" t="n">
        <v>1</v>
      </c>
      <c r="G2834" s="349">
        <f>IF(AND(B2834="",C2834=""),"",ROUND(M2834*L2834*N2834,2))</f>
        <v/>
      </c>
      <c r="H2834" s="396">
        <f>IF(AND(B2834="",C2834=""),"",ROUND(F2834*G2834,2))</f>
        <v/>
      </c>
      <c r="I2834" s="150" t="inlineStr"/>
      <c r="J2834" s="397">
        <f>IF(AND(B2834="",C2834=""),"",ROUND(M2834*N2834,2))</f>
        <v/>
      </c>
      <c r="K2834" s="398">
        <f>IF(AND(B2834="",C2834=""),"",ROUND(J2834*F2834,2))</f>
        <v/>
      </c>
      <c r="L2834" s="141" t="n">
        <v>1</v>
      </c>
      <c r="M2834" s="399" t="n">
        <v>450</v>
      </c>
      <c r="N2834" s="154" t="n">
        <v>1</v>
      </c>
      <c r="O2834" s="155">
        <f>IF(AND(B2834="",C2834=""),"",IF(G2834&gt;=20000,0.05,IF(G2834&gt;=10000,0.1,IF(G2834&gt;=5000,0.2,IF(G2834&gt;=1000,0.3,IF(G2834&gt;=0,0.4,{0}))))))</f>
        <v/>
      </c>
      <c r="P2834" s="400">
        <f>IF(AND(B2834="",C2834=""),"",ROUND(H2834*O2834,2))</f>
        <v/>
      </c>
      <c r="Q2834" s="401" t="inlineStr">
        <is>
          <t>元件</t>
        </is>
      </c>
      <c r="R2834" s="168" t="inlineStr"/>
      <c r="S2834" s="168" t="inlineStr"/>
      <c r="T2834" s="168" t="inlineStr">
        <is>
          <t>0</t>
        </is>
      </c>
      <c r="U2834" s="168" t="inlineStr"/>
      <c r="V2834" s="402" t="n"/>
      <c r="W2834" s="402" t="n"/>
      <c r="X2834" s="170" t="inlineStr"/>
    </row>
    <row r="2835" s="308">
      <c r="A2835" s="64">
        <f>ROW()-ROW(A$2822)</f>
        <v/>
      </c>
      <c r="B2835" s="22" t="inlineStr">
        <is>
          <t>中间继电器</t>
        </is>
      </c>
      <c r="C2835" s="22" t="inlineStr">
        <is>
          <t>RXM4AB2P7+RXZE2S114M+RXZ400</t>
        </is>
      </c>
      <c r="D2835" s="22" t="inlineStr">
        <is>
          <t>甲供/施耐德电气</t>
        </is>
      </c>
      <c r="E2835" s="23" t="inlineStr">
        <is>
          <t>只</t>
        </is>
      </c>
      <c r="F2835" s="23" t="n">
        <v>20</v>
      </c>
      <c r="G2835" s="349">
        <f>IF(AND(B2835="",C2835=""),"",ROUND(M2835*L2835*N2835,2))</f>
        <v/>
      </c>
      <c r="H2835" s="349">
        <f>IF(AND(B2835="",C2835=""),"",ROUND(F2835*G2835,2))</f>
        <v/>
      </c>
      <c r="I2835" s="45" t="inlineStr"/>
      <c r="J2835" s="397">
        <f>IF(AND(B2835="",C2835=""),"",ROUND(M2835*N2835,2))</f>
        <v/>
      </c>
      <c r="K2835" s="398">
        <f>IF(AND(B2835="",C2835=""),"",ROUND(J2835*F2835,2))</f>
        <v/>
      </c>
      <c r="L2835" s="141" t="n">
        <v>1</v>
      </c>
      <c r="M2835" s="399" t="n">
        <v>1e-07</v>
      </c>
      <c r="N2835" s="154" t="n">
        <v>1</v>
      </c>
      <c r="O2835" s="155">
        <f>IF(AND(B2835="",C2835=""),"",IF(G2835&gt;=20000,0.05,IF(G2835&gt;=10000,0.1,IF(G2835&gt;=5000,0.2,IF(G2835&gt;=1000,0.3,IF(G2835&gt;=0,0.4,{0}))))))</f>
        <v/>
      </c>
      <c r="P2835" s="400">
        <f>IF(AND(B2835="",C2835=""),"",ROUND(H2835*O2835,2))</f>
        <v/>
      </c>
      <c r="Q2835" s="401" t="inlineStr">
        <is>
          <t>元件</t>
        </is>
      </c>
      <c r="R2835" s="168" t="inlineStr"/>
      <c r="S2835" s="168" t="inlineStr"/>
      <c r="T2835" s="168" t="inlineStr">
        <is>
          <t>0</t>
        </is>
      </c>
      <c r="U2835" s="168" t="inlineStr">
        <is>
          <t>RXM4AB2P7+RXZE2S114M+RXZ400</t>
        </is>
      </c>
      <c r="V2835" s="402" t="n"/>
      <c r="W2835" s="402" t="n"/>
      <c r="X2835" s="170" t="inlineStr">
        <is>
          <t>REL-IR-BL/L-230AC/4X21，含底座→RXM4AB2P7+RXZE2S114M+RXZ400→REL-IR-BL/L-230AC/4X21，含底座</t>
        </is>
      </c>
    </row>
    <row r="2836" customFormat="1" s="3">
      <c r="A2836" s="64">
        <f>ROW()-ROW(A$2822)</f>
        <v/>
      </c>
      <c r="B2836" s="22" t="inlineStr">
        <is>
          <t>带熔丝端子</t>
        </is>
      </c>
      <c r="C2836" s="22" t="inlineStr">
        <is>
          <t>UK 5-HESI</t>
        </is>
      </c>
      <c r="D2836" s="22" t="inlineStr">
        <is>
          <t>菲尼克斯</t>
        </is>
      </c>
      <c r="E2836" s="23" t="inlineStr">
        <is>
          <t>只</t>
        </is>
      </c>
      <c r="F2836" s="23" t="n">
        <v>40</v>
      </c>
      <c r="G2836" s="349">
        <f>IF(AND(B2836="",C2836=""),"",ROUND(M2836*L2836*N2836,2))</f>
        <v/>
      </c>
      <c r="H2836" s="349">
        <f>IF(AND(B2836="",C2836=""),"",ROUND(F2836*G2836,2))</f>
        <v/>
      </c>
      <c r="I2836" s="45" t="inlineStr"/>
      <c r="J2836" s="392">
        <f>IF(AND(B2836="",C2836=""),"",ROUND(M2836*N2836,2))</f>
        <v/>
      </c>
      <c r="K2836" s="393">
        <f>IF(AND(B2836="",C2836=""),"",ROUND(J2836*F2836,2))</f>
        <v/>
      </c>
      <c r="L2836" s="141" t="n">
        <v>1</v>
      </c>
      <c r="M2836" s="394" t="n">
        <v>7</v>
      </c>
      <c r="N2836" s="220" t="n">
        <v>1</v>
      </c>
      <c r="O2836" s="221">
        <f>IF(AND(B2836="",C2836=""),"",IF(G2836&gt;=20000,0.05,IF(G2836&gt;=10000,0.1,IF(G2836&gt;=5000,0.2,IF(G2836&gt;=1000,0.3,IF(G2836&gt;=0,0.4,{0}))))))</f>
        <v/>
      </c>
      <c r="P2836" s="419">
        <f>IF(AND(B2836="",C2836=""),"",ROUND(H2836*O2836,2))</f>
        <v/>
      </c>
      <c r="Q2836" s="420" t="inlineStr">
        <is>
          <t>元件</t>
        </is>
      </c>
      <c r="R2836" s="231" t="inlineStr"/>
      <c r="S2836" s="231" t="inlineStr"/>
      <c r="T2836" s="231" t="inlineStr">
        <is>
          <t>0</t>
        </is>
      </c>
      <c r="U2836" s="231" t="inlineStr">
        <is>
          <t>True</t>
        </is>
      </c>
      <c r="V2836" s="421" t="n"/>
      <c r="W2836" s="421" t="n"/>
      <c r="X2836" s="166" t="inlineStr"/>
    </row>
    <row r="2837" s="308">
      <c r="A2837" s="64">
        <f>ROW()-ROW(A$2822)</f>
        <v/>
      </c>
      <c r="B2837" s="22" t="inlineStr">
        <is>
          <t>水平母排</t>
        </is>
      </c>
      <c r="C2837" s="22" t="inlineStr">
        <is>
          <t>TMY 4*(100*5)+50*5</t>
        </is>
      </c>
      <c r="D2837" s="22" t="inlineStr">
        <is>
          <t>国产优质</t>
        </is>
      </c>
      <c r="E2837" s="23" t="inlineStr">
        <is>
          <t>米</t>
        </is>
      </c>
      <c r="F2837" s="23" t="n">
        <v>0.7</v>
      </c>
      <c r="G2837" s="349">
        <f>IF(AND(B2837="",C2837=""),"",ROUND(M2837*L2837*N2837,2))</f>
        <v/>
      </c>
      <c r="H2837" s="349">
        <f>IF(AND(B2837="",C2837=""),"",ROUND(F2837*G2837,2))</f>
        <v/>
      </c>
      <c r="I2837" s="45" t="inlineStr"/>
      <c r="J2837" s="397">
        <f>IF(AND(B2837="",C2837=""),"",ROUND(M2837*N2837,2))</f>
        <v/>
      </c>
      <c r="K2837" s="398">
        <f>IF(AND(B2837="",C2837=""),"",ROUND(J2837*F2837,2))</f>
        <v/>
      </c>
      <c r="L2837" s="200" t="n">
        <v>1</v>
      </c>
      <c r="M2837" s="399" t="n">
        <v>2164.802625</v>
      </c>
      <c r="N2837" s="154">
        <f>(6317.932*1*1+2684.8*1*1)/9002.732</f>
        <v/>
      </c>
      <c r="O2837" s="155">
        <f>IF(AND(B2837="",C2837=""),"",IF(J2837&gt;=20000,0.05,IF(J2837&gt;=10000,0.1,IF(J2837&gt;=5000,0.2,IF(J2837&gt;=1000,0.3,IF(J2837&gt;=0,0.4,{0}))))))</f>
        <v/>
      </c>
      <c r="P2837" s="400">
        <f>IF(AND(B2837="",C2837=""),"",ROUND(H2837*O2837,2))</f>
        <v/>
      </c>
      <c r="Q2837" s="401" t="inlineStr">
        <is>
          <t>母排</t>
        </is>
      </c>
      <c r="R2837" s="168" t="inlineStr"/>
      <c r="S2837" s="168" t="inlineStr"/>
      <c r="T2837" s="168" t="inlineStr">
        <is>
          <t>0</t>
        </is>
      </c>
      <c r="U2837" s="168" t="inlineStr"/>
      <c r="V2837" s="402" t="n"/>
      <c r="W2837" s="402" t="n"/>
      <c r="X2837" s="170" t="inlineStr"/>
    </row>
    <row r="2838" customFormat="1" s="5">
      <c r="A2838" s="64">
        <f>ROW()-ROW(A$2822)</f>
        <v/>
      </c>
      <c r="B2838" s="22" t="inlineStr">
        <is>
          <t>垂直排</t>
        </is>
      </c>
      <c r="C2838" s="22" t="inlineStr">
        <is>
          <t>TMY 3*80*5</t>
        </is>
      </c>
      <c r="D2838" s="22" t="inlineStr">
        <is>
          <t>国产优质</t>
        </is>
      </c>
      <c r="E2838" s="23" t="inlineStr">
        <is>
          <t>米</t>
        </is>
      </c>
      <c r="F2838" s="23" t="n">
        <v>2</v>
      </c>
      <c r="G2838" s="349">
        <f>IF(AND(B2838="",C2838=""),"",ROUND(M2838*L2838*N2838,2))</f>
        <v/>
      </c>
      <c r="H2838" s="349">
        <f>IF(AND(B2838="",C2838=""),"",ROUND(F2838*G2838,2))</f>
        <v/>
      </c>
      <c r="I2838" s="45" t="inlineStr"/>
      <c r="J2838" s="422">
        <f>IF(AND(B2838="",C2838=""),"",ROUND(M2838*N2838,2))</f>
        <v/>
      </c>
      <c r="K2838" s="423">
        <f>IF(AND(B2838="",C2838=""),"",ROUND(J2838*F2838,2))</f>
        <v/>
      </c>
      <c r="L2838" s="225" t="n">
        <v>1</v>
      </c>
      <c r="M2838" s="424" t="n">
        <v>1154.5614</v>
      </c>
      <c r="N2838" s="227" t="n">
        <v>1</v>
      </c>
      <c r="O2838" s="228">
        <f>IF(AND(B2838="",C2838=""),"",IF(G2838&gt;=20000,0.05,IF(G2838&gt;=10000,0.1,IF(G2838&gt;=5000,0.2,IF(G2838&gt;=1000,0.3,IF(G2838&gt;=0,0.4,{0}))))))</f>
        <v/>
      </c>
      <c r="P2838" s="425">
        <f>IF(AND(B2838="",C2838=""),"",ROUND(H2838*O2838,2))</f>
        <v/>
      </c>
      <c r="Q2838" s="426" t="inlineStr">
        <is>
          <t>母排</t>
        </is>
      </c>
      <c r="R2838" s="234" t="inlineStr"/>
      <c r="S2838" s="234" t="inlineStr"/>
      <c r="T2838" s="235" t="inlineStr">
        <is>
          <t>0</t>
        </is>
      </c>
      <c r="U2838" s="235" t="inlineStr"/>
      <c r="V2838" s="427" t="n"/>
      <c r="W2838" s="427" t="n"/>
      <c r="X2838" s="237" t="inlineStr">
        <is>
          <t>TMY 2*30*5→TMY 30*8</t>
        </is>
      </c>
    </row>
    <row r="2839" customFormat="1" s="5">
      <c r="A2839" s="64">
        <f>ROW()-ROW(A$2822)</f>
        <v/>
      </c>
      <c r="B2839" s="22" t="inlineStr">
        <is>
          <t>N排</t>
        </is>
      </c>
      <c r="C2839" s="22" t="inlineStr">
        <is>
          <t>TMY 40*10</t>
        </is>
      </c>
      <c r="D2839" s="22" t="inlineStr">
        <is>
          <t>国产优质</t>
        </is>
      </c>
      <c r="E2839" s="23" t="inlineStr">
        <is>
          <t>米</t>
        </is>
      </c>
      <c r="F2839" s="23" t="n">
        <v>3</v>
      </c>
      <c r="G2839" s="349">
        <f>IF(AND(B2839="",C2839=""),"",ROUND(M2839*L2839*N2839,2))</f>
        <v/>
      </c>
      <c r="H2839" s="349">
        <f>IF(AND(B2839="",C2839=""),"",ROUND(F2839*G2839,2))</f>
        <v/>
      </c>
      <c r="I2839" s="45" t="inlineStr"/>
      <c r="J2839" s="422">
        <f>IF(AND(B2839="",C2839=""),"",ROUND(M2839*N2839,2))</f>
        <v/>
      </c>
      <c r="K2839" s="423">
        <f>IF(AND(B2839="",C2839=""),"",ROUND(J2839*F2839,2))</f>
        <v/>
      </c>
      <c r="L2839" s="225" t="n">
        <v>1</v>
      </c>
      <c r="M2839" s="424" t="n">
        <v>384.8538</v>
      </c>
      <c r="N2839" s="227" t="n">
        <v>1</v>
      </c>
      <c r="O2839" s="228">
        <f>IF(AND(B2839="",C2839=""),"",IF(G2839&gt;=20000,0.05,IF(G2839&gt;=10000,0.1,IF(G2839&gt;=5000,0.2,IF(G2839&gt;=1000,0.3,IF(G2839&gt;=0,0.4,{0}))))))</f>
        <v/>
      </c>
      <c r="P2839" s="425">
        <f>IF(AND(B2839="",C2839=""),"",ROUND(H2839*O2839,2))</f>
        <v/>
      </c>
      <c r="Q2839" s="426" t="inlineStr">
        <is>
          <t>母排</t>
        </is>
      </c>
      <c r="R2839" s="234" t="inlineStr"/>
      <c r="S2839" s="234" t="inlineStr"/>
      <c r="T2839" s="235" t="inlineStr">
        <is>
          <t>0</t>
        </is>
      </c>
      <c r="U2839" s="235" t="inlineStr"/>
      <c r="V2839" s="427" t="n"/>
      <c r="W2839" s="427" t="n"/>
      <c r="X2839" s="237" t="inlineStr">
        <is>
          <t>TMY 2*30*5→TMY 30*8</t>
        </is>
      </c>
    </row>
    <row r="2840" customFormat="1" s="5">
      <c r="A2840" s="64">
        <f>ROW()-ROW(A$2822)</f>
        <v/>
      </c>
      <c r="B2840" s="22" t="inlineStr">
        <is>
          <t>PE排</t>
        </is>
      </c>
      <c r="C2840" s="22" t="inlineStr">
        <is>
          <t>TMY 50*5</t>
        </is>
      </c>
      <c r="D2840" s="22" t="inlineStr">
        <is>
          <t>国产优质</t>
        </is>
      </c>
      <c r="E2840" s="23" t="inlineStr">
        <is>
          <t>米</t>
        </is>
      </c>
      <c r="F2840" s="23" t="n">
        <v>2</v>
      </c>
      <c r="G2840" s="349">
        <f>IF(AND(B2840="",C2840=""),"",ROUND(M2840*L2840*N2840,2))</f>
        <v/>
      </c>
      <c r="H2840" s="349">
        <f>IF(AND(B2840="",C2840=""),"",ROUND(F2840*G2840,2))</f>
        <v/>
      </c>
      <c r="I2840" s="45" t="inlineStr"/>
      <c r="J2840" s="422">
        <f>IF(AND(B2840="",C2840=""),"",ROUND(M2840*N2840,2))</f>
        <v/>
      </c>
      <c r="K2840" s="423">
        <f>IF(AND(B2840="",C2840=""),"",ROUND(J2840*F2840,2))</f>
        <v/>
      </c>
      <c r="L2840" s="225" t="n">
        <v>1</v>
      </c>
      <c r="M2840" s="424" t="n">
        <v>240.533625</v>
      </c>
      <c r="N2840" s="227" t="n">
        <v>1</v>
      </c>
      <c r="O2840" s="228">
        <f>IF(AND(B2840="",C2840=""),"",IF(G2840&gt;=20000,0.05,IF(G2840&gt;=10000,0.1,IF(G2840&gt;=5000,0.2,IF(G2840&gt;=1000,0.3,IF(G2840&gt;=0,0.4,{0}))))))</f>
        <v/>
      </c>
      <c r="P2840" s="425">
        <f>IF(AND(B2840="",C2840=""),"",ROUND(H2840*O2840,2))</f>
        <v/>
      </c>
      <c r="Q2840" s="426" t="inlineStr">
        <is>
          <t>母排</t>
        </is>
      </c>
      <c r="R2840" s="234" t="inlineStr"/>
      <c r="S2840" s="234" t="inlineStr"/>
      <c r="T2840" s="235" t="inlineStr">
        <is>
          <t>0</t>
        </is>
      </c>
      <c r="U2840" s="235" t="inlineStr"/>
      <c r="V2840" s="427" t="n"/>
      <c r="W2840" s="427" t="n"/>
      <c r="X2840" s="237" t="inlineStr">
        <is>
          <t>TMY 2*30*5→TMY 30*8</t>
        </is>
      </c>
    </row>
    <row r="2841" customFormat="1" s="5">
      <c r="A2841" s="64">
        <f>ROW()-ROW(A$2822)</f>
        <v/>
      </c>
      <c r="B2841" s="22" t="inlineStr">
        <is>
          <t>400A铜排</t>
        </is>
      </c>
      <c r="C2841" s="22" t="inlineStr">
        <is>
          <t>TMY 30*5</t>
        </is>
      </c>
      <c r="D2841" s="22" t="inlineStr">
        <is>
          <t>国产优质</t>
        </is>
      </c>
      <c r="E2841" s="23" t="inlineStr">
        <is>
          <t>米</t>
        </is>
      </c>
      <c r="F2841" s="23" t="n">
        <v>3.2</v>
      </c>
      <c r="G2841" s="349">
        <f>IF(AND(B2841="",C2841=""),"",ROUND(M2841*L2841*N2841,2))</f>
        <v/>
      </c>
      <c r="H2841" s="349">
        <f>IF(AND(B2841="",C2841=""),"",ROUND(F2841*G2841,2))</f>
        <v/>
      </c>
      <c r="I2841" s="45" t="inlineStr"/>
      <c r="J2841" s="422">
        <f>IF(AND(B2841="",C2841=""),"",ROUND(M2841*N2841,2))</f>
        <v/>
      </c>
      <c r="K2841" s="423">
        <f>IF(AND(B2841="",C2841=""),"",ROUND(J2841*F2841,2))</f>
        <v/>
      </c>
      <c r="L2841" s="225" t="n">
        <v>1</v>
      </c>
      <c r="M2841" s="424" t="n">
        <v>144.320175</v>
      </c>
      <c r="N2841" s="227" t="n">
        <v>1</v>
      </c>
      <c r="O2841" s="228">
        <f>IF(AND(B2841="",C2841=""),"",IF(G2841&gt;=20000,0.05,IF(G2841&gt;=10000,0.1,IF(G2841&gt;=5000,0.2,IF(G2841&gt;=1000,0.3,IF(G2841&gt;=0,0.4,{0}))))))</f>
        <v/>
      </c>
      <c r="P2841" s="425">
        <f>IF(AND(B2841="",C2841=""),"",ROUND(H2841*O2841,2))</f>
        <v/>
      </c>
      <c r="Q2841" s="426" t="inlineStr">
        <is>
          <t>母排</t>
        </is>
      </c>
      <c r="R2841" s="234" t="inlineStr"/>
      <c r="S2841" s="234" t="inlineStr"/>
      <c r="T2841" s="235" t="inlineStr">
        <is>
          <t>0</t>
        </is>
      </c>
      <c r="U2841" s="235" t="inlineStr"/>
      <c r="V2841" s="427" t="n"/>
      <c r="W2841" s="427" t="n"/>
      <c r="X2841" s="237" t="inlineStr">
        <is>
          <t>TMY 2*30*5→TMY 30*8</t>
        </is>
      </c>
    </row>
    <row r="2842" s="308">
      <c r="A2842" s="64">
        <f>ROW()-ROW(A$2822)</f>
        <v/>
      </c>
      <c r="B2842" s="112" t="inlineStr">
        <is>
          <t>辅料</t>
        </is>
      </c>
      <c r="C2842" s="112" t="inlineStr"/>
      <c r="D2842" s="112" t="inlineStr"/>
      <c r="E2842" s="114" t="inlineStr">
        <is>
          <t>套</t>
        </is>
      </c>
      <c r="F2842" s="114" t="n">
        <v>1</v>
      </c>
      <c r="G2842" s="396">
        <f>IF(AND(B2842="",C2842=""),"",ROUND(M2842*L2842*N2842,2))</f>
        <v/>
      </c>
      <c r="H2842" s="396">
        <f>IF(AND(B2842="",C2842=""),"",ROUND(F2842*G2842,2))</f>
        <v/>
      </c>
      <c r="I2842" s="219" t="inlineStr"/>
      <c r="J2842" s="397">
        <f>IF(AND(B2842="",C2842=""),"",ROUND(M2842*N2842,2))</f>
        <v/>
      </c>
      <c r="K2842" s="398">
        <f>IF(AND(B2842="",C2842=""),"",ROUND(J2842*F2842,2))</f>
        <v/>
      </c>
      <c r="L2842" s="200" t="n">
        <v>1</v>
      </c>
      <c r="M2842" s="399" t="n">
        <v>2738.73</v>
      </c>
      <c r="N2842" s="154" t="n">
        <v>1</v>
      </c>
      <c r="O2842" s="155">
        <f>IF(AND(B2842="",C2842=""),"",IF(G2842&gt;=20000,0.05,IF(G2842&gt;=10000,0.1,IF(G2842&gt;=5000,0.2,IF(G2842&gt;=1000,0.3,IF(G2842&gt;=0,0.4,{0}))))))</f>
        <v/>
      </c>
      <c r="P2842" s="400">
        <f>IF(AND(B2842="",C2842=""),"",ROUND(H2842*O2842,2))</f>
        <v/>
      </c>
      <c r="Q2842" s="401" t="inlineStr">
        <is>
          <t>辅料</t>
        </is>
      </c>
      <c r="R2842" s="168" t="inlineStr"/>
      <c r="S2842" s="168" t="inlineStr"/>
      <c r="T2842" s="168" t="inlineStr">
        <is>
          <t>0</t>
        </is>
      </c>
      <c r="U2842" s="168" t="inlineStr"/>
      <c r="V2842" s="402" t="n"/>
      <c r="W2842" s="402" t="n"/>
      <c r="X2842" s="170" t="inlineStr"/>
    </row>
    <row r="2843" s="308">
      <c r="A2843" s="64">
        <f>ROW()-ROW(A$2822)</f>
        <v/>
      </c>
      <c r="B2843" s="112" t="inlineStr">
        <is>
          <t>柜体Blokset</t>
        </is>
      </c>
      <c r="C2843" s="22" t="inlineStr">
        <is>
          <t>600W*1200D*2200H</t>
        </is>
      </c>
      <c r="D2843" s="112" t="inlineStr">
        <is>
          <t>清科</t>
        </is>
      </c>
      <c r="E2843" s="114" t="inlineStr">
        <is>
          <t>台</t>
        </is>
      </c>
      <c r="F2843" s="114" t="n">
        <v>1</v>
      </c>
      <c r="G2843" s="396">
        <f>IF(AND(B2843="",C2843=""),"",ROUND(M2843*L2843*N2843,2))</f>
        <v/>
      </c>
      <c r="H2843" s="396">
        <f>IF(AND(B2843="",C2843=""),"",ROUND(F2843*G2843,2))</f>
        <v/>
      </c>
      <c r="I2843" s="219" t="inlineStr"/>
      <c r="J2843" s="397">
        <f>IF(AND(B2843="",C2843=""),"",ROUND(M2843*N2843,2))</f>
        <v/>
      </c>
      <c r="K2843" s="398">
        <f>IF(AND(B2843="",C2843=""),"",ROUND(J2843*F2843,2))</f>
        <v/>
      </c>
      <c r="L2843" s="200" t="n">
        <v>1</v>
      </c>
      <c r="M2843" s="399" t="n">
        <v>6213</v>
      </c>
      <c r="N2843" s="154" t="n">
        <v>1</v>
      </c>
      <c r="O2843" s="155">
        <f>IF(AND(B2843="",C2843=""),"",IF(G2843&gt;=20000,0.05,IF(G2843&gt;=10000,0.1,IF(G2843&gt;=5000,0.2,IF(G2843&gt;=1000,0.3,IF(G2843&gt;=0,0.4,{0}))))))</f>
        <v/>
      </c>
      <c r="P2843" s="400">
        <f>IF(AND(B2843="",C2843=""),"",ROUND(H2843*O2843,2))</f>
        <v/>
      </c>
      <c r="Q2843" s="401" t="inlineStr">
        <is>
          <t>箱体</t>
        </is>
      </c>
      <c r="R2843" s="168" t="inlineStr"/>
      <c r="S2843" s="168" t="inlineStr"/>
      <c r="T2843" s="168" t="inlineStr">
        <is>
          <t>0</t>
        </is>
      </c>
      <c r="U2843" s="168" t="inlineStr"/>
      <c r="V2843" s="402" t="n"/>
      <c r="W2843" s="402" t="n"/>
      <c r="X2843" s="170" t="inlineStr">
        <is>
          <t>BlokSeT</t>
        </is>
      </c>
    </row>
    <row r="2844" s="308">
      <c r="A2844" s="64">
        <f>ROW()-ROW(A$2822)</f>
        <v/>
      </c>
      <c r="B2844" s="22" t="inlineStr"/>
      <c r="C2844" s="22" t="inlineStr"/>
      <c r="D2844" s="22" t="inlineStr"/>
      <c r="E2844" s="23" t="n"/>
      <c r="F2844" s="23">
        <f>IF(AND(B2844="",C2844=""),"",1)</f>
        <v/>
      </c>
      <c r="G2844" s="349">
        <f>IF(AND(B2844="",C2844=""),"",ROUND(M2844*L2844*N2844,2))</f>
        <v/>
      </c>
      <c r="H2844" s="349">
        <f>IF(AND(B2844="",C2844=""),"",ROUND(F2844*G2844,2))</f>
        <v/>
      </c>
      <c r="I2844" s="45" t="inlineStr"/>
      <c r="J2844" s="397">
        <f>IF(AND(B2844="",C2844=""),"",ROUND(M2844*N2844,2))</f>
        <v/>
      </c>
      <c r="K2844" s="398">
        <f>IF(AND(B2844="",C2844=""),"",ROUND(J2844*F2844,2))</f>
        <v/>
      </c>
      <c r="L2844" s="200">
        <f>IF(AND(B2844="",C2844=""),"",1)</f>
        <v/>
      </c>
      <c r="M2844" s="399" t="n"/>
      <c r="N2844" s="154">
        <f>IF(AND(B2844="",C2844=""),"",1)</f>
        <v/>
      </c>
      <c r="O2844" s="155">
        <f>IF(AND(B2844="",C2844=""),"",IF(J2844&gt;=20000,0.05,IF(J2844&gt;=10000,0.1,IF(J2844&gt;=5000,0.2,IF(J2844&gt;=1000,0.3,IF(J2844&gt;=0,0.4,{0}))))))</f>
        <v/>
      </c>
      <c r="P2844" s="400">
        <f>IF(AND(B2844="",C2844=""),"",ROUND(H2844*O2844,2))</f>
        <v/>
      </c>
      <c r="Q2844" s="401">
        <f>IF(AND(B2844="",C2844=""),"","元件")</f>
        <v/>
      </c>
      <c r="R2844" s="168" t="inlineStr"/>
      <c r="S2844" s="168" t="inlineStr"/>
      <c r="T2844" s="168" t="inlineStr"/>
      <c r="U2844" s="168" t="inlineStr"/>
      <c r="V2844" s="402" t="n"/>
      <c r="W2844" s="402" t="n"/>
      <c r="X2844" s="170" t="inlineStr"/>
    </row>
    <row r="2845" s="308">
      <c r="A2845" s="64">
        <f>ROW()-ROW(A$2822)</f>
        <v/>
      </c>
      <c r="B2845" s="171" t="inlineStr">
        <is>
          <t>小计</t>
        </is>
      </c>
      <c r="C2845" s="172" t="n"/>
      <c r="D2845" s="204" t="n"/>
      <c r="E2845" s="114" t="n"/>
      <c r="F2845" s="114" t="n"/>
      <c r="G2845" s="396" t="n"/>
      <c r="H2845" s="396">
        <f>ROUND(SUM(H2822:INDEX(H:H,ROW()-1)),2)</f>
        <v/>
      </c>
      <c r="I2845" s="45" t="inlineStr"/>
      <c r="J2845" s="397" t="n"/>
      <c r="K2845" s="398">
        <f>ROUND(SUM(K2822:INDEX(K:K,ROW()-1)),2)</f>
        <v/>
      </c>
      <c r="L2845" s="200" t="n"/>
      <c r="M2845" s="399" t="n"/>
      <c r="N2845" s="154" t="n"/>
      <c r="O2845" s="155" t="n"/>
      <c r="P2845" s="400" t="n"/>
      <c r="Q2845" s="401" t="n"/>
      <c r="R2845" s="168" t="inlineStr"/>
      <c r="S2845" s="168" t="inlineStr"/>
      <c r="T2845" s="168" t="inlineStr"/>
      <c r="U2845" s="168" t="inlineStr"/>
      <c r="V2845" s="402">
        <f>ROUND(SUMPRODUCT(F2822:INDEX(F:F,ROW()-1),V2822:INDEX(V:V,ROW()-1)),2)</f>
        <v/>
      </c>
      <c r="W2845" s="402">
        <f>ROUND(SUMPRODUCT(F2822:INDEX(F:F,ROW()-1),W2822:INDEX(W:W,ROW()-1)),2)</f>
        <v/>
      </c>
      <c r="X2845" s="170" t="inlineStr"/>
    </row>
    <row r="2846" s="308">
      <c r="A2846" s="64">
        <f>ROW()-ROW(A$2822)</f>
        <v/>
      </c>
      <c r="B2846" s="171" t="inlineStr">
        <is>
          <t>综合费(人工、管理、税金、利润等)</t>
        </is>
      </c>
      <c r="C2846" s="172" t="n"/>
      <c r="D2846" s="204" t="n"/>
      <c r="E2846" s="114" t="n"/>
      <c r="F2846" s="114" t="n"/>
      <c r="G2846" s="396" t="n"/>
      <c r="H2846" s="396">
        <f>2500</f>
        <v/>
      </c>
      <c r="I2846" s="45" t="inlineStr"/>
      <c r="J2846" s="397" t="n"/>
      <c r="K2846" s="398" t="n"/>
      <c r="L2846" s="200" t="n"/>
      <c r="M2846" s="399" t="n"/>
      <c r="N2846" s="154" t="n"/>
      <c r="O2846" s="155" t="n"/>
      <c r="P2846" s="400" t="n"/>
      <c r="Q2846" s="401" t="inlineStr">
        <is>
          <t>费用</t>
        </is>
      </c>
      <c r="R2846" s="168" t="inlineStr"/>
      <c r="S2846" s="168" t="inlineStr"/>
      <c r="T2846" s="168" t="inlineStr"/>
      <c r="U2846" s="168" t="inlineStr"/>
      <c r="V2846" s="402" t="n"/>
      <c r="W2846" s="402" t="n"/>
      <c r="X2846" s="170" t="inlineStr"/>
    </row>
    <row r="2847" s="308">
      <c r="A2847" s="64">
        <f>ROW()-ROW(A$2822)</f>
        <v/>
      </c>
      <c r="B2847" s="204" t="inlineStr">
        <is>
          <t>单台合计</t>
        </is>
      </c>
      <c r="C2847" s="172" t="n"/>
      <c r="D2847" s="204" t="n"/>
      <c r="E2847" s="114" t="n"/>
      <c r="F2847" s="114" t="n"/>
      <c r="G2847" s="396" t="n"/>
      <c r="H2847" s="396">
        <f>ROUND(SUM(H2845:H2846),2)</f>
        <v/>
      </c>
      <c r="I2847" s="181" t="n"/>
      <c r="J2847" s="397" t="n"/>
      <c r="K2847" s="398">
        <f>ROUND(SUM(K2845:K2846),2)</f>
        <v/>
      </c>
      <c r="L2847" s="209" t="n"/>
      <c r="M2847" s="399" t="n"/>
      <c r="N2847" s="210" t="n"/>
      <c r="O2847" s="211" t="n"/>
      <c r="P2847" s="400" t="n"/>
      <c r="Q2847" s="401" t="n"/>
      <c r="R2847" s="168" t="inlineStr"/>
      <c r="S2847" s="168" t="inlineStr"/>
      <c r="T2847" s="168" t="inlineStr"/>
      <c r="U2847" s="168" t="inlineStr"/>
      <c r="V2847" s="402" t="n"/>
      <c r="W2847" s="402" t="n"/>
      <c r="X2847" s="170" t="inlineStr"/>
    </row>
    <row r="2848" s="308">
      <c r="A2848" s="173" t="inlineStr">
        <is>
          <t>总计</t>
        </is>
      </c>
      <c r="B2848" s="205" t="n"/>
      <c r="C2848" s="175" t="n"/>
      <c r="D2848" s="206" t="n"/>
      <c r="E2848" s="206" t="inlineStr">
        <is>
          <t>台</t>
        </is>
      </c>
      <c r="F2848" s="206" t="n">
        <v>1</v>
      </c>
      <c r="G2848" s="414">
        <f>ROUND(H2847,2)</f>
        <v/>
      </c>
      <c r="H2848" s="414">
        <f>ROUND(F2848*G2848,2)</f>
        <v/>
      </c>
      <c r="I2848" s="185" t="n"/>
      <c r="J2848" s="415" t="n"/>
      <c r="K2848" s="416">
        <f>ROUND(K2847*F2848,2)</f>
        <v/>
      </c>
      <c r="L2848" s="214" t="n"/>
      <c r="M2848" s="417" t="n"/>
      <c r="N2848" s="216" t="n"/>
      <c r="O2848" s="217" t="n"/>
      <c r="P2848" s="418" t="n"/>
      <c r="Q2848" s="401" t="n"/>
      <c r="R2848" s="168" t="inlineStr"/>
      <c r="S2848" s="168" t="inlineStr"/>
      <c r="T2848" s="168" t="inlineStr"/>
      <c r="U2848" s="168" t="inlineStr"/>
      <c r="V2848" s="402" t="n"/>
      <c r="W2848" s="402" t="n"/>
      <c r="X2848" s="170" t="inlineStr"/>
    </row>
    <row r="2849" customFormat="1" s="4">
      <c r="A2849" s="6" t="n"/>
      <c r="B2849" s="195" t="inlineStr"/>
      <c r="C2849" s="195" t="inlineStr"/>
      <c r="D2849" s="195" t="inlineStr"/>
      <c r="Q2849" s="159" t="n"/>
      <c r="R2849" s="159" t="n"/>
      <c r="S2849" s="159" t="n"/>
      <c r="T2849" s="159" t="n"/>
      <c r="U2849" s="159" t="n"/>
      <c r="X2849" s="195" t="inlineStr"/>
    </row>
    <row r="2850" customFormat="1" s="4">
      <c r="A2850" s="6" t="n"/>
      <c r="B2850" s="195" t="inlineStr"/>
      <c r="C2850" s="195" t="inlineStr"/>
      <c r="D2850" s="195" t="inlineStr"/>
      <c r="Q2850" s="159" t="n"/>
      <c r="R2850" s="159" t="n"/>
      <c r="S2850" s="159" t="n"/>
      <c r="T2850" s="159" t="n"/>
      <c r="U2850" s="159" t="n"/>
      <c r="X2850" s="195" t="inlineStr"/>
    </row>
    <row r="2851" s="308">
      <c r="A2851" s="208">
        <f>CONCATENATE("报价人：",项目信息!$B$8)</f>
        <v/>
      </c>
      <c r="B2851" s="208" t="n"/>
      <c r="C2851" s="4" t="n"/>
      <c r="D2851" s="4" t="n"/>
      <c r="E2851" s="4" t="n"/>
      <c r="F2851" s="4" t="n"/>
      <c r="G2851" s="4" t="n"/>
      <c r="H2851" s="178">
        <f>项目信息!$B$9</f>
        <v/>
      </c>
      <c r="Q2851" s="159" t="n"/>
      <c r="R2851" s="159" t="n"/>
      <c r="S2851" s="159" t="n"/>
      <c r="T2851" s="159" t="n"/>
      <c r="U2851" s="159" t="n"/>
      <c r="X2851" s="203" t="inlineStr"/>
    </row>
    <row r="2852" s="308">
      <c r="A2852" s="8">
        <f>T(项目信息!$B$22)</f>
        <v/>
      </c>
      <c r="Q2852" s="159" t="n"/>
      <c r="R2852" s="159" t="n"/>
      <c r="S2852" s="159" t="n"/>
      <c r="T2852" s="159" t="n"/>
      <c r="U2852" s="159" t="n"/>
    </row>
    <row r="2853" s="308">
      <c r="A2853" s="9">
        <f>T(项目信息!$B$23)</f>
        <v/>
      </c>
      <c r="Q2853" s="159" t="n"/>
      <c r="R2853" s="159" t="n"/>
      <c r="S2853" s="159" t="n"/>
      <c r="T2853" s="159" t="n"/>
      <c r="U2853" s="159" t="n"/>
    </row>
    <row r="2854" s="308">
      <c r="A2854" s="97" t="inlineStr">
        <is>
          <t>成套产品报价明细表</t>
        </is>
      </c>
      <c r="B2854" s="378" t="n"/>
      <c r="C2854" s="378" t="n"/>
      <c r="D2854" s="378" t="n"/>
      <c r="E2854" s="378" t="n"/>
      <c r="F2854" s="378" t="n"/>
      <c r="G2854" s="378" t="n"/>
      <c r="H2854" s="378" t="n"/>
      <c r="I2854" s="378" t="n"/>
      <c r="Q2854" s="159" t="n"/>
      <c r="R2854" s="159" t="n"/>
      <c r="S2854" s="159" t="n"/>
      <c r="T2854" s="159" t="n"/>
      <c r="U2854" s="159" t="n"/>
    </row>
    <row r="2855" customFormat="1" s="4">
      <c r="A2855" s="98" t="inlineStr">
        <is>
          <t>柜号:</t>
        </is>
      </c>
      <c r="B2855" s="99" t="inlineStr">
        <is>
          <t>T11-AU31</t>
        </is>
      </c>
      <c r="C2855" s="100" t="inlineStr">
        <is>
          <t>型号:</t>
        </is>
      </c>
      <c r="D2855" s="99" t="inlineStr">
        <is>
          <t>BlokSeT</t>
        </is>
      </c>
      <c r="E2855" s="379" t="n"/>
      <c r="F2855" s="101" t="inlineStr">
        <is>
          <t>名称:</t>
        </is>
      </c>
      <c r="G2855" s="99" t="inlineStr">
        <is>
          <t>进线柜</t>
        </is>
      </c>
      <c r="H2855" s="379" t="n"/>
      <c r="I2855" s="408" t="inlineStr"/>
      <c r="J2855" s="194" t="inlineStr">
        <is>
          <t>箱柜尺寸:</t>
        </is>
      </c>
      <c r="K2855" s="195" t="inlineStr">
        <is>
          <t>600W*1200D*2200H</t>
        </is>
      </c>
      <c r="L2855" s="194" t="inlineStr">
        <is>
          <t>类别:</t>
        </is>
      </c>
      <c r="M2855" s="195" t="inlineStr">
        <is>
          <t>低压固定柜</t>
        </is>
      </c>
      <c r="N2855" s="409" t="inlineStr"/>
      <c r="Q2855" s="159" t="n"/>
      <c r="R2855" s="159" t="n"/>
      <c r="S2855" s="159" t="n"/>
      <c r="T2855" s="159" t="n"/>
      <c r="U2855" s="159" t="n"/>
    </row>
    <row r="2856" ht="20.1" customHeight="1" s="308">
      <c r="A2856" s="102" t="inlineStr">
        <is>
          <t>序号</t>
        </is>
      </c>
      <c r="B2856" s="103" t="inlineStr">
        <is>
          <t>元件名称</t>
        </is>
      </c>
      <c r="C2856" s="103" t="inlineStr">
        <is>
          <t>型号规格</t>
        </is>
      </c>
      <c r="D2856" s="104" t="inlineStr">
        <is>
          <t>生产厂家</t>
        </is>
      </c>
      <c r="E2856" s="105" t="inlineStr">
        <is>
          <t>单位</t>
        </is>
      </c>
      <c r="F2856" s="105" t="inlineStr">
        <is>
          <t>数量</t>
        </is>
      </c>
      <c r="G2856" s="382" t="inlineStr">
        <is>
          <t>单   价</t>
        </is>
      </c>
      <c r="H2856" s="383" t="inlineStr">
        <is>
          <t>总   价</t>
        </is>
      </c>
      <c r="I2856" s="134" t="inlineStr">
        <is>
          <t>备注</t>
        </is>
      </c>
      <c r="J2856" s="384" t="inlineStr">
        <is>
          <t>成本单价</t>
        </is>
      </c>
      <c r="K2856" s="384" t="inlineStr">
        <is>
          <t>成本总价</t>
        </is>
      </c>
      <c r="L2856" s="136" t="inlineStr">
        <is>
          <t>报出
系数</t>
        </is>
      </c>
      <c r="M2856" s="384" t="inlineStr">
        <is>
          <t>表价</t>
        </is>
      </c>
      <c r="N2856" s="136" t="inlineStr">
        <is>
          <t>折扣
系数</t>
        </is>
      </c>
      <c r="O2856" s="137" t="inlineStr">
        <is>
          <t>取费
系数</t>
        </is>
      </c>
      <c r="P2856" s="384" t="inlineStr">
        <is>
          <t>成套费</t>
        </is>
      </c>
      <c r="Q2856" s="161" t="inlineStr">
        <is>
          <t>类别</t>
        </is>
      </c>
      <c r="R2856" s="161" t="inlineStr">
        <is>
          <t>物料编码</t>
        </is>
      </c>
      <c r="S2856" s="161" t="inlineStr">
        <is>
          <t>产地</t>
        </is>
      </c>
      <c r="T2856" s="161" t="inlineStr">
        <is>
          <t>加工费</t>
        </is>
      </c>
      <c r="U2856" s="161" t="inlineStr">
        <is>
          <t>订货号</t>
        </is>
      </c>
      <c r="V2856" s="161" t="inlineStr">
        <is>
          <t>人工</t>
        </is>
      </c>
      <c r="W2856" s="161" t="inlineStr">
        <is>
          <t>辅料</t>
        </is>
      </c>
      <c r="X2856" s="203" t="inlineStr"/>
    </row>
    <row r="2857" s="308">
      <c r="A2857" s="64">
        <f>ROW()-ROW(A$2856)</f>
        <v/>
      </c>
      <c r="B2857" s="22" t="inlineStr">
        <is>
          <t>塑壳断路器</t>
        </is>
      </c>
      <c r="C2857" s="22" t="inlineStr">
        <is>
          <t>NSX630H Mic2.3 630A 3P3D P</t>
        </is>
      </c>
      <c r="D2857" s="22" t="inlineStr">
        <is>
          <t>甲供/施耐德电气</t>
        </is>
      </c>
      <c r="E2857" s="23" t="inlineStr">
        <is>
          <t>只</t>
        </is>
      </c>
      <c r="F2857" s="23" t="n">
        <v>2</v>
      </c>
      <c r="G2857" s="349">
        <f>IF(AND(B2857="",C2857=""),"",ROUND(M2857*L2857*N2857,2))</f>
        <v/>
      </c>
      <c r="H2857" s="349">
        <f>IF(AND(B2857="",C2857=""),"",ROUND(F2857*G2857,2))</f>
        <v/>
      </c>
      <c r="I2857" s="45" t="inlineStr"/>
      <c r="J2857" s="397">
        <f>IF(AND(B2857="",C2857=""),"",ROUND(M2857*N2857,2))</f>
        <v/>
      </c>
      <c r="K2857" s="398">
        <f>IF(AND(B2857="",C2857=""),"",ROUND(J2857*F2857,2))</f>
        <v/>
      </c>
      <c r="L2857" s="200" t="n">
        <v>1</v>
      </c>
      <c r="M2857" s="399" t="n">
        <v>1e-07</v>
      </c>
      <c r="N2857" s="154" t="n">
        <v>1</v>
      </c>
      <c r="O2857" s="155">
        <f>IF(AND(B2857="",C2857=""),"",IF(G2857&gt;=20000,0.05,IF(G2857&gt;=10000,0.1,IF(G2857&gt;=5000,0.2,IF(G2857&gt;=1000,0.3,IF(G2857&gt;=0,0.4,{0}))))))</f>
        <v/>
      </c>
      <c r="P2857" s="400">
        <f>IF(AND(B2857="",C2857=""),"",ROUND(H2857*O2857,2))</f>
        <v/>
      </c>
      <c r="Q2857" s="401" t="inlineStr">
        <is>
          <t>元件</t>
        </is>
      </c>
      <c r="R2857" s="168" t="inlineStr"/>
      <c r="S2857" s="168" t="inlineStr"/>
      <c r="T2857" s="168" t="inlineStr">
        <is>
          <t>0</t>
        </is>
      </c>
      <c r="U2857" s="168" t="inlineStr">
        <is>
          <t>C16F32D160</t>
        </is>
      </c>
      <c r="V2857" s="402" t="n"/>
      <c r="W2857" s="402" t="n"/>
      <c r="X2857" s="170" t="inlineStr">
        <is>
          <t>NSX630N Mic2.3 630A 3P3D F→NSX630F MIC2.3 630 3P F→NSX630F MIC 2.3 630 3P F</t>
        </is>
      </c>
    </row>
    <row r="2858" s="308">
      <c r="A2858" s="64">
        <f>ROW()-ROW(A$2856)</f>
        <v/>
      </c>
      <c r="B2858" s="22" t="inlineStr">
        <is>
          <t>电流互感器</t>
        </is>
      </c>
      <c r="C2858" s="22" t="inlineStr">
        <is>
          <t>SD-0.66-60II-C 600/5A</t>
        </is>
      </c>
      <c r="D2858" s="22" t="inlineStr">
        <is>
          <t>桑迪</t>
        </is>
      </c>
      <c r="E2858" s="23" t="inlineStr">
        <is>
          <t>只</t>
        </is>
      </c>
      <c r="F2858" s="23" t="n">
        <v>6</v>
      </c>
      <c r="G2858" s="349">
        <f>IF(AND(B2858="",C2858=""),"",ROUND(M2858*L2858*N2858,2))</f>
        <v/>
      </c>
      <c r="H2858" s="396">
        <f>IF(AND(B2858="",C2858=""),"",ROUND(F2858*G2858,2))</f>
        <v/>
      </c>
      <c r="I2858" s="219" t="inlineStr"/>
      <c r="J2858" s="397">
        <f>IF(AND(B2858="",C2858=""),"",ROUND(M2858*N2858,2))</f>
        <v/>
      </c>
      <c r="K2858" s="398">
        <f>IF(AND(B2858="",C2858=""),"",ROUND(J2858*F2858,2))</f>
        <v/>
      </c>
      <c r="L2858" s="200" t="n">
        <v>1</v>
      </c>
      <c r="M2858" s="399" t="n">
        <v>63.7</v>
      </c>
      <c r="N2858" s="154" t="n">
        <v>1</v>
      </c>
      <c r="O2858" s="155">
        <f>IF(AND(B2858="",C2858=""),"",IF(G2858&gt;=20000,0.05,IF(G2858&gt;=10000,0.1,IF(G2858&gt;=5000,0.2,IF(G2858&gt;=1000,0.3,IF(G2858&gt;=0,0.4,{0}))))))</f>
        <v/>
      </c>
      <c r="P2858" s="400">
        <f>IF(AND(B2858="",C2858=""),"",ROUND(H2858*O2858,2))</f>
        <v/>
      </c>
      <c r="Q2858" s="401" t="inlineStr">
        <is>
          <t>元件</t>
        </is>
      </c>
      <c r="R2858" s="168" t="inlineStr"/>
      <c r="S2858" s="168" t="inlineStr"/>
      <c r="T2858" s="168" t="inlineStr">
        <is>
          <t>0</t>
        </is>
      </c>
      <c r="U2858" s="168" t="inlineStr"/>
      <c r="V2858" s="402" t="n"/>
      <c r="W2858" s="402" t="n"/>
      <c r="X2858" s="170" t="inlineStr">
        <is>
          <t>SD→SD-0.66-40II-C 400/5A→SD-0.66-30I 250/5A→SD-0.66-30I 150/5A→SD-0.66-60II-C 750/5A→SD-0.66-60II-C 600/5A→SD-0.66-30I 150/5A→SD-0.66-40II-C 400/5A→SD-0.66-100II-C 1600/5A→SD-0.66-80II-V 1000/5A→SD-0.66-80II-V 1250/5A→SD-0.66-80II-V 1000/5A→SD-0.66-80II-V 800/5A</t>
        </is>
      </c>
    </row>
    <row r="2859" s="308">
      <c r="A2859" s="64">
        <f>ROW()-ROW(A$2856)</f>
        <v/>
      </c>
      <c r="B2859" s="112" t="inlineStr">
        <is>
          <t>多功能表</t>
        </is>
      </c>
      <c r="C2859" s="112" t="inlineStr">
        <is>
          <t>PM4101</t>
        </is>
      </c>
      <c r="D2859" s="112" t="inlineStr">
        <is>
          <t>甲供/施耐德电气</t>
        </is>
      </c>
      <c r="E2859" s="114" t="inlineStr">
        <is>
          <t>只</t>
        </is>
      </c>
      <c r="F2859" s="114" t="n">
        <v>2</v>
      </c>
      <c r="G2859" s="396">
        <f>IF(AND(B2859="",C2859=""),"",ROUND(M2859*L2859*N2859,2))</f>
        <v/>
      </c>
      <c r="H2859" s="349">
        <f>IF(AND(B2859="",C2859=""),"",ROUND(F2859*G2859,2))</f>
        <v/>
      </c>
      <c r="I2859" s="45" t="inlineStr"/>
      <c r="J2859" s="397">
        <f>IF(AND(B2859="",C2859=""),"",ROUND(M2859*N2859,2))</f>
        <v/>
      </c>
      <c r="K2859" s="398">
        <f>IF(AND(B2859="",C2859=""),"",ROUND(J2859*F2859,2))</f>
        <v/>
      </c>
      <c r="L2859" s="200" t="n">
        <v>1</v>
      </c>
      <c r="M2859" s="399" t="n">
        <v>1e-07</v>
      </c>
      <c r="N2859" s="154" t="n">
        <v>1</v>
      </c>
      <c r="O2859" s="155">
        <f>IF(AND(B2859="",C2859=""),"",IF(J2859&gt;=20000,0.05,IF(J2859&gt;=10000,0.1,IF(J2859&gt;=5000,0.2,IF(J2859&gt;=1000,0.3,IF(J2859&gt;=0,0.4,{0}))))))</f>
        <v/>
      </c>
      <c r="P2859" s="400">
        <f>IF(AND(B2859="",C2859=""),"",ROUND(H2859*O2859,2))</f>
        <v/>
      </c>
      <c r="Q2859" s="401" t="inlineStr">
        <is>
          <t>元件</t>
        </is>
      </c>
      <c r="R2859" s="168" t="inlineStr"/>
      <c r="S2859" s="168" t="inlineStr"/>
      <c r="T2859" s="168" t="inlineStr">
        <is>
          <t>0</t>
        </is>
      </c>
      <c r="U2859" s="168" t="inlineStr"/>
      <c r="V2859" s="402" t="n"/>
      <c r="W2859" s="402" t="n"/>
      <c r="X2859" s="170" t="inlineStr"/>
    </row>
    <row r="2860" customFormat="1" s="3">
      <c r="A2860" s="64">
        <f>ROW()-ROW(A$2856)</f>
        <v/>
      </c>
      <c r="B2860" s="27" t="inlineStr">
        <is>
          <t>后备保护器</t>
        </is>
      </c>
      <c r="C2860" s="22" t="inlineStr">
        <is>
          <t>iSCB2 40H2 4P</t>
        </is>
      </c>
      <c r="D2860" s="22" t="inlineStr">
        <is>
          <t>甲供/施耐德万高</t>
        </is>
      </c>
      <c r="E2860" s="110" t="inlineStr">
        <is>
          <t>只</t>
        </is>
      </c>
      <c r="F2860" s="23" t="n">
        <v>1</v>
      </c>
      <c r="G2860" s="349">
        <f>IF(AND(B2860="",C2860=""),"",ROUND(M2860*L2860*N2860,2))</f>
        <v/>
      </c>
      <c r="H2860" s="349">
        <f>IF(AND(B2860="",C2860=""),"",ROUND(F2860*G2860,2))</f>
        <v/>
      </c>
      <c r="I2860" s="45" t="inlineStr"/>
      <c r="J2860" s="392">
        <f>IF(AND(B2860="",C2860=""),"",ROUND(M2860*N2860,2))</f>
        <v/>
      </c>
      <c r="K2860" s="393">
        <f>IF(AND(B2860="",C2860=""),"",ROUND(J2860*F2860,2))</f>
        <v/>
      </c>
      <c r="L2860" s="141" t="n">
        <v>1</v>
      </c>
      <c r="M2860" s="394" t="n">
        <v>1e-07</v>
      </c>
      <c r="N2860" s="143" t="n">
        <v>1</v>
      </c>
      <c r="O2860" s="144">
        <f>IF(AND(B2860="",C2860=""),"",IF(G2860&gt;=20000,0.05,IF(G2860&gt;=10000,0.1,IF(G2860&gt;=5000,0.2,IF(G2860&gt;=1000,0.3,IF(G2860&gt;=0,0.4,{0}))))))</f>
        <v/>
      </c>
      <c r="P2860" s="395">
        <f>IF(AND(B2860="",C2860=""),"",ROUND(H2860*O2860,2))</f>
        <v/>
      </c>
      <c r="Q2860" s="390" t="inlineStr">
        <is>
          <t>元件</t>
        </is>
      </c>
      <c r="R2860" s="164" t="inlineStr"/>
      <c r="S2860" s="164" t="inlineStr"/>
      <c r="T2860" s="164" t="inlineStr">
        <is>
          <t>0</t>
        </is>
      </c>
      <c r="U2860" s="164" t="inlineStr">
        <is>
          <t>A9L102554</t>
        </is>
      </c>
      <c r="V2860" s="391" t="n"/>
      <c r="W2860" s="391" t="n"/>
      <c r="X2860" s="166" t="inlineStr">
        <is>
          <t>iSCB1 25L1 4P→iSCB2 40H2 4P</t>
        </is>
      </c>
    </row>
    <row r="2861" customFormat="1" s="3">
      <c r="A2861" s="64">
        <f>ROW()-ROW(A$2856)</f>
        <v/>
      </c>
      <c r="B2861" s="27" t="inlineStr">
        <is>
          <t>电涌保护器</t>
        </is>
      </c>
      <c r="C2861" s="22" t="inlineStr">
        <is>
          <t>iPRU 40r 3P+N</t>
        </is>
      </c>
      <c r="D2861" s="22" t="inlineStr">
        <is>
          <t>甲供/施耐德万高</t>
        </is>
      </c>
      <c r="E2861" s="110" t="inlineStr">
        <is>
          <t>只</t>
        </is>
      </c>
      <c r="F2861" s="23" t="n">
        <v>1</v>
      </c>
      <c r="G2861" s="349">
        <f>IF(AND(B2861="",C2861=""),"",ROUND(M2861*L2861*N2861,2))</f>
        <v/>
      </c>
      <c r="H2861" s="349">
        <f>IF(AND(B2861="",C2861=""),"",ROUND(F2861*G2861,2))</f>
        <v/>
      </c>
      <c r="I2861" s="45" t="inlineStr"/>
      <c r="J2861" s="392">
        <f>IF(AND(B2861="",C2861=""),"",ROUND(M2861*N2861,2))</f>
        <v/>
      </c>
      <c r="K2861" s="393">
        <f>IF(AND(B2861="",C2861=""),"",ROUND(J2861*F2861,2))</f>
        <v/>
      </c>
      <c r="L2861" s="141" t="n">
        <v>1</v>
      </c>
      <c r="M2861" s="394" t="n">
        <v>1e-07</v>
      </c>
      <c r="N2861" s="143" t="n">
        <v>1</v>
      </c>
      <c r="O2861" s="144">
        <f>IF(AND(B2861="",C2861=""),"",IF(G2861&gt;=20000,0.05,IF(G2861&gt;=10000,0.1,IF(G2861&gt;=5000,0.2,IF(G2861&gt;=1000,0.3,IF(G2861&gt;=0,0.4,{0}))))))</f>
        <v/>
      </c>
      <c r="P2861" s="395">
        <f>IF(AND(B2861="",C2861=""),"",ROUND(H2861*O2861,2))</f>
        <v/>
      </c>
      <c r="Q2861" s="390" t="inlineStr">
        <is>
          <t>元件</t>
        </is>
      </c>
      <c r="R2861" s="164" t="inlineStr"/>
      <c r="S2861" s="164" t="inlineStr"/>
      <c r="T2861" s="164" t="inlineStr">
        <is>
          <t>0</t>
        </is>
      </c>
      <c r="U2861" s="164" t="inlineStr">
        <is>
          <t>A9L620601</t>
        </is>
      </c>
      <c r="V2861" s="391" t="n"/>
      <c r="W2861" s="391" t="n"/>
      <c r="X2861" s="166" t="inlineStr">
        <is>
          <t>iPRF1 12.5r 3P+N→iPRU 40r 3P→iPRF1 12.5r 3P+N</t>
        </is>
      </c>
    </row>
    <row r="2862" customFormat="1" s="3">
      <c r="A2862" s="64">
        <f>ROW()-ROW(A$2856)</f>
        <v/>
      </c>
      <c r="B2862" s="27" t="inlineStr">
        <is>
          <t>微型断路器</t>
        </is>
      </c>
      <c r="C2862" s="22" t="inlineStr">
        <is>
          <t>iC65H 2P C16A</t>
        </is>
      </c>
      <c r="D2862" s="22" t="inlineStr">
        <is>
          <t>甲供/施耐德电气</t>
        </is>
      </c>
      <c r="E2862" s="110" t="inlineStr">
        <is>
          <t>只</t>
        </is>
      </c>
      <c r="F2862" s="23" t="n">
        <v>2</v>
      </c>
      <c r="G2862" s="349">
        <f>IF(AND(B2862="",C2862=""),"",ROUND(M2862*L2862*N2862,2))</f>
        <v/>
      </c>
      <c r="H2862" s="349">
        <f>IF(AND(B2862="",C2862=""),"",ROUND(F2862*G2862,2))</f>
        <v/>
      </c>
      <c r="I2862" s="45" t="inlineStr"/>
      <c r="J2862" s="392">
        <f>IF(AND(B2862="",C2862=""),"",ROUND(M2862*N2862,2))</f>
        <v/>
      </c>
      <c r="K2862" s="393">
        <f>IF(AND(B2862="",C2862=""),"",ROUND(J2862*F2862,2))</f>
        <v/>
      </c>
      <c r="L2862" s="141" t="n">
        <v>1</v>
      </c>
      <c r="M2862" s="394" t="n">
        <v>1e-07</v>
      </c>
      <c r="N2862" s="143" t="n">
        <v>1</v>
      </c>
      <c r="O2862" s="144">
        <f>IF(AND(B2862="",C2862=""),"",IF(G2862&gt;=20000,0.05,IF(G2862&gt;=10000,0.1,IF(G2862&gt;=5000,0.2,IF(G2862&gt;=1000,0.3,IF(G2862&gt;=0,0.4,{0}))))))</f>
        <v/>
      </c>
      <c r="P2862" s="395">
        <f>IF(AND(B2862="",C2862=""),"",ROUND(H2862*O2862,2))</f>
        <v/>
      </c>
      <c r="Q2862" s="390" t="inlineStr">
        <is>
          <t>元件</t>
        </is>
      </c>
      <c r="R2862" s="164" t="inlineStr"/>
      <c r="S2862" s="164" t="inlineStr"/>
      <c r="T2862" s="164" t="n">
        <v>0</v>
      </c>
      <c r="U2862" s="164" t="inlineStr"/>
      <c r="V2862" s="391" t="n"/>
      <c r="W2862" s="391" t="n"/>
      <c r="X2862" s="166" t="inlineStr"/>
    </row>
    <row r="2863" customFormat="1" s="3">
      <c r="A2863" s="64">
        <f>ROW()-ROW(A$2856)</f>
        <v/>
      </c>
      <c r="B2863" s="22" t="inlineStr">
        <is>
          <t>指示灯</t>
        </is>
      </c>
      <c r="C2863" s="22" t="inlineStr">
        <is>
          <t>XB2BVM3LC</t>
        </is>
      </c>
      <c r="D2863" s="22" t="inlineStr">
        <is>
          <t>甲供/施耐德电气</t>
        </is>
      </c>
      <c r="E2863" s="23" t="inlineStr">
        <is>
          <t>只</t>
        </is>
      </c>
      <c r="F2863" s="23" t="n">
        <v>2</v>
      </c>
      <c r="G2863" s="349">
        <f>IF(AND(B2863="",C2863=""),"",ROUND(M2863*L2863*N2863,2))</f>
        <v/>
      </c>
      <c r="H2863" s="353">
        <f>IF(AND(B2863="",C2863=""),"",ROUND(F2863*G2863,2))</f>
        <v/>
      </c>
      <c r="I2863" s="180" t="inlineStr"/>
      <c r="J2863" s="392">
        <f>IF(AND(B2863="",C2863=""),"",ROUND(M2863*N2863,2))</f>
        <v/>
      </c>
      <c r="K2863" s="393">
        <f>IF(AND(B2863="",C2863=""),"",ROUND(J2863*F2863,2))</f>
        <v/>
      </c>
      <c r="L2863" s="141" t="n">
        <v>1</v>
      </c>
      <c r="M2863" s="394" t="n">
        <v>1e-07</v>
      </c>
      <c r="N2863" s="220" t="n">
        <v>1</v>
      </c>
      <c r="O2863" s="221">
        <f>IF(AND(B2863="",C2863=""),"",IF(G2863&gt;=20000,0.05,IF(G2863&gt;=10000,0.1,IF(G2863&gt;=5000,0.2,IF(G2863&gt;=1000,0.3,IF(G2863&gt;=0,0.4,{0}))))))</f>
        <v/>
      </c>
      <c r="P2863" s="419">
        <f>IF(AND(B2863="",C2863=""),"",ROUND(H2863*O2863,2))</f>
        <v/>
      </c>
      <c r="Q2863" s="420" t="inlineStr">
        <is>
          <t>元件</t>
        </is>
      </c>
      <c r="R2863" s="231" t="inlineStr"/>
      <c r="S2863" s="231" t="inlineStr"/>
      <c r="T2863" s="231" t="inlineStr">
        <is>
          <t>0</t>
        </is>
      </c>
      <c r="U2863" s="231" t="inlineStr">
        <is>
          <t>XB2BVM3LC</t>
        </is>
      </c>
      <c r="V2863" s="421" t="n"/>
      <c r="W2863" s="421" t="n"/>
      <c r="X2863" s="166" t="inlineStr">
        <is>
          <t>XA2EVM3LC</t>
        </is>
      </c>
    </row>
    <row r="2864" customFormat="1" s="3">
      <c r="A2864" s="64">
        <f>ROW()-ROW(A$2856)</f>
        <v/>
      </c>
      <c r="B2864" s="22" t="inlineStr">
        <is>
          <t>指示灯</t>
        </is>
      </c>
      <c r="C2864" s="22" t="inlineStr">
        <is>
          <t>XB2BVM4LC</t>
        </is>
      </c>
      <c r="D2864" s="22" t="inlineStr">
        <is>
          <t>甲供/施耐德电气</t>
        </is>
      </c>
      <c r="E2864" s="23" t="inlineStr">
        <is>
          <t>只</t>
        </is>
      </c>
      <c r="F2864" s="23" t="n">
        <v>2</v>
      </c>
      <c r="G2864" s="349">
        <f>IF(AND(B2864="",C2864=""),"",ROUND(M2864*L2864*N2864,2))</f>
        <v/>
      </c>
      <c r="H2864" s="353">
        <f>IF(AND(B2864="",C2864=""),"",ROUND(F2864*G2864,2))</f>
        <v/>
      </c>
      <c r="I2864" s="180" t="inlineStr"/>
      <c r="J2864" s="392">
        <f>IF(AND(B2864="",C2864=""),"",ROUND(M2864*N2864,2))</f>
        <v/>
      </c>
      <c r="K2864" s="393">
        <f>IF(AND(B2864="",C2864=""),"",ROUND(J2864*F2864,2))</f>
        <v/>
      </c>
      <c r="L2864" s="141" t="n">
        <v>1</v>
      </c>
      <c r="M2864" s="394" t="n">
        <v>1e-07</v>
      </c>
      <c r="N2864" s="220" t="n">
        <v>1</v>
      </c>
      <c r="O2864" s="221">
        <f>IF(AND(B2864="",C2864=""),"",IF(G2864&gt;=20000,0.05,IF(G2864&gt;=10000,0.1,IF(G2864&gt;=5000,0.2,IF(G2864&gt;=1000,0.3,IF(G2864&gt;=0,0.4,{0}))))))</f>
        <v/>
      </c>
      <c r="P2864" s="419">
        <f>IF(AND(B2864="",C2864=""),"",ROUND(H2864*O2864,2))</f>
        <v/>
      </c>
      <c r="Q2864" s="420" t="inlineStr">
        <is>
          <t>元件</t>
        </is>
      </c>
      <c r="R2864" s="231" t="inlineStr"/>
      <c r="S2864" s="231" t="inlineStr"/>
      <c r="T2864" s="231" t="inlineStr">
        <is>
          <t>0</t>
        </is>
      </c>
      <c r="U2864" s="231" t="inlineStr">
        <is>
          <t>XB2BVM4LC</t>
        </is>
      </c>
      <c r="V2864" s="421" t="n"/>
      <c r="W2864" s="421" t="n"/>
      <c r="X2864" s="166" t="inlineStr">
        <is>
          <t>XA2EVM4LC</t>
        </is>
      </c>
    </row>
    <row r="2865" s="308">
      <c r="A2865" s="64">
        <f>ROW()-ROW(A$2856)</f>
        <v/>
      </c>
      <c r="B2865" s="112" t="inlineStr">
        <is>
          <t>温湿度控制器</t>
        </is>
      </c>
      <c r="C2865" s="112" t="inlineStr">
        <is>
          <t>ATH48G-11</t>
        </is>
      </c>
      <c r="D2865" s="22" t="inlineStr">
        <is>
          <t>杭州安廷</t>
        </is>
      </c>
      <c r="E2865" s="23" t="inlineStr">
        <is>
          <t>套</t>
        </is>
      </c>
      <c r="F2865" s="23" t="n">
        <v>1</v>
      </c>
      <c r="G2865" s="349">
        <f>IF(AND(B2865="",C2865=""),"",ROUND(M2865*L2865*N2865,2))</f>
        <v/>
      </c>
      <c r="H2865" s="396">
        <f>IF(AND(B2865="",C2865=""),"",ROUND(F2865*G2865,2))</f>
        <v/>
      </c>
      <c r="I2865" s="150" t="inlineStr"/>
      <c r="J2865" s="397">
        <f>IF(AND(B2865="",C2865=""),"",ROUND(M2865*N2865,2))</f>
        <v/>
      </c>
      <c r="K2865" s="398">
        <f>IF(AND(B2865="",C2865=""),"",ROUND(J2865*F2865,2))</f>
        <v/>
      </c>
      <c r="L2865" s="141" t="n">
        <v>1</v>
      </c>
      <c r="M2865" s="399" t="n">
        <v>450</v>
      </c>
      <c r="N2865" s="154" t="n">
        <v>1</v>
      </c>
      <c r="O2865" s="155">
        <f>IF(AND(B2865="",C2865=""),"",IF(G2865&gt;=20000,0.05,IF(G2865&gt;=10000,0.1,IF(G2865&gt;=5000,0.2,IF(G2865&gt;=1000,0.3,IF(G2865&gt;=0,0.4,{0}))))))</f>
        <v/>
      </c>
      <c r="P2865" s="400">
        <f>IF(AND(B2865="",C2865=""),"",ROUND(H2865*O2865,2))</f>
        <v/>
      </c>
      <c r="Q2865" s="401" t="inlineStr">
        <is>
          <t>元件</t>
        </is>
      </c>
      <c r="R2865" s="168" t="inlineStr"/>
      <c r="S2865" s="168" t="inlineStr"/>
      <c r="T2865" s="168" t="inlineStr">
        <is>
          <t>0</t>
        </is>
      </c>
      <c r="U2865" s="168" t="inlineStr"/>
      <c r="V2865" s="402" t="n"/>
      <c r="W2865" s="402" t="n"/>
      <c r="X2865" s="170" t="inlineStr"/>
    </row>
    <row r="2866" s="308">
      <c r="A2866" s="64">
        <f>ROW()-ROW(A$2856)</f>
        <v/>
      </c>
      <c r="B2866" s="22" t="inlineStr">
        <is>
          <t>中间继电器</t>
        </is>
      </c>
      <c r="C2866" s="22" t="inlineStr">
        <is>
          <t>RXM4AB2P7+RXZE2S114M+RXZ400</t>
        </is>
      </c>
      <c r="D2866" s="22" t="inlineStr">
        <is>
          <t>甲供/施耐德电气</t>
        </is>
      </c>
      <c r="E2866" s="23" t="inlineStr">
        <is>
          <t>只</t>
        </is>
      </c>
      <c r="F2866" s="23" t="n">
        <v>4</v>
      </c>
      <c r="G2866" s="349">
        <f>IF(AND(B2866="",C2866=""),"",ROUND(M2866*L2866*N2866,2))</f>
        <v/>
      </c>
      <c r="H2866" s="349">
        <f>IF(AND(B2866="",C2866=""),"",ROUND(F2866*G2866,2))</f>
        <v/>
      </c>
      <c r="I2866" s="45" t="inlineStr"/>
      <c r="J2866" s="397">
        <f>IF(AND(B2866="",C2866=""),"",ROUND(M2866*N2866,2))</f>
        <v/>
      </c>
      <c r="K2866" s="398">
        <f>IF(AND(B2866="",C2866=""),"",ROUND(J2866*F2866,2))</f>
        <v/>
      </c>
      <c r="L2866" s="141" t="n">
        <v>1</v>
      </c>
      <c r="M2866" s="399" t="n">
        <v>1e-07</v>
      </c>
      <c r="N2866" s="154" t="n">
        <v>1</v>
      </c>
      <c r="O2866" s="155">
        <f>IF(AND(B2866="",C2866=""),"",IF(G2866&gt;=20000,0.05,IF(G2866&gt;=10000,0.1,IF(G2866&gt;=5000,0.2,IF(G2866&gt;=1000,0.3,IF(G2866&gt;=0,0.4,{0}))))))</f>
        <v/>
      </c>
      <c r="P2866" s="400">
        <f>IF(AND(B2866="",C2866=""),"",ROUND(H2866*O2866,2))</f>
        <v/>
      </c>
      <c r="Q2866" s="401" t="inlineStr">
        <is>
          <t>元件</t>
        </is>
      </c>
      <c r="R2866" s="168" t="inlineStr"/>
      <c r="S2866" s="168" t="inlineStr"/>
      <c r="T2866" s="168" t="inlineStr">
        <is>
          <t>0</t>
        </is>
      </c>
      <c r="U2866" s="168" t="inlineStr">
        <is>
          <t>RXM4AB2P7+RXZE2S114M+RXZ400</t>
        </is>
      </c>
      <c r="V2866" s="402" t="n"/>
      <c r="W2866" s="402" t="n"/>
      <c r="X2866" s="170" t="inlineStr">
        <is>
          <t>REL-IR-BL/L-230AC/4X21，含底座→RXM4AB2P7+RXZE2S114M+RXZ400→REL-IR-BL/L-230AC/4X21，含底座</t>
        </is>
      </c>
    </row>
    <row r="2867" customFormat="1" s="3">
      <c r="A2867" s="64">
        <f>ROW()-ROW(A$2856)</f>
        <v/>
      </c>
      <c r="B2867" s="22" t="inlineStr">
        <is>
          <t>带熔丝端子</t>
        </is>
      </c>
      <c r="C2867" s="22" t="inlineStr">
        <is>
          <t>UK 5-HESI</t>
        </is>
      </c>
      <c r="D2867" s="22" t="inlineStr">
        <is>
          <t>菲尼克斯</t>
        </is>
      </c>
      <c r="E2867" s="23" t="inlineStr">
        <is>
          <t>只</t>
        </is>
      </c>
      <c r="F2867" s="23" t="n">
        <v>8</v>
      </c>
      <c r="G2867" s="349">
        <f>IF(AND(B2867="",C2867=""),"",ROUND(M2867*L2867*N2867,2))</f>
        <v/>
      </c>
      <c r="H2867" s="349">
        <f>IF(AND(B2867="",C2867=""),"",ROUND(F2867*G2867,2))</f>
        <v/>
      </c>
      <c r="I2867" s="45" t="inlineStr"/>
      <c r="J2867" s="392">
        <f>IF(AND(B2867="",C2867=""),"",ROUND(M2867*N2867,2))</f>
        <v/>
      </c>
      <c r="K2867" s="393">
        <f>IF(AND(B2867="",C2867=""),"",ROUND(J2867*F2867,2))</f>
        <v/>
      </c>
      <c r="L2867" s="141" t="n">
        <v>1</v>
      </c>
      <c r="M2867" s="394" t="n">
        <v>7</v>
      </c>
      <c r="N2867" s="220" t="n">
        <v>1</v>
      </c>
      <c r="O2867" s="221">
        <f>IF(AND(B2867="",C2867=""),"",IF(G2867&gt;=20000,0.05,IF(G2867&gt;=10000,0.1,IF(G2867&gt;=5000,0.2,IF(G2867&gt;=1000,0.3,IF(G2867&gt;=0,0.4,{0}))))))</f>
        <v/>
      </c>
      <c r="P2867" s="419">
        <f>IF(AND(B2867="",C2867=""),"",ROUND(H2867*O2867,2))</f>
        <v/>
      </c>
      <c r="Q2867" s="420" t="inlineStr">
        <is>
          <t>元件</t>
        </is>
      </c>
      <c r="R2867" s="231" t="inlineStr"/>
      <c r="S2867" s="231" t="inlineStr"/>
      <c r="T2867" s="231" t="inlineStr">
        <is>
          <t>0</t>
        </is>
      </c>
      <c r="U2867" s="231" t="inlineStr">
        <is>
          <t>True</t>
        </is>
      </c>
      <c r="V2867" s="421" t="n"/>
      <c r="W2867" s="421" t="n"/>
      <c r="X2867" s="166" t="inlineStr"/>
    </row>
    <row r="2868" s="308">
      <c r="A2868" s="64">
        <f>ROW()-ROW(A$2856)</f>
        <v/>
      </c>
      <c r="B2868" s="22" t="inlineStr">
        <is>
          <t>水平母排</t>
        </is>
      </c>
      <c r="C2868" s="22" t="inlineStr">
        <is>
          <t>TMY 4*(100*5)+50*5</t>
        </is>
      </c>
      <c r="D2868" s="22" t="inlineStr">
        <is>
          <t>国产优质</t>
        </is>
      </c>
      <c r="E2868" s="23" t="inlineStr">
        <is>
          <t>米</t>
        </is>
      </c>
      <c r="F2868" s="23" t="n">
        <v>0.6</v>
      </c>
      <c r="G2868" s="349">
        <f>IF(AND(B2868="",C2868=""),"",ROUND(M2868*L2868*N2868,2))</f>
        <v/>
      </c>
      <c r="H2868" s="349">
        <f>IF(AND(B2868="",C2868=""),"",ROUND(F2868*G2868,2))</f>
        <v/>
      </c>
      <c r="I2868" s="45" t="inlineStr"/>
      <c r="J2868" s="397">
        <f>IF(AND(B2868="",C2868=""),"",ROUND(M2868*N2868,2))</f>
        <v/>
      </c>
      <c r="K2868" s="398">
        <f>IF(AND(B2868="",C2868=""),"",ROUND(J2868*F2868,2))</f>
        <v/>
      </c>
      <c r="L2868" s="200" t="n">
        <v>1</v>
      </c>
      <c r="M2868" s="399" t="n">
        <v>2164.802625</v>
      </c>
      <c r="N2868" s="154">
        <f>(6317.932*1*1+2684.8*1*1)/9002.732</f>
        <v/>
      </c>
      <c r="O2868" s="155">
        <f>IF(AND(B2868="",C2868=""),"",IF(J2868&gt;=20000,0.05,IF(J2868&gt;=10000,0.1,IF(J2868&gt;=5000,0.2,IF(J2868&gt;=1000,0.3,IF(J2868&gt;=0,0.4,{0}))))))</f>
        <v/>
      </c>
      <c r="P2868" s="400">
        <f>IF(AND(B2868="",C2868=""),"",ROUND(H2868*O2868,2))</f>
        <v/>
      </c>
      <c r="Q2868" s="401" t="inlineStr">
        <is>
          <t>母排</t>
        </is>
      </c>
      <c r="R2868" s="168" t="inlineStr"/>
      <c r="S2868" s="168" t="inlineStr"/>
      <c r="T2868" s="168" t="inlineStr">
        <is>
          <t>0</t>
        </is>
      </c>
      <c r="U2868" s="168" t="inlineStr"/>
      <c r="V2868" s="402" t="n"/>
      <c r="W2868" s="402" t="n"/>
      <c r="X2868" s="170" t="inlineStr"/>
    </row>
    <row r="2869" customFormat="1" s="5">
      <c r="A2869" s="64">
        <f>ROW()-ROW(A$2856)</f>
        <v/>
      </c>
      <c r="B2869" s="22" t="inlineStr">
        <is>
          <t>垂直排</t>
        </is>
      </c>
      <c r="C2869" s="22" t="inlineStr">
        <is>
          <t>TMY 3*80*5</t>
        </is>
      </c>
      <c r="D2869" s="22" t="inlineStr">
        <is>
          <t>国产优质</t>
        </is>
      </c>
      <c r="E2869" s="23" t="inlineStr">
        <is>
          <t>米</t>
        </is>
      </c>
      <c r="F2869" s="23" t="n">
        <v>2</v>
      </c>
      <c r="G2869" s="349">
        <f>IF(AND(B2869="",C2869=""),"",ROUND(M2869*L2869*N2869,2))</f>
        <v/>
      </c>
      <c r="H2869" s="349">
        <f>IF(AND(B2869="",C2869=""),"",ROUND(F2869*G2869,2))</f>
        <v/>
      </c>
      <c r="I2869" s="45" t="inlineStr"/>
      <c r="J2869" s="422">
        <f>IF(AND(B2869="",C2869=""),"",ROUND(M2869*N2869,2))</f>
        <v/>
      </c>
      <c r="K2869" s="423">
        <f>IF(AND(B2869="",C2869=""),"",ROUND(J2869*F2869,2))</f>
        <v/>
      </c>
      <c r="L2869" s="225" t="n">
        <v>1</v>
      </c>
      <c r="M2869" s="424" t="n">
        <v>1154.5614</v>
      </c>
      <c r="N2869" s="227" t="n">
        <v>1</v>
      </c>
      <c r="O2869" s="228">
        <f>IF(AND(B2869="",C2869=""),"",IF(G2869&gt;=20000,0.05,IF(G2869&gt;=10000,0.1,IF(G2869&gt;=5000,0.2,IF(G2869&gt;=1000,0.3,IF(G2869&gt;=0,0.4,{0}))))))</f>
        <v/>
      </c>
      <c r="P2869" s="425">
        <f>IF(AND(B2869="",C2869=""),"",ROUND(H2869*O2869,2))</f>
        <v/>
      </c>
      <c r="Q2869" s="426" t="inlineStr">
        <is>
          <t>母排</t>
        </is>
      </c>
      <c r="R2869" s="234" t="inlineStr"/>
      <c r="S2869" s="234" t="inlineStr"/>
      <c r="T2869" s="235" t="inlineStr">
        <is>
          <t>0</t>
        </is>
      </c>
      <c r="U2869" s="235" t="inlineStr"/>
      <c r="V2869" s="427" t="n"/>
      <c r="W2869" s="427" t="n"/>
      <c r="X2869" s="237" t="inlineStr">
        <is>
          <t>TMY 2*30*5→TMY 30*8</t>
        </is>
      </c>
    </row>
    <row r="2870" customFormat="1" s="5">
      <c r="A2870" s="64">
        <f>ROW()-ROW(A$2856)</f>
        <v/>
      </c>
      <c r="B2870" s="22" t="inlineStr">
        <is>
          <t>N排</t>
        </is>
      </c>
      <c r="C2870" s="22" t="inlineStr">
        <is>
          <t>TMY 40*10</t>
        </is>
      </c>
      <c r="D2870" s="22" t="inlineStr">
        <is>
          <t>国产优质</t>
        </is>
      </c>
      <c r="E2870" s="23" t="inlineStr">
        <is>
          <t>米</t>
        </is>
      </c>
      <c r="F2870" s="23" t="n">
        <v>3</v>
      </c>
      <c r="G2870" s="349">
        <f>IF(AND(B2870="",C2870=""),"",ROUND(M2870*L2870*N2870,2))</f>
        <v/>
      </c>
      <c r="H2870" s="349">
        <f>IF(AND(B2870="",C2870=""),"",ROUND(F2870*G2870,2))</f>
        <v/>
      </c>
      <c r="I2870" s="45" t="inlineStr"/>
      <c r="J2870" s="422">
        <f>IF(AND(B2870="",C2870=""),"",ROUND(M2870*N2870,2))</f>
        <v/>
      </c>
      <c r="K2870" s="423">
        <f>IF(AND(B2870="",C2870=""),"",ROUND(J2870*F2870,2))</f>
        <v/>
      </c>
      <c r="L2870" s="225" t="n">
        <v>1</v>
      </c>
      <c r="M2870" s="424" t="n">
        <v>384.8538</v>
      </c>
      <c r="N2870" s="227" t="n">
        <v>1</v>
      </c>
      <c r="O2870" s="228">
        <f>IF(AND(B2870="",C2870=""),"",IF(G2870&gt;=20000,0.05,IF(G2870&gt;=10000,0.1,IF(G2870&gt;=5000,0.2,IF(G2870&gt;=1000,0.3,IF(G2870&gt;=0,0.4,{0}))))))</f>
        <v/>
      </c>
      <c r="P2870" s="425">
        <f>IF(AND(B2870="",C2870=""),"",ROUND(H2870*O2870,2))</f>
        <v/>
      </c>
      <c r="Q2870" s="426" t="inlineStr">
        <is>
          <t>母排</t>
        </is>
      </c>
      <c r="R2870" s="234" t="inlineStr"/>
      <c r="S2870" s="234" t="inlineStr"/>
      <c r="T2870" s="235" t="inlineStr">
        <is>
          <t>0</t>
        </is>
      </c>
      <c r="U2870" s="235" t="inlineStr"/>
      <c r="V2870" s="427" t="n"/>
      <c r="W2870" s="427" t="n"/>
      <c r="X2870" s="237" t="inlineStr">
        <is>
          <t>TMY 2*30*5→TMY 30*8</t>
        </is>
      </c>
    </row>
    <row r="2871" customFormat="1" s="5">
      <c r="A2871" s="64">
        <f>ROW()-ROW(A$2856)</f>
        <v/>
      </c>
      <c r="B2871" s="22" t="inlineStr">
        <is>
          <t>PE排</t>
        </is>
      </c>
      <c r="C2871" s="22" t="inlineStr">
        <is>
          <t>TMY 2*50*5</t>
        </is>
      </c>
      <c r="D2871" s="22" t="inlineStr">
        <is>
          <t>国产优质</t>
        </is>
      </c>
      <c r="E2871" s="23" t="inlineStr">
        <is>
          <t>米</t>
        </is>
      </c>
      <c r="F2871" s="23" t="n">
        <v>2</v>
      </c>
      <c r="G2871" s="349">
        <f>IF(AND(B2871="",C2871=""),"",ROUND(M2871*L2871*N2871,2))</f>
        <v/>
      </c>
      <c r="H2871" s="349">
        <f>IF(AND(B2871="",C2871=""),"",ROUND(F2871*G2871,2))</f>
        <v/>
      </c>
      <c r="I2871" s="45" t="inlineStr"/>
      <c r="J2871" s="422">
        <f>IF(AND(B2871="",C2871=""),"",ROUND(M2871*N2871,2))</f>
        <v/>
      </c>
      <c r="K2871" s="423">
        <f>IF(AND(B2871="",C2871=""),"",ROUND(J2871*F2871,2))</f>
        <v/>
      </c>
      <c r="L2871" s="225" t="n">
        <v>1</v>
      </c>
      <c r="M2871" s="424" t="n">
        <v>481.06725</v>
      </c>
      <c r="N2871" s="227" t="n">
        <v>1</v>
      </c>
      <c r="O2871" s="228">
        <f>IF(AND(B2871="",C2871=""),"",IF(G2871&gt;=20000,0.05,IF(G2871&gt;=10000,0.1,IF(G2871&gt;=5000,0.2,IF(G2871&gt;=1000,0.3,IF(G2871&gt;=0,0.4,{0}))))))</f>
        <v/>
      </c>
      <c r="P2871" s="425">
        <f>IF(AND(B2871="",C2871=""),"",ROUND(H2871*O2871,2))</f>
        <v/>
      </c>
      <c r="Q2871" s="426" t="inlineStr">
        <is>
          <t>母排</t>
        </is>
      </c>
      <c r="R2871" s="234" t="inlineStr"/>
      <c r="S2871" s="234" t="inlineStr"/>
      <c r="T2871" s="235" t="inlineStr">
        <is>
          <t>0</t>
        </is>
      </c>
      <c r="U2871" s="235" t="inlineStr"/>
      <c r="V2871" s="427" t="n"/>
      <c r="W2871" s="427" t="n"/>
      <c r="X2871" s="237" t="inlineStr">
        <is>
          <t>TMY 2*30*5→TMY 30*8</t>
        </is>
      </c>
    </row>
    <row r="2872" customFormat="1" s="5">
      <c r="A2872" s="64">
        <f>ROW()-ROW(A$2856)</f>
        <v/>
      </c>
      <c r="B2872" s="22" t="inlineStr">
        <is>
          <t>630A铜排</t>
        </is>
      </c>
      <c r="C2872" s="22" t="inlineStr">
        <is>
          <t>TMY 30*8</t>
        </is>
      </c>
      <c r="D2872" s="22" t="inlineStr">
        <is>
          <t>国产优质</t>
        </is>
      </c>
      <c r="E2872" s="23" t="inlineStr">
        <is>
          <t>米</t>
        </is>
      </c>
      <c r="F2872" s="23" t="n">
        <v>6.4</v>
      </c>
      <c r="G2872" s="349">
        <f>IF(AND(B2872="",C2872=""),"",ROUND(M2872*L2872*N2872,2))</f>
        <v/>
      </c>
      <c r="H2872" s="349">
        <f>IF(AND(B2872="",C2872=""),"",ROUND(F2872*G2872,2))</f>
        <v/>
      </c>
      <c r="I2872" s="45" t="inlineStr"/>
      <c r="J2872" s="422">
        <f>IF(AND(B2872="",C2872=""),"",ROUND(M2872*N2872,2))</f>
        <v/>
      </c>
      <c r="K2872" s="423">
        <f>IF(AND(B2872="",C2872=""),"",ROUND(J2872*F2872,2))</f>
        <v/>
      </c>
      <c r="L2872" s="225" t="n">
        <v>1</v>
      </c>
      <c r="M2872" s="424" t="n">
        <v>230.91228</v>
      </c>
      <c r="N2872" s="227" t="n">
        <v>1</v>
      </c>
      <c r="O2872" s="228">
        <f>IF(AND(B2872="",C2872=""),"",IF(G2872&gt;=20000,0.05,IF(G2872&gt;=10000,0.1,IF(G2872&gt;=5000,0.2,IF(G2872&gt;=1000,0.3,IF(G2872&gt;=0,0.4,{0}))))))</f>
        <v/>
      </c>
      <c r="P2872" s="425">
        <f>IF(AND(B2872="",C2872=""),"",ROUND(H2872*O2872,2))</f>
        <v/>
      </c>
      <c r="Q2872" s="426" t="inlineStr">
        <is>
          <t>母排</t>
        </is>
      </c>
      <c r="R2872" s="234" t="inlineStr"/>
      <c r="S2872" s="234" t="inlineStr"/>
      <c r="T2872" s="235" t="inlineStr">
        <is>
          <t>0</t>
        </is>
      </c>
      <c r="U2872" s="235" t="inlineStr"/>
      <c r="V2872" s="427" t="n"/>
      <c r="W2872" s="427" t="n"/>
      <c r="X2872" s="237" t="inlineStr">
        <is>
          <t>TMY 2*30*5→TMY 30*8</t>
        </is>
      </c>
    </row>
    <row r="2873" s="308">
      <c r="A2873" s="64">
        <f>ROW()-ROW(A$2856)</f>
        <v/>
      </c>
      <c r="B2873" s="112" t="inlineStr">
        <is>
          <t>辅料</t>
        </is>
      </c>
      <c r="C2873" s="112" t="inlineStr"/>
      <c r="D2873" s="112" t="inlineStr"/>
      <c r="E2873" s="114" t="inlineStr">
        <is>
          <t>套</t>
        </is>
      </c>
      <c r="F2873" s="114" t="n">
        <v>1</v>
      </c>
      <c r="G2873" s="396">
        <f>IF(AND(B2873="",C2873=""),"",ROUND(M2873*L2873*N2873,2))</f>
        <v/>
      </c>
      <c r="H2873" s="396">
        <f>IF(AND(B2873="",C2873=""),"",ROUND(F2873*G2873,2))</f>
        <v/>
      </c>
      <c r="I2873" s="219" t="inlineStr"/>
      <c r="J2873" s="397">
        <f>IF(AND(B2873="",C2873=""),"",ROUND(M2873*N2873,2))</f>
        <v/>
      </c>
      <c r="K2873" s="398">
        <f>IF(AND(B2873="",C2873=""),"",ROUND(J2873*F2873,2))</f>
        <v/>
      </c>
      <c r="L2873" s="200" t="n">
        <v>1</v>
      </c>
      <c r="M2873" s="399" t="n">
        <v>293.72</v>
      </c>
      <c r="N2873" s="154" t="n">
        <v>1</v>
      </c>
      <c r="O2873" s="155">
        <f>IF(AND(B2873="",C2873=""),"",IF(G2873&gt;=20000,0.05,IF(G2873&gt;=10000,0.1,IF(G2873&gt;=5000,0.2,IF(G2873&gt;=1000,0.3,IF(G2873&gt;=0,0.4,{0}))))))</f>
        <v/>
      </c>
      <c r="P2873" s="400">
        <f>IF(AND(B2873="",C2873=""),"",ROUND(H2873*O2873,2))</f>
        <v/>
      </c>
      <c r="Q2873" s="401" t="inlineStr">
        <is>
          <t>辅料</t>
        </is>
      </c>
      <c r="R2873" s="168" t="inlineStr"/>
      <c r="S2873" s="168" t="inlineStr"/>
      <c r="T2873" s="168" t="inlineStr">
        <is>
          <t>0</t>
        </is>
      </c>
      <c r="U2873" s="168" t="inlineStr"/>
      <c r="V2873" s="402" t="n"/>
      <c r="W2873" s="402" t="n"/>
      <c r="X2873" s="170" t="inlineStr"/>
    </row>
    <row r="2874" s="308">
      <c r="A2874" s="64">
        <f>ROW()-ROW(A$2856)</f>
        <v/>
      </c>
      <c r="B2874" s="112" t="inlineStr">
        <is>
          <t>柜体Blokset</t>
        </is>
      </c>
      <c r="C2874" s="22" t="inlineStr">
        <is>
          <t>600W*1200D*2200H</t>
        </is>
      </c>
      <c r="D2874" s="112" t="inlineStr">
        <is>
          <t>清科</t>
        </is>
      </c>
      <c r="E2874" s="114" t="inlineStr">
        <is>
          <t>台</t>
        </is>
      </c>
      <c r="F2874" s="114" t="n">
        <v>1</v>
      </c>
      <c r="G2874" s="396">
        <f>IF(AND(B2874="",C2874=""),"",ROUND(M2874*L2874*N2874,2))</f>
        <v/>
      </c>
      <c r="H2874" s="396">
        <f>IF(AND(B2874="",C2874=""),"",ROUND(F2874*G2874,2))</f>
        <v/>
      </c>
      <c r="I2874" s="219" t="inlineStr"/>
      <c r="J2874" s="397">
        <f>IF(AND(B2874="",C2874=""),"",ROUND(M2874*N2874,2))</f>
        <v/>
      </c>
      <c r="K2874" s="398">
        <f>IF(AND(B2874="",C2874=""),"",ROUND(J2874*F2874,2))</f>
        <v/>
      </c>
      <c r="L2874" s="200" t="n">
        <v>1</v>
      </c>
      <c r="M2874" s="399" t="n">
        <v>4525</v>
      </c>
      <c r="N2874" s="154" t="n">
        <v>1</v>
      </c>
      <c r="O2874" s="155">
        <f>IF(AND(B2874="",C2874=""),"",IF(G2874&gt;=20000,0.05,IF(G2874&gt;=10000,0.1,IF(G2874&gt;=5000,0.2,IF(G2874&gt;=1000,0.3,IF(G2874&gt;=0,0.4,{0}))))))</f>
        <v/>
      </c>
      <c r="P2874" s="400">
        <f>IF(AND(B2874="",C2874=""),"",ROUND(H2874*O2874,2))</f>
        <v/>
      </c>
      <c r="Q2874" s="401" t="inlineStr">
        <is>
          <t>箱体</t>
        </is>
      </c>
      <c r="R2874" s="168" t="inlineStr"/>
      <c r="S2874" s="168" t="inlineStr"/>
      <c r="T2874" s="168" t="inlineStr">
        <is>
          <t>0</t>
        </is>
      </c>
      <c r="U2874" s="168" t="inlineStr"/>
      <c r="V2874" s="402" t="n"/>
      <c r="W2874" s="402" t="n"/>
      <c r="X2874" s="170" t="inlineStr">
        <is>
          <t>BlokSeT</t>
        </is>
      </c>
    </row>
    <row r="2875" s="308">
      <c r="A2875" s="64">
        <f>ROW()-ROW(A$2856)</f>
        <v/>
      </c>
      <c r="B2875" s="22" t="inlineStr"/>
      <c r="C2875" s="22" t="inlineStr"/>
      <c r="D2875" s="22" t="inlineStr"/>
      <c r="E2875" s="23" t="n"/>
      <c r="F2875" s="23">
        <f>IF(AND(B2875="",C2875=""),"",1)</f>
        <v/>
      </c>
      <c r="G2875" s="349">
        <f>IF(AND(B2875="",C2875=""),"",ROUND(M2875*L2875*N2875,2))</f>
        <v/>
      </c>
      <c r="H2875" s="349">
        <f>IF(AND(B2875="",C2875=""),"",ROUND(F2875*G2875,2))</f>
        <v/>
      </c>
      <c r="I2875" s="45" t="inlineStr"/>
      <c r="J2875" s="397">
        <f>IF(AND(B2875="",C2875=""),"",ROUND(M2875*N2875,2))</f>
        <v/>
      </c>
      <c r="K2875" s="398">
        <f>IF(AND(B2875="",C2875=""),"",ROUND(J2875*F2875,2))</f>
        <v/>
      </c>
      <c r="L2875" s="200">
        <f>IF(AND(B2875="",C2875=""),"",1)</f>
        <v/>
      </c>
      <c r="M2875" s="399" t="n"/>
      <c r="N2875" s="154">
        <f>IF(AND(B2875="",C2875=""),"",1)</f>
        <v/>
      </c>
      <c r="O2875" s="155">
        <f>IF(AND(B2875="",C2875=""),"",IF(J2875&gt;=20000,0.05,IF(J2875&gt;=10000,0.1,IF(J2875&gt;=5000,0.2,IF(J2875&gt;=1000,0.3,IF(J2875&gt;=0,0.4,{0}))))))</f>
        <v/>
      </c>
      <c r="P2875" s="400">
        <f>IF(AND(B2875="",C2875=""),"",ROUND(H2875*O2875,2))</f>
        <v/>
      </c>
      <c r="Q2875" s="401">
        <f>IF(AND(B2875="",C2875=""),"","元件")</f>
        <v/>
      </c>
      <c r="R2875" s="168" t="inlineStr"/>
      <c r="S2875" s="168" t="inlineStr"/>
      <c r="T2875" s="168" t="inlineStr"/>
      <c r="U2875" s="168" t="inlineStr"/>
      <c r="V2875" s="402" t="n"/>
      <c r="W2875" s="402" t="n"/>
      <c r="X2875" s="170" t="inlineStr"/>
    </row>
    <row r="2876" s="308">
      <c r="A2876" s="64">
        <f>ROW()-ROW(A$2856)</f>
        <v/>
      </c>
      <c r="B2876" s="171" t="inlineStr">
        <is>
          <t>小计</t>
        </is>
      </c>
      <c r="C2876" s="172" t="n"/>
      <c r="D2876" s="204" t="n"/>
      <c r="E2876" s="114" t="n"/>
      <c r="F2876" s="114" t="n"/>
      <c r="G2876" s="396" t="n"/>
      <c r="H2876" s="396">
        <f>ROUND(SUM(H2856:INDEX(H:H,ROW()-1)),2)</f>
        <v/>
      </c>
      <c r="I2876" s="45" t="inlineStr"/>
      <c r="J2876" s="397" t="n"/>
      <c r="K2876" s="398">
        <f>ROUND(SUM(K2856:INDEX(K:K,ROW()-1)),2)</f>
        <v/>
      </c>
      <c r="L2876" s="200" t="n"/>
      <c r="M2876" s="399" t="n"/>
      <c r="N2876" s="154" t="n"/>
      <c r="O2876" s="155" t="n"/>
      <c r="P2876" s="400" t="n"/>
      <c r="Q2876" s="401" t="n"/>
      <c r="R2876" s="168" t="inlineStr"/>
      <c r="S2876" s="168" t="inlineStr"/>
      <c r="T2876" s="168" t="inlineStr"/>
      <c r="U2876" s="168" t="inlineStr"/>
      <c r="V2876" s="402">
        <f>ROUND(SUMPRODUCT(F2856:INDEX(F:F,ROW()-1),V2856:INDEX(V:V,ROW()-1)),2)</f>
        <v/>
      </c>
      <c r="W2876" s="402">
        <f>ROUND(SUMPRODUCT(F2856:INDEX(F:F,ROW()-1),W2856:INDEX(W:W,ROW()-1)),2)</f>
        <v/>
      </c>
      <c r="X2876" s="170" t="inlineStr"/>
    </row>
    <row r="2877" s="308">
      <c r="A2877" s="64">
        <f>ROW()-ROW(A$2856)</f>
        <v/>
      </c>
      <c r="B2877" s="171" t="inlineStr">
        <is>
          <t>综合费(人工、管理、税金、利润等)</t>
        </is>
      </c>
      <c r="C2877" s="172" t="n"/>
      <c r="D2877" s="204" t="n"/>
      <c r="E2877" s="114" t="n"/>
      <c r="F2877" s="114" t="n"/>
      <c r="G2877" s="396" t="n"/>
      <c r="H2877" s="396">
        <f>2500</f>
        <v/>
      </c>
      <c r="I2877" s="45" t="inlineStr"/>
      <c r="J2877" s="397" t="n"/>
      <c r="K2877" s="398" t="n"/>
      <c r="L2877" s="200" t="n"/>
      <c r="M2877" s="399" t="n"/>
      <c r="N2877" s="154" t="n"/>
      <c r="O2877" s="155" t="n"/>
      <c r="P2877" s="400" t="n"/>
      <c r="Q2877" s="401" t="inlineStr">
        <is>
          <t>费用</t>
        </is>
      </c>
      <c r="R2877" s="168" t="inlineStr"/>
      <c r="S2877" s="168" t="inlineStr"/>
      <c r="T2877" s="168" t="inlineStr"/>
      <c r="U2877" s="168" t="inlineStr"/>
      <c r="V2877" s="402" t="n"/>
      <c r="W2877" s="402" t="n"/>
      <c r="X2877" s="170" t="inlineStr"/>
    </row>
    <row r="2878" s="308">
      <c r="A2878" s="64">
        <f>ROW()-ROW(A$2856)</f>
        <v/>
      </c>
      <c r="B2878" s="204" t="inlineStr">
        <is>
          <t>单台合计</t>
        </is>
      </c>
      <c r="C2878" s="172" t="n"/>
      <c r="D2878" s="204" t="n"/>
      <c r="E2878" s="114" t="n"/>
      <c r="F2878" s="114" t="n"/>
      <c r="G2878" s="396" t="n"/>
      <c r="H2878" s="396">
        <f>ROUND(SUM(H2876:H2877),2)</f>
        <v/>
      </c>
      <c r="I2878" s="181" t="n"/>
      <c r="J2878" s="397" t="n"/>
      <c r="K2878" s="398">
        <f>ROUND(SUM(K2876:K2877),2)</f>
        <v/>
      </c>
      <c r="L2878" s="209" t="n"/>
      <c r="M2878" s="399" t="n"/>
      <c r="N2878" s="210" t="n"/>
      <c r="O2878" s="211" t="n"/>
      <c r="P2878" s="400" t="n"/>
      <c r="Q2878" s="401" t="n"/>
      <c r="R2878" s="168" t="inlineStr"/>
      <c r="S2878" s="168" t="inlineStr"/>
      <c r="T2878" s="168" t="inlineStr"/>
      <c r="U2878" s="168" t="inlineStr"/>
      <c r="V2878" s="402" t="n"/>
      <c r="W2878" s="402" t="n"/>
      <c r="X2878" s="170" t="inlineStr"/>
    </row>
    <row r="2879" s="308">
      <c r="A2879" s="173" t="inlineStr">
        <is>
          <t>总计</t>
        </is>
      </c>
      <c r="B2879" s="205" t="n"/>
      <c r="C2879" s="175" t="n"/>
      <c r="D2879" s="206" t="n"/>
      <c r="E2879" s="206" t="inlineStr">
        <is>
          <t>台</t>
        </is>
      </c>
      <c r="F2879" s="206" t="n">
        <v>1</v>
      </c>
      <c r="G2879" s="414">
        <f>ROUND(H2878,2)</f>
        <v/>
      </c>
      <c r="H2879" s="414">
        <f>ROUND(F2879*G2879,2)</f>
        <v/>
      </c>
      <c r="I2879" s="185" t="n"/>
      <c r="J2879" s="415" t="n"/>
      <c r="K2879" s="416">
        <f>ROUND(K2878*F2879,2)</f>
        <v/>
      </c>
      <c r="L2879" s="214" t="n"/>
      <c r="M2879" s="417" t="n"/>
      <c r="N2879" s="216" t="n"/>
      <c r="O2879" s="217" t="n"/>
      <c r="P2879" s="418" t="n"/>
      <c r="Q2879" s="401" t="n"/>
      <c r="R2879" s="168" t="inlineStr"/>
      <c r="S2879" s="168" t="inlineStr"/>
      <c r="T2879" s="168" t="inlineStr"/>
      <c r="U2879" s="168" t="inlineStr"/>
      <c r="V2879" s="402" t="n"/>
      <c r="W2879" s="402" t="n"/>
      <c r="X2879" s="170" t="inlineStr"/>
    </row>
    <row r="2880" customFormat="1" s="4">
      <c r="A2880" s="6" t="n"/>
      <c r="B2880" s="195" t="inlineStr"/>
      <c r="C2880" s="195" t="inlineStr"/>
      <c r="D2880" s="195" t="inlineStr"/>
      <c r="Q2880" s="159" t="n"/>
      <c r="R2880" s="159" t="n"/>
      <c r="S2880" s="159" t="n"/>
      <c r="T2880" s="159" t="n"/>
      <c r="U2880" s="159" t="n"/>
      <c r="X2880" s="195" t="inlineStr"/>
    </row>
    <row r="2881" customFormat="1" s="4">
      <c r="A2881" s="6" t="n"/>
      <c r="B2881" s="195" t="inlineStr"/>
      <c r="C2881" s="195" t="inlineStr"/>
      <c r="D2881" s="195" t="inlineStr"/>
      <c r="Q2881" s="159" t="n"/>
      <c r="R2881" s="159" t="n"/>
      <c r="S2881" s="159" t="n"/>
      <c r="T2881" s="159" t="n"/>
      <c r="U2881" s="159" t="n"/>
      <c r="X2881" s="195" t="inlineStr"/>
    </row>
    <row r="2882" s="308">
      <c r="A2882" s="208">
        <f>CONCATENATE("报价人：",项目信息!$B$8)</f>
        <v/>
      </c>
      <c r="B2882" s="208" t="n"/>
      <c r="C2882" s="4" t="n"/>
      <c r="D2882" s="4" t="n"/>
      <c r="E2882" s="4" t="n"/>
      <c r="F2882" s="4" t="n"/>
      <c r="G2882" s="4" t="n"/>
      <c r="H2882" s="178">
        <f>项目信息!$B$9</f>
        <v/>
      </c>
      <c r="Q2882" s="159" t="n"/>
      <c r="R2882" s="159" t="n"/>
      <c r="S2882" s="159" t="n"/>
      <c r="T2882" s="159" t="n"/>
      <c r="U2882" s="159" t="n"/>
      <c r="X2882" s="203" t="inlineStr"/>
    </row>
    <row r="2883" s="308">
      <c r="A2883" s="8">
        <f>T(项目信息!$B$22)</f>
        <v/>
      </c>
      <c r="Q2883" s="159" t="n"/>
      <c r="R2883" s="159" t="n"/>
      <c r="S2883" s="159" t="n"/>
      <c r="T2883" s="159" t="n"/>
      <c r="U2883" s="159" t="n"/>
    </row>
    <row r="2884" s="308">
      <c r="A2884" s="9">
        <f>T(项目信息!$B$23)</f>
        <v/>
      </c>
      <c r="Q2884" s="159" t="n"/>
      <c r="R2884" s="159" t="n"/>
      <c r="S2884" s="159" t="n"/>
      <c r="T2884" s="159" t="n"/>
      <c r="U2884" s="159" t="n"/>
    </row>
    <row r="2885" s="308">
      <c r="A2885" s="97" t="inlineStr">
        <is>
          <t>成套产品报价明细表</t>
        </is>
      </c>
      <c r="B2885" s="378" t="n"/>
      <c r="C2885" s="378" t="n"/>
      <c r="D2885" s="378" t="n"/>
      <c r="E2885" s="378" t="n"/>
      <c r="F2885" s="378" t="n"/>
      <c r="G2885" s="378" t="n"/>
      <c r="H2885" s="378" t="n"/>
      <c r="I2885" s="378" t="n"/>
      <c r="Q2885" s="159" t="n"/>
      <c r="R2885" s="159" t="n"/>
      <c r="S2885" s="159" t="n"/>
      <c r="T2885" s="159" t="n"/>
      <c r="U2885" s="159" t="n"/>
    </row>
    <row r="2886" customFormat="1" s="4">
      <c r="A2886" s="98" t="inlineStr">
        <is>
          <t>柜号:</t>
        </is>
      </c>
      <c r="B2886" s="99" t="inlineStr">
        <is>
          <t>T11-AU32</t>
        </is>
      </c>
      <c r="C2886" s="100" t="inlineStr">
        <is>
          <t>型号:</t>
        </is>
      </c>
      <c r="D2886" s="99" t="inlineStr">
        <is>
          <t>BlokSeT</t>
        </is>
      </c>
      <c r="E2886" s="379" t="n"/>
      <c r="F2886" s="101" t="inlineStr">
        <is>
          <t>名称:</t>
        </is>
      </c>
      <c r="G2886" s="99" t="inlineStr">
        <is>
          <t>馈线柜</t>
        </is>
      </c>
      <c r="H2886" s="379" t="n"/>
      <c r="I2886" s="408" t="inlineStr"/>
      <c r="J2886" s="194" t="inlineStr">
        <is>
          <t>箱柜尺寸:</t>
        </is>
      </c>
      <c r="K2886" s="195" t="inlineStr">
        <is>
          <t>600W*1200D*2200H</t>
        </is>
      </c>
      <c r="L2886" s="194" t="inlineStr">
        <is>
          <t>类别:</t>
        </is>
      </c>
      <c r="M2886" s="195" t="inlineStr">
        <is>
          <t>低压固定柜</t>
        </is>
      </c>
      <c r="N2886" s="409" t="inlineStr"/>
      <c r="Q2886" s="159" t="n"/>
      <c r="R2886" s="159" t="n"/>
      <c r="S2886" s="159" t="n"/>
      <c r="T2886" s="159" t="n"/>
      <c r="U2886" s="159" t="n"/>
    </row>
    <row r="2887" ht="20.1" customHeight="1" s="308">
      <c r="A2887" s="102" t="inlineStr">
        <is>
          <t>序号</t>
        </is>
      </c>
      <c r="B2887" s="103" t="inlineStr">
        <is>
          <t>元件名称</t>
        </is>
      </c>
      <c r="C2887" s="103" t="inlineStr">
        <is>
          <t>型号规格</t>
        </is>
      </c>
      <c r="D2887" s="104" t="inlineStr">
        <is>
          <t>生产厂家</t>
        </is>
      </c>
      <c r="E2887" s="105" t="inlineStr">
        <is>
          <t>单位</t>
        </is>
      </c>
      <c r="F2887" s="105" t="inlineStr">
        <is>
          <t>数量</t>
        </is>
      </c>
      <c r="G2887" s="382" t="inlineStr">
        <is>
          <t>单   价</t>
        </is>
      </c>
      <c r="H2887" s="383" t="inlineStr">
        <is>
          <t>总   价</t>
        </is>
      </c>
      <c r="I2887" s="134" t="inlineStr">
        <is>
          <t>备注</t>
        </is>
      </c>
      <c r="J2887" s="384" t="inlineStr">
        <is>
          <t>成本单价</t>
        </is>
      </c>
      <c r="K2887" s="384" t="inlineStr">
        <is>
          <t>成本总价</t>
        </is>
      </c>
      <c r="L2887" s="136" t="inlineStr">
        <is>
          <t>报出
系数</t>
        </is>
      </c>
      <c r="M2887" s="384" t="inlineStr">
        <is>
          <t>表价</t>
        </is>
      </c>
      <c r="N2887" s="136" t="inlineStr">
        <is>
          <t>折扣
系数</t>
        </is>
      </c>
      <c r="O2887" s="137" t="inlineStr">
        <is>
          <t>取费
系数</t>
        </is>
      </c>
      <c r="P2887" s="384" t="inlineStr">
        <is>
          <t>成套费</t>
        </is>
      </c>
      <c r="Q2887" s="161" t="inlineStr">
        <is>
          <t>类别</t>
        </is>
      </c>
      <c r="R2887" s="161" t="inlineStr">
        <is>
          <t>物料编码</t>
        </is>
      </c>
      <c r="S2887" s="161" t="inlineStr">
        <is>
          <t>产地</t>
        </is>
      </c>
      <c r="T2887" s="161" t="inlineStr">
        <is>
          <t>加工费</t>
        </is>
      </c>
      <c r="U2887" s="161" t="inlineStr">
        <is>
          <t>订货号</t>
        </is>
      </c>
      <c r="V2887" s="161" t="inlineStr">
        <is>
          <t>人工</t>
        </is>
      </c>
      <c r="W2887" s="161" t="inlineStr">
        <is>
          <t>辅料</t>
        </is>
      </c>
      <c r="X2887" s="203" t="inlineStr"/>
    </row>
    <row r="2888" s="308">
      <c r="A2888" s="64">
        <f>ROW()-ROW(A$2887)</f>
        <v/>
      </c>
      <c r="B2888" s="22" t="inlineStr">
        <is>
          <t>塑壳断路器</t>
        </is>
      </c>
      <c r="C2888" s="22" t="inlineStr">
        <is>
          <t>NSX100H TM100D 3P3D P</t>
        </is>
      </c>
      <c r="D2888" s="22" t="inlineStr">
        <is>
          <t>甲供/施耐德电气</t>
        </is>
      </c>
      <c r="E2888" s="23" t="inlineStr">
        <is>
          <t>只</t>
        </is>
      </c>
      <c r="F2888" s="23" t="n">
        <v>3</v>
      </c>
      <c r="G2888" s="349">
        <f>IF(AND(B2888="",C2888=""),"",ROUND(M2888*L2888*N2888,2))</f>
        <v/>
      </c>
      <c r="H2888" s="349">
        <f>IF(AND(B2888="",C2888=""),"",ROUND(F2888*G2888,2))</f>
        <v/>
      </c>
      <c r="I2888" s="45" t="inlineStr"/>
      <c r="J2888" s="397">
        <f>IF(AND(B2888="",C2888=""),"",ROUND(M2888*N2888,2))</f>
        <v/>
      </c>
      <c r="K2888" s="398">
        <f>IF(AND(B2888="",C2888=""),"",ROUND(J2888*F2888,2))</f>
        <v/>
      </c>
      <c r="L2888" s="200" t="n">
        <v>1</v>
      </c>
      <c r="M2888" s="399" t="n">
        <v>1e-07</v>
      </c>
      <c r="N2888" s="154" t="n">
        <v>1</v>
      </c>
      <c r="O2888" s="155">
        <f>IF(AND(B2888="",C2888=""),"",IF(G2888&gt;=20000,0.05,IF(G2888&gt;=10000,0.1,IF(G2888&gt;=5000,0.2,IF(G2888&gt;=1000,0.3,IF(G2888&gt;=0,0.4,{0}))))))</f>
        <v/>
      </c>
      <c r="P2888" s="400">
        <f>IF(AND(B2888="",C2888=""),"",ROUND(H2888*O2888,2))</f>
        <v/>
      </c>
      <c r="Q2888" s="401" t="inlineStr">
        <is>
          <t>元件</t>
        </is>
      </c>
      <c r="R2888" s="168" t="inlineStr"/>
      <c r="S2888" s="168" t="inlineStr"/>
      <c r="T2888" s="168" t="inlineStr">
        <is>
          <t>0</t>
        </is>
      </c>
      <c r="U2888" s="168" t="inlineStr">
        <is>
          <t>C16F32D160</t>
        </is>
      </c>
      <c r="V2888" s="402" t="n"/>
      <c r="W2888" s="402" t="n"/>
      <c r="X2888" s="170" t="inlineStr">
        <is>
          <t>NSX630N Mic2.3 630A 3P3D F→NSX630F MIC2.3 630 3P F→NSX630F MIC 2.3 630 3P F</t>
        </is>
      </c>
    </row>
    <row r="2889" s="308">
      <c r="A2889" s="64">
        <f>ROW()-ROW(A$2887)</f>
        <v/>
      </c>
      <c r="B2889" s="22" t="inlineStr">
        <is>
          <t>塑壳断路器</t>
        </is>
      </c>
      <c r="C2889" s="22" t="inlineStr">
        <is>
          <t>NSX250H TM250D 3P3D P</t>
        </is>
      </c>
      <c r="D2889" s="22" t="inlineStr">
        <is>
          <t>甲供/施耐德电气</t>
        </is>
      </c>
      <c r="E2889" s="23" t="inlineStr">
        <is>
          <t>只</t>
        </is>
      </c>
      <c r="F2889" s="23" t="n">
        <v>5</v>
      </c>
      <c r="G2889" s="349">
        <f>IF(AND(B2889="",C2889=""),"",ROUND(M2889*L2889*N2889,2))</f>
        <v/>
      </c>
      <c r="H2889" s="349">
        <f>IF(AND(B2889="",C2889=""),"",ROUND(F2889*G2889,2))</f>
        <v/>
      </c>
      <c r="I2889" s="45" t="inlineStr"/>
      <c r="J2889" s="397">
        <f>IF(AND(B2889="",C2889=""),"",ROUND(M2889*N2889,2))</f>
        <v/>
      </c>
      <c r="K2889" s="398">
        <f>IF(AND(B2889="",C2889=""),"",ROUND(J2889*F2889,2))</f>
        <v/>
      </c>
      <c r="L2889" s="200" t="n">
        <v>1</v>
      </c>
      <c r="M2889" s="399" t="n">
        <v>1e-07</v>
      </c>
      <c r="N2889" s="154" t="n">
        <v>1</v>
      </c>
      <c r="O2889" s="155">
        <f>IF(AND(B2889="",C2889=""),"",IF(G2889&gt;=20000,0.05,IF(G2889&gt;=10000,0.1,IF(G2889&gt;=5000,0.2,IF(G2889&gt;=1000,0.3,IF(G2889&gt;=0,0.4,{0}))))))</f>
        <v/>
      </c>
      <c r="P2889" s="400">
        <f>IF(AND(B2889="",C2889=""),"",ROUND(H2889*O2889,2))</f>
        <v/>
      </c>
      <c r="Q2889" s="401" t="inlineStr">
        <is>
          <t>元件</t>
        </is>
      </c>
      <c r="R2889" s="168" t="inlineStr"/>
      <c r="S2889" s="168" t="inlineStr"/>
      <c r="T2889" s="168" t="inlineStr">
        <is>
          <t>0</t>
        </is>
      </c>
      <c r="U2889" s="168" t="inlineStr">
        <is>
          <t>C16F32D160</t>
        </is>
      </c>
      <c r="V2889" s="402" t="n"/>
      <c r="W2889" s="402" t="n"/>
      <c r="X2889" s="170" t="inlineStr">
        <is>
          <t>NSX630N Mic2.3 630A 3P3D F→NSX630F MIC2.3 630 3P F→NSX630F MIC 2.3 630 3P F</t>
        </is>
      </c>
    </row>
    <row r="2890" s="308">
      <c r="A2890" s="64">
        <f>ROW()-ROW(A$2887)</f>
        <v/>
      </c>
      <c r="B2890" s="22" t="inlineStr">
        <is>
          <t>塑壳断路器</t>
        </is>
      </c>
      <c r="C2890" s="22" t="inlineStr">
        <is>
          <t>NSX400H Mic2.3 400A 3P3D P</t>
        </is>
      </c>
      <c r="D2890" s="22" t="inlineStr">
        <is>
          <t>甲供/施耐德电气</t>
        </is>
      </c>
      <c r="E2890" s="23" t="inlineStr">
        <is>
          <t>只</t>
        </is>
      </c>
      <c r="F2890" s="23" t="n">
        <v>1</v>
      </c>
      <c r="G2890" s="349">
        <f>IF(AND(B2890="",C2890=""),"",ROUND(M2890*L2890*N2890,2))</f>
        <v/>
      </c>
      <c r="H2890" s="349">
        <f>IF(AND(B2890="",C2890=""),"",ROUND(F2890*G2890,2))</f>
        <v/>
      </c>
      <c r="I2890" s="45" t="inlineStr"/>
      <c r="J2890" s="397">
        <f>IF(AND(B2890="",C2890=""),"",ROUND(M2890*N2890,2))</f>
        <v/>
      </c>
      <c r="K2890" s="398">
        <f>IF(AND(B2890="",C2890=""),"",ROUND(J2890*F2890,2))</f>
        <v/>
      </c>
      <c r="L2890" s="200" t="n">
        <v>1</v>
      </c>
      <c r="M2890" s="399" t="n">
        <v>1e-07</v>
      </c>
      <c r="N2890" s="154" t="n">
        <v>1</v>
      </c>
      <c r="O2890" s="155">
        <f>IF(AND(B2890="",C2890=""),"",IF(G2890&gt;=20000,0.05,IF(G2890&gt;=10000,0.1,IF(G2890&gt;=5000,0.2,IF(G2890&gt;=1000,0.3,IF(G2890&gt;=0,0.4,{0}))))))</f>
        <v/>
      </c>
      <c r="P2890" s="400">
        <f>IF(AND(B2890="",C2890=""),"",ROUND(H2890*O2890,2))</f>
        <v/>
      </c>
      <c r="Q2890" s="401" t="inlineStr">
        <is>
          <t>元件</t>
        </is>
      </c>
      <c r="R2890" s="168" t="inlineStr"/>
      <c r="S2890" s="168" t="inlineStr"/>
      <c r="T2890" s="168" t="inlineStr">
        <is>
          <t>0</t>
        </is>
      </c>
      <c r="U2890" s="168" t="inlineStr"/>
      <c r="V2890" s="402" t="n"/>
      <c r="W2890" s="402" t="n"/>
      <c r="X2890" s="170" t="inlineStr"/>
    </row>
    <row r="2891" s="308">
      <c r="A2891" s="64">
        <f>ROW()-ROW(A$2887)</f>
        <v/>
      </c>
      <c r="B2891" s="22" t="inlineStr">
        <is>
          <t>电流互感器</t>
        </is>
      </c>
      <c r="C2891" s="22" t="inlineStr">
        <is>
          <t>SD-0.66-M8 100/5A</t>
        </is>
      </c>
      <c r="D2891" s="22" t="inlineStr">
        <is>
          <t>桑迪</t>
        </is>
      </c>
      <c r="E2891" s="23" t="inlineStr">
        <is>
          <t>只</t>
        </is>
      </c>
      <c r="F2891" s="23" t="n">
        <v>9</v>
      </c>
      <c r="G2891" s="349">
        <f>IF(AND(B2891="",C2891=""),"",ROUND(M2891*L2891*N2891,2))</f>
        <v/>
      </c>
      <c r="H2891" s="396">
        <f>IF(AND(B2891="",C2891=""),"",ROUND(F2891*G2891,2))</f>
        <v/>
      </c>
      <c r="I2891" s="219" t="inlineStr"/>
      <c r="J2891" s="397">
        <f>IF(AND(B2891="",C2891=""),"",ROUND(M2891*N2891,2))</f>
        <v/>
      </c>
      <c r="K2891" s="398">
        <f>IF(AND(B2891="",C2891=""),"",ROUND(J2891*F2891,2))</f>
        <v/>
      </c>
      <c r="L2891" s="200" t="n">
        <v>1</v>
      </c>
      <c r="M2891" s="399" t="n">
        <v>61.75</v>
      </c>
      <c r="N2891" s="154" t="n">
        <v>1</v>
      </c>
      <c r="O2891" s="155">
        <f>IF(AND(B2891="",C2891=""),"",IF(G2891&gt;=20000,0.05,IF(G2891&gt;=10000,0.1,IF(G2891&gt;=5000,0.2,IF(G2891&gt;=1000,0.3,IF(G2891&gt;=0,0.4,{0}))))))</f>
        <v/>
      </c>
      <c r="P2891" s="400">
        <f>IF(AND(B2891="",C2891=""),"",ROUND(H2891*O2891,2))</f>
        <v/>
      </c>
      <c r="Q2891" s="401" t="inlineStr">
        <is>
          <t>元件</t>
        </is>
      </c>
      <c r="R2891" s="168" t="inlineStr"/>
      <c r="S2891" s="168" t="inlineStr"/>
      <c r="T2891" s="168" t="inlineStr">
        <is>
          <t>0</t>
        </is>
      </c>
      <c r="U2891" s="168" t="inlineStr">
        <is>
          <t>710140200000049</t>
        </is>
      </c>
      <c r="V2891" s="402" t="n"/>
      <c r="W2891" s="402" t="n"/>
      <c r="X2891" s="170" t="inlineStr">
        <is>
          <t>SD→SD-0.66-40II-C 400/5A→SD-0.66-30I 250/5A→SD-0.66-30I 150/5A→SD-0.66-60II-C 750/5A→SD-0.66-60II-C 600/5A→SD-0.66-30I 150/5A→SD-0.66-40II-C 400/5A→SD-0.66-100II-C 1600/5A→SD-0.66-80II-V 1000/5A→SD-0.66-40II-C 400/5A→SD-0.66-60II-C 600/5A</t>
        </is>
      </c>
    </row>
    <row r="2892" s="308">
      <c r="A2892" s="64">
        <f>ROW()-ROW(A$2887)</f>
        <v/>
      </c>
      <c r="B2892" s="22" t="inlineStr">
        <is>
          <t>电流互感器</t>
        </is>
      </c>
      <c r="C2892" s="22" t="inlineStr">
        <is>
          <t>SD-0.66-30I 250/5A</t>
        </is>
      </c>
      <c r="D2892" s="22" t="inlineStr">
        <is>
          <t>桑迪</t>
        </is>
      </c>
      <c r="E2892" s="23" t="inlineStr">
        <is>
          <t>只</t>
        </is>
      </c>
      <c r="F2892" s="23" t="n">
        <v>15</v>
      </c>
      <c r="G2892" s="349">
        <f>IF(AND(B2892="",C2892=""),"",ROUND(M2892*L2892*N2892,2))</f>
        <v/>
      </c>
      <c r="H2892" s="396">
        <f>IF(AND(B2892="",C2892=""),"",ROUND(F2892*G2892,2))</f>
        <v/>
      </c>
      <c r="I2892" s="219" t="inlineStr"/>
      <c r="J2892" s="397">
        <f>IF(AND(B2892="",C2892=""),"",ROUND(M2892*N2892,2))</f>
        <v/>
      </c>
      <c r="K2892" s="398">
        <f>IF(AND(B2892="",C2892=""),"",ROUND(J2892*F2892,2))</f>
        <v/>
      </c>
      <c r="L2892" s="200" t="n">
        <v>1</v>
      </c>
      <c r="M2892" s="399" t="n">
        <v>26.65</v>
      </c>
      <c r="N2892" s="154" t="n">
        <v>1</v>
      </c>
      <c r="O2892" s="155">
        <f>IF(AND(B2892="",C2892=""),"",IF(G2892&gt;=20000,0.05,IF(G2892&gt;=10000,0.1,IF(G2892&gt;=5000,0.2,IF(G2892&gt;=1000,0.3,IF(G2892&gt;=0,0.4,{0}))))))</f>
        <v/>
      </c>
      <c r="P2892" s="400">
        <f>IF(AND(B2892="",C2892=""),"",ROUND(H2892*O2892,2))</f>
        <v/>
      </c>
      <c r="Q2892" s="401" t="inlineStr">
        <is>
          <t>元件</t>
        </is>
      </c>
      <c r="R2892" s="168" t="inlineStr"/>
      <c r="S2892" s="168" t="inlineStr"/>
      <c r="T2892" s="168" t="inlineStr">
        <is>
          <t>0</t>
        </is>
      </c>
      <c r="U2892" s="168" t="inlineStr">
        <is>
          <t>710140200000049</t>
        </is>
      </c>
      <c r="V2892" s="402" t="n"/>
      <c r="W2892" s="402" t="n"/>
      <c r="X2892" s="170" t="inlineStr">
        <is>
          <t>SD→SD-0.66-40II-C 400/5A→SD-0.66-30I 250/5A→SD-0.66-30I 150/5A→SD-0.66-60II-C 750/5A→SD-0.66-60II-C 600/5A→SD-0.66-30I 150/5A→SD-0.66-40II-C 400/5A→SD-0.66-100II-C 1600/5A→SD-0.66-80II-V 1000/5A</t>
        </is>
      </c>
    </row>
    <row r="2893" s="308">
      <c r="A2893" s="64">
        <f>ROW()-ROW(A$2887)</f>
        <v/>
      </c>
      <c r="B2893" s="22" t="inlineStr">
        <is>
          <t>电流互感器</t>
        </is>
      </c>
      <c r="C2893" s="22" t="inlineStr">
        <is>
          <t>SD-0.66-40II-C 400/5A</t>
        </is>
      </c>
      <c r="D2893" s="22" t="inlineStr">
        <is>
          <t>桑迪</t>
        </is>
      </c>
      <c r="E2893" s="23" t="inlineStr">
        <is>
          <t>只</t>
        </is>
      </c>
      <c r="F2893" s="23" t="n">
        <v>3</v>
      </c>
      <c r="G2893" s="349">
        <f>IF(AND(B2893="",C2893=""),"",ROUND(M2893*L2893*N2893,2))</f>
        <v/>
      </c>
      <c r="H2893" s="396">
        <f>IF(AND(B2893="",C2893=""),"",ROUND(F2893*G2893,2))</f>
        <v/>
      </c>
      <c r="I2893" s="219" t="inlineStr"/>
      <c r="J2893" s="397">
        <f>IF(AND(B2893="",C2893=""),"",ROUND(M2893*N2893,2))</f>
        <v/>
      </c>
      <c r="K2893" s="398">
        <f>IF(AND(B2893="",C2893=""),"",ROUND(J2893*F2893,2))</f>
        <v/>
      </c>
      <c r="L2893" s="200" t="n">
        <v>1</v>
      </c>
      <c r="M2893" s="399" t="n">
        <v>52</v>
      </c>
      <c r="N2893" s="154" t="n">
        <v>1</v>
      </c>
      <c r="O2893" s="155">
        <f>IF(AND(B2893="",C2893=""),"",IF(G2893&gt;=20000,0.05,IF(G2893&gt;=10000,0.1,IF(G2893&gt;=5000,0.2,IF(G2893&gt;=1000,0.3,IF(G2893&gt;=0,0.4,{0}))))))</f>
        <v/>
      </c>
      <c r="P2893" s="400">
        <f>IF(AND(B2893="",C2893=""),"",ROUND(H2893*O2893,2))</f>
        <v/>
      </c>
      <c r="Q2893" s="401" t="inlineStr">
        <is>
          <t>元件</t>
        </is>
      </c>
      <c r="R2893" s="168" t="inlineStr"/>
      <c r="S2893" s="168" t="inlineStr"/>
      <c r="T2893" s="168" t="inlineStr">
        <is>
          <t>0</t>
        </is>
      </c>
      <c r="U2893" s="168" t="inlineStr">
        <is>
          <t>710140200000049</t>
        </is>
      </c>
      <c r="V2893" s="402" t="n"/>
      <c r="W2893" s="402" t="n"/>
      <c r="X2893" s="170" t="inlineStr">
        <is>
          <t>SD→SD-0.66-40II-C 400/5A→SD-0.66-30I 250/5A→SD-0.66-30I 150/5A→SD-0.66-60II-C 750/5A→SD-0.66-60II-C 600/5A→SD-0.66-30I 150/5A→SD-0.66-40II-C 400/5A→SD-0.66-100II-C 1600/5A→SD-0.66-80II-V 1000/5A</t>
        </is>
      </c>
    </row>
    <row r="2894" s="308">
      <c r="A2894" s="64">
        <f>ROW()-ROW(A$2887)</f>
        <v/>
      </c>
      <c r="B2894" s="112" t="inlineStr">
        <is>
          <t>多功能表</t>
        </is>
      </c>
      <c r="C2894" s="112" t="inlineStr">
        <is>
          <t>PM4101</t>
        </is>
      </c>
      <c r="D2894" s="112" t="inlineStr">
        <is>
          <t>甲供/施耐德电气</t>
        </is>
      </c>
      <c r="E2894" s="114" t="inlineStr">
        <is>
          <t>只</t>
        </is>
      </c>
      <c r="F2894" s="114" t="n">
        <v>9</v>
      </c>
      <c r="G2894" s="396">
        <f>IF(AND(B2894="",C2894=""),"",ROUND(M2894*L2894*N2894,2))</f>
        <v/>
      </c>
      <c r="H2894" s="349">
        <f>IF(AND(B2894="",C2894=""),"",ROUND(F2894*G2894,2))</f>
        <v/>
      </c>
      <c r="I2894" s="45" t="inlineStr"/>
      <c r="J2894" s="397">
        <f>IF(AND(B2894="",C2894=""),"",ROUND(M2894*N2894,2))</f>
        <v/>
      </c>
      <c r="K2894" s="398">
        <f>IF(AND(B2894="",C2894=""),"",ROUND(J2894*F2894,2))</f>
        <v/>
      </c>
      <c r="L2894" s="200" t="n">
        <v>1</v>
      </c>
      <c r="M2894" s="399" t="n">
        <v>1e-07</v>
      </c>
      <c r="N2894" s="154" t="n">
        <v>1</v>
      </c>
      <c r="O2894" s="155">
        <f>IF(AND(B2894="",C2894=""),"",IF(J2894&gt;=20000,0.05,IF(J2894&gt;=10000,0.1,IF(J2894&gt;=5000,0.2,IF(J2894&gt;=1000,0.3,IF(J2894&gt;=0,0.4,{0}))))))</f>
        <v/>
      </c>
      <c r="P2894" s="400">
        <f>IF(AND(B2894="",C2894=""),"",ROUND(H2894*O2894,2))</f>
        <v/>
      </c>
      <c r="Q2894" s="401" t="inlineStr">
        <is>
          <t>元件</t>
        </is>
      </c>
      <c r="R2894" s="168" t="inlineStr"/>
      <c r="S2894" s="168" t="inlineStr"/>
      <c r="T2894" s="168" t="inlineStr">
        <is>
          <t>0</t>
        </is>
      </c>
      <c r="U2894" s="168" t="inlineStr"/>
      <c r="V2894" s="402" t="n"/>
      <c r="W2894" s="402" t="n"/>
      <c r="X2894" s="170" t="inlineStr"/>
    </row>
    <row r="2895" customFormat="1" s="3">
      <c r="A2895" s="64">
        <f>ROW()-ROW(A$2887)</f>
        <v/>
      </c>
      <c r="B2895" s="22" t="inlineStr">
        <is>
          <t>指示灯</t>
        </is>
      </c>
      <c r="C2895" s="22" t="inlineStr">
        <is>
          <t>XB2BVM3LC</t>
        </is>
      </c>
      <c r="D2895" s="22" t="inlineStr">
        <is>
          <t>甲供/施耐德电气</t>
        </is>
      </c>
      <c r="E2895" s="23" t="inlineStr">
        <is>
          <t>只</t>
        </is>
      </c>
      <c r="F2895" s="23" t="n">
        <v>9</v>
      </c>
      <c r="G2895" s="349">
        <f>IF(AND(B2895="",C2895=""),"",ROUND(M2895*L2895*N2895,2))</f>
        <v/>
      </c>
      <c r="H2895" s="353">
        <f>IF(AND(B2895="",C2895=""),"",ROUND(F2895*G2895,2))</f>
        <v/>
      </c>
      <c r="I2895" s="180" t="inlineStr"/>
      <c r="J2895" s="392">
        <f>IF(AND(B2895="",C2895=""),"",ROUND(M2895*N2895,2))</f>
        <v/>
      </c>
      <c r="K2895" s="393">
        <f>IF(AND(B2895="",C2895=""),"",ROUND(J2895*F2895,2))</f>
        <v/>
      </c>
      <c r="L2895" s="141" t="n">
        <v>1</v>
      </c>
      <c r="M2895" s="394" t="n">
        <v>1e-07</v>
      </c>
      <c r="N2895" s="220" t="n">
        <v>1</v>
      </c>
      <c r="O2895" s="221">
        <f>IF(AND(B2895="",C2895=""),"",IF(G2895&gt;=20000,0.05,IF(G2895&gt;=10000,0.1,IF(G2895&gt;=5000,0.2,IF(G2895&gt;=1000,0.3,IF(G2895&gt;=0,0.4,{0}))))))</f>
        <v/>
      </c>
      <c r="P2895" s="419">
        <f>IF(AND(B2895="",C2895=""),"",ROUND(H2895*O2895,2))</f>
        <v/>
      </c>
      <c r="Q2895" s="420" t="inlineStr">
        <is>
          <t>元件</t>
        </is>
      </c>
      <c r="R2895" s="231" t="inlineStr"/>
      <c r="S2895" s="231" t="inlineStr"/>
      <c r="T2895" s="231" t="inlineStr">
        <is>
          <t>0</t>
        </is>
      </c>
      <c r="U2895" s="231" t="inlineStr">
        <is>
          <t>XB2BVM3LC</t>
        </is>
      </c>
      <c r="V2895" s="421" t="n"/>
      <c r="W2895" s="421" t="n"/>
      <c r="X2895" s="166" t="inlineStr">
        <is>
          <t>XA2EVM3LC</t>
        </is>
      </c>
    </row>
    <row r="2896" customFormat="1" s="3">
      <c r="A2896" s="64">
        <f>ROW()-ROW(A$2887)</f>
        <v/>
      </c>
      <c r="B2896" s="22" t="inlineStr">
        <is>
          <t>指示灯</t>
        </is>
      </c>
      <c r="C2896" s="22" t="inlineStr">
        <is>
          <t>XB2BVM4LC</t>
        </is>
      </c>
      <c r="D2896" s="22" t="inlineStr">
        <is>
          <t>甲供/施耐德电气</t>
        </is>
      </c>
      <c r="E2896" s="23" t="inlineStr">
        <is>
          <t>只</t>
        </is>
      </c>
      <c r="F2896" s="23" t="n">
        <v>9</v>
      </c>
      <c r="G2896" s="349">
        <f>IF(AND(B2896="",C2896=""),"",ROUND(M2896*L2896*N2896,2))</f>
        <v/>
      </c>
      <c r="H2896" s="353">
        <f>IF(AND(B2896="",C2896=""),"",ROUND(F2896*G2896,2))</f>
        <v/>
      </c>
      <c r="I2896" s="180" t="inlineStr"/>
      <c r="J2896" s="392">
        <f>IF(AND(B2896="",C2896=""),"",ROUND(M2896*N2896,2))</f>
        <v/>
      </c>
      <c r="K2896" s="393">
        <f>IF(AND(B2896="",C2896=""),"",ROUND(J2896*F2896,2))</f>
        <v/>
      </c>
      <c r="L2896" s="141" t="n">
        <v>1</v>
      </c>
      <c r="M2896" s="394" t="n">
        <v>1e-07</v>
      </c>
      <c r="N2896" s="220" t="n">
        <v>1</v>
      </c>
      <c r="O2896" s="221">
        <f>IF(AND(B2896="",C2896=""),"",IF(G2896&gt;=20000,0.05,IF(G2896&gt;=10000,0.1,IF(G2896&gt;=5000,0.2,IF(G2896&gt;=1000,0.3,IF(G2896&gt;=0,0.4,{0}))))))</f>
        <v/>
      </c>
      <c r="P2896" s="419">
        <f>IF(AND(B2896="",C2896=""),"",ROUND(H2896*O2896,2))</f>
        <v/>
      </c>
      <c r="Q2896" s="420" t="inlineStr">
        <is>
          <t>元件</t>
        </is>
      </c>
      <c r="R2896" s="231" t="inlineStr"/>
      <c r="S2896" s="231" t="inlineStr"/>
      <c r="T2896" s="231" t="inlineStr">
        <is>
          <t>0</t>
        </is>
      </c>
      <c r="U2896" s="231" t="inlineStr">
        <is>
          <t>XB2BVM4LC</t>
        </is>
      </c>
      <c r="V2896" s="421" t="n"/>
      <c r="W2896" s="421" t="n"/>
      <c r="X2896" s="166" t="inlineStr">
        <is>
          <t>XA2EVM4LC</t>
        </is>
      </c>
    </row>
    <row r="2897" s="308">
      <c r="A2897" s="64">
        <f>ROW()-ROW(A$2887)</f>
        <v/>
      </c>
      <c r="B2897" s="112" t="inlineStr">
        <is>
          <t>温湿度控制器</t>
        </is>
      </c>
      <c r="C2897" s="112" t="inlineStr">
        <is>
          <t>ATH48G-11</t>
        </is>
      </c>
      <c r="D2897" s="22" t="inlineStr">
        <is>
          <t>杭州安廷</t>
        </is>
      </c>
      <c r="E2897" s="23" t="inlineStr">
        <is>
          <t>套</t>
        </is>
      </c>
      <c r="F2897" s="23" t="n">
        <v>1</v>
      </c>
      <c r="G2897" s="349">
        <f>IF(AND(B2897="",C2897=""),"",ROUND(M2897*L2897*N2897,2))</f>
        <v/>
      </c>
      <c r="H2897" s="396">
        <f>IF(AND(B2897="",C2897=""),"",ROUND(F2897*G2897,2))</f>
        <v/>
      </c>
      <c r="I2897" s="150" t="inlineStr"/>
      <c r="J2897" s="397">
        <f>IF(AND(B2897="",C2897=""),"",ROUND(M2897*N2897,2))</f>
        <v/>
      </c>
      <c r="K2897" s="398">
        <f>IF(AND(B2897="",C2897=""),"",ROUND(J2897*F2897,2))</f>
        <v/>
      </c>
      <c r="L2897" s="141" t="n">
        <v>1</v>
      </c>
      <c r="M2897" s="399" t="n">
        <v>450</v>
      </c>
      <c r="N2897" s="154" t="n">
        <v>1</v>
      </c>
      <c r="O2897" s="155">
        <f>IF(AND(B2897="",C2897=""),"",IF(G2897&gt;=20000,0.05,IF(G2897&gt;=10000,0.1,IF(G2897&gt;=5000,0.2,IF(G2897&gt;=1000,0.3,IF(G2897&gt;=0,0.4,{0}))))))</f>
        <v/>
      </c>
      <c r="P2897" s="400">
        <f>IF(AND(B2897="",C2897=""),"",ROUND(H2897*O2897,2))</f>
        <v/>
      </c>
      <c r="Q2897" s="401" t="inlineStr">
        <is>
          <t>元件</t>
        </is>
      </c>
      <c r="R2897" s="168" t="inlineStr"/>
      <c r="S2897" s="168" t="inlineStr"/>
      <c r="T2897" s="168" t="inlineStr">
        <is>
          <t>0</t>
        </is>
      </c>
      <c r="U2897" s="168" t="inlineStr"/>
      <c r="V2897" s="402" t="n"/>
      <c r="W2897" s="402" t="n"/>
      <c r="X2897" s="170" t="inlineStr"/>
    </row>
    <row r="2898" s="308">
      <c r="A2898" s="64">
        <f>ROW()-ROW(A$2887)</f>
        <v/>
      </c>
      <c r="B2898" s="22" t="inlineStr">
        <is>
          <t>中间继电器</t>
        </is>
      </c>
      <c r="C2898" s="22" t="inlineStr">
        <is>
          <t>RXM4AB2P7+RXZE2S114M+RXZ400</t>
        </is>
      </c>
      <c r="D2898" s="22" t="inlineStr">
        <is>
          <t>甲供/施耐德电气</t>
        </is>
      </c>
      <c r="E2898" s="23" t="inlineStr">
        <is>
          <t>只</t>
        </is>
      </c>
      <c r="F2898" s="23" t="n">
        <v>18</v>
      </c>
      <c r="G2898" s="349">
        <f>IF(AND(B2898="",C2898=""),"",ROUND(M2898*L2898*N2898,2))</f>
        <v/>
      </c>
      <c r="H2898" s="349">
        <f>IF(AND(B2898="",C2898=""),"",ROUND(F2898*G2898,2))</f>
        <v/>
      </c>
      <c r="I2898" s="45" t="inlineStr"/>
      <c r="J2898" s="397">
        <f>IF(AND(B2898="",C2898=""),"",ROUND(M2898*N2898,2))</f>
        <v/>
      </c>
      <c r="K2898" s="398">
        <f>IF(AND(B2898="",C2898=""),"",ROUND(J2898*F2898,2))</f>
        <v/>
      </c>
      <c r="L2898" s="141" t="n">
        <v>1</v>
      </c>
      <c r="M2898" s="399" t="n">
        <v>1e-07</v>
      </c>
      <c r="N2898" s="154" t="n">
        <v>1</v>
      </c>
      <c r="O2898" s="155">
        <f>IF(AND(B2898="",C2898=""),"",IF(G2898&gt;=20000,0.05,IF(G2898&gt;=10000,0.1,IF(G2898&gt;=5000,0.2,IF(G2898&gt;=1000,0.3,IF(G2898&gt;=0,0.4,{0}))))))</f>
        <v/>
      </c>
      <c r="P2898" s="400">
        <f>IF(AND(B2898="",C2898=""),"",ROUND(H2898*O2898,2))</f>
        <v/>
      </c>
      <c r="Q2898" s="401" t="inlineStr">
        <is>
          <t>元件</t>
        </is>
      </c>
      <c r="R2898" s="168" t="inlineStr"/>
      <c r="S2898" s="168" t="inlineStr"/>
      <c r="T2898" s="168" t="inlineStr">
        <is>
          <t>0</t>
        </is>
      </c>
      <c r="U2898" s="168" t="inlineStr">
        <is>
          <t>RXM4AB2P7+RXZE2S114M+RXZ400</t>
        </is>
      </c>
      <c r="V2898" s="402" t="n"/>
      <c r="W2898" s="402" t="n"/>
      <c r="X2898" s="170" t="inlineStr">
        <is>
          <t>REL-IR-BL/L-230AC/4X21，含底座→RXM4AB2P7+RXZE2S114M+RXZ400→REL-IR-BL/L-230AC/4X21，含底座</t>
        </is>
      </c>
    </row>
    <row r="2899" customFormat="1" s="3">
      <c r="A2899" s="64">
        <f>ROW()-ROW(A$2887)</f>
        <v/>
      </c>
      <c r="B2899" s="22" t="inlineStr">
        <is>
          <t>带熔丝端子</t>
        </is>
      </c>
      <c r="C2899" s="22" t="inlineStr">
        <is>
          <t>UK 5-HESI</t>
        </is>
      </c>
      <c r="D2899" s="22" t="inlineStr">
        <is>
          <t>菲尼克斯</t>
        </is>
      </c>
      <c r="E2899" s="23" t="inlineStr">
        <is>
          <t>只</t>
        </is>
      </c>
      <c r="F2899" s="23" t="n">
        <v>36</v>
      </c>
      <c r="G2899" s="349">
        <f>IF(AND(B2899="",C2899=""),"",ROUND(M2899*L2899*N2899,2))</f>
        <v/>
      </c>
      <c r="H2899" s="349">
        <f>IF(AND(B2899="",C2899=""),"",ROUND(F2899*G2899,2))</f>
        <v/>
      </c>
      <c r="I2899" s="45" t="inlineStr"/>
      <c r="J2899" s="392">
        <f>IF(AND(B2899="",C2899=""),"",ROUND(M2899*N2899,2))</f>
        <v/>
      </c>
      <c r="K2899" s="393">
        <f>IF(AND(B2899="",C2899=""),"",ROUND(J2899*F2899,2))</f>
        <v/>
      </c>
      <c r="L2899" s="141" t="n">
        <v>1</v>
      </c>
      <c r="M2899" s="394" t="n">
        <v>7</v>
      </c>
      <c r="N2899" s="220" t="n">
        <v>1</v>
      </c>
      <c r="O2899" s="221">
        <f>IF(AND(B2899="",C2899=""),"",IF(G2899&gt;=20000,0.05,IF(G2899&gt;=10000,0.1,IF(G2899&gt;=5000,0.2,IF(G2899&gt;=1000,0.3,IF(G2899&gt;=0,0.4,{0}))))))</f>
        <v/>
      </c>
      <c r="P2899" s="419">
        <f>IF(AND(B2899="",C2899=""),"",ROUND(H2899*O2899,2))</f>
        <v/>
      </c>
      <c r="Q2899" s="420" t="inlineStr">
        <is>
          <t>元件</t>
        </is>
      </c>
      <c r="R2899" s="231" t="inlineStr"/>
      <c r="S2899" s="231" t="inlineStr"/>
      <c r="T2899" s="231" t="inlineStr">
        <is>
          <t>0</t>
        </is>
      </c>
      <c r="U2899" s="231" t="inlineStr">
        <is>
          <t>True</t>
        </is>
      </c>
      <c r="V2899" s="421" t="n"/>
      <c r="W2899" s="421" t="n"/>
      <c r="X2899" s="166" t="inlineStr"/>
    </row>
    <row r="2900" s="308">
      <c r="A2900" s="64">
        <f>ROW()-ROW(A$2887)</f>
        <v/>
      </c>
      <c r="B2900" s="22" t="inlineStr">
        <is>
          <t>水平母排</t>
        </is>
      </c>
      <c r="C2900" s="22" t="inlineStr">
        <is>
          <t>TMY 4*(100*5)+50*5</t>
        </is>
      </c>
      <c r="D2900" s="22" t="inlineStr">
        <is>
          <t>国产优质</t>
        </is>
      </c>
      <c r="E2900" s="23" t="inlineStr">
        <is>
          <t>米</t>
        </is>
      </c>
      <c r="F2900" s="23" t="n">
        <v>0.7</v>
      </c>
      <c r="G2900" s="349">
        <f>IF(AND(B2900="",C2900=""),"",ROUND(M2900*L2900*N2900,2))</f>
        <v/>
      </c>
      <c r="H2900" s="349">
        <f>IF(AND(B2900="",C2900=""),"",ROUND(F2900*G2900,2))</f>
        <v/>
      </c>
      <c r="I2900" s="45" t="inlineStr"/>
      <c r="J2900" s="397">
        <f>IF(AND(B2900="",C2900=""),"",ROUND(M2900*N2900,2))</f>
        <v/>
      </c>
      <c r="K2900" s="398">
        <f>IF(AND(B2900="",C2900=""),"",ROUND(J2900*F2900,2))</f>
        <v/>
      </c>
      <c r="L2900" s="200" t="n">
        <v>1</v>
      </c>
      <c r="M2900" s="399" t="n">
        <v>2164.802625</v>
      </c>
      <c r="N2900" s="154">
        <f>(6317.932*1*1+2684.8*1*1)/9002.732</f>
        <v/>
      </c>
      <c r="O2900" s="155">
        <f>IF(AND(B2900="",C2900=""),"",IF(J2900&gt;=20000,0.05,IF(J2900&gt;=10000,0.1,IF(J2900&gt;=5000,0.2,IF(J2900&gt;=1000,0.3,IF(J2900&gt;=0,0.4,{0}))))))</f>
        <v/>
      </c>
      <c r="P2900" s="400">
        <f>IF(AND(B2900="",C2900=""),"",ROUND(H2900*O2900,2))</f>
        <v/>
      </c>
      <c r="Q2900" s="401" t="inlineStr">
        <is>
          <t>母排</t>
        </is>
      </c>
      <c r="R2900" s="168" t="inlineStr"/>
      <c r="S2900" s="168" t="inlineStr"/>
      <c r="T2900" s="168" t="inlineStr">
        <is>
          <t>0</t>
        </is>
      </c>
      <c r="U2900" s="168" t="inlineStr"/>
      <c r="V2900" s="402" t="n"/>
      <c r="W2900" s="402" t="n"/>
      <c r="X2900" s="170" t="inlineStr"/>
    </row>
    <row r="2901" customFormat="1" s="5">
      <c r="A2901" s="64">
        <f>ROW()-ROW(A$2887)</f>
        <v/>
      </c>
      <c r="B2901" s="22" t="inlineStr">
        <is>
          <t>垂直排</t>
        </is>
      </c>
      <c r="C2901" s="22" t="inlineStr">
        <is>
          <t>TMY 3*80*5</t>
        </is>
      </c>
      <c r="D2901" s="22" t="inlineStr">
        <is>
          <t>国产优质</t>
        </is>
      </c>
      <c r="E2901" s="23" t="inlineStr">
        <is>
          <t>米</t>
        </is>
      </c>
      <c r="F2901" s="23" t="n">
        <v>2</v>
      </c>
      <c r="G2901" s="349">
        <f>IF(AND(B2901="",C2901=""),"",ROUND(M2901*L2901*N2901,2))</f>
        <v/>
      </c>
      <c r="H2901" s="349">
        <f>IF(AND(B2901="",C2901=""),"",ROUND(F2901*G2901,2))</f>
        <v/>
      </c>
      <c r="I2901" s="45" t="inlineStr"/>
      <c r="J2901" s="422">
        <f>IF(AND(B2901="",C2901=""),"",ROUND(M2901*N2901,2))</f>
        <v/>
      </c>
      <c r="K2901" s="423">
        <f>IF(AND(B2901="",C2901=""),"",ROUND(J2901*F2901,2))</f>
        <v/>
      </c>
      <c r="L2901" s="225" t="n">
        <v>1</v>
      </c>
      <c r="M2901" s="424" t="n">
        <v>1154.5614</v>
      </c>
      <c r="N2901" s="227" t="n">
        <v>1</v>
      </c>
      <c r="O2901" s="228">
        <f>IF(AND(B2901="",C2901=""),"",IF(G2901&gt;=20000,0.05,IF(G2901&gt;=10000,0.1,IF(G2901&gt;=5000,0.2,IF(G2901&gt;=1000,0.3,IF(G2901&gt;=0,0.4,{0}))))))</f>
        <v/>
      </c>
      <c r="P2901" s="425">
        <f>IF(AND(B2901="",C2901=""),"",ROUND(H2901*O2901,2))</f>
        <v/>
      </c>
      <c r="Q2901" s="426" t="inlineStr">
        <is>
          <t>母排</t>
        </is>
      </c>
      <c r="R2901" s="234" t="inlineStr"/>
      <c r="S2901" s="234" t="inlineStr"/>
      <c r="T2901" s="235" t="inlineStr">
        <is>
          <t>0</t>
        </is>
      </c>
      <c r="U2901" s="235" t="inlineStr"/>
      <c r="V2901" s="427" t="n"/>
      <c r="W2901" s="427" t="n"/>
      <c r="X2901" s="237" t="inlineStr">
        <is>
          <t>TMY 2*30*5→TMY 30*8</t>
        </is>
      </c>
    </row>
    <row r="2902" customFormat="1" s="5">
      <c r="A2902" s="64">
        <f>ROW()-ROW(A$2887)</f>
        <v/>
      </c>
      <c r="B2902" s="22" t="inlineStr">
        <is>
          <t>N排</t>
        </is>
      </c>
      <c r="C2902" s="22" t="inlineStr">
        <is>
          <t>TMY 40*10</t>
        </is>
      </c>
      <c r="D2902" s="22" t="inlineStr">
        <is>
          <t>国产优质</t>
        </is>
      </c>
      <c r="E2902" s="23" t="inlineStr">
        <is>
          <t>米</t>
        </is>
      </c>
      <c r="F2902" s="23" t="n">
        <v>3</v>
      </c>
      <c r="G2902" s="349">
        <f>IF(AND(B2902="",C2902=""),"",ROUND(M2902*L2902*N2902,2))</f>
        <v/>
      </c>
      <c r="H2902" s="349">
        <f>IF(AND(B2902="",C2902=""),"",ROUND(F2902*G2902,2))</f>
        <v/>
      </c>
      <c r="I2902" s="45" t="inlineStr"/>
      <c r="J2902" s="422">
        <f>IF(AND(B2902="",C2902=""),"",ROUND(M2902*N2902,2))</f>
        <v/>
      </c>
      <c r="K2902" s="423">
        <f>IF(AND(B2902="",C2902=""),"",ROUND(J2902*F2902,2))</f>
        <v/>
      </c>
      <c r="L2902" s="225" t="n">
        <v>1</v>
      </c>
      <c r="M2902" s="424" t="n">
        <v>384.8538</v>
      </c>
      <c r="N2902" s="227" t="n">
        <v>1</v>
      </c>
      <c r="O2902" s="228">
        <f>IF(AND(B2902="",C2902=""),"",IF(G2902&gt;=20000,0.05,IF(G2902&gt;=10000,0.1,IF(G2902&gt;=5000,0.2,IF(G2902&gt;=1000,0.3,IF(G2902&gt;=0,0.4,{0}))))))</f>
        <v/>
      </c>
      <c r="P2902" s="425">
        <f>IF(AND(B2902="",C2902=""),"",ROUND(H2902*O2902,2))</f>
        <v/>
      </c>
      <c r="Q2902" s="426" t="inlineStr">
        <is>
          <t>母排</t>
        </is>
      </c>
      <c r="R2902" s="234" t="inlineStr"/>
      <c r="S2902" s="234" t="inlineStr"/>
      <c r="T2902" s="235" t="inlineStr">
        <is>
          <t>0</t>
        </is>
      </c>
      <c r="U2902" s="235" t="inlineStr"/>
      <c r="V2902" s="427" t="n"/>
      <c r="W2902" s="427" t="n"/>
      <c r="X2902" s="237" t="inlineStr">
        <is>
          <t>TMY 2*30*5→TMY 30*8</t>
        </is>
      </c>
    </row>
    <row r="2903" customFormat="1" s="5">
      <c r="A2903" s="64">
        <f>ROW()-ROW(A$2887)</f>
        <v/>
      </c>
      <c r="B2903" s="22" t="inlineStr">
        <is>
          <t>PE排</t>
        </is>
      </c>
      <c r="C2903" s="22" t="inlineStr">
        <is>
          <t>TMY 50*5</t>
        </is>
      </c>
      <c r="D2903" s="22" t="inlineStr">
        <is>
          <t>国产优质</t>
        </is>
      </c>
      <c r="E2903" s="23" t="inlineStr">
        <is>
          <t>米</t>
        </is>
      </c>
      <c r="F2903" s="23" t="n">
        <v>2</v>
      </c>
      <c r="G2903" s="349">
        <f>IF(AND(B2903="",C2903=""),"",ROUND(M2903*L2903*N2903,2))</f>
        <v/>
      </c>
      <c r="H2903" s="349">
        <f>IF(AND(B2903="",C2903=""),"",ROUND(F2903*G2903,2))</f>
        <v/>
      </c>
      <c r="I2903" s="45" t="inlineStr"/>
      <c r="J2903" s="422">
        <f>IF(AND(B2903="",C2903=""),"",ROUND(M2903*N2903,2))</f>
        <v/>
      </c>
      <c r="K2903" s="423">
        <f>IF(AND(B2903="",C2903=""),"",ROUND(J2903*F2903,2))</f>
        <v/>
      </c>
      <c r="L2903" s="225" t="n">
        <v>1</v>
      </c>
      <c r="M2903" s="424" t="n">
        <v>240.533625</v>
      </c>
      <c r="N2903" s="227" t="n">
        <v>1</v>
      </c>
      <c r="O2903" s="228">
        <f>IF(AND(B2903="",C2903=""),"",IF(G2903&gt;=20000,0.05,IF(G2903&gt;=10000,0.1,IF(G2903&gt;=5000,0.2,IF(G2903&gt;=1000,0.3,IF(G2903&gt;=0,0.4,{0}))))))</f>
        <v/>
      </c>
      <c r="P2903" s="425">
        <f>IF(AND(B2903="",C2903=""),"",ROUND(H2903*O2903,2))</f>
        <v/>
      </c>
      <c r="Q2903" s="426" t="inlineStr">
        <is>
          <t>母排</t>
        </is>
      </c>
      <c r="R2903" s="234" t="inlineStr"/>
      <c r="S2903" s="234" t="inlineStr"/>
      <c r="T2903" s="235" t="inlineStr">
        <is>
          <t>0</t>
        </is>
      </c>
      <c r="U2903" s="235" t="inlineStr"/>
      <c r="V2903" s="427" t="n"/>
      <c r="W2903" s="427" t="n"/>
      <c r="X2903" s="237" t="inlineStr">
        <is>
          <t>TMY 2*30*5→TMY 30*8</t>
        </is>
      </c>
    </row>
    <row r="2904" customFormat="1" s="5">
      <c r="A2904" s="64">
        <f>ROW()-ROW(A$2887)</f>
        <v/>
      </c>
      <c r="B2904" s="22" t="inlineStr">
        <is>
          <t>400A铜排</t>
        </is>
      </c>
      <c r="C2904" s="22" t="inlineStr">
        <is>
          <t>TMY 30*5</t>
        </is>
      </c>
      <c r="D2904" s="22" t="inlineStr">
        <is>
          <t>国产优质</t>
        </is>
      </c>
      <c r="E2904" s="23" t="inlineStr">
        <is>
          <t>米</t>
        </is>
      </c>
      <c r="F2904" s="23" t="n">
        <v>3.2</v>
      </c>
      <c r="G2904" s="349">
        <f>IF(AND(B2904="",C2904=""),"",ROUND(M2904*L2904*N2904,2))</f>
        <v/>
      </c>
      <c r="H2904" s="349">
        <f>IF(AND(B2904="",C2904=""),"",ROUND(F2904*G2904,2))</f>
        <v/>
      </c>
      <c r="I2904" s="45" t="inlineStr"/>
      <c r="J2904" s="422">
        <f>IF(AND(B2904="",C2904=""),"",ROUND(M2904*N2904,2))</f>
        <v/>
      </c>
      <c r="K2904" s="423">
        <f>IF(AND(B2904="",C2904=""),"",ROUND(J2904*F2904,2))</f>
        <v/>
      </c>
      <c r="L2904" s="225" t="n">
        <v>1</v>
      </c>
      <c r="M2904" s="424" t="n">
        <v>144.320175</v>
      </c>
      <c r="N2904" s="227" t="n">
        <v>1</v>
      </c>
      <c r="O2904" s="228">
        <f>IF(AND(B2904="",C2904=""),"",IF(G2904&gt;=20000,0.05,IF(G2904&gt;=10000,0.1,IF(G2904&gt;=5000,0.2,IF(G2904&gt;=1000,0.3,IF(G2904&gt;=0,0.4,{0}))))))</f>
        <v/>
      </c>
      <c r="P2904" s="425">
        <f>IF(AND(B2904="",C2904=""),"",ROUND(H2904*O2904,2))</f>
        <v/>
      </c>
      <c r="Q2904" s="426" t="inlineStr">
        <is>
          <t>母排</t>
        </is>
      </c>
      <c r="R2904" s="234" t="inlineStr"/>
      <c r="S2904" s="234" t="inlineStr"/>
      <c r="T2904" s="235" t="inlineStr">
        <is>
          <t>0</t>
        </is>
      </c>
      <c r="U2904" s="235" t="inlineStr"/>
      <c r="V2904" s="427" t="n"/>
      <c r="W2904" s="427" t="n"/>
      <c r="X2904" s="237" t="inlineStr">
        <is>
          <t>TMY 2*30*5→TMY 30*8</t>
        </is>
      </c>
    </row>
    <row r="2905" s="308">
      <c r="A2905" s="64">
        <f>ROW()-ROW(A$2887)</f>
        <v/>
      </c>
      <c r="B2905" s="112" t="inlineStr">
        <is>
          <t>辅料</t>
        </is>
      </c>
      <c r="C2905" s="112" t="inlineStr"/>
      <c r="D2905" s="112" t="inlineStr"/>
      <c r="E2905" s="114" t="inlineStr">
        <is>
          <t>套</t>
        </is>
      </c>
      <c r="F2905" s="114" t="n">
        <v>1</v>
      </c>
      <c r="G2905" s="396">
        <f>IF(AND(B2905="",C2905=""),"",ROUND(M2905*L2905*N2905,2))</f>
        <v/>
      </c>
      <c r="H2905" s="396">
        <f>IF(AND(B2905="",C2905=""),"",ROUND(F2905*G2905,2))</f>
        <v/>
      </c>
      <c r="I2905" s="219" t="inlineStr"/>
      <c r="J2905" s="397">
        <f>IF(AND(B2905="",C2905=""),"",ROUND(M2905*N2905,2))</f>
        <v/>
      </c>
      <c r="K2905" s="398">
        <f>IF(AND(B2905="",C2905=""),"",ROUND(J2905*F2905,2))</f>
        <v/>
      </c>
      <c r="L2905" s="200" t="n">
        <v>1</v>
      </c>
      <c r="M2905" s="399" t="n">
        <v>2474.19</v>
      </c>
      <c r="N2905" s="154" t="n">
        <v>1</v>
      </c>
      <c r="O2905" s="155">
        <f>IF(AND(B2905="",C2905=""),"",IF(G2905&gt;=20000,0.05,IF(G2905&gt;=10000,0.1,IF(G2905&gt;=5000,0.2,IF(G2905&gt;=1000,0.3,IF(G2905&gt;=0,0.4,{0}))))))</f>
        <v/>
      </c>
      <c r="P2905" s="400">
        <f>IF(AND(B2905="",C2905=""),"",ROUND(H2905*O2905,2))</f>
        <v/>
      </c>
      <c r="Q2905" s="401" t="inlineStr">
        <is>
          <t>辅料</t>
        </is>
      </c>
      <c r="R2905" s="168" t="inlineStr"/>
      <c r="S2905" s="168" t="inlineStr"/>
      <c r="T2905" s="168" t="inlineStr">
        <is>
          <t>0</t>
        </is>
      </c>
      <c r="U2905" s="168" t="inlineStr"/>
      <c r="V2905" s="402" t="n"/>
      <c r="W2905" s="402" t="n"/>
      <c r="X2905" s="170" t="inlineStr"/>
    </row>
    <row r="2906" s="308">
      <c r="A2906" s="64">
        <f>ROW()-ROW(A$2887)</f>
        <v/>
      </c>
      <c r="B2906" s="112" t="inlineStr">
        <is>
          <t>柜体Blokset</t>
        </is>
      </c>
      <c r="C2906" s="22" t="inlineStr">
        <is>
          <t>600W*1200D*2200H</t>
        </is>
      </c>
      <c r="D2906" s="112" t="inlineStr">
        <is>
          <t>清科</t>
        </is>
      </c>
      <c r="E2906" s="114" t="inlineStr">
        <is>
          <t>台</t>
        </is>
      </c>
      <c r="F2906" s="114" t="n">
        <v>1</v>
      </c>
      <c r="G2906" s="396">
        <f>IF(AND(B2906="",C2906=""),"",ROUND(M2906*L2906*N2906,2))</f>
        <v/>
      </c>
      <c r="H2906" s="396">
        <f>IF(AND(B2906="",C2906=""),"",ROUND(F2906*G2906,2))</f>
        <v/>
      </c>
      <c r="I2906" s="219" t="inlineStr"/>
      <c r="J2906" s="397">
        <f>IF(AND(B2906="",C2906=""),"",ROUND(M2906*N2906,2))</f>
        <v/>
      </c>
      <c r="K2906" s="398">
        <f>IF(AND(B2906="",C2906=""),"",ROUND(J2906*F2906,2))</f>
        <v/>
      </c>
      <c r="L2906" s="200" t="n">
        <v>1</v>
      </c>
      <c r="M2906" s="399" t="n">
        <v>5807</v>
      </c>
      <c r="N2906" s="154" t="n">
        <v>1</v>
      </c>
      <c r="O2906" s="155">
        <f>IF(AND(B2906="",C2906=""),"",IF(G2906&gt;=20000,0.05,IF(G2906&gt;=10000,0.1,IF(G2906&gt;=5000,0.2,IF(G2906&gt;=1000,0.3,IF(G2906&gt;=0,0.4,{0}))))))</f>
        <v/>
      </c>
      <c r="P2906" s="400">
        <f>IF(AND(B2906="",C2906=""),"",ROUND(H2906*O2906,2))</f>
        <v/>
      </c>
      <c r="Q2906" s="401" t="inlineStr">
        <is>
          <t>箱体</t>
        </is>
      </c>
      <c r="R2906" s="168" t="inlineStr"/>
      <c r="S2906" s="168" t="inlineStr"/>
      <c r="T2906" s="168" t="inlineStr">
        <is>
          <t>0</t>
        </is>
      </c>
      <c r="U2906" s="168" t="inlineStr"/>
      <c r="V2906" s="402" t="n"/>
      <c r="W2906" s="402" t="n"/>
      <c r="X2906" s="170" t="inlineStr">
        <is>
          <t>BlokSeT</t>
        </is>
      </c>
    </row>
    <row r="2907" s="308">
      <c r="A2907" s="64">
        <f>ROW()-ROW(A$2887)</f>
        <v/>
      </c>
      <c r="B2907" s="22" t="inlineStr"/>
      <c r="C2907" s="22" t="inlineStr"/>
      <c r="D2907" s="22" t="inlineStr"/>
      <c r="E2907" s="23" t="n"/>
      <c r="F2907" s="23">
        <f>IF(AND(B2907="",C2907=""),"",1)</f>
        <v/>
      </c>
      <c r="G2907" s="349">
        <f>IF(AND(B2907="",C2907=""),"",ROUND(M2907*L2907*N2907,2))</f>
        <v/>
      </c>
      <c r="H2907" s="349">
        <f>IF(AND(B2907="",C2907=""),"",ROUND(F2907*G2907,2))</f>
        <v/>
      </c>
      <c r="I2907" s="45" t="inlineStr"/>
      <c r="J2907" s="397">
        <f>IF(AND(B2907="",C2907=""),"",ROUND(M2907*N2907,2))</f>
        <v/>
      </c>
      <c r="K2907" s="398">
        <f>IF(AND(B2907="",C2907=""),"",ROUND(J2907*F2907,2))</f>
        <v/>
      </c>
      <c r="L2907" s="200">
        <f>IF(AND(B2907="",C2907=""),"",1)</f>
        <v/>
      </c>
      <c r="M2907" s="399" t="n"/>
      <c r="N2907" s="154">
        <f>IF(AND(B2907="",C2907=""),"",1)</f>
        <v/>
      </c>
      <c r="O2907" s="155">
        <f>IF(AND(B2907="",C2907=""),"",IF(J2907&gt;=20000,0.05,IF(J2907&gt;=10000,0.1,IF(J2907&gt;=5000,0.2,IF(J2907&gt;=1000,0.3,IF(J2907&gt;=0,0.4,{0}))))))</f>
        <v/>
      </c>
      <c r="P2907" s="400">
        <f>IF(AND(B2907="",C2907=""),"",ROUND(H2907*O2907,2))</f>
        <v/>
      </c>
      <c r="Q2907" s="401">
        <f>IF(AND(B2907="",C2907=""),"","元件")</f>
        <v/>
      </c>
      <c r="R2907" s="168" t="inlineStr"/>
      <c r="S2907" s="168" t="inlineStr"/>
      <c r="T2907" s="168" t="inlineStr"/>
      <c r="U2907" s="168" t="inlineStr"/>
      <c r="V2907" s="402" t="n"/>
      <c r="W2907" s="402" t="n"/>
      <c r="X2907" s="170" t="inlineStr"/>
    </row>
    <row r="2908" s="308">
      <c r="A2908" s="64">
        <f>ROW()-ROW(A$2887)</f>
        <v/>
      </c>
      <c r="B2908" s="171" t="inlineStr">
        <is>
          <t>小计</t>
        </is>
      </c>
      <c r="C2908" s="172" t="n"/>
      <c r="D2908" s="204" t="n"/>
      <c r="E2908" s="114" t="n"/>
      <c r="F2908" s="114" t="n"/>
      <c r="G2908" s="396" t="n"/>
      <c r="H2908" s="396">
        <f>ROUND(SUM(H2887:INDEX(H:H,ROW()-1)),2)</f>
        <v/>
      </c>
      <c r="I2908" s="45" t="inlineStr"/>
      <c r="J2908" s="397" t="n"/>
      <c r="K2908" s="398">
        <f>ROUND(SUM(K2887:INDEX(K:K,ROW()-1)),2)</f>
        <v/>
      </c>
      <c r="L2908" s="200" t="n"/>
      <c r="M2908" s="399" t="n"/>
      <c r="N2908" s="154" t="n"/>
      <c r="O2908" s="155" t="n"/>
      <c r="P2908" s="400" t="n"/>
      <c r="Q2908" s="401" t="n"/>
      <c r="R2908" s="168" t="inlineStr"/>
      <c r="S2908" s="168" t="inlineStr"/>
      <c r="T2908" s="168" t="inlineStr"/>
      <c r="U2908" s="168" t="inlineStr"/>
      <c r="V2908" s="402">
        <f>ROUND(SUMPRODUCT(F2887:INDEX(F:F,ROW()-1),V2887:INDEX(V:V,ROW()-1)),2)</f>
        <v/>
      </c>
      <c r="W2908" s="402">
        <f>ROUND(SUMPRODUCT(F2887:INDEX(F:F,ROW()-1),W2887:INDEX(W:W,ROW()-1)),2)</f>
        <v/>
      </c>
      <c r="X2908" s="170" t="inlineStr"/>
    </row>
    <row r="2909" s="308">
      <c r="A2909" s="64">
        <f>ROW()-ROW(A$2887)</f>
        <v/>
      </c>
      <c r="B2909" s="171" t="inlineStr">
        <is>
          <t>综合费(人工、管理、税金、利润等)</t>
        </is>
      </c>
      <c r="C2909" s="172" t="n"/>
      <c r="D2909" s="204" t="n"/>
      <c r="E2909" s="114" t="n"/>
      <c r="F2909" s="114" t="n"/>
      <c r="G2909" s="396" t="n"/>
      <c r="H2909" s="396">
        <f>2500</f>
        <v/>
      </c>
      <c r="I2909" s="45" t="inlineStr"/>
      <c r="J2909" s="397" t="n"/>
      <c r="K2909" s="398" t="n"/>
      <c r="L2909" s="200" t="n"/>
      <c r="M2909" s="399" t="n"/>
      <c r="N2909" s="154" t="n"/>
      <c r="O2909" s="155" t="n"/>
      <c r="P2909" s="400" t="n"/>
      <c r="Q2909" s="401" t="inlineStr">
        <is>
          <t>费用</t>
        </is>
      </c>
      <c r="R2909" s="168" t="inlineStr"/>
      <c r="S2909" s="168" t="inlineStr"/>
      <c r="T2909" s="168" t="inlineStr"/>
      <c r="U2909" s="168" t="inlineStr"/>
      <c r="V2909" s="402" t="n"/>
      <c r="W2909" s="402" t="n"/>
      <c r="X2909" s="170" t="inlineStr"/>
    </row>
    <row r="2910" s="308">
      <c r="A2910" s="64">
        <f>ROW()-ROW(A$2887)</f>
        <v/>
      </c>
      <c r="B2910" s="204" t="inlineStr">
        <is>
          <t>单台合计</t>
        </is>
      </c>
      <c r="C2910" s="172" t="n"/>
      <c r="D2910" s="204" t="n"/>
      <c r="E2910" s="114" t="n"/>
      <c r="F2910" s="114" t="n"/>
      <c r="G2910" s="396" t="n"/>
      <c r="H2910" s="396">
        <f>ROUND(SUM(H2908:H2909),2)</f>
        <v/>
      </c>
      <c r="I2910" s="181" t="n"/>
      <c r="J2910" s="397" t="n"/>
      <c r="K2910" s="398">
        <f>ROUND(SUM(K2908:K2909),2)</f>
        <v/>
      </c>
      <c r="L2910" s="209" t="n"/>
      <c r="M2910" s="399" t="n"/>
      <c r="N2910" s="210" t="n"/>
      <c r="O2910" s="211" t="n"/>
      <c r="P2910" s="400" t="n"/>
      <c r="Q2910" s="401" t="n"/>
      <c r="R2910" s="168" t="inlineStr"/>
      <c r="S2910" s="168" t="inlineStr"/>
      <c r="T2910" s="168" t="inlineStr"/>
      <c r="U2910" s="168" t="inlineStr"/>
      <c r="V2910" s="402" t="n"/>
      <c r="W2910" s="402" t="n"/>
      <c r="X2910" s="170" t="inlineStr"/>
    </row>
    <row r="2911" s="308">
      <c r="A2911" s="173" t="inlineStr">
        <is>
          <t>总计</t>
        </is>
      </c>
      <c r="B2911" s="205" t="n"/>
      <c r="C2911" s="175" t="n"/>
      <c r="D2911" s="206" t="n"/>
      <c r="E2911" s="206" t="inlineStr">
        <is>
          <t>台</t>
        </is>
      </c>
      <c r="F2911" s="206" t="n">
        <v>1</v>
      </c>
      <c r="G2911" s="414">
        <f>ROUND(H2910,2)</f>
        <v/>
      </c>
      <c r="H2911" s="414">
        <f>ROUND(F2911*G2911,2)</f>
        <v/>
      </c>
      <c r="I2911" s="185" t="n"/>
      <c r="J2911" s="415" t="n"/>
      <c r="K2911" s="416">
        <f>ROUND(K2910*F2911,2)</f>
        <v/>
      </c>
      <c r="L2911" s="214" t="n"/>
      <c r="M2911" s="417" t="n"/>
      <c r="N2911" s="216" t="n"/>
      <c r="O2911" s="217" t="n"/>
      <c r="P2911" s="418" t="n"/>
      <c r="Q2911" s="401" t="n"/>
      <c r="R2911" s="168" t="inlineStr"/>
      <c r="S2911" s="168" t="inlineStr"/>
      <c r="T2911" s="168" t="inlineStr"/>
      <c r="U2911" s="168" t="inlineStr"/>
      <c r="V2911" s="402" t="n"/>
      <c r="W2911" s="402" t="n"/>
      <c r="X2911" s="170" t="inlineStr"/>
    </row>
    <row r="2912" customFormat="1" s="4">
      <c r="A2912" s="6" t="n"/>
      <c r="B2912" s="195" t="inlineStr"/>
      <c r="C2912" s="195" t="inlineStr"/>
      <c r="D2912" s="195" t="inlineStr"/>
      <c r="Q2912" s="159" t="n"/>
      <c r="R2912" s="159" t="n"/>
      <c r="S2912" s="159" t="n"/>
      <c r="T2912" s="159" t="n"/>
      <c r="U2912" s="159" t="n"/>
      <c r="X2912" s="195" t="inlineStr"/>
    </row>
    <row r="2913" customFormat="1" s="4">
      <c r="A2913" s="6" t="n"/>
      <c r="B2913" s="195" t="inlineStr"/>
      <c r="C2913" s="195" t="inlineStr"/>
      <c r="D2913" s="195" t="inlineStr"/>
      <c r="Q2913" s="159" t="n"/>
      <c r="R2913" s="159" t="n"/>
      <c r="S2913" s="159" t="n"/>
      <c r="T2913" s="159" t="n"/>
      <c r="U2913" s="159" t="n"/>
      <c r="X2913" s="195" t="inlineStr"/>
    </row>
    <row r="2914" s="308">
      <c r="A2914" s="208">
        <f>CONCATENATE("报价人：",项目信息!$B$8)</f>
        <v/>
      </c>
      <c r="B2914" s="208" t="n"/>
      <c r="C2914" s="4" t="n"/>
      <c r="D2914" s="4" t="n"/>
      <c r="E2914" s="4" t="n"/>
      <c r="F2914" s="4" t="n"/>
      <c r="G2914" s="4" t="n"/>
      <c r="H2914" s="178">
        <f>项目信息!$B$9</f>
        <v/>
      </c>
      <c r="Q2914" s="159" t="n"/>
      <c r="R2914" s="159" t="n"/>
      <c r="S2914" s="159" t="n"/>
      <c r="T2914" s="159" t="n"/>
      <c r="U2914" s="159" t="n"/>
      <c r="X2914" s="203" t="inlineStr"/>
    </row>
    <row r="2915" s="308">
      <c r="A2915" s="8">
        <f>T(项目信息!$B$22)</f>
        <v/>
      </c>
      <c r="Q2915" s="159" t="n"/>
      <c r="R2915" s="159" t="n"/>
      <c r="S2915" s="159" t="n"/>
      <c r="T2915" s="159" t="n"/>
      <c r="U2915" s="159" t="n"/>
    </row>
    <row r="2916" s="308">
      <c r="A2916" s="9">
        <f>T(项目信息!$B$23)</f>
        <v/>
      </c>
      <c r="Q2916" s="159" t="n"/>
      <c r="R2916" s="159" t="n"/>
      <c r="S2916" s="159" t="n"/>
      <c r="T2916" s="159" t="n"/>
      <c r="U2916" s="159" t="n"/>
    </row>
    <row r="2917" s="308">
      <c r="A2917" s="97" t="inlineStr">
        <is>
          <t>成套产品报价明细表</t>
        </is>
      </c>
      <c r="B2917" s="378" t="n"/>
      <c r="C2917" s="378" t="n"/>
      <c r="D2917" s="378" t="n"/>
      <c r="E2917" s="378" t="n"/>
      <c r="F2917" s="378" t="n"/>
      <c r="G2917" s="378" t="n"/>
      <c r="H2917" s="378" t="n"/>
      <c r="I2917" s="378" t="n"/>
      <c r="Q2917" s="159" t="n"/>
      <c r="R2917" s="159" t="n"/>
      <c r="S2917" s="159" t="n"/>
      <c r="T2917" s="159" t="n"/>
      <c r="U2917" s="159" t="n"/>
    </row>
    <row r="2918" customFormat="1" s="4">
      <c r="A2918" s="98" t="inlineStr">
        <is>
          <t>柜号:</t>
        </is>
      </c>
      <c r="B2918" s="99" t="inlineStr">
        <is>
          <t>T13-AU21</t>
        </is>
      </c>
      <c r="C2918" s="100" t="inlineStr">
        <is>
          <t>型号:</t>
        </is>
      </c>
      <c r="D2918" s="99" t="inlineStr">
        <is>
          <t>BlokSeT</t>
        </is>
      </c>
      <c r="E2918" s="379" t="n"/>
      <c r="F2918" s="101" t="inlineStr">
        <is>
          <t>名称:</t>
        </is>
      </c>
      <c r="G2918" s="99" t="inlineStr">
        <is>
          <t>进线柜</t>
        </is>
      </c>
      <c r="H2918" s="379" t="n"/>
      <c r="I2918" s="408" t="inlineStr"/>
      <c r="J2918" s="194" t="inlineStr">
        <is>
          <t>箱柜尺寸:</t>
        </is>
      </c>
      <c r="K2918" s="195" t="inlineStr">
        <is>
          <t>600W*1200D*2200H</t>
        </is>
      </c>
      <c r="L2918" s="194" t="inlineStr">
        <is>
          <t>类别:</t>
        </is>
      </c>
      <c r="M2918" s="195" t="inlineStr">
        <is>
          <t>低压固定柜</t>
        </is>
      </c>
      <c r="N2918" s="409" t="inlineStr"/>
      <c r="Q2918" s="159" t="n"/>
      <c r="R2918" s="159" t="n"/>
      <c r="S2918" s="159" t="n"/>
      <c r="T2918" s="159" t="n"/>
      <c r="U2918" s="159" t="n"/>
    </row>
    <row r="2919" ht="20.1" customHeight="1" s="308">
      <c r="A2919" s="102" t="inlineStr">
        <is>
          <t>序号</t>
        </is>
      </c>
      <c r="B2919" s="103" t="inlineStr">
        <is>
          <t>元件名称</t>
        </is>
      </c>
      <c r="C2919" s="103" t="inlineStr">
        <is>
          <t>型号规格</t>
        </is>
      </c>
      <c r="D2919" s="104" t="inlineStr">
        <is>
          <t>生产厂家</t>
        </is>
      </c>
      <c r="E2919" s="105" t="inlineStr">
        <is>
          <t>单位</t>
        </is>
      </c>
      <c r="F2919" s="105" t="inlineStr">
        <is>
          <t>数量</t>
        </is>
      </c>
      <c r="G2919" s="382" t="inlineStr">
        <is>
          <t>单   价</t>
        </is>
      </c>
      <c r="H2919" s="383" t="inlineStr">
        <is>
          <t>总   价</t>
        </is>
      </c>
      <c r="I2919" s="134" t="inlineStr">
        <is>
          <t>备注</t>
        </is>
      </c>
      <c r="J2919" s="384" t="inlineStr">
        <is>
          <t>成本单价</t>
        </is>
      </c>
      <c r="K2919" s="384" t="inlineStr">
        <is>
          <t>成本总价</t>
        </is>
      </c>
      <c r="L2919" s="136" t="inlineStr">
        <is>
          <t>报出
系数</t>
        </is>
      </c>
      <c r="M2919" s="384" t="inlineStr">
        <is>
          <t>表价</t>
        </is>
      </c>
      <c r="N2919" s="136" t="inlineStr">
        <is>
          <t>折扣
系数</t>
        </is>
      </c>
      <c r="O2919" s="137" t="inlineStr">
        <is>
          <t>取费
系数</t>
        </is>
      </c>
      <c r="P2919" s="384" t="inlineStr">
        <is>
          <t>成套费</t>
        </is>
      </c>
      <c r="Q2919" s="161" t="inlineStr">
        <is>
          <t>类别</t>
        </is>
      </c>
      <c r="R2919" s="161" t="inlineStr">
        <is>
          <t>物料编码</t>
        </is>
      </c>
      <c r="S2919" s="161" t="inlineStr">
        <is>
          <t>产地</t>
        </is>
      </c>
      <c r="T2919" s="161" t="inlineStr">
        <is>
          <t>加工费</t>
        </is>
      </c>
      <c r="U2919" s="161" t="inlineStr">
        <is>
          <t>订货号</t>
        </is>
      </c>
      <c r="V2919" s="161" t="inlineStr">
        <is>
          <t>人工</t>
        </is>
      </c>
      <c r="W2919" s="161" t="inlineStr">
        <is>
          <t>辅料</t>
        </is>
      </c>
      <c r="X2919" s="203" t="inlineStr"/>
    </row>
    <row r="2920" s="308">
      <c r="A2920" s="64">
        <f>ROW()-ROW(A$2919)</f>
        <v/>
      </c>
      <c r="B2920" s="22" t="inlineStr">
        <is>
          <t>塑壳断路器</t>
        </is>
      </c>
      <c r="C2920" s="22" t="inlineStr">
        <is>
          <t>NSX100H TM100D 3P3D P</t>
        </is>
      </c>
      <c r="D2920" s="22" t="inlineStr">
        <is>
          <t>甲供/施耐德电气</t>
        </is>
      </c>
      <c r="E2920" s="23" t="inlineStr">
        <is>
          <t>只</t>
        </is>
      </c>
      <c r="F2920" s="23" t="n">
        <v>1</v>
      </c>
      <c r="G2920" s="349">
        <f>IF(AND(B2920="",C2920=""),"",ROUND(M2920*L2920*N2920,2))</f>
        <v/>
      </c>
      <c r="H2920" s="349">
        <f>IF(AND(B2920="",C2920=""),"",ROUND(F2920*G2920,2))</f>
        <v/>
      </c>
      <c r="I2920" s="45" t="inlineStr"/>
      <c r="J2920" s="397">
        <f>IF(AND(B2920="",C2920=""),"",ROUND(M2920*N2920,2))</f>
        <v/>
      </c>
      <c r="K2920" s="398">
        <f>IF(AND(B2920="",C2920=""),"",ROUND(J2920*F2920,2))</f>
        <v/>
      </c>
      <c r="L2920" s="200" t="n">
        <v>1</v>
      </c>
      <c r="M2920" s="399" t="n">
        <v>1e-07</v>
      </c>
      <c r="N2920" s="154" t="n">
        <v>1</v>
      </c>
      <c r="O2920" s="155">
        <f>IF(AND(B2920="",C2920=""),"",IF(G2920&gt;=20000,0.05,IF(G2920&gt;=10000,0.1,IF(G2920&gt;=5000,0.2,IF(G2920&gt;=1000,0.3,IF(G2920&gt;=0,0.4,{0}))))))</f>
        <v/>
      </c>
      <c r="P2920" s="400">
        <f>IF(AND(B2920="",C2920=""),"",ROUND(H2920*O2920,2))</f>
        <v/>
      </c>
      <c r="Q2920" s="401" t="inlineStr">
        <is>
          <t>元件</t>
        </is>
      </c>
      <c r="R2920" s="168" t="inlineStr"/>
      <c r="S2920" s="168" t="inlineStr"/>
      <c r="T2920" s="168" t="inlineStr">
        <is>
          <t>0</t>
        </is>
      </c>
      <c r="U2920" s="168" t="inlineStr">
        <is>
          <t>C16F32D160</t>
        </is>
      </c>
      <c r="V2920" s="402" t="n"/>
      <c r="W2920" s="402" t="n"/>
      <c r="X2920" s="170" t="inlineStr">
        <is>
          <t>NSX630N Mic2.3 630A 3P3D F→NSX630F MIC2.3 630 3P F→NSX630F MIC 2.3 630 3P F</t>
        </is>
      </c>
    </row>
    <row r="2921" s="308">
      <c r="A2921" s="64">
        <f>ROW()-ROW(A$2919)</f>
        <v/>
      </c>
      <c r="B2921" s="22" t="inlineStr">
        <is>
          <t>塑壳断路器</t>
        </is>
      </c>
      <c r="C2921" s="22" t="inlineStr">
        <is>
          <t>NSX160H TM160D 3P3D P</t>
        </is>
      </c>
      <c r="D2921" s="22" t="inlineStr">
        <is>
          <t>甲供/施耐德电气</t>
        </is>
      </c>
      <c r="E2921" s="23" t="inlineStr">
        <is>
          <t>只</t>
        </is>
      </c>
      <c r="F2921" s="23" t="n">
        <v>1</v>
      </c>
      <c r="G2921" s="349">
        <f>IF(AND(B2921="",C2921=""),"",ROUND(M2921*L2921*N2921,2))</f>
        <v/>
      </c>
      <c r="H2921" s="349">
        <f>IF(AND(B2921="",C2921=""),"",ROUND(F2921*G2921,2))</f>
        <v/>
      </c>
      <c r="I2921" s="45" t="inlineStr"/>
      <c r="J2921" s="397">
        <f>IF(AND(B2921="",C2921=""),"",ROUND(M2921*N2921,2))</f>
        <v/>
      </c>
      <c r="K2921" s="398">
        <f>IF(AND(B2921="",C2921=""),"",ROUND(J2921*F2921,2))</f>
        <v/>
      </c>
      <c r="L2921" s="200" t="n">
        <v>1</v>
      </c>
      <c r="M2921" s="399" t="n">
        <v>1e-07</v>
      </c>
      <c r="N2921" s="154" t="n">
        <v>1</v>
      </c>
      <c r="O2921" s="155">
        <f>IF(AND(B2921="",C2921=""),"",IF(G2921&gt;=20000,0.05,IF(G2921&gt;=10000,0.1,IF(G2921&gt;=5000,0.2,IF(G2921&gt;=1000,0.3,IF(G2921&gt;=0,0.4,{0}))))))</f>
        <v/>
      </c>
      <c r="P2921" s="400">
        <f>IF(AND(B2921="",C2921=""),"",ROUND(H2921*O2921,2))</f>
        <v/>
      </c>
      <c r="Q2921" s="401" t="inlineStr">
        <is>
          <t>元件</t>
        </is>
      </c>
      <c r="R2921" s="168" t="inlineStr"/>
      <c r="S2921" s="168" t="inlineStr"/>
      <c r="T2921" s="168" t="inlineStr">
        <is>
          <t>0</t>
        </is>
      </c>
      <c r="U2921" s="168" t="inlineStr">
        <is>
          <t>C16F32D160</t>
        </is>
      </c>
      <c r="V2921" s="402" t="n"/>
      <c r="W2921" s="402" t="n"/>
      <c r="X2921" s="170" t="inlineStr">
        <is>
          <t>NSX630N Mic2.3 630A 3P3D F→NSX630F MIC2.3 630 3P F→NSX630F MIC 2.3 630 3P F</t>
        </is>
      </c>
    </row>
    <row r="2922" s="308">
      <c r="A2922" s="64">
        <f>ROW()-ROW(A$2919)</f>
        <v/>
      </c>
      <c r="B2922" s="22" t="inlineStr">
        <is>
          <t>塑壳断路器</t>
        </is>
      </c>
      <c r="C2922" s="22" t="inlineStr">
        <is>
          <t>NSX250H TM250D 3P3D P</t>
        </is>
      </c>
      <c r="D2922" s="22" t="inlineStr">
        <is>
          <t>甲供/施耐德电气</t>
        </is>
      </c>
      <c r="E2922" s="23" t="inlineStr">
        <is>
          <t>只</t>
        </is>
      </c>
      <c r="F2922" s="23" t="n">
        <v>1</v>
      </c>
      <c r="G2922" s="349">
        <f>IF(AND(B2922="",C2922=""),"",ROUND(M2922*L2922*N2922,2))</f>
        <v/>
      </c>
      <c r="H2922" s="349">
        <f>IF(AND(B2922="",C2922=""),"",ROUND(F2922*G2922,2))</f>
        <v/>
      </c>
      <c r="I2922" s="45" t="inlineStr"/>
      <c r="J2922" s="397">
        <f>IF(AND(B2922="",C2922=""),"",ROUND(M2922*N2922,2))</f>
        <v/>
      </c>
      <c r="K2922" s="398">
        <f>IF(AND(B2922="",C2922=""),"",ROUND(J2922*F2922,2))</f>
        <v/>
      </c>
      <c r="L2922" s="200" t="n">
        <v>1</v>
      </c>
      <c r="M2922" s="399" t="n">
        <v>1e-07</v>
      </c>
      <c r="N2922" s="154" t="n">
        <v>1</v>
      </c>
      <c r="O2922" s="155">
        <f>IF(AND(B2922="",C2922=""),"",IF(G2922&gt;=20000,0.05,IF(G2922&gt;=10000,0.1,IF(G2922&gt;=5000,0.2,IF(G2922&gt;=1000,0.3,IF(G2922&gt;=0,0.4,{0}))))))</f>
        <v/>
      </c>
      <c r="P2922" s="400">
        <f>IF(AND(B2922="",C2922=""),"",ROUND(H2922*O2922,2))</f>
        <v/>
      </c>
      <c r="Q2922" s="401" t="inlineStr">
        <is>
          <t>元件</t>
        </is>
      </c>
      <c r="R2922" s="168" t="inlineStr"/>
      <c r="S2922" s="168" t="inlineStr"/>
      <c r="T2922" s="168" t="inlineStr">
        <is>
          <t>0</t>
        </is>
      </c>
      <c r="U2922" s="168" t="inlineStr">
        <is>
          <t>C16F32D160</t>
        </is>
      </c>
      <c r="V2922" s="402" t="n"/>
      <c r="W2922" s="402" t="n"/>
      <c r="X2922" s="170" t="inlineStr">
        <is>
          <t>NSX630N Mic2.3 630A 3P3D F→NSX630F MIC2.3 630 3P F→NSX630F MIC 2.3 630 3P F</t>
        </is>
      </c>
    </row>
    <row r="2923" s="308">
      <c r="A2923" s="64">
        <f>ROW()-ROW(A$2919)</f>
        <v/>
      </c>
      <c r="B2923" s="22" t="inlineStr">
        <is>
          <t>塑壳断路器</t>
        </is>
      </c>
      <c r="C2923" s="22" t="inlineStr">
        <is>
          <t>NSX400H Mic2.3 400A 3P3D P</t>
        </is>
      </c>
      <c r="D2923" s="22" t="inlineStr">
        <is>
          <t>甲供/施耐德电气</t>
        </is>
      </c>
      <c r="E2923" s="23" t="inlineStr">
        <is>
          <t>只</t>
        </is>
      </c>
      <c r="F2923" s="23" t="n">
        <v>1</v>
      </c>
      <c r="G2923" s="349">
        <f>IF(AND(B2923="",C2923=""),"",ROUND(M2923*L2923*N2923,2))</f>
        <v/>
      </c>
      <c r="H2923" s="349">
        <f>IF(AND(B2923="",C2923=""),"",ROUND(F2923*G2923,2))</f>
        <v/>
      </c>
      <c r="I2923" s="45" t="inlineStr"/>
      <c r="J2923" s="397">
        <f>IF(AND(B2923="",C2923=""),"",ROUND(M2923*N2923,2))</f>
        <v/>
      </c>
      <c r="K2923" s="398">
        <f>IF(AND(B2923="",C2923=""),"",ROUND(J2923*F2923,2))</f>
        <v/>
      </c>
      <c r="L2923" s="200" t="n">
        <v>1</v>
      </c>
      <c r="M2923" s="399" t="n">
        <v>1e-07</v>
      </c>
      <c r="N2923" s="154" t="n">
        <v>1</v>
      </c>
      <c r="O2923" s="155">
        <f>IF(AND(B2923="",C2923=""),"",IF(G2923&gt;=20000,0.05,IF(G2923&gt;=10000,0.1,IF(G2923&gt;=5000,0.2,IF(G2923&gt;=1000,0.3,IF(G2923&gt;=0,0.4,{0}))))))</f>
        <v/>
      </c>
      <c r="P2923" s="400">
        <f>IF(AND(B2923="",C2923=""),"",ROUND(H2923*O2923,2))</f>
        <v/>
      </c>
      <c r="Q2923" s="401" t="inlineStr">
        <is>
          <t>元件</t>
        </is>
      </c>
      <c r="R2923" s="168" t="inlineStr"/>
      <c r="S2923" s="168" t="inlineStr"/>
      <c r="T2923" s="168" t="inlineStr">
        <is>
          <t>0</t>
        </is>
      </c>
      <c r="U2923" s="168" t="inlineStr"/>
      <c r="V2923" s="402" t="n"/>
      <c r="W2923" s="402" t="n"/>
      <c r="X2923" s="170" t="inlineStr"/>
    </row>
    <row r="2924" s="308">
      <c r="A2924" s="64">
        <f>ROW()-ROW(A$2919)</f>
        <v/>
      </c>
      <c r="B2924" s="22" t="inlineStr">
        <is>
          <t>塑壳断路器</t>
        </is>
      </c>
      <c r="C2924" s="22" t="inlineStr">
        <is>
          <t>NSX630H Mic2.3 630A 3P3D P</t>
        </is>
      </c>
      <c r="D2924" s="22" t="inlineStr">
        <is>
          <t>甲供/施耐德电气</t>
        </is>
      </c>
      <c r="E2924" s="23" t="inlineStr">
        <is>
          <t>只</t>
        </is>
      </c>
      <c r="F2924" s="23" t="n">
        <v>2</v>
      </c>
      <c r="G2924" s="349">
        <f>IF(AND(B2924="",C2924=""),"",ROUND(M2924*L2924*N2924,2))</f>
        <v/>
      </c>
      <c r="H2924" s="349">
        <f>IF(AND(B2924="",C2924=""),"",ROUND(F2924*G2924,2))</f>
        <v/>
      </c>
      <c r="I2924" s="45" t="inlineStr"/>
      <c r="J2924" s="397">
        <f>IF(AND(B2924="",C2924=""),"",ROUND(M2924*N2924,2))</f>
        <v/>
      </c>
      <c r="K2924" s="398">
        <f>IF(AND(B2924="",C2924=""),"",ROUND(J2924*F2924,2))</f>
        <v/>
      </c>
      <c r="L2924" s="200" t="n">
        <v>1</v>
      </c>
      <c r="M2924" s="399" t="n">
        <v>1e-07</v>
      </c>
      <c r="N2924" s="154" t="n">
        <v>1</v>
      </c>
      <c r="O2924" s="155">
        <f>IF(AND(B2924="",C2924=""),"",IF(G2924&gt;=20000,0.05,IF(G2924&gt;=10000,0.1,IF(G2924&gt;=5000,0.2,IF(G2924&gt;=1000,0.3,IF(G2924&gt;=0,0.4,{0}))))))</f>
        <v/>
      </c>
      <c r="P2924" s="400">
        <f>IF(AND(B2924="",C2924=""),"",ROUND(H2924*O2924,2))</f>
        <v/>
      </c>
      <c r="Q2924" s="401" t="inlineStr">
        <is>
          <t>元件</t>
        </is>
      </c>
      <c r="R2924" s="168" t="inlineStr"/>
      <c r="S2924" s="168" t="inlineStr"/>
      <c r="T2924" s="168" t="inlineStr">
        <is>
          <t>0</t>
        </is>
      </c>
      <c r="U2924" s="168" t="inlineStr">
        <is>
          <t>C16F32D160</t>
        </is>
      </c>
      <c r="V2924" s="402" t="n"/>
      <c r="W2924" s="402" t="n"/>
      <c r="X2924" s="170" t="inlineStr">
        <is>
          <t>NSX630N Mic2.3 630A 3P3D F→NSX630F MIC2.3 630 3P F→NSX630F MIC 2.3 630 3P F</t>
        </is>
      </c>
    </row>
    <row r="2925" s="308">
      <c r="A2925" s="64">
        <f>ROW()-ROW(A$2919)</f>
        <v/>
      </c>
      <c r="B2925" s="22" t="inlineStr">
        <is>
          <t>电流互感器</t>
        </is>
      </c>
      <c r="C2925" s="22" t="inlineStr">
        <is>
          <t>SD-0.66-M8 100/5A</t>
        </is>
      </c>
      <c r="D2925" s="22" t="inlineStr">
        <is>
          <t>桑迪</t>
        </is>
      </c>
      <c r="E2925" s="23" t="inlineStr">
        <is>
          <t>只</t>
        </is>
      </c>
      <c r="F2925" s="23" t="n">
        <v>3</v>
      </c>
      <c r="G2925" s="349">
        <f>IF(AND(B2925="",C2925=""),"",ROUND(M2925*L2925*N2925,2))</f>
        <v/>
      </c>
      <c r="H2925" s="396">
        <f>IF(AND(B2925="",C2925=""),"",ROUND(F2925*G2925,2))</f>
        <v/>
      </c>
      <c r="I2925" s="219" t="inlineStr"/>
      <c r="J2925" s="397">
        <f>IF(AND(B2925="",C2925=""),"",ROUND(M2925*N2925,2))</f>
        <v/>
      </c>
      <c r="K2925" s="398">
        <f>IF(AND(B2925="",C2925=""),"",ROUND(J2925*F2925,2))</f>
        <v/>
      </c>
      <c r="L2925" s="200" t="n">
        <v>1</v>
      </c>
      <c r="M2925" s="399" t="n">
        <v>61.75</v>
      </c>
      <c r="N2925" s="154" t="n">
        <v>1</v>
      </c>
      <c r="O2925" s="155">
        <f>IF(AND(B2925="",C2925=""),"",IF(G2925&gt;=20000,0.05,IF(G2925&gt;=10000,0.1,IF(G2925&gt;=5000,0.2,IF(G2925&gt;=1000,0.3,IF(G2925&gt;=0,0.4,{0}))))))</f>
        <v/>
      </c>
      <c r="P2925" s="400">
        <f>IF(AND(B2925="",C2925=""),"",ROUND(H2925*O2925,2))</f>
        <v/>
      </c>
      <c r="Q2925" s="401" t="inlineStr">
        <is>
          <t>元件</t>
        </is>
      </c>
      <c r="R2925" s="168" t="inlineStr"/>
      <c r="S2925" s="168" t="inlineStr"/>
      <c r="T2925" s="168" t="inlineStr">
        <is>
          <t>0</t>
        </is>
      </c>
      <c r="U2925" s="168" t="inlineStr">
        <is>
          <t>710140200000049</t>
        </is>
      </c>
      <c r="V2925" s="402" t="n"/>
      <c r="W2925" s="402" t="n"/>
      <c r="X2925" s="170" t="inlineStr">
        <is>
          <t>SD→SD-0.66-40II-C 400/5A→SD-0.66-30I 250/5A→SD-0.66-30I 150/5A→SD-0.66-60II-C 750/5A→SD-0.66-60II-C 600/5A→SD-0.66-30I 150/5A→SD-0.66-40II-C 400/5A→SD-0.66-100II-C 1600/5A→SD-0.66-80II-V 1000/5A→SD-0.66-40II-C 400/5A→SD-0.66-60II-C 600/5A</t>
        </is>
      </c>
    </row>
    <row r="2926" s="308">
      <c r="A2926" s="64">
        <f>ROW()-ROW(A$2919)</f>
        <v/>
      </c>
      <c r="B2926" s="22" t="inlineStr">
        <is>
          <t>电流互感器</t>
        </is>
      </c>
      <c r="C2926" s="22" t="inlineStr">
        <is>
          <t>SD-0.66-30I 150/5A</t>
        </is>
      </c>
      <c r="D2926" s="22" t="inlineStr">
        <is>
          <t>桑迪</t>
        </is>
      </c>
      <c r="E2926" s="23" t="inlineStr">
        <is>
          <t>只</t>
        </is>
      </c>
      <c r="F2926" s="23" t="n">
        <v>3</v>
      </c>
      <c r="G2926" s="349">
        <f>IF(AND(B2926="",C2926=""),"",ROUND(M2926*L2926*N2926,2))</f>
        <v/>
      </c>
      <c r="H2926" s="396">
        <f>IF(AND(B2926="",C2926=""),"",ROUND(F2926*G2926,2))</f>
        <v/>
      </c>
      <c r="I2926" s="219" t="inlineStr"/>
      <c r="J2926" s="397">
        <f>IF(AND(B2926="",C2926=""),"",ROUND(M2926*N2926,2))</f>
        <v/>
      </c>
      <c r="K2926" s="398">
        <f>IF(AND(B2926="",C2926=""),"",ROUND(J2926*F2926,2))</f>
        <v/>
      </c>
      <c r="L2926" s="200" t="n">
        <v>1</v>
      </c>
      <c r="M2926" s="399" t="n">
        <v>29.95</v>
      </c>
      <c r="N2926" s="154" t="n">
        <v>1</v>
      </c>
      <c r="O2926" s="155">
        <f>IF(AND(B2926="",C2926=""),"",IF(G2926&gt;=20000,0.05,IF(G2926&gt;=10000,0.1,IF(G2926&gt;=5000,0.2,IF(G2926&gt;=1000,0.3,IF(G2926&gt;=0,0.4,{0}))))))</f>
        <v/>
      </c>
      <c r="P2926" s="400">
        <f>IF(AND(B2926="",C2926=""),"",ROUND(H2926*O2926,2))</f>
        <v/>
      </c>
      <c r="Q2926" s="401" t="inlineStr">
        <is>
          <t>元件</t>
        </is>
      </c>
      <c r="R2926" s="168" t="inlineStr"/>
      <c r="S2926" s="168" t="inlineStr"/>
      <c r="T2926" s="168" t="inlineStr">
        <is>
          <t>0</t>
        </is>
      </c>
      <c r="U2926" s="168" t="inlineStr">
        <is>
          <t>710140200000049</t>
        </is>
      </c>
      <c r="V2926" s="402" t="n"/>
      <c r="W2926" s="402" t="n"/>
      <c r="X2926" s="170" t="inlineStr">
        <is>
          <t>SD→SD-0.66-40II-C 400/5A→SD-0.66-30I 250/5A→SD-0.66-30I 150/5A→SD-0.66-60II-C 750/5A→SD-0.66-60II-C 600/5A→SD-0.66-30I 150/5A→SD-0.66-40II-C 400/5A→SD-0.66-100II-C 1600/5A→SD-0.66-80II-V 1000/5A→SD-0.66-30I 250/5A</t>
        </is>
      </c>
    </row>
    <row r="2927" s="308">
      <c r="A2927" s="64">
        <f>ROW()-ROW(A$2919)</f>
        <v/>
      </c>
      <c r="B2927" s="22" t="inlineStr">
        <is>
          <t>电流互感器</t>
        </is>
      </c>
      <c r="C2927" s="22" t="inlineStr">
        <is>
          <t>SD-0.66-30I 250/5A</t>
        </is>
      </c>
      <c r="D2927" s="22" t="inlineStr">
        <is>
          <t>桑迪</t>
        </is>
      </c>
      <c r="E2927" s="23" t="inlineStr">
        <is>
          <t>只</t>
        </is>
      </c>
      <c r="F2927" s="23" t="n">
        <v>3</v>
      </c>
      <c r="G2927" s="349">
        <f>IF(AND(B2927="",C2927=""),"",ROUND(M2927*L2927*N2927,2))</f>
        <v/>
      </c>
      <c r="H2927" s="396">
        <f>IF(AND(B2927="",C2927=""),"",ROUND(F2927*G2927,2))</f>
        <v/>
      </c>
      <c r="I2927" s="219" t="inlineStr"/>
      <c r="J2927" s="397">
        <f>IF(AND(B2927="",C2927=""),"",ROUND(M2927*N2927,2))</f>
        <v/>
      </c>
      <c r="K2927" s="398">
        <f>IF(AND(B2927="",C2927=""),"",ROUND(J2927*F2927,2))</f>
        <v/>
      </c>
      <c r="L2927" s="200" t="n">
        <v>1</v>
      </c>
      <c r="M2927" s="399" t="n">
        <v>26.65</v>
      </c>
      <c r="N2927" s="154" t="n">
        <v>1</v>
      </c>
      <c r="O2927" s="155">
        <f>IF(AND(B2927="",C2927=""),"",IF(G2927&gt;=20000,0.05,IF(G2927&gt;=10000,0.1,IF(G2927&gt;=5000,0.2,IF(G2927&gt;=1000,0.3,IF(G2927&gt;=0,0.4,{0}))))))</f>
        <v/>
      </c>
      <c r="P2927" s="400">
        <f>IF(AND(B2927="",C2927=""),"",ROUND(H2927*O2927,2))</f>
        <v/>
      </c>
      <c r="Q2927" s="401" t="inlineStr">
        <is>
          <t>元件</t>
        </is>
      </c>
      <c r="R2927" s="168" t="inlineStr"/>
      <c r="S2927" s="168" t="inlineStr"/>
      <c r="T2927" s="168" t="inlineStr">
        <is>
          <t>0</t>
        </is>
      </c>
      <c r="U2927" s="168" t="inlineStr">
        <is>
          <t>710140200000049</t>
        </is>
      </c>
      <c r="V2927" s="402" t="n"/>
      <c r="W2927" s="402" t="n"/>
      <c r="X2927" s="170" t="inlineStr">
        <is>
          <t>SD→SD-0.66-40II-C 400/5A→SD-0.66-30I 250/5A→SD-0.66-30I 150/5A→SD-0.66-60II-C 750/5A→SD-0.66-60II-C 600/5A→SD-0.66-30I 150/5A→SD-0.66-40II-C 400/5A→SD-0.66-100II-C 1600/5A→SD-0.66-80II-V 1000/5A</t>
        </is>
      </c>
    </row>
    <row r="2928" s="308">
      <c r="A2928" s="64">
        <f>ROW()-ROW(A$2919)</f>
        <v/>
      </c>
      <c r="B2928" s="22" t="inlineStr">
        <is>
          <t>电流互感器</t>
        </is>
      </c>
      <c r="C2928" s="22" t="inlineStr">
        <is>
          <t>SD-0.66-40II-C 400/5A</t>
        </is>
      </c>
      <c r="D2928" s="22" t="inlineStr">
        <is>
          <t>桑迪</t>
        </is>
      </c>
      <c r="E2928" s="23" t="inlineStr">
        <is>
          <t>只</t>
        </is>
      </c>
      <c r="F2928" s="23" t="n">
        <v>3</v>
      </c>
      <c r="G2928" s="349">
        <f>IF(AND(B2928="",C2928=""),"",ROUND(M2928*L2928*N2928,2))</f>
        <v/>
      </c>
      <c r="H2928" s="396">
        <f>IF(AND(B2928="",C2928=""),"",ROUND(F2928*G2928,2))</f>
        <v/>
      </c>
      <c r="I2928" s="219" t="inlineStr"/>
      <c r="J2928" s="397">
        <f>IF(AND(B2928="",C2928=""),"",ROUND(M2928*N2928,2))</f>
        <v/>
      </c>
      <c r="K2928" s="398">
        <f>IF(AND(B2928="",C2928=""),"",ROUND(J2928*F2928,2))</f>
        <v/>
      </c>
      <c r="L2928" s="200" t="n">
        <v>1</v>
      </c>
      <c r="M2928" s="399" t="n">
        <v>52</v>
      </c>
      <c r="N2928" s="154" t="n">
        <v>1</v>
      </c>
      <c r="O2928" s="155">
        <f>IF(AND(B2928="",C2928=""),"",IF(G2928&gt;=20000,0.05,IF(G2928&gt;=10000,0.1,IF(G2928&gt;=5000,0.2,IF(G2928&gt;=1000,0.3,IF(G2928&gt;=0,0.4,{0}))))))</f>
        <v/>
      </c>
      <c r="P2928" s="400">
        <f>IF(AND(B2928="",C2928=""),"",ROUND(H2928*O2928,2))</f>
        <v/>
      </c>
      <c r="Q2928" s="401" t="inlineStr">
        <is>
          <t>元件</t>
        </is>
      </c>
      <c r="R2928" s="168" t="inlineStr"/>
      <c r="S2928" s="168" t="inlineStr"/>
      <c r="T2928" s="168" t="inlineStr">
        <is>
          <t>0</t>
        </is>
      </c>
      <c r="U2928" s="168" t="inlineStr">
        <is>
          <t>710140200000049</t>
        </is>
      </c>
      <c r="V2928" s="402" t="n"/>
      <c r="W2928" s="402" t="n"/>
      <c r="X2928" s="170" t="inlineStr">
        <is>
          <t>SD→SD-0.66-40II-C 400/5A→SD-0.66-30I 250/5A→SD-0.66-30I 150/5A→SD-0.66-60II-C 750/5A→SD-0.66-60II-C 600/5A→SD-0.66-30I 150/5A→SD-0.66-40II-C 400/5A→SD-0.66-100II-C 1600/5A→SD-0.66-80II-V 1000/5A</t>
        </is>
      </c>
    </row>
    <row r="2929" s="308">
      <c r="A2929" s="64">
        <f>ROW()-ROW(A$2919)</f>
        <v/>
      </c>
      <c r="B2929" s="22" t="inlineStr">
        <is>
          <t>电流互感器</t>
        </is>
      </c>
      <c r="C2929" s="22" t="inlineStr">
        <is>
          <t>SD-0.66-60II-C 600/5A</t>
        </is>
      </c>
      <c r="D2929" s="22" t="inlineStr">
        <is>
          <t>桑迪</t>
        </is>
      </c>
      <c r="E2929" s="23" t="inlineStr">
        <is>
          <t>只</t>
        </is>
      </c>
      <c r="F2929" s="23" t="n">
        <v>6</v>
      </c>
      <c r="G2929" s="349">
        <f>IF(AND(B2929="",C2929=""),"",ROUND(M2929*L2929*N2929,2))</f>
        <v/>
      </c>
      <c r="H2929" s="396">
        <f>IF(AND(B2929="",C2929=""),"",ROUND(F2929*G2929,2))</f>
        <v/>
      </c>
      <c r="I2929" s="219" t="inlineStr"/>
      <c r="J2929" s="397">
        <f>IF(AND(B2929="",C2929=""),"",ROUND(M2929*N2929,2))</f>
        <v/>
      </c>
      <c r="K2929" s="398">
        <f>IF(AND(B2929="",C2929=""),"",ROUND(J2929*F2929,2))</f>
        <v/>
      </c>
      <c r="L2929" s="200" t="n">
        <v>1</v>
      </c>
      <c r="M2929" s="399" t="n">
        <v>63.7</v>
      </c>
      <c r="N2929" s="154" t="n">
        <v>1</v>
      </c>
      <c r="O2929" s="155">
        <f>IF(AND(B2929="",C2929=""),"",IF(G2929&gt;=20000,0.05,IF(G2929&gt;=10000,0.1,IF(G2929&gt;=5000,0.2,IF(G2929&gt;=1000,0.3,IF(G2929&gt;=0,0.4,{0}))))))</f>
        <v/>
      </c>
      <c r="P2929" s="400">
        <f>IF(AND(B2929="",C2929=""),"",ROUND(H2929*O2929,2))</f>
        <v/>
      </c>
      <c r="Q2929" s="401" t="inlineStr">
        <is>
          <t>元件</t>
        </is>
      </c>
      <c r="R2929" s="168" t="inlineStr"/>
      <c r="S2929" s="168" t="inlineStr"/>
      <c r="T2929" s="168" t="inlineStr">
        <is>
          <t>0</t>
        </is>
      </c>
      <c r="U2929" s="168" t="inlineStr"/>
      <c r="V2929" s="402" t="n"/>
      <c r="W2929" s="402" t="n"/>
      <c r="X2929" s="170" t="inlineStr">
        <is>
          <t>SD→SD-0.66-40II-C 400/5A→SD-0.66-30I 250/5A→SD-0.66-30I 150/5A→SD-0.66-60II-C 750/5A→SD-0.66-60II-C 600/5A→SD-0.66-30I 150/5A→SD-0.66-40II-C 400/5A→SD-0.66-100II-C 1600/5A→SD-0.66-80II-V 1000/5A→SD-0.66-80II-V 1250/5A→SD-0.66-80II-V 1000/5A→SD-0.66-80II-V 800/5A</t>
        </is>
      </c>
    </row>
    <row r="2930" s="308">
      <c r="A2930" s="64">
        <f>ROW()-ROW(A$2919)</f>
        <v/>
      </c>
      <c r="B2930" s="112" t="inlineStr">
        <is>
          <t>多功能表</t>
        </is>
      </c>
      <c r="C2930" s="112" t="inlineStr">
        <is>
          <t>PM4101</t>
        </is>
      </c>
      <c r="D2930" s="112" t="inlineStr">
        <is>
          <t>甲供/施耐德电气</t>
        </is>
      </c>
      <c r="E2930" s="114" t="inlineStr">
        <is>
          <t>只</t>
        </is>
      </c>
      <c r="F2930" s="114" t="n">
        <v>6</v>
      </c>
      <c r="G2930" s="396">
        <f>IF(AND(B2930="",C2930=""),"",ROUND(M2930*L2930*N2930,2))</f>
        <v/>
      </c>
      <c r="H2930" s="349">
        <f>IF(AND(B2930="",C2930=""),"",ROUND(F2930*G2930,2))</f>
        <v/>
      </c>
      <c r="I2930" s="45" t="inlineStr"/>
      <c r="J2930" s="397">
        <f>IF(AND(B2930="",C2930=""),"",ROUND(M2930*N2930,2))</f>
        <v/>
      </c>
      <c r="K2930" s="398">
        <f>IF(AND(B2930="",C2930=""),"",ROUND(J2930*F2930,2))</f>
        <v/>
      </c>
      <c r="L2930" s="200" t="n">
        <v>1</v>
      </c>
      <c r="M2930" s="399" t="n">
        <v>1e-07</v>
      </c>
      <c r="N2930" s="154" t="n">
        <v>1</v>
      </c>
      <c r="O2930" s="155">
        <f>IF(AND(B2930="",C2930=""),"",IF(J2930&gt;=20000,0.05,IF(J2930&gt;=10000,0.1,IF(J2930&gt;=5000,0.2,IF(J2930&gt;=1000,0.3,IF(J2930&gt;=0,0.4,{0}))))))</f>
        <v/>
      </c>
      <c r="P2930" s="400">
        <f>IF(AND(B2930="",C2930=""),"",ROUND(H2930*O2930,2))</f>
        <v/>
      </c>
      <c r="Q2930" s="401" t="inlineStr">
        <is>
          <t>元件</t>
        </is>
      </c>
      <c r="R2930" s="168" t="inlineStr"/>
      <c r="S2930" s="168" t="inlineStr"/>
      <c r="T2930" s="168" t="inlineStr">
        <is>
          <t>0</t>
        </is>
      </c>
      <c r="U2930" s="168" t="inlineStr"/>
      <c r="V2930" s="402" t="n"/>
      <c r="W2930" s="402" t="n"/>
      <c r="X2930" s="170" t="inlineStr"/>
    </row>
    <row r="2931" customFormat="1" s="3">
      <c r="A2931" s="64">
        <f>ROW()-ROW(A$2919)</f>
        <v/>
      </c>
      <c r="B2931" s="27" t="inlineStr">
        <is>
          <t>后备保护器</t>
        </is>
      </c>
      <c r="C2931" s="22" t="inlineStr">
        <is>
          <t>iSCB2 40H2 4P</t>
        </is>
      </c>
      <c r="D2931" s="22" t="inlineStr">
        <is>
          <t>甲供/施耐德万高</t>
        </is>
      </c>
      <c r="E2931" s="110" t="inlineStr">
        <is>
          <t>只</t>
        </is>
      </c>
      <c r="F2931" s="23" t="n">
        <v>1</v>
      </c>
      <c r="G2931" s="349">
        <f>IF(AND(B2931="",C2931=""),"",ROUND(M2931*L2931*N2931,2))</f>
        <v/>
      </c>
      <c r="H2931" s="349">
        <f>IF(AND(B2931="",C2931=""),"",ROUND(F2931*G2931,2))</f>
        <v/>
      </c>
      <c r="I2931" s="45" t="inlineStr"/>
      <c r="J2931" s="392">
        <f>IF(AND(B2931="",C2931=""),"",ROUND(M2931*N2931,2))</f>
        <v/>
      </c>
      <c r="K2931" s="393">
        <f>IF(AND(B2931="",C2931=""),"",ROUND(J2931*F2931,2))</f>
        <v/>
      </c>
      <c r="L2931" s="141" t="n">
        <v>1</v>
      </c>
      <c r="M2931" s="394" t="n">
        <v>1e-07</v>
      </c>
      <c r="N2931" s="143" t="n">
        <v>1</v>
      </c>
      <c r="O2931" s="144">
        <f>IF(AND(B2931="",C2931=""),"",IF(G2931&gt;=20000,0.05,IF(G2931&gt;=10000,0.1,IF(G2931&gt;=5000,0.2,IF(G2931&gt;=1000,0.3,IF(G2931&gt;=0,0.4,{0}))))))</f>
        <v/>
      </c>
      <c r="P2931" s="395">
        <f>IF(AND(B2931="",C2931=""),"",ROUND(H2931*O2931,2))</f>
        <v/>
      </c>
      <c r="Q2931" s="390" t="inlineStr">
        <is>
          <t>元件</t>
        </is>
      </c>
      <c r="R2931" s="164" t="inlineStr"/>
      <c r="S2931" s="164" t="inlineStr"/>
      <c r="T2931" s="164" t="inlineStr">
        <is>
          <t>0</t>
        </is>
      </c>
      <c r="U2931" s="164" t="inlineStr">
        <is>
          <t>A9L102554</t>
        </is>
      </c>
      <c r="V2931" s="391" t="n"/>
      <c r="W2931" s="391" t="n"/>
      <c r="X2931" s="166" t="inlineStr">
        <is>
          <t>iSCB1 25L1 4P→iSCB2 40H2 4P</t>
        </is>
      </c>
    </row>
    <row r="2932" customFormat="1" s="3">
      <c r="A2932" s="64">
        <f>ROW()-ROW(A$2919)</f>
        <v/>
      </c>
      <c r="B2932" s="27" t="inlineStr">
        <is>
          <t>电涌保护器</t>
        </is>
      </c>
      <c r="C2932" s="22" t="inlineStr">
        <is>
          <t>iPRU 40r 3P+N</t>
        </is>
      </c>
      <c r="D2932" s="22" t="inlineStr">
        <is>
          <t>甲供/施耐德万高</t>
        </is>
      </c>
      <c r="E2932" s="110" t="inlineStr">
        <is>
          <t>只</t>
        </is>
      </c>
      <c r="F2932" s="23" t="n">
        <v>1</v>
      </c>
      <c r="G2932" s="349">
        <f>IF(AND(B2932="",C2932=""),"",ROUND(M2932*L2932*N2932,2))</f>
        <v/>
      </c>
      <c r="H2932" s="349">
        <f>IF(AND(B2932="",C2932=""),"",ROUND(F2932*G2932,2))</f>
        <v/>
      </c>
      <c r="I2932" s="45" t="inlineStr"/>
      <c r="J2932" s="392">
        <f>IF(AND(B2932="",C2932=""),"",ROUND(M2932*N2932,2))</f>
        <v/>
      </c>
      <c r="K2932" s="393">
        <f>IF(AND(B2932="",C2932=""),"",ROUND(J2932*F2932,2))</f>
        <v/>
      </c>
      <c r="L2932" s="141" t="n">
        <v>1</v>
      </c>
      <c r="M2932" s="394" t="n">
        <v>1e-07</v>
      </c>
      <c r="N2932" s="143" t="n">
        <v>1</v>
      </c>
      <c r="O2932" s="144">
        <f>IF(AND(B2932="",C2932=""),"",IF(G2932&gt;=20000,0.05,IF(G2932&gt;=10000,0.1,IF(G2932&gt;=5000,0.2,IF(G2932&gt;=1000,0.3,IF(G2932&gt;=0,0.4,{0}))))))</f>
        <v/>
      </c>
      <c r="P2932" s="395">
        <f>IF(AND(B2932="",C2932=""),"",ROUND(H2932*O2932,2))</f>
        <v/>
      </c>
      <c r="Q2932" s="390" t="inlineStr">
        <is>
          <t>元件</t>
        </is>
      </c>
      <c r="R2932" s="164" t="inlineStr"/>
      <c r="S2932" s="164" t="inlineStr"/>
      <c r="T2932" s="164" t="inlineStr">
        <is>
          <t>0</t>
        </is>
      </c>
      <c r="U2932" s="164" t="inlineStr">
        <is>
          <t>A9L620601</t>
        </is>
      </c>
      <c r="V2932" s="391" t="n"/>
      <c r="W2932" s="391" t="n"/>
      <c r="X2932" s="166" t="inlineStr">
        <is>
          <t>iPRF1 12.5r 3P+N→iPRU 40r 3P→iPRF1 12.5r 3P+N</t>
        </is>
      </c>
    </row>
    <row r="2933" customFormat="1" s="3">
      <c r="A2933" s="64">
        <f>ROW()-ROW(A$2919)</f>
        <v/>
      </c>
      <c r="B2933" s="27" t="inlineStr">
        <is>
          <t>微型断路器</t>
        </is>
      </c>
      <c r="C2933" s="22" t="inlineStr">
        <is>
          <t>iC65H 2P C16A</t>
        </is>
      </c>
      <c r="D2933" s="22" t="inlineStr">
        <is>
          <t>甲供/施耐德电气</t>
        </is>
      </c>
      <c r="E2933" s="110" t="inlineStr">
        <is>
          <t>只</t>
        </is>
      </c>
      <c r="F2933" s="23" t="n">
        <v>2</v>
      </c>
      <c r="G2933" s="349">
        <f>IF(AND(B2933="",C2933=""),"",ROUND(M2933*L2933*N2933,2))</f>
        <v/>
      </c>
      <c r="H2933" s="349">
        <f>IF(AND(B2933="",C2933=""),"",ROUND(F2933*G2933,2))</f>
        <v/>
      </c>
      <c r="I2933" s="45" t="inlineStr"/>
      <c r="J2933" s="392">
        <f>IF(AND(B2933="",C2933=""),"",ROUND(M2933*N2933,2))</f>
        <v/>
      </c>
      <c r="K2933" s="393">
        <f>IF(AND(B2933="",C2933=""),"",ROUND(J2933*F2933,2))</f>
        <v/>
      </c>
      <c r="L2933" s="141" t="n">
        <v>1</v>
      </c>
      <c r="M2933" s="394" t="n">
        <v>1e-07</v>
      </c>
      <c r="N2933" s="143" t="n">
        <v>1</v>
      </c>
      <c r="O2933" s="144">
        <f>IF(AND(B2933="",C2933=""),"",IF(G2933&gt;=20000,0.05,IF(G2933&gt;=10000,0.1,IF(G2933&gt;=5000,0.2,IF(G2933&gt;=1000,0.3,IF(G2933&gt;=0,0.4,{0}))))))</f>
        <v/>
      </c>
      <c r="P2933" s="395">
        <f>IF(AND(B2933="",C2933=""),"",ROUND(H2933*O2933,2))</f>
        <v/>
      </c>
      <c r="Q2933" s="390" t="inlineStr">
        <is>
          <t>元件</t>
        </is>
      </c>
      <c r="R2933" s="164" t="inlineStr"/>
      <c r="S2933" s="164" t="inlineStr"/>
      <c r="T2933" s="164" t="n">
        <v>0</v>
      </c>
      <c r="U2933" s="164" t="inlineStr"/>
      <c r="V2933" s="391" t="n"/>
      <c r="W2933" s="391" t="n"/>
      <c r="X2933" s="166" t="inlineStr"/>
    </row>
    <row r="2934" customFormat="1" s="3">
      <c r="A2934" s="64">
        <f>ROW()-ROW(A$2919)</f>
        <v/>
      </c>
      <c r="B2934" s="22" t="inlineStr">
        <is>
          <t>指示灯</t>
        </is>
      </c>
      <c r="C2934" s="22" t="inlineStr">
        <is>
          <t>XB2BVM3LC</t>
        </is>
      </c>
      <c r="D2934" s="22" t="inlineStr">
        <is>
          <t>甲供/施耐德电气</t>
        </is>
      </c>
      <c r="E2934" s="23" t="inlineStr">
        <is>
          <t>只</t>
        </is>
      </c>
      <c r="F2934" s="23" t="n">
        <v>6</v>
      </c>
      <c r="G2934" s="349">
        <f>IF(AND(B2934="",C2934=""),"",ROUND(M2934*L2934*N2934,2))</f>
        <v/>
      </c>
      <c r="H2934" s="353">
        <f>IF(AND(B2934="",C2934=""),"",ROUND(F2934*G2934,2))</f>
        <v/>
      </c>
      <c r="I2934" s="180" t="inlineStr"/>
      <c r="J2934" s="392">
        <f>IF(AND(B2934="",C2934=""),"",ROUND(M2934*N2934,2))</f>
        <v/>
      </c>
      <c r="K2934" s="393">
        <f>IF(AND(B2934="",C2934=""),"",ROUND(J2934*F2934,2))</f>
        <v/>
      </c>
      <c r="L2934" s="141" t="n">
        <v>1</v>
      </c>
      <c r="M2934" s="394" t="n">
        <v>1e-07</v>
      </c>
      <c r="N2934" s="220" t="n">
        <v>1</v>
      </c>
      <c r="O2934" s="221">
        <f>IF(AND(B2934="",C2934=""),"",IF(G2934&gt;=20000,0.05,IF(G2934&gt;=10000,0.1,IF(G2934&gt;=5000,0.2,IF(G2934&gt;=1000,0.3,IF(G2934&gt;=0,0.4,{0}))))))</f>
        <v/>
      </c>
      <c r="P2934" s="419">
        <f>IF(AND(B2934="",C2934=""),"",ROUND(H2934*O2934,2))</f>
        <v/>
      </c>
      <c r="Q2934" s="420" t="inlineStr">
        <is>
          <t>元件</t>
        </is>
      </c>
      <c r="R2934" s="231" t="inlineStr"/>
      <c r="S2934" s="231" t="inlineStr"/>
      <c r="T2934" s="231" t="inlineStr">
        <is>
          <t>0</t>
        </is>
      </c>
      <c r="U2934" s="231" t="inlineStr">
        <is>
          <t>XB2BVM3LC</t>
        </is>
      </c>
      <c r="V2934" s="421" t="n"/>
      <c r="W2934" s="421" t="n"/>
      <c r="X2934" s="166" t="inlineStr">
        <is>
          <t>XA2EVM3LC</t>
        </is>
      </c>
    </row>
    <row r="2935" customFormat="1" s="3">
      <c r="A2935" s="64">
        <f>ROW()-ROW(A$2919)</f>
        <v/>
      </c>
      <c r="B2935" s="22" t="inlineStr">
        <is>
          <t>指示灯</t>
        </is>
      </c>
      <c r="C2935" s="22" t="inlineStr">
        <is>
          <t>XB2BVM4LC</t>
        </is>
      </c>
      <c r="D2935" s="22" t="inlineStr">
        <is>
          <t>甲供/施耐德电气</t>
        </is>
      </c>
      <c r="E2935" s="23" t="inlineStr">
        <is>
          <t>只</t>
        </is>
      </c>
      <c r="F2935" s="23" t="n">
        <v>6</v>
      </c>
      <c r="G2935" s="349">
        <f>IF(AND(B2935="",C2935=""),"",ROUND(M2935*L2935*N2935,2))</f>
        <v/>
      </c>
      <c r="H2935" s="353">
        <f>IF(AND(B2935="",C2935=""),"",ROUND(F2935*G2935,2))</f>
        <v/>
      </c>
      <c r="I2935" s="180" t="inlineStr"/>
      <c r="J2935" s="392">
        <f>IF(AND(B2935="",C2935=""),"",ROUND(M2935*N2935,2))</f>
        <v/>
      </c>
      <c r="K2935" s="393">
        <f>IF(AND(B2935="",C2935=""),"",ROUND(J2935*F2935,2))</f>
        <v/>
      </c>
      <c r="L2935" s="141" t="n">
        <v>1</v>
      </c>
      <c r="M2935" s="394" t="n">
        <v>1e-07</v>
      </c>
      <c r="N2935" s="220" t="n">
        <v>1</v>
      </c>
      <c r="O2935" s="221">
        <f>IF(AND(B2935="",C2935=""),"",IF(G2935&gt;=20000,0.05,IF(G2935&gt;=10000,0.1,IF(G2935&gt;=5000,0.2,IF(G2935&gt;=1000,0.3,IF(G2935&gt;=0,0.4,{0}))))))</f>
        <v/>
      </c>
      <c r="P2935" s="419">
        <f>IF(AND(B2935="",C2935=""),"",ROUND(H2935*O2935,2))</f>
        <v/>
      </c>
      <c r="Q2935" s="420" t="inlineStr">
        <is>
          <t>元件</t>
        </is>
      </c>
      <c r="R2935" s="231" t="inlineStr"/>
      <c r="S2935" s="231" t="inlineStr"/>
      <c r="T2935" s="231" t="inlineStr">
        <is>
          <t>0</t>
        </is>
      </c>
      <c r="U2935" s="231" t="inlineStr">
        <is>
          <t>XB2BVM4LC</t>
        </is>
      </c>
      <c r="V2935" s="421" t="n"/>
      <c r="W2935" s="421" t="n"/>
      <c r="X2935" s="166" t="inlineStr">
        <is>
          <t>XA2EVM4LC</t>
        </is>
      </c>
    </row>
    <row r="2936" s="308">
      <c r="A2936" s="64">
        <f>ROW()-ROW(A$2919)</f>
        <v/>
      </c>
      <c r="B2936" s="112" t="inlineStr">
        <is>
          <t>温湿度控制器</t>
        </is>
      </c>
      <c r="C2936" s="112" t="inlineStr">
        <is>
          <t>ATH48G-11</t>
        </is>
      </c>
      <c r="D2936" s="22" t="inlineStr">
        <is>
          <t>杭州安廷</t>
        </is>
      </c>
      <c r="E2936" s="23" t="inlineStr">
        <is>
          <t>套</t>
        </is>
      </c>
      <c r="F2936" s="23" t="n">
        <v>1</v>
      </c>
      <c r="G2936" s="349">
        <f>IF(AND(B2936="",C2936=""),"",ROUND(M2936*L2936*N2936,2))</f>
        <v/>
      </c>
      <c r="H2936" s="396">
        <f>IF(AND(B2936="",C2936=""),"",ROUND(F2936*G2936,2))</f>
        <v/>
      </c>
      <c r="I2936" s="150" t="inlineStr"/>
      <c r="J2936" s="397">
        <f>IF(AND(B2936="",C2936=""),"",ROUND(M2936*N2936,2))</f>
        <v/>
      </c>
      <c r="K2936" s="398">
        <f>IF(AND(B2936="",C2936=""),"",ROUND(J2936*F2936,2))</f>
        <v/>
      </c>
      <c r="L2936" s="141" t="n">
        <v>1</v>
      </c>
      <c r="M2936" s="399" t="n">
        <v>450</v>
      </c>
      <c r="N2936" s="154" t="n">
        <v>1</v>
      </c>
      <c r="O2936" s="155">
        <f>IF(AND(B2936="",C2936=""),"",IF(G2936&gt;=20000,0.05,IF(G2936&gt;=10000,0.1,IF(G2936&gt;=5000,0.2,IF(G2936&gt;=1000,0.3,IF(G2936&gt;=0,0.4,{0}))))))</f>
        <v/>
      </c>
      <c r="P2936" s="400">
        <f>IF(AND(B2936="",C2936=""),"",ROUND(H2936*O2936,2))</f>
        <v/>
      </c>
      <c r="Q2936" s="401" t="inlineStr">
        <is>
          <t>元件</t>
        </is>
      </c>
      <c r="R2936" s="168" t="inlineStr"/>
      <c r="S2936" s="168" t="inlineStr"/>
      <c r="T2936" s="168" t="inlineStr">
        <is>
          <t>0</t>
        </is>
      </c>
      <c r="U2936" s="168" t="inlineStr"/>
      <c r="V2936" s="402" t="n"/>
      <c r="W2936" s="402" t="n"/>
      <c r="X2936" s="170" t="inlineStr"/>
    </row>
    <row r="2937" s="308">
      <c r="A2937" s="64">
        <f>ROW()-ROW(A$2919)</f>
        <v/>
      </c>
      <c r="B2937" s="22" t="inlineStr">
        <is>
          <t>中间继电器</t>
        </is>
      </c>
      <c r="C2937" s="22" t="inlineStr">
        <is>
          <t>RXM4AB2P7+RXZE2S114M+RXZ400</t>
        </is>
      </c>
      <c r="D2937" s="22" t="inlineStr">
        <is>
          <t>甲供/施耐德电气</t>
        </is>
      </c>
      <c r="E2937" s="23" t="inlineStr">
        <is>
          <t>只</t>
        </is>
      </c>
      <c r="F2937" s="23" t="n">
        <v>12</v>
      </c>
      <c r="G2937" s="349">
        <f>IF(AND(B2937="",C2937=""),"",ROUND(M2937*L2937*N2937,2))</f>
        <v/>
      </c>
      <c r="H2937" s="349">
        <f>IF(AND(B2937="",C2937=""),"",ROUND(F2937*G2937,2))</f>
        <v/>
      </c>
      <c r="I2937" s="45" t="inlineStr"/>
      <c r="J2937" s="397">
        <f>IF(AND(B2937="",C2937=""),"",ROUND(M2937*N2937,2))</f>
        <v/>
      </c>
      <c r="K2937" s="398">
        <f>IF(AND(B2937="",C2937=""),"",ROUND(J2937*F2937,2))</f>
        <v/>
      </c>
      <c r="L2937" s="141" t="n">
        <v>1</v>
      </c>
      <c r="M2937" s="399" t="n">
        <v>1e-07</v>
      </c>
      <c r="N2937" s="154" t="n">
        <v>1</v>
      </c>
      <c r="O2937" s="155">
        <f>IF(AND(B2937="",C2937=""),"",IF(G2937&gt;=20000,0.05,IF(G2937&gt;=10000,0.1,IF(G2937&gt;=5000,0.2,IF(G2937&gt;=1000,0.3,IF(G2937&gt;=0,0.4,{0}))))))</f>
        <v/>
      </c>
      <c r="P2937" s="400">
        <f>IF(AND(B2937="",C2937=""),"",ROUND(H2937*O2937,2))</f>
        <v/>
      </c>
      <c r="Q2937" s="401" t="inlineStr">
        <is>
          <t>元件</t>
        </is>
      </c>
      <c r="R2937" s="168" t="inlineStr"/>
      <c r="S2937" s="168" t="inlineStr"/>
      <c r="T2937" s="168" t="inlineStr">
        <is>
          <t>0</t>
        </is>
      </c>
      <c r="U2937" s="168" t="inlineStr">
        <is>
          <t>RXM4AB2P7+RXZE2S114M+RXZ400</t>
        </is>
      </c>
      <c r="V2937" s="402" t="n"/>
      <c r="W2937" s="402" t="n"/>
      <c r="X2937" s="170" t="inlineStr">
        <is>
          <t>REL-IR-BL/L-230AC/4X21，含底座→RXM4AB2P7+RXZE2S114M+RXZ400→REL-IR-BL/L-230AC/4X21，含底座</t>
        </is>
      </c>
    </row>
    <row r="2938" customFormat="1" s="3">
      <c r="A2938" s="64">
        <f>ROW()-ROW(A$2919)</f>
        <v/>
      </c>
      <c r="B2938" s="22" t="inlineStr">
        <is>
          <t>带熔丝端子</t>
        </is>
      </c>
      <c r="C2938" s="22" t="inlineStr">
        <is>
          <t>UK 5-HESI</t>
        </is>
      </c>
      <c r="D2938" s="22" t="inlineStr">
        <is>
          <t>菲尼克斯</t>
        </is>
      </c>
      <c r="E2938" s="23" t="inlineStr">
        <is>
          <t>只</t>
        </is>
      </c>
      <c r="F2938" s="23" t="n">
        <v>24</v>
      </c>
      <c r="G2938" s="349">
        <f>IF(AND(B2938="",C2938=""),"",ROUND(M2938*L2938*N2938,2))</f>
        <v/>
      </c>
      <c r="H2938" s="349">
        <f>IF(AND(B2938="",C2938=""),"",ROUND(F2938*G2938,2))</f>
        <v/>
      </c>
      <c r="I2938" s="45" t="inlineStr"/>
      <c r="J2938" s="392">
        <f>IF(AND(B2938="",C2938=""),"",ROUND(M2938*N2938,2))</f>
        <v/>
      </c>
      <c r="K2938" s="393">
        <f>IF(AND(B2938="",C2938=""),"",ROUND(J2938*F2938,2))</f>
        <v/>
      </c>
      <c r="L2938" s="141" t="n">
        <v>1</v>
      </c>
      <c r="M2938" s="394" t="n">
        <v>7</v>
      </c>
      <c r="N2938" s="220" t="n">
        <v>1</v>
      </c>
      <c r="O2938" s="221">
        <f>IF(AND(B2938="",C2938=""),"",IF(G2938&gt;=20000,0.05,IF(G2938&gt;=10000,0.1,IF(G2938&gt;=5000,0.2,IF(G2938&gt;=1000,0.3,IF(G2938&gt;=0,0.4,{0}))))))</f>
        <v/>
      </c>
      <c r="P2938" s="419">
        <f>IF(AND(B2938="",C2938=""),"",ROUND(H2938*O2938,2))</f>
        <v/>
      </c>
      <c r="Q2938" s="420" t="inlineStr">
        <is>
          <t>元件</t>
        </is>
      </c>
      <c r="R2938" s="231" t="inlineStr"/>
      <c r="S2938" s="231" t="inlineStr"/>
      <c r="T2938" s="231" t="inlineStr">
        <is>
          <t>0</t>
        </is>
      </c>
      <c r="U2938" s="231" t="inlineStr">
        <is>
          <t>True</t>
        </is>
      </c>
      <c r="V2938" s="421" t="n"/>
      <c r="W2938" s="421" t="n"/>
      <c r="X2938" s="166" t="inlineStr"/>
    </row>
    <row r="2939" s="308">
      <c r="A2939" s="64">
        <f>ROW()-ROW(A$2919)</f>
        <v/>
      </c>
      <c r="B2939" s="22" t="inlineStr">
        <is>
          <t>水平母排</t>
        </is>
      </c>
      <c r="C2939" s="22" t="inlineStr">
        <is>
          <t>TMY 4*(100*5)+50*5</t>
        </is>
      </c>
      <c r="D2939" s="22" t="inlineStr">
        <is>
          <t>国产优质</t>
        </is>
      </c>
      <c r="E2939" s="23" t="inlineStr">
        <is>
          <t>米</t>
        </is>
      </c>
      <c r="F2939" s="23" t="n">
        <v>0.6</v>
      </c>
      <c r="G2939" s="349">
        <f>IF(AND(B2939="",C2939=""),"",ROUND(M2939*L2939*N2939,2))</f>
        <v/>
      </c>
      <c r="H2939" s="349">
        <f>IF(AND(B2939="",C2939=""),"",ROUND(F2939*G2939,2))</f>
        <v/>
      </c>
      <c r="I2939" s="45" t="inlineStr"/>
      <c r="J2939" s="397">
        <f>IF(AND(B2939="",C2939=""),"",ROUND(M2939*N2939,2))</f>
        <v/>
      </c>
      <c r="K2939" s="398">
        <f>IF(AND(B2939="",C2939=""),"",ROUND(J2939*F2939,2))</f>
        <v/>
      </c>
      <c r="L2939" s="200" t="n">
        <v>1</v>
      </c>
      <c r="M2939" s="399" t="n">
        <v>2164.802625</v>
      </c>
      <c r="N2939" s="154">
        <f>(6317.932*1*1+2684.8*1*1)/9002.732</f>
        <v/>
      </c>
      <c r="O2939" s="155">
        <f>IF(AND(B2939="",C2939=""),"",IF(J2939&gt;=20000,0.05,IF(J2939&gt;=10000,0.1,IF(J2939&gt;=5000,0.2,IF(J2939&gt;=1000,0.3,IF(J2939&gt;=0,0.4,{0}))))))</f>
        <v/>
      </c>
      <c r="P2939" s="400">
        <f>IF(AND(B2939="",C2939=""),"",ROUND(H2939*O2939,2))</f>
        <v/>
      </c>
      <c r="Q2939" s="401" t="inlineStr">
        <is>
          <t>母排</t>
        </is>
      </c>
      <c r="R2939" s="168" t="inlineStr"/>
      <c r="S2939" s="168" t="inlineStr"/>
      <c r="T2939" s="168" t="inlineStr">
        <is>
          <t>0</t>
        </is>
      </c>
      <c r="U2939" s="168" t="inlineStr"/>
      <c r="V2939" s="402" t="n"/>
      <c r="W2939" s="402" t="n"/>
      <c r="X2939" s="170" t="inlineStr"/>
    </row>
    <row r="2940" customFormat="1" s="5">
      <c r="A2940" s="64">
        <f>ROW()-ROW(A$2919)</f>
        <v/>
      </c>
      <c r="B2940" s="22" t="inlineStr">
        <is>
          <t>垂直排</t>
        </is>
      </c>
      <c r="C2940" s="22" t="inlineStr">
        <is>
          <t>TMY 3*80*5</t>
        </is>
      </c>
      <c r="D2940" s="22" t="inlineStr">
        <is>
          <t>国产优质</t>
        </is>
      </c>
      <c r="E2940" s="23" t="inlineStr">
        <is>
          <t>米</t>
        </is>
      </c>
      <c r="F2940" s="23" t="n">
        <v>2</v>
      </c>
      <c r="G2940" s="349">
        <f>IF(AND(B2940="",C2940=""),"",ROUND(M2940*L2940*N2940,2))</f>
        <v/>
      </c>
      <c r="H2940" s="349">
        <f>IF(AND(B2940="",C2940=""),"",ROUND(F2940*G2940,2))</f>
        <v/>
      </c>
      <c r="I2940" s="45" t="inlineStr"/>
      <c r="J2940" s="422">
        <f>IF(AND(B2940="",C2940=""),"",ROUND(M2940*N2940,2))</f>
        <v/>
      </c>
      <c r="K2940" s="423">
        <f>IF(AND(B2940="",C2940=""),"",ROUND(J2940*F2940,2))</f>
        <v/>
      </c>
      <c r="L2940" s="225" t="n">
        <v>1</v>
      </c>
      <c r="M2940" s="424" t="n">
        <v>1154.5614</v>
      </c>
      <c r="N2940" s="227" t="n">
        <v>1</v>
      </c>
      <c r="O2940" s="228">
        <f>IF(AND(B2940="",C2940=""),"",IF(G2940&gt;=20000,0.05,IF(G2940&gt;=10000,0.1,IF(G2940&gt;=5000,0.2,IF(G2940&gt;=1000,0.3,IF(G2940&gt;=0,0.4,{0}))))))</f>
        <v/>
      </c>
      <c r="P2940" s="425">
        <f>IF(AND(B2940="",C2940=""),"",ROUND(H2940*O2940,2))</f>
        <v/>
      </c>
      <c r="Q2940" s="426" t="inlineStr">
        <is>
          <t>母排</t>
        </is>
      </c>
      <c r="R2940" s="234" t="inlineStr"/>
      <c r="S2940" s="234" t="inlineStr"/>
      <c r="T2940" s="235" t="inlineStr">
        <is>
          <t>0</t>
        </is>
      </c>
      <c r="U2940" s="235" t="inlineStr"/>
      <c r="V2940" s="427" t="n"/>
      <c r="W2940" s="427" t="n"/>
      <c r="X2940" s="237" t="inlineStr">
        <is>
          <t>TMY 2*30*5→TMY 30*8</t>
        </is>
      </c>
    </row>
    <row r="2941" customFormat="1" s="5">
      <c r="A2941" s="64">
        <f>ROW()-ROW(A$2919)</f>
        <v/>
      </c>
      <c r="B2941" s="22" t="inlineStr">
        <is>
          <t>N排</t>
        </is>
      </c>
      <c r="C2941" s="22" t="inlineStr">
        <is>
          <t>TMY 40*10</t>
        </is>
      </c>
      <c r="D2941" s="22" t="inlineStr">
        <is>
          <t>国产优质</t>
        </is>
      </c>
      <c r="E2941" s="23" t="inlineStr">
        <is>
          <t>米</t>
        </is>
      </c>
      <c r="F2941" s="23" t="n">
        <v>3</v>
      </c>
      <c r="G2941" s="349">
        <f>IF(AND(B2941="",C2941=""),"",ROUND(M2941*L2941*N2941,2))</f>
        <v/>
      </c>
      <c r="H2941" s="349">
        <f>IF(AND(B2941="",C2941=""),"",ROUND(F2941*G2941,2))</f>
        <v/>
      </c>
      <c r="I2941" s="45" t="inlineStr"/>
      <c r="J2941" s="422">
        <f>IF(AND(B2941="",C2941=""),"",ROUND(M2941*N2941,2))</f>
        <v/>
      </c>
      <c r="K2941" s="423">
        <f>IF(AND(B2941="",C2941=""),"",ROUND(J2941*F2941,2))</f>
        <v/>
      </c>
      <c r="L2941" s="225" t="n">
        <v>1</v>
      </c>
      <c r="M2941" s="424" t="n">
        <v>384.8538</v>
      </c>
      <c r="N2941" s="227" t="n">
        <v>1</v>
      </c>
      <c r="O2941" s="228">
        <f>IF(AND(B2941="",C2941=""),"",IF(G2941&gt;=20000,0.05,IF(G2941&gt;=10000,0.1,IF(G2941&gt;=5000,0.2,IF(G2941&gt;=1000,0.3,IF(G2941&gt;=0,0.4,{0}))))))</f>
        <v/>
      </c>
      <c r="P2941" s="425">
        <f>IF(AND(B2941="",C2941=""),"",ROUND(H2941*O2941,2))</f>
        <v/>
      </c>
      <c r="Q2941" s="426" t="inlineStr">
        <is>
          <t>母排</t>
        </is>
      </c>
      <c r="R2941" s="234" t="inlineStr"/>
      <c r="S2941" s="234" t="inlineStr"/>
      <c r="T2941" s="235" t="inlineStr">
        <is>
          <t>0</t>
        </is>
      </c>
      <c r="U2941" s="235" t="inlineStr"/>
      <c r="V2941" s="427" t="n"/>
      <c r="W2941" s="427" t="n"/>
      <c r="X2941" s="237" t="inlineStr">
        <is>
          <t>TMY 2*30*5→TMY 30*8</t>
        </is>
      </c>
    </row>
    <row r="2942" customFormat="1" s="5">
      <c r="A2942" s="64">
        <f>ROW()-ROW(A$2919)</f>
        <v/>
      </c>
      <c r="B2942" s="22" t="inlineStr">
        <is>
          <t>PE排</t>
        </is>
      </c>
      <c r="C2942" s="22" t="inlineStr">
        <is>
          <t>TMY 2*50*5</t>
        </is>
      </c>
      <c r="D2942" s="22" t="inlineStr">
        <is>
          <t>国产优质</t>
        </is>
      </c>
      <c r="E2942" s="23" t="inlineStr">
        <is>
          <t>米</t>
        </is>
      </c>
      <c r="F2942" s="23" t="n">
        <v>2</v>
      </c>
      <c r="G2942" s="349">
        <f>IF(AND(B2942="",C2942=""),"",ROUND(M2942*L2942*N2942,2))</f>
        <v/>
      </c>
      <c r="H2942" s="349">
        <f>IF(AND(B2942="",C2942=""),"",ROUND(F2942*G2942,2))</f>
        <v/>
      </c>
      <c r="I2942" s="45" t="inlineStr"/>
      <c r="J2942" s="422">
        <f>IF(AND(B2942="",C2942=""),"",ROUND(M2942*N2942,2))</f>
        <v/>
      </c>
      <c r="K2942" s="423">
        <f>IF(AND(B2942="",C2942=""),"",ROUND(J2942*F2942,2))</f>
        <v/>
      </c>
      <c r="L2942" s="225" t="n">
        <v>1</v>
      </c>
      <c r="M2942" s="424" t="n">
        <v>481.06725</v>
      </c>
      <c r="N2942" s="227" t="n">
        <v>1</v>
      </c>
      <c r="O2942" s="228">
        <f>IF(AND(B2942="",C2942=""),"",IF(G2942&gt;=20000,0.05,IF(G2942&gt;=10000,0.1,IF(G2942&gt;=5000,0.2,IF(G2942&gt;=1000,0.3,IF(G2942&gt;=0,0.4,{0}))))))</f>
        <v/>
      </c>
      <c r="P2942" s="425">
        <f>IF(AND(B2942="",C2942=""),"",ROUND(H2942*O2942,2))</f>
        <v/>
      </c>
      <c r="Q2942" s="426" t="inlineStr">
        <is>
          <t>母排</t>
        </is>
      </c>
      <c r="R2942" s="234" t="inlineStr"/>
      <c r="S2942" s="234" t="inlineStr"/>
      <c r="T2942" s="235" t="inlineStr">
        <is>
          <t>0</t>
        </is>
      </c>
      <c r="U2942" s="235" t="inlineStr"/>
      <c r="V2942" s="427" t="n"/>
      <c r="W2942" s="427" t="n"/>
      <c r="X2942" s="237" t="inlineStr">
        <is>
          <t>TMY 2*30*5→TMY 30*8</t>
        </is>
      </c>
    </row>
    <row r="2943" customFormat="1" s="5">
      <c r="A2943" s="64">
        <f>ROW()-ROW(A$2919)</f>
        <v/>
      </c>
      <c r="B2943" s="22" t="inlineStr">
        <is>
          <t>400A铜排</t>
        </is>
      </c>
      <c r="C2943" s="22" t="inlineStr">
        <is>
          <t>TMY 30*5</t>
        </is>
      </c>
      <c r="D2943" s="22" t="inlineStr">
        <is>
          <t>国产优质</t>
        </is>
      </c>
      <c r="E2943" s="23" t="inlineStr">
        <is>
          <t>米</t>
        </is>
      </c>
      <c r="F2943" s="23" t="n">
        <v>3.2</v>
      </c>
      <c r="G2943" s="349">
        <f>IF(AND(B2943="",C2943=""),"",ROUND(M2943*L2943*N2943,2))</f>
        <v/>
      </c>
      <c r="H2943" s="349">
        <f>IF(AND(B2943="",C2943=""),"",ROUND(F2943*G2943,2))</f>
        <v/>
      </c>
      <c r="I2943" s="45" t="inlineStr"/>
      <c r="J2943" s="422">
        <f>IF(AND(B2943="",C2943=""),"",ROUND(M2943*N2943,2))</f>
        <v/>
      </c>
      <c r="K2943" s="423">
        <f>IF(AND(B2943="",C2943=""),"",ROUND(J2943*F2943,2))</f>
        <v/>
      </c>
      <c r="L2943" s="225" t="n">
        <v>1</v>
      </c>
      <c r="M2943" s="424" t="n">
        <v>144.320175</v>
      </c>
      <c r="N2943" s="227" t="n">
        <v>1</v>
      </c>
      <c r="O2943" s="228">
        <f>IF(AND(B2943="",C2943=""),"",IF(G2943&gt;=20000,0.05,IF(G2943&gt;=10000,0.1,IF(G2943&gt;=5000,0.2,IF(G2943&gt;=1000,0.3,IF(G2943&gt;=0,0.4,{0}))))))</f>
        <v/>
      </c>
      <c r="P2943" s="425">
        <f>IF(AND(B2943="",C2943=""),"",ROUND(H2943*O2943,2))</f>
        <v/>
      </c>
      <c r="Q2943" s="426" t="inlineStr">
        <is>
          <t>母排</t>
        </is>
      </c>
      <c r="R2943" s="234" t="inlineStr"/>
      <c r="S2943" s="234" t="inlineStr"/>
      <c r="T2943" s="235" t="inlineStr">
        <is>
          <t>0</t>
        </is>
      </c>
      <c r="U2943" s="235" t="inlineStr"/>
      <c r="V2943" s="427" t="n"/>
      <c r="W2943" s="427" t="n"/>
      <c r="X2943" s="237" t="inlineStr">
        <is>
          <t>TMY 2*30*5→TMY 30*8</t>
        </is>
      </c>
    </row>
    <row r="2944" customFormat="1" s="5">
      <c r="A2944" s="64">
        <f>ROW()-ROW(A$2919)</f>
        <v/>
      </c>
      <c r="B2944" s="22" t="inlineStr">
        <is>
          <t>630A铜排</t>
        </is>
      </c>
      <c r="C2944" s="22" t="inlineStr">
        <is>
          <t>TMY 30*8</t>
        </is>
      </c>
      <c r="D2944" s="22" t="inlineStr">
        <is>
          <t>国产优质</t>
        </is>
      </c>
      <c r="E2944" s="23" t="inlineStr">
        <is>
          <t>米</t>
        </is>
      </c>
      <c r="F2944" s="23" t="n">
        <v>6.4</v>
      </c>
      <c r="G2944" s="349">
        <f>IF(AND(B2944="",C2944=""),"",ROUND(M2944*L2944*N2944,2))</f>
        <v/>
      </c>
      <c r="H2944" s="349">
        <f>IF(AND(B2944="",C2944=""),"",ROUND(F2944*G2944,2))</f>
        <v/>
      </c>
      <c r="I2944" s="45" t="inlineStr"/>
      <c r="J2944" s="422">
        <f>IF(AND(B2944="",C2944=""),"",ROUND(M2944*N2944,2))</f>
        <v/>
      </c>
      <c r="K2944" s="423">
        <f>IF(AND(B2944="",C2944=""),"",ROUND(J2944*F2944,2))</f>
        <v/>
      </c>
      <c r="L2944" s="225" t="n">
        <v>1</v>
      </c>
      <c r="M2944" s="424" t="n">
        <v>230.91228</v>
      </c>
      <c r="N2944" s="227" t="n">
        <v>1</v>
      </c>
      <c r="O2944" s="228">
        <f>IF(AND(B2944="",C2944=""),"",IF(G2944&gt;=20000,0.05,IF(G2944&gt;=10000,0.1,IF(G2944&gt;=5000,0.2,IF(G2944&gt;=1000,0.3,IF(G2944&gt;=0,0.4,{0}))))))</f>
        <v/>
      </c>
      <c r="P2944" s="425">
        <f>IF(AND(B2944="",C2944=""),"",ROUND(H2944*O2944,2))</f>
        <v/>
      </c>
      <c r="Q2944" s="426" t="inlineStr">
        <is>
          <t>母排</t>
        </is>
      </c>
      <c r="R2944" s="234" t="inlineStr"/>
      <c r="S2944" s="234" t="inlineStr"/>
      <c r="T2944" s="235" t="inlineStr">
        <is>
          <t>0</t>
        </is>
      </c>
      <c r="U2944" s="235" t="inlineStr"/>
      <c r="V2944" s="427" t="n"/>
      <c r="W2944" s="427" t="n"/>
      <c r="X2944" s="237" t="inlineStr">
        <is>
          <t>TMY 2*30*5→TMY 30*8</t>
        </is>
      </c>
    </row>
    <row r="2945" s="308">
      <c r="A2945" s="64">
        <f>ROW()-ROW(A$2919)</f>
        <v/>
      </c>
      <c r="B2945" s="112" t="inlineStr">
        <is>
          <t>辅料</t>
        </is>
      </c>
      <c r="C2945" s="112" t="inlineStr"/>
      <c r="D2945" s="112" t="inlineStr"/>
      <c r="E2945" s="114" t="inlineStr">
        <is>
          <t>套</t>
        </is>
      </c>
      <c r="F2945" s="114" t="n">
        <v>1</v>
      </c>
      <c r="G2945" s="396">
        <f>IF(AND(B2945="",C2945=""),"",ROUND(M2945*L2945*N2945,2))</f>
        <v/>
      </c>
      <c r="H2945" s="396">
        <f>IF(AND(B2945="",C2945=""),"",ROUND(F2945*G2945,2))</f>
        <v/>
      </c>
      <c r="I2945" s="219" t="inlineStr"/>
      <c r="J2945" s="397">
        <f>IF(AND(B2945="",C2945=""),"",ROUND(M2945*N2945,2))</f>
        <v/>
      </c>
      <c r="K2945" s="398">
        <f>IF(AND(B2945="",C2945=""),"",ROUND(J2945*F2945,2))</f>
        <v/>
      </c>
      <c r="L2945" s="200" t="n">
        <v>1</v>
      </c>
      <c r="M2945" s="399" t="n">
        <v>1204.69</v>
      </c>
      <c r="N2945" s="154" t="n">
        <v>1</v>
      </c>
      <c r="O2945" s="155">
        <f>IF(AND(B2945="",C2945=""),"",IF(G2945&gt;=20000,0.05,IF(G2945&gt;=10000,0.1,IF(G2945&gt;=5000,0.2,IF(G2945&gt;=1000,0.3,IF(G2945&gt;=0,0.4,{0}))))))</f>
        <v/>
      </c>
      <c r="P2945" s="400">
        <f>IF(AND(B2945="",C2945=""),"",ROUND(H2945*O2945,2))</f>
        <v/>
      </c>
      <c r="Q2945" s="401" t="inlineStr">
        <is>
          <t>辅料</t>
        </is>
      </c>
      <c r="R2945" s="168" t="inlineStr"/>
      <c r="S2945" s="168" t="inlineStr"/>
      <c r="T2945" s="168" t="inlineStr">
        <is>
          <t>0</t>
        </is>
      </c>
      <c r="U2945" s="168" t="inlineStr"/>
      <c r="V2945" s="402" t="n"/>
      <c r="W2945" s="402" t="n"/>
      <c r="X2945" s="170" t="inlineStr"/>
    </row>
    <row r="2946" s="308">
      <c r="A2946" s="64">
        <f>ROW()-ROW(A$2919)</f>
        <v/>
      </c>
      <c r="B2946" s="112" t="inlineStr">
        <is>
          <t>柜体Blokset</t>
        </is>
      </c>
      <c r="C2946" s="22" t="inlineStr">
        <is>
          <t>600W*1200D*2200H</t>
        </is>
      </c>
      <c r="D2946" s="112" t="inlineStr">
        <is>
          <t>清科</t>
        </is>
      </c>
      <c r="E2946" s="114" t="inlineStr">
        <is>
          <t>台</t>
        </is>
      </c>
      <c r="F2946" s="114" t="n">
        <v>1</v>
      </c>
      <c r="G2946" s="396">
        <f>IF(AND(B2946="",C2946=""),"",ROUND(M2946*L2946*N2946,2))</f>
        <v/>
      </c>
      <c r="H2946" s="396">
        <f>IF(AND(B2946="",C2946=""),"",ROUND(F2946*G2946,2))</f>
        <v/>
      </c>
      <c r="I2946" s="219" t="inlineStr"/>
      <c r="J2946" s="397">
        <f>IF(AND(B2946="",C2946=""),"",ROUND(M2946*N2946,2))</f>
        <v/>
      </c>
      <c r="K2946" s="398">
        <f>IF(AND(B2946="",C2946=""),"",ROUND(J2946*F2946,2))</f>
        <v/>
      </c>
      <c r="L2946" s="200" t="n">
        <v>1</v>
      </c>
      <c r="M2946" s="399" t="n">
        <v>5405</v>
      </c>
      <c r="N2946" s="154" t="n">
        <v>1</v>
      </c>
      <c r="O2946" s="155">
        <f>IF(AND(B2946="",C2946=""),"",IF(G2946&gt;=20000,0.05,IF(G2946&gt;=10000,0.1,IF(G2946&gt;=5000,0.2,IF(G2946&gt;=1000,0.3,IF(G2946&gt;=0,0.4,{0}))))))</f>
        <v/>
      </c>
      <c r="P2946" s="400">
        <f>IF(AND(B2946="",C2946=""),"",ROUND(H2946*O2946,2))</f>
        <v/>
      </c>
      <c r="Q2946" s="401" t="inlineStr">
        <is>
          <t>箱体</t>
        </is>
      </c>
      <c r="R2946" s="168" t="inlineStr"/>
      <c r="S2946" s="168" t="inlineStr"/>
      <c r="T2946" s="168" t="inlineStr">
        <is>
          <t>0</t>
        </is>
      </c>
      <c r="U2946" s="168" t="inlineStr"/>
      <c r="V2946" s="402" t="n"/>
      <c r="W2946" s="402" t="n"/>
      <c r="X2946" s="170" t="inlineStr">
        <is>
          <t>BlokSeT</t>
        </is>
      </c>
    </row>
    <row r="2947" s="308">
      <c r="A2947" s="64">
        <f>ROW()-ROW(A$2919)</f>
        <v/>
      </c>
      <c r="B2947" s="22" t="inlineStr"/>
      <c r="C2947" s="22" t="inlineStr"/>
      <c r="D2947" s="22" t="inlineStr"/>
      <c r="E2947" s="23" t="n"/>
      <c r="F2947" s="23">
        <f>IF(AND(B2947="",C2947=""),"",1)</f>
        <v/>
      </c>
      <c r="G2947" s="349">
        <f>IF(AND(B2947="",C2947=""),"",ROUND(M2947*L2947*N2947,2))</f>
        <v/>
      </c>
      <c r="H2947" s="349">
        <f>IF(AND(B2947="",C2947=""),"",ROUND(F2947*G2947,2))</f>
        <v/>
      </c>
      <c r="I2947" s="45" t="inlineStr"/>
      <c r="J2947" s="397">
        <f>IF(AND(B2947="",C2947=""),"",ROUND(M2947*N2947,2))</f>
        <v/>
      </c>
      <c r="K2947" s="398">
        <f>IF(AND(B2947="",C2947=""),"",ROUND(J2947*F2947,2))</f>
        <v/>
      </c>
      <c r="L2947" s="200">
        <f>IF(AND(B2947="",C2947=""),"",1)</f>
        <v/>
      </c>
      <c r="M2947" s="399" t="n"/>
      <c r="N2947" s="154">
        <f>IF(AND(B2947="",C2947=""),"",1)</f>
        <v/>
      </c>
      <c r="O2947" s="155">
        <f>IF(AND(B2947="",C2947=""),"",IF(J2947&gt;=20000,0.05,IF(J2947&gt;=10000,0.1,IF(J2947&gt;=5000,0.2,IF(J2947&gt;=1000,0.3,IF(J2947&gt;=0,0.4,{0}))))))</f>
        <v/>
      </c>
      <c r="P2947" s="400">
        <f>IF(AND(B2947="",C2947=""),"",ROUND(H2947*O2947,2))</f>
        <v/>
      </c>
      <c r="Q2947" s="401">
        <f>IF(AND(B2947="",C2947=""),"","元件")</f>
        <v/>
      </c>
      <c r="R2947" s="168" t="inlineStr"/>
      <c r="S2947" s="168" t="inlineStr"/>
      <c r="T2947" s="168" t="inlineStr"/>
      <c r="U2947" s="168" t="inlineStr"/>
      <c r="V2947" s="402" t="n"/>
      <c r="W2947" s="402" t="n"/>
      <c r="X2947" s="170" t="inlineStr"/>
    </row>
    <row r="2948" s="308">
      <c r="A2948" s="64">
        <f>ROW()-ROW(A$2919)</f>
        <v/>
      </c>
      <c r="B2948" s="171" t="inlineStr">
        <is>
          <t>小计</t>
        </is>
      </c>
      <c r="C2948" s="172" t="n"/>
      <c r="D2948" s="204" t="n"/>
      <c r="E2948" s="114" t="n"/>
      <c r="F2948" s="114" t="n"/>
      <c r="G2948" s="396" t="n"/>
      <c r="H2948" s="396">
        <f>ROUND(SUM(H2919:INDEX(H:H,ROW()-1)),2)</f>
        <v/>
      </c>
      <c r="I2948" s="45" t="inlineStr"/>
      <c r="J2948" s="397" t="n"/>
      <c r="K2948" s="398">
        <f>ROUND(SUM(K2919:INDEX(K:K,ROW()-1)),2)</f>
        <v/>
      </c>
      <c r="L2948" s="200" t="n"/>
      <c r="M2948" s="399" t="n"/>
      <c r="N2948" s="154" t="n"/>
      <c r="O2948" s="155" t="n"/>
      <c r="P2948" s="400" t="n"/>
      <c r="Q2948" s="401" t="n"/>
      <c r="R2948" s="168" t="inlineStr"/>
      <c r="S2948" s="168" t="inlineStr"/>
      <c r="T2948" s="168" t="inlineStr"/>
      <c r="U2948" s="168" t="inlineStr"/>
      <c r="V2948" s="402">
        <f>ROUND(SUMPRODUCT(F2919:INDEX(F:F,ROW()-1),V2919:INDEX(V:V,ROW()-1)),2)</f>
        <v/>
      </c>
      <c r="W2948" s="402">
        <f>ROUND(SUMPRODUCT(F2919:INDEX(F:F,ROW()-1),W2919:INDEX(W:W,ROW()-1)),2)</f>
        <v/>
      </c>
      <c r="X2948" s="170" t="inlineStr"/>
    </row>
    <row r="2949" s="308">
      <c r="A2949" s="64">
        <f>ROW()-ROW(A$2919)</f>
        <v/>
      </c>
      <c r="B2949" s="171" t="inlineStr">
        <is>
          <t>综合费(人工、管理、税金、利润等)</t>
        </is>
      </c>
      <c r="C2949" s="172" t="n"/>
      <c r="D2949" s="204" t="n"/>
      <c r="E2949" s="114" t="n"/>
      <c r="F2949" s="114" t="n"/>
      <c r="G2949" s="396" t="n"/>
      <c r="H2949" s="396">
        <f>2500</f>
        <v/>
      </c>
      <c r="I2949" s="45" t="inlineStr"/>
      <c r="J2949" s="397" t="n"/>
      <c r="K2949" s="398" t="n"/>
      <c r="L2949" s="200" t="n"/>
      <c r="M2949" s="399" t="n"/>
      <c r="N2949" s="154" t="n"/>
      <c r="O2949" s="155" t="n"/>
      <c r="P2949" s="400" t="n"/>
      <c r="Q2949" s="401" t="inlineStr">
        <is>
          <t>费用</t>
        </is>
      </c>
      <c r="R2949" s="168" t="inlineStr"/>
      <c r="S2949" s="168" t="inlineStr"/>
      <c r="T2949" s="168" t="inlineStr"/>
      <c r="U2949" s="168" t="inlineStr"/>
      <c r="V2949" s="402" t="n"/>
      <c r="W2949" s="402" t="n"/>
      <c r="X2949" s="170" t="inlineStr"/>
    </row>
    <row r="2950" s="308">
      <c r="A2950" s="64">
        <f>ROW()-ROW(A$2919)</f>
        <v/>
      </c>
      <c r="B2950" s="204" t="inlineStr">
        <is>
          <t>单台合计</t>
        </is>
      </c>
      <c r="C2950" s="172" t="n"/>
      <c r="D2950" s="204" t="n"/>
      <c r="E2950" s="114" t="n"/>
      <c r="F2950" s="114" t="n"/>
      <c r="G2950" s="396" t="n"/>
      <c r="H2950" s="396">
        <f>ROUND(SUM(H2948:H2949),2)</f>
        <v/>
      </c>
      <c r="I2950" s="181" t="n"/>
      <c r="J2950" s="397" t="n"/>
      <c r="K2950" s="398">
        <f>ROUND(SUM(K2948:K2949),2)</f>
        <v/>
      </c>
      <c r="L2950" s="209" t="n"/>
      <c r="M2950" s="399" t="n"/>
      <c r="N2950" s="210" t="n"/>
      <c r="O2950" s="211" t="n"/>
      <c r="P2950" s="400" t="n"/>
      <c r="Q2950" s="401" t="n"/>
      <c r="R2950" s="168" t="inlineStr"/>
      <c r="S2950" s="168" t="inlineStr"/>
      <c r="T2950" s="168" t="inlineStr"/>
      <c r="U2950" s="168" t="inlineStr"/>
      <c r="V2950" s="402" t="n"/>
      <c r="W2950" s="402" t="n"/>
      <c r="X2950" s="170" t="inlineStr"/>
    </row>
    <row r="2951" s="308">
      <c r="A2951" s="173" t="inlineStr">
        <is>
          <t>总计</t>
        </is>
      </c>
      <c r="B2951" s="205" t="n"/>
      <c r="C2951" s="175" t="n"/>
      <c r="D2951" s="206" t="n"/>
      <c r="E2951" s="206" t="inlineStr">
        <is>
          <t>台</t>
        </is>
      </c>
      <c r="F2951" s="206" t="n">
        <v>1</v>
      </c>
      <c r="G2951" s="414">
        <f>ROUND(H2950,2)</f>
        <v/>
      </c>
      <c r="H2951" s="414">
        <f>ROUND(F2951*G2951,2)</f>
        <v/>
      </c>
      <c r="I2951" s="185" t="n"/>
      <c r="J2951" s="415" t="n"/>
      <c r="K2951" s="416">
        <f>ROUND(K2950*F2951,2)</f>
        <v/>
      </c>
      <c r="L2951" s="214" t="n"/>
      <c r="M2951" s="417" t="n"/>
      <c r="N2951" s="216" t="n"/>
      <c r="O2951" s="217" t="n"/>
      <c r="P2951" s="418" t="n"/>
      <c r="Q2951" s="401" t="n"/>
      <c r="R2951" s="168" t="inlineStr"/>
      <c r="S2951" s="168" t="inlineStr"/>
      <c r="T2951" s="168" t="inlineStr"/>
      <c r="U2951" s="168" t="inlineStr"/>
      <c r="V2951" s="402" t="n"/>
      <c r="W2951" s="402" t="n"/>
      <c r="X2951" s="170" t="inlineStr"/>
    </row>
    <row r="2952" customFormat="1" s="4">
      <c r="A2952" s="6" t="n"/>
      <c r="B2952" s="195" t="inlineStr"/>
      <c r="C2952" s="195" t="inlineStr"/>
      <c r="D2952" s="195" t="inlineStr"/>
      <c r="Q2952" s="159" t="n"/>
      <c r="R2952" s="159" t="n"/>
      <c r="S2952" s="159" t="n"/>
      <c r="T2952" s="159" t="n"/>
      <c r="U2952" s="159" t="n"/>
      <c r="X2952" s="195" t="inlineStr"/>
    </row>
    <row r="2953" customFormat="1" s="4">
      <c r="A2953" s="6" t="n"/>
      <c r="B2953" s="195" t="inlineStr"/>
      <c r="C2953" s="195" t="inlineStr"/>
      <c r="D2953" s="195" t="inlineStr"/>
      <c r="Q2953" s="159" t="n"/>
      <c r="R2953" s="159" t="n"/>
      <c r="S2953" s="159" t="n"/>
      <c r="T2953" s="159" t="n"/>
      <c r="U2953" s="159" t="n"/>
      <c r="X2953" s="195" t="inlineStr"/>
    </row>
    <row r="2954" s="308">
      <c r="A2954" s="208">
        <f>CONCATENATE("报价人：",项目信息!$B$8)</f>
        <v/>
      </c>
      <c r="B2954" s="208" t="n"/>
      <c r="C2954" s="4" t="n"/>
      <c r="D2954" s="4" t="n"/>
      <c r="E2954" s="4" t="n"/>
      <c r="F2954" s="4" t="n"/>
      <c r="G2954" s="4" t="n"/>
      <c r="H2954" s="178">
        <f>项目信息!$B$9</f>
        <v/>
      </c>
      <c r="Q2954" s="159" t="n"/>
      <c r="R2954" s="159" t="n"/>
      <c r="S2954" s="159" t="n"/>
      <c r="T2954" s="159" t="n"/>
      <c r="U2954" s="159" t="n"/>
      <c r="X2954" s="203" t="inlineStr"/>
    </row>
    <row r="2955" s="308">
      <c r="A2955" s="8">
        <f>T(项目信息!$B$22)</f>
        <v/>
      </c>
      <c r="Q2955" s="159" t="n"/>
      <c r="R2955" s="159" t="n"/>
      <c r="S2955" s="159" t="n"/>
      <c r="T2955" s="159" t="n"/>
      <c r="U2955" s="159" t="n"/>
    </row>
    <row r="2956" s="308">
      <c r="A2956" s="9">
        <f>T(项目信息!$B$23)</f>
        <v/>
      </c>
      <c r="Q2956" s="159" t="n"/>
      <c r="R2956" s="159" t="n"/>
      <c r="S2956" s="159" t="n"/>
      <c r="T2956" s="159" t="n"/>
      <c r="U2956" s="159" t="n"/>
    </row>
    <row r="2957" s="308">
      <c r="A2957" s="97" t="inlineStr">
        <is>
          <t>成套产品报价明细表</t>
        </is>
      </c>
      <c r="B2957" s="378" t="n"/>
      <c r="C2957" s="378" t="n"/>
      <c r="D2957" s="378" t="n"/>
      <c r="E2957" s="378" t="n"/>
      <c r="F2957" s="378" t="n"/>
      <c r="G2957" s="378" t="n"/>
      <c r="H2957" s="378" t="n"/>
      <c r="I2957" s="378" t="n"/>
      <c r="Q2957" s="159" t="n"/>
      <c r="R2957" s="159" t="n"/>
      <c r="S2957" s="159" t="n"/>
      <c r="T2957" s="159" t="n"/>
      <c r="U2957" s="159" t="n"/>
    </row>
    <row r="2958" customFormat="1" s="4">
      <c r="A2958" s="98" t="inlineStr">
        <is>
          <t>柜号:</t>
        </is>
      </c>
      <c r="B2958" s="99" t="inlineStr">
        <is>
          <t>T13-AU22</t>
        </is>
      </c>
      <c r="C2958" s="100" t="inlineStr">
        <is>
          <t>型号:</t>
        </is>
      </c>
      <c r="D2958" s="99" t="inlineStr">
        <is>
          <t>BlokSeT</t>
        </is>
      </c>
      <c r="E2958" s="379" t="n"/>
      <c r="F2958" s="101" t="inlineStr">
        <is>
          <t>名称:</t>
        </is>
      </c>
      <c r="G2958" s="99" t="inlineStr">
        <is>
          <t>进线柜</t>
        </is>
      </c>
      <c r="H2958" s="379" t="n"/>
      <c r="I2958" s="408" t="inlineStr"/>
      <c r="J2958" s="194" t="inlineStr">
        <is>
          <t>箱柜尺寸:</t>
        </is>
      </c>
      <c r="K2958" s="195" t="inlineStr">
        <is>
          <t>600W*1200D*2200H</t>
        </is>
      </c>
      <c r="L2958" s="194" t="inlineStr">
        <is>
          <t>类别:</t>
        </is>
      </c>
      <c r="M2958" s="195" t="inlineStr">
        <is>
          <t>低压固定柜</t>
        </is>
      </c>
      <c r="N2958" s="409" t="inlineStr"/>
      <c r="Q2958" s="159" t="n"/>
      <c r="R2958" s="159" t="n"/>
      <c r="S2958" s="159" t="n"/>
      <c r="T2958" s="159" t="n"/>
      <c r="U2958" s="159" t="n"/>
    </row>
    <row r="2959" ht="20.1" customHeight="1" s="308">
      <c r="A2959" s="102" t="inlineStr">
        <is>
          <t>序号</t>
        </is>
      </c>
      <c r="B2959" s="103" t="inlineStr">
        <is>
          <t>元件名称</t>
        </is>
      </c>
      <c r="C2959" s="103" t="inlineStr">
        <is>
          <t>型号规格</t>
        </is>
      </c>
      <c r="D2959" s="104" t="inlineStr">
        <is>
          <t>生产厂家</t>
        </is>
      </c>
      <c r="E2959" s="105" t="inlineStr">
        <is>
          <t>单位</t>
        </is>
      </c>
      <c r="F2959" s="105" t="inlineStr">
        <is>
          <t>数量</t>
        </is>
      </c>
      <c r="G2959" s="382" t="inlineStr">
        <is>
          <t>单   价</t>
        </is>
      </c>
      <c r="H2959" s="383" t="inlineStr">
        <is>
          <t>总   价</t>
        </is>
      </c>
      <c r="I2959" s="134" t="inlineStr">
        <is>
          <t>备注</t>
        </is>
      </c>
      <c r="J2959" s="384" t="inlineStr">
        <is>
          <t>成本单价</t>
        </is>
      </c>
      <c r="K2959" s="384" t="inlineStr">
        <is>
          <t>成本总价</t>
        </is>
      </c>
      <c r="L2959" s="136" t="inlineStr">
        <is>
          <t>报出
系数</t>
        </is>
      </c>
      <c r="M2959" s="384" t="inlineStr">
        <is>
          <t>表价</t>
        </is>
      </c>
      <c r="N2959" s="136" t="inlineStr">
        <is>
          <t>折扣
系数</t>
        </is>
      </c>
      <c r="O2959" s="137" t="inlineStr">
        <is>
          <t>取费
系数</t>
        </is>
      </c>
      <c r="P2959" s="384" t="inlineStr">
        <is>
          <t>成套费</t>
        </is>
      </c>
      <c r="Q2959" s="161" t="inlineStr">
        <is>
          <t>类别</t>
        </is>
      </c>
      <c r="R2959" s="161" t="inlineStr">
        <is>
          <t>物料编码</t>
        </is>
      </c>
      <c r="S2959" s="161" t="inlineStr">
        <is>
          <t>产地</t>
        </is>
      </c>
      <c r="T2959" s="161" t="inlineStr">
        <is>
          <t>加工费</t>
        </is>
      </c>
      <c r="U2959" s="161" t="inlineStr">
        <is>
          <t>订货号</t>
        </is>
      </c>
      <c r="V2959" s="161" t="inlineStr">
        <is>
          <t>人工</t>
        </is>
      </c>
      <c r="W2959" s="161" t="inlineStr">
        <is>
          <t>辅料</t>
        </is>
      </c>
      <c r="X2959" s="203" t="inlineStr"/>
    </row>
    <row r="2960" s="308">
      <c r="A2960" s="64">
        <f>ROW()-ROW(A$2959)</f>
        <v/>
      </c>
      <c r="B2960" s="22" t="inlineStr">
        <is>
          <t>塑壳断路器</t>
        </is>
      </c>
      <c r="C2960" s="22" t="inlineStr">
        <is>
          <t>NSX100H TM100D 3P3D P</t>
        </is>
      </c>
      <c r="D2960" s="22" t="inlineStr">
        <is>
          <t>甲供/施耐德电气</t>
        </is>
      </c>
      <c r="E2960" s="23" t="inlineStr">
        <is>
          <t>只</t>
        </is>
      </c>
      <c r="F2960" s="23" t="n">
        <v>1</v>
      </c>
      <c r="G2960" s="349">
        <f>IF(AND(B2960="",C2960=""),"",ROUND(M2960*L2960*N2960,2))</f>
        <v/>
      </c>
      <c r="H2960" s="349">
        <f>IF(AND(B2960="",C2960=""),"",ROUND(F2960*G2960,2))</f>
        <v/>
      </c>
      <c r="I2960" s="45" t="inlineStr"/>
      <c r="J2960" s="397">
        <f>IF(AND(B2960="",C2960=""),"",ROUND(M2960*N2960,2))</f>
        <v/>
      </c>
      <c r="K2960" s="398">
        <f>IF(AND(B2960="",C2960=""),"",ROUND(J2960*F2960,2))</f>
        <v/>
      </c>
      <c r="L2960" s="200" t="n">
        <v>1</v>
      </c>
      <c r="M2960" s="399" t="n">
        <v>1e-07</v>
      </c>
      <c r="N2960" s="154" t="n">
        <v>1</v>
      </c>
      <c r="O2960" s="155">
        <f>IF(AND(B2960="",C2960=""),"",IF(G2960&gt;=20000,0.05,IF(G2960&gt;=10000,0.1,IF(G2960&gt;=5000,0.2,IF(G2960&gt;=1000,0.3,IF(G2960&gt;=0,0.4,{0}))))))</f>
        <v/>
      </c>
      <c r="P2960" s="400">
        <f>IF(AND(B2960="",C2960=""),"",ROUND(H2960*O2960,2))</f>
        <v/>
      </c>
      <c r="Q2960" s="401" t="inlineStr">
        <is>
          <t>元件</t>
        </is>
      </c>
      <c r="R2960" s="168" t="inlineStr"/>
      <c r="S2960" s="168" t="inlineStr"/>
      <c r="T2960" s="168" t="inlineStr">
        <is>
          <t>0</t>
        </is>
      </c>
      <c r="U2960" s="168" t="inlineStr">
        <is>
          <t>C16F32D160</t>
        </is>
      </c>
      <c r="V2960" s="402" t="n"/>
      <c r="W2960" s="402" t="n"/>
      <c r="X2960" s="170" t="inlineStr">
        <is>
          <t>NSX630N Mic2.3 630A 3P3D F→NSX630F MIC2.3 630 3P F→NSX630F MIC 2.3 630 3P F</t>
        </is>
      </c>
    </row>
    <row r="2961" s="308">
      <c r="A2961" s="64">
        <f>ROW()-ROW(A$2959)</f>
        <v/>
      </c>
      <c r="B2961" s="22" t="inlineStr">
        <is>
          <t>塑壳断路器</t>
        </is>
      </c>
      <c r="C2961" s="22" t="inlineStr">
        <is>
          <t>NSX250H TM250D 3P3D P</t>
        </is>
      </c>
      <c r="D2961" s="22" t="inlineStr">
        <is>
          <t>甲供/施耐德电气</t>
        </is>
      </c>
      <c r="E2961" s="23" t="inlineStr">
        <is>
          <t>只</t>
        </is>
      </c>
      <c r="F2961" s="23" t="n">
        <v>2</v>
      </c>
      <c r="G2961" s="349">
        <f>IF(AND(B2961="",C2961=""),"",ROUND(M2961*L2961*N2961,2))</f>
        <v/>
      </c>
      <c r="H2961" s="349">
        <f>IF(AND(B2961="",C2961=""),"",ROUND(F2961*G2961,2))</f>
        <v/>
      </c>
      <c r="I2961" s="45" t="inlineStr"/>
      <c r="J2961" s="397">
        <f>IF(AND(B2961="",C2961=""),"",ROUND(M2961*N2961,2))</f>
        <v/>
      </c>
      <c r="K2961" s="398">
        <f>IF(AND(B2961="",C2961=""),"",ROUND(J2961*F2961,2))</f>
        <v/>
      </c>
      <c r="L2961" s="200" t="n">
        <v>1</v>
      </c>
      <c r="M2961" s="399" t="n">
        <v>1e-07</v>
      </c>
      <c r="N2961" s="154" t="n">
        <v>1</v>
      </c>
      <c r="O2961" s="155">
        <f>IF(AND(B2961="",C2961=""),"",IF(G2961&gt;=20000,0.05,IF(G2961&gt;=10000,0.1,IF(G2961&gt;=5000,0.2,IF(G2961&gt;=1000,0.3,IF(G2961&gt;=0,0.4,{0}))))))</f>
        <v/>
      </c>
      <c r="P2961" s="400">
        <f>IF(AND(B2961="",C2961=""),"",ROUND(H2961*O2961,2))</f>
        <v/>
      </c>
      <c r="Q2961" s="401" t="inlineStr">
        <is>
          <t>元件</t>
        </is>
      </c>
      <c r="R2961" s="168" t="inlineStr"/>
      <c r="S2961" s="168" t="inlineStr"/>
      <c r="T2961" s="168" t="inlineStr">
        <is>
          <t>0</t>
        </is>
      </c>
      <c r="U2961" s="168" t="inlineStr">
        <is>
          <t>C16F32D160</t>
        </is>
      </c>
      <c r="V2961" s="402" t="n"/>
      <c r="W2961" s="402" t="n"/>
      <c r="X2961" s="170" t="inlineStr">
        <is>
          <t>NSX630N Mic2.3 630A 3P3D F→NSX630F MIC2.3 630 3P F→NSX630F MIC 2.3 630 3P F</t>
        </is>
      </c>
    </row>
    <row r="2962" s="308">
      <c r="A2962" s="64">
        <f>ROW()-ROW(A$2959)</f>
        <v/>
      </c>
      <c r="B2962" s="22" t="inlineStr">
        <is>
          <t>塑壳断路器</t>
        </is>
      </c>
      <c r="C2962" s="22" t="inlineStr">
        <is>
          <t>NSX400H Mic2.3 400A 3P3D P</t>
        </is>
      </c>
      <c r="D2962" s="22" t="inlineStr">
        <is>
          <t>甲供/施耐德电气</t>
        </is>
      </c>
      <c r="E2962" s="23" t="inlineStr">
        <is>
          <t>只</t>
        </is>
      </c>
      <c r="F2962" s="23" t="n">
        <v>1</v>
      </c>
      <c r="G2962" s="349">
        <f>IF(AND(B2962="",C2962=""),"",ROUND(M2962*L2962*N2962,2))</f>
        <v/>
      </c>
      <c r="H2962" s="349">
        <f>IF(AND(B2962="",C2962=""),"",ROUND(F2962*G2962,2))</f>
        <v/>
      </c>
      <c r="I2962" s="45" t="inlineStr"/>
      <c r="J2962" s="397">
        <f>IF(AND(B2962="",C2962=""),"",ROUND(M2962*N2962,2))</f>
        <v/>
      </c>
      <c r="K2962" s="398">
        <f>IF(AND(B2962="",C2962=""),"",ROUND(J2962*F2962,2))</f>
        <v/>
      </c>
      <c r="L2962" s="200" t="n">
        <v>1</v>
      </c>
      <c r="M2962" s="399" t="n">
        <v>1e-07</v>
      </c>
      <c r="N2962" s="154" t="n">
        <v>1</v>
      </c>
      <c r="O2962" s="155">
        <f>IF(AND(B2962="",C2962=""),"",IF(G2962&gt;=20000,0.05,IF(G2962&gt;=10000,0.1,IF(G2962&gt;=5000,0.2,IF(G2962&gt;=1000,0.3,IF(G2962&gt;=0,0.4,{0}))))))</f>
        <v/>
      </c>
      <c r="P2962" s="400">
        <f>IF(AND(B2962="",C2962=""),"",ROUND(H2962*O2962,2))</f>
        <v/>
      </c>
      <c r="Q2962" s="401" t="inlineStr">
        <is>
          <t>元件</t>
        </is>
      </c>
      <c r="R2962" s="168" t="inlineStr"/>
      <c r="S2962" s="168" t="inlineStr"/>
      <c r="T2962" s="168" t="inlineStr">
        <is>
          <t>0</t>
        </is>
      </c>
      <c r="U2962" s="168" t="inlineStr"/>
      <c r="V2962" s="402" t="n"/>
      <c r="W2962" s="402" t="n"/>
      <c r="X2962" s="170" t="inlineStr"/>
    </row>
    <row r="2963" s="308">
      <c r="A2963" s="64">
        <f>ROW()-ROW(A$2959)</f>
        <v/>
      </c>
      <c r="B2963" s="22" t="inlineStr">
        <is>
          <t>塑壳断路器</t>
        </is>
      </c>
      <c r="C2963" s="22" t="inlineStr">
        <is>
          <t>NSX630H Mic2.3 630A 3P3D P</t>
        </is>
      </c>
      <c r="D2963" s="22" t="inlineStr">
        <is>
          <t>甲供/施耐德电气</t>
        </is>
      </c>
      <c r="E2963" s="23" t="inlineStr">
        <is>
          <t>只</t>
        </is>
      </c>
      <c r="F2963" s="23" t="n">
        <v>2</v>
      </c>
      <c r="G2963" s="349">
        <f>IF(AND(B2963="",C2963=""),"",ROUND(M2963*L2963*N2963,2))</f>
        <v/>
      </c>
      <c r="H2963" s="349">
        <f>IF(AND(B2963="",C2963=""),"",ROUND(F2963*G2963,2))</f>
        <v/>
      </c>
      <c r="I2963" s="45" t="inlineStr"/>
      <c r="J2963" s="397">
        <f>IF(AND(B2963="",C2963=""),"",ROUND(M2963*N2963,2))</f>
        <v/>
      </c>
      <c r="K2963" s="398">
        <f>IF(AND(B2963="",C2963=""),"",ROUND(J2963*F2963,2))</f>
        <v/>
      </c>
      <c r="L2963" s="200" t="n">
        <v>1</v>
      </c>
      <c r="M2963" s="399" t="n">
        <v>1e-07</v>
      </c>
      <c r="N2963" s="154" t="n">
        <v>1</v>
      </c>
      <c r="O2963" s="155">
        <f>IF(AND(B2963="",C2963=""),"",IF(G2963&gt;=20000,0.05,IF(G2963&gt;=10000,0.1,IF(G2963&gt;=5000,0.2,IF(G2963&gt;=1000,0.3,IF(G2963&gt;=0,0.4,{0}))))))</f>
        <v/>
      </c>
      <c r="P2963" s="400">
        <f>IF(AND(B2963="",C2963=""),"",ROUND(H2963*O2963,2))</f>
        <v/>
      </c>
      <c r="Q2963" s="401" t="inlineStr">
        <is>
          <t>元件</t>
        </is>
      </c>
      <c r="R2963" s="168" t="inlineStr"/>
      <c r="S2963" s="168" t="inlineStr"/>
      <c r="T2963" s="168" t="inlineStr">
        <is>
          <t>0</t>
        </is>
      </c>
      <c r="U2963" s="168" t="inlineStr">
        <is>
          <t>C16F32D160</t>
        </is>
      </c>
      <c r="V2963" s="402" t="n"/>
      <c r="W2963" s="402" t="n"/>
      <c r="X2963" s="170" t="inlineStr">
        <is>
          <t>NSX630N Mic2.3 630A 3P3D F→NSX630F MIC2.3 630 3P F→NSX630F MIC 2.3 630 3P F</t>
        </is>
      </c>
    </row>
    <row r="2964" s="308">
      <c r="A2964" s="64">
        <f>ROW()-ROW(A$2959)</f>
        <v/>
      </c>
      <c r="B2964" s="22" t="inlineStr">
        <is>
          <t>电流互感器</t>
        </is>
      </c>
      <c r="C2964" s="22" t="inlineStr">
        <is>
          <t>SD-0.66-M8 100/5A</t>
        </is>
      </c>
      <c r="D2964" s="22" t="inlineStr">
        <is>
          <t>桑迪</t>
        </is>
      </c>
      <c r="E2964" s="23" t="inlineStr">
        <is>
          <t>只</t>
        </is>
      </c>
      <c r="F2964" s="23" t="n">
        <v>3</v>
      </c>
      <c r="G2964" s="349">
        <f>IF(AND(B2964="",C2964=""),"",ROUND(M2964*L2964*N2964,2))</f>
        <v/>
      </c>
      <c r="H2964" s="396">
        <f>IF(AND(B2964="",C2964=""),"",ROUND(F2964*G2964,2))</f>
        <v/>
      </c>
      <c r="I2964" s="219" t="inlineStr"/>
      <c r="J2964" s="397">
        <f>IF(AND(B2964="",C2964=""),"",ROUND(M2964*N2964,2))</f>
        <v/>
      </c>
      <c r="K2964" s="398">
        <f>IF(AND(B2964="",C2964=""),"",ROUND(J2964*F2964,2))</f>
        <v/>
      </c>
      <c r="L2964" s="200" t="n">
        <v>1</v>
      </c>
      <c r="M2964" s="399" t="n">
        <v>61.75</v>
      </c>
      <c r="N2964" s="154" t="n">
        <v>1</v>
      </c>
      <c r="O2964" s="155">
        <f>IF(AND(B2964="",C2964=""),"",IF(G2964&gt;=20000,0.05,IF(G2964&gt;=10000,0.1,IF(G2964&gt;=5000,0.2,IF(G2964&gt;=1000,0.3,IF(G2964&gt;=0,0.4,{0}))))))</f>
        <v/>
      </c>
      <c r="P2964" s="400">
        <f>IF(AND(B2964="",C2964=""),"",ROUND(H2964*O2964,2))</f>
        <v/>
      </c>
      <c r="Q2964" s="401" t="inlineStr">
        <is>
          <t>元件</t>
        </is>
      </c>
      <c r="R2964" s="168" t="inlineStr"/>
      <c r="S2964" s="168" t="inlineStr"/>
      <c r="T2964" s="168" t="inlineStr">
        <is>
          <t>0</t>
        </is>
      </c>
      <c r="U2964" s="168" t="inlineStr">
        <is>
          <t>710140200000049</t>
        </is>
      </c>
      <c r="V2964" s="402" t="n"/>
      <c r="W2964" s="402" t="n"/>
      <c r="X2964" s="170" t="inlineStr">
        <is>
          <t>SD→SD-0.66-40II-C 400/5A→SD-0.66-30I 250/5A→SD-0.66-30I 150/5A→SD-0.66-60II-C 750/5A→SD-0.66-60II-C 600/5A→SD-0.66-30I 150/5A→SD-0.66-40II-C 400/5A→SD-0.66-100II-C 1600/5A→SD-0.66-80II-V 1000/5A→SD-0.66-40II-C 400/5A→SD-0.66-60II-C 600/5A</t>
        </is>
      </c>
    </row>
    <row r="2965" s="308">
      <c r="A2965" s="64">
        <f>ROW()-ROW(A$2959)</f>
        <v/>
      </c>
      <c r="B2965" s="22" t="inlineStr">
        <is>
          <t>电流互感器</t>
        </is>
      </c>
      <c r="C2965" s="22" t="inlineStr">
        <is>
          <t>SD-0.66-30I 250/5A</t>
        </is>
      </c>
      <c r="D2965" s="22" t="inlineStr">
        <is>
          <t>桑迪</t>
        </is>
      </c>
      <c r="E2965" s="23" t="inlineStr">
        <is>
          <t>只</t>
        </is>
      </c>
      <c r="F2965" s="23" t="n">
        <v>6</v>
      </c>
      <c r="G2965" s="349">
        <f>IF(AND(B2965="",C2965=""),"",ROUND(M2965*L2965*N2965,2))</f>
        <v/>
      </c>
      <c r="H2965" s="396">
        <f>IF(AND(B2965="",C2965=""),"",ROUND(F2965*G2965,2))</f>
        <v/>
      </c>
      <c r="I2965" s="219" t="inlineStr"/>
      <c r="J2965" s="397">
        <f>IF(AND(B2965="",C2965=""),"",ROUND(M2965*N2965,2))</f>
        <v/>
      </c>
      <c r="K2965" s="398">
        <f>IF(AND(B2965="",C2965=""),"",ROUND(J2965*F2965,2))</f>
        <v/>
      </c>
      <c r="L2965" s="200" t="n">
        <v>1</v>
      </c>
      <c r="M2965" s="399" t="n">
        <v>26.65</v>
      </c>
      <c r="N2965" s="154" t="n">
        <v>1</v>
      </c>
      <c r="O2965" s="155">
        <f>IF(AND(B2965="",C2965=""),"",IF(G2965&gt;=20000,0.05,IF(G2965&gt;=10000,0.1,IF(G2965&gt;=5000,0.2,IF(G2965&gt;=1000,0.3,IF(G2965&gt;=0,0.4,{0}))))))</f>
        <v/>
      </c>
      <c r="P2965" s="400">
        <f>IF(AND(B2965="",C2965=""),"",ROUND(H2965*O2965,2))</f>
        <v/>
      </c>
      <c r="Q2965" s="401" t="inlineStr">
        <is>
          <t>元件</t>
        </is>
      </c>
      <c r="R2965" s="168" t="inlineStr"/>
      <c r="S2965" s="168" t="inlineStr"/>
      <c r="T2965" s="168" t="inlineStr">
        <is>
          <t>0</t>
        </is>
      </c>
      <c r="U2965" s="168" t="inlineStr">
        <is>
          <t>710140200000049</t>
        </is>
      </c>
      <c r="V2965" s="402" t="n"/>
      <c r="W2965" s="402" t="n"/>
      <c r="X2965" s="170" t="inlineStr">
        <is>
          <t>SD→SD-0.66-40II-C 400/5A→SD-0.66-30I 250/5A→SD-0.66-30I 150/5A→SD-0.66-60II-C 750/5A→SD-0.66-60II-C 600/5A→SD-0.66-30I 150/5A→SD-0.66-40II-C 400/5A→SD-0.66-100II-C 1600/5A→SD-0.66-80II-V 1000/5A</t>
        </is>
      </c>
    </row>
    <row r="2966" s="308">
      <c r="A2966" s="64">
        <f>ROW()-ROW(A$2959)</f>
        <v/>
      </c>
      <c r="B2966" s="22" t="inlineStr">
        <is>
          <t>电流互感器</t>
        </is>
      </c>
      <c r="C2966" s="22" t="inlineStr">
        <is>
          <t>SD-0.66-40II-C 400/5A</t>
        </is>
      </c>
      <c r="D2966" s="22" t="inlineStr">
        <is>
          <t>桑迪</t>
        </is>
      </c>
      <c r="E2966" s="23" t="inlineStr">
        <is>
          <t>只</t>
        </is>
      </c>
      <c r="F2966" s="23" t="n">
        <v>3</v>
      </c>
      <c r="G2966" s="349">
        <f>IF(AND(B2966="",C2966=""),"",ROUND(M2966*L2966*N2966,2))</f>
        <v/>
      </c>
      <c r="H2966" s="396">
        <f>IF(AND(B2966="",C2966=""),"",ROUND(F2966*G2966,2))</f>
        <v/>
      </c>
      <c r="I2966" s="219" t="inlineStr"/>
      <c r="J2966" s="397">
        <f>IF(AND(B2966="",C2966=""),"",ROUND(M2966*N2966,2))</f>
        <v/>
      </c>
      <c r="K2966" s="398">
        <f>IF(AND(B2966="",C2966=""),"",ROUND(J2966*F2966,2))</f>
        <v/>
      </c>
      <c r="L2966" s="200" t="n">
        <v>1</v>
      </c>
      <c r="M2966" s="399" t="n">
        <v>52</v>
      </c>
      <c r="N2966" s="154" t="n">
        <v>1</v>
      </c>
      <c r="O2966" s="155">
        <f>IF(AND(B2966="",C2966=""),"",IF(G2966&gt;=20000,0.05,IF(G2966&gt;=10000,0.1,IF(G2966&gt;=5000,0.2,IF(G2966&gt;=1000,0.3,IF(G2966&gt;=0,0.4,{0}))))))</f>
        <v/>
      </c>
      <c r="P2966" s="400">
        <f>IF(AND(B2966="",C2966=""),"",ROUND(H2966*O2966,2))</f>
        <v/>
      </c>
      <c r="Q2966" s="401" t="inlineStr">
        <is>
          <t>元件</t>
        </is>
      </c>
      <c r="R2966" s="168" t="inlineStr"/>
      <c r="S2966" s="168" t="inlineStr"/>
      <c r="T2966" s="168" t="inlineStr">
        <is>
          <t>0</t>
        </is>
      </c>
      <c r="U2966" s="168" t="inlineStr">
        <is>
          <t>710140200000049</t>
        </is>
      </c>
      <c r="V2966" s="402" t="n"/>
      <c r="W2966" s="402" t="n"/>
      <c r="X2966" s="170" t="inlineStr">
        <is>
          <t>SD→SD-0.66-40II-C 400/5A→SD-0.66-30I 250/5A→SD-0.66-30I 150/5A→SD-0.66-60II-C 750/5A→SD-0.66-60II-C 600/5A→SD-0.66-30I 150/5A→SD-0.66-40II-C 400/5A→SD-0.66-100II-C 1600/5A→SD-0.66-80II-V 1000/5A</t>
        </is>
      </c>
    </row>
    <row r="2967" s="308">
      <c r="A2967" s="64">
        <f>ROW()-ROW(A$2959)</f>
        <v/>
      </c>
      <c r="B2967" s="22" t="inlineStr">
        <is>
          <t>电流互感器</t>
        </is>
      </c>
      <c r="C2967" s="22" t="inlineStr">
        <is>
          <t>SD-0.66-60II-C 600/5A</t>
        </is>
      </c>
      <c r="D2967" s="22" t="inlineStr">
        <is>
          <t>桑迪</t>
        </is>
      </c>
      <c r="E2967" s="23" t="inlineStr">
        <is>
          <t>只</t>
        </is>
      </c>
      <c r="F2967" s="23" t="n">
        <v>6</v>
      </c>
      <c r="G2967" s="349">
        <f>IF(AND(B2967="",C2967=""),"",ROUND(M2967*L2967*N2967,2))</f>
        <v/>
      </c>
      <c r="H2967" s="396">
        <f>IF(AND(B2967="",C2967=""),"",ROUND(F2967*G2967,2))</f>
        <v/>
      </c>
      <c r="I2967" s="219" t="inlineStr"/>
      <c r="J2967" s="397">
        <f>IF(AND(B2967="",C2967=""),"",ROUND(M2967*N2967,2))</f>
        <v/>
      </c>
      <c r="K2967" s="398">
        <f>IF(AND(B2967="",C2967=""),"",ROUND(J2967*F2967,2))</f>
        <v/>
      </c>
      <c r="L2967" s="200" t="n">
        <v>1</v>
      </c>
      <c r="M2967" s="399" t="n">
        <v>63.7</v>
      </c>
      <c r="N2967" s="154" t="n">
        <v>1</v>
      </c>
      <c r="O2967" s="155">
        <f>IF(AND(B2967="",C2967=""),"",IF(G2967&gt;=20000,0.05,IF(G2967&gt;=10000,0.1,IF(G2967&gt;=5000,0.2,IF(G2967&gt;=1000,0.3,IF(G2967&gt;=0,0.4,{0}))))))</f>
        <v/>
      </c>
      <c r="P2967" s="400">
        <f>IF(AND(B2967="",C2967=""),"",ROUND(H2967*O2967,2))</f>
        <v/>
      </c>
      <c r="Q2967" s="401" t="inlineStr">
        <is>
          <t>元件</t>
        </is>
      </c>
      <c r="R2967" s="168" t="inlineStr"/>
      <c r="S2967" s="168" t="inlineStr"/>
      <c r="T2967" s="168" t="inlineStr">
        <is>
          <t>0</t>
        </is>
      </c>
      <c r="U2967" s="168" t="inlineStr"/>
      <c r="V2967" s="402" t="n"/>
      <c r="W2967" s="402" t="n"/>
      <c r="X2967" s="170" t="inlineStr">
        <is>
          <t>SD→SD-0.66-40II-C 400/5A→SD-0.66-30I 250/5A→SD-0.66-30I 150/5A→SD-0.66-60II-C 750/5A→SD-0.66-60II-C 600/5A→SD-0.66-30I 150/5A→SD-0.66-40II-C 400/5A→SD-0.66-100II-C 1600/5A→SD-0.66-80II-V 1000/5A→SD-0.66-80II-V 1250/5A→SD-0.66-80II-V 1000/5A→SD-0.66-80II-V 800/5A</t>
        </is>
      </c>
    </row>
    <row r="2968" s="308">
      <c r="A2968" s="64">
        <f>ROW()-ROW(A$2959)</f>
        <v/>
      </c>
      <c r="B2968" s="112" t="inlineStr">
        <is>
          <t>多功能表</t>
        </is>
      </c>
      <c r="C2968" s="112" t="inlineStr">
        <is>
          <t>PM4101</t>
        </is>
      </c>
      <c r="D2968" s="112" t="inlineStr">
        <is>
          <t>甲供/施耐德电气</t>
        </is>
      </c>
      <c r="E2968" s="114" t="inlineStr">
        <is>
          <t>只</t>
        </is>
      </c>
      <c r="F2968" s="114" t="n">
        <v>6</v>
      </c>
      <c r="G2968" s="396">
        <f>IF(AND(B2968="",C2968=""),"",ROUND(M2968*L2968*N2968,2))</f>
        <v/>
      </c>
      <c r="H2968" s="349">
        <f>IF(AND(B2968="",C2968=""),"",ROUND(F2968*G2968,2))</f>
        <v/>
      </c>
      <c r="I2968" s="45" t="inlineStr"/>
      <c r="J2968" s="397">
        <f>IF(AND(B2968="",C2968=""),"",ROUND(M2968*N2968,2))</f>
        <v/>
      </c>
      <c r="K2968" s="398">
        <f>IF(AND(B2968="",C2968=""),"",ROUND(J2968*F2968,2))</f>
        <v/>
      </c>
      <c r="L2968" s="200" t="n">
        <v>1</v>
      </c>
      <c r="M2968" s="399" t="n">
        <v>1e-07</v>
      </c>
      <c r="N2968" s="154" t="n">
        <v>1</v>
      </c>
      <c r="O2968" s="155">
        <f>IF(AND(B2968="",C2968=""),"",IF(J2968&gt;=20000,0.05,IF(J2968&gt;=10000,0.1,IF(J2968&gt;=5000,0.2,IF(J2968&gt;=1000,0.3,IF(J2968&gt;=0,0.4,{0}))))))</f>
        <v/>
      </c>
      <c r="P2968" s="400">
        <f>IF(AND(B2968="",C2968=""),"",ROUND(H2968*O2968,2))</f>
        <v/>
      </c>
      <c r="Q2968" s="401" t="inlineStr">
        <is>
          <t>元件</t>
        </is>
      </c>
      <c r="R2968" s="168" t="inlineStr"/>
      <c r="S2968" s="168" t="inlineStr"/>
      <c r="T2968" s="168" t="inlineStr">
        <is>
          <t>0</t>
        </is>
      </c>
      <c r="U2968" s="168" t="inlineStr"/>
      <c r="V2968" s="402" t="n"/>
      <c r="W2968" s="402" t="n"/>
      <c r="X2968" s="170" t="inlineStr"/>
    </row>
    <row r="2969" customFormat="1" s="3">
      <c r="A2969" s="64">
        <f>ROW()-ROW(A$2959)</f>
        <v/>
      </c>
      <c r="B2969" s="27" t="inlineStr">
        <is>
          <t>后备保护器</t>
        </is>
      </c>
      <c r="C2969" s="22" t="inlineStr">
        <is>
          <t>iSCB2 40H2 4P</t>
        </is>
      </c>
      <c r="D2969" s="22" t="inlineStr">
        <is>
          <t>甲供/施耐德万高</t>
        </is>
      </c>
      <c r="E2969" s="110" t="inlineStr">
        <is>
          <t>只</t>
        </is>
      </c>
      <c r="F2969" s="23" t="n">
        <v>1</v>
      </c>
      <c r="G2969" s="349">
        <f>IF(AND(B2969="",C2969=""),"",ROUND(M2969*L2969*N2969,2))</f>
        <v/>
      </c>
      <c r="H2969" s="349">
        <f>IF(AND(B2969="",C2969=""),"",ROUND(F2969*G2969,2))</f>
        <v/>
      </c>
      <c r="I2969" s="45" t="inlineStr"/>
      <c r="J2969" s="392">
        <f>IF(AND(B2969="",C2969=""),"",ROUND(M2969*N2969,2))</f>
        <v/>
      </c>
      <c r="K2969" s="393">
        <f>IF(AND(B2969="",C2969=""),"",ROUND(J2969*F2969,2))</f>
        <v/>
      </c>
      <c r="L2969" s="141" t="n">
        <v>1</v>
      </c>
      <c r="M2969" s="394" t="n">
        <v>1e-07</v>
      </c>
      <c r="N2969" s="143" t="n">
        <v>1</v>
      </c>
      <c r="O2969" s="144">
        <f>IF(AND(B2969="",C2969=""),"",IF(G2969&gt;=20000,0.05,IF(G2969&gt;=10000,0.1,IF(G2969&gt;=5000,0.2,IF(G2969&gt;=1000,0.3,IF(G2969&gt;=0,0.4,{0}))))))</f>
        <v/>
      </c>
      <c r="P2969" s="395">
        <f>IF(AND(B2969="",C2969=""),"",ROUND(H2969*O2969,2))</f>
        <v/>
      </c>
      <c r="Q2969" s="390" t="inlineStr">
        <is>
          <t>元件</t>
        </is>
      </c>
      <c r="R2969" s="164" t="inlineStr"/>
      <c r="S2969" s="164" t="inlineStr"/>
      <c r="T2969" s="164" t="inlineStr">
        <is>
          <t>0</t>
        </is>
      </c>
      <c r="U2969" s="164" t="inlineStr">
        <is>
          <t>A9L102554</t>
        </is>
      </c>
      <c r="V2969" s="391" t="n"/>
      <c r="W2969" s="391" t="n"/>
      <c r="X2969" s="166" t="inlineStr">
        <is>
          <t>iSCB1 25L1 4P→iSCB2 40H2 4P</t>
        </is>
      </c>
    </row>
    <row r="2970" customFormat="1" s="3">
      <c r="A2970" s="64">
        <f>ROW()-ROW(A$2959)</f>
        <v/>
      </c>
      <c r="B2970" s="27" t="inlineStr">
        <is>
          <t>电涌保护器</t>
        </is>
      </c>
      <c r="C2970" s="22" t="inlineStr">
        <is>
          <t>iPRU 40r 3P+N</t>
        </is>
      </c>
      <c r="D2970" s="22" t="inlineStr">
        <is>
          <t>甲供/施耐德万高</t>
        </is>
      </c>
      <c r="E2970" s="110" t="inlineStr">
        <is>
          <t>只</t>
        </is>
      </c>
      <c r="F2970" s="23" t="n">
        <v>1</v>
      </c>
      <c r="G2970" s="349">
        <f>IF(AND(B2970="",C2970=""),"",ROUND(M2970*L2970*N2970,2))</f>
        <v/>
      </c>
      <c r="H2970" s="349">
        <f>IF(AND(B2970="",C2970=""),"",ROUND(F2970*G2970,2))</f>
        <v/>
      </c>
      <c r="I2970" s="45" t="inlineStr"/>
      <c r="J2970" s="392">
        <f>IF(AND(B2970="",C2970=""),"",ROUND(M2970*N2970,2))</f>
        <v/>
      </c>
      <c r="K2970" s="393">
        <f>IF(AND(B2970="",C2970=""),"",ROUND(J2970*F2970,2))</f>
        <v/>
      </c>
      <c r="L2970" s="141" t="n">
        <v>1</v>
      </c>
      <c r="M2970" s="394" t="n">
        <v>1e-07</v>
      </c>
      <c r="N2970" s="143" t="n">
        <v>1</v>
      </c>
      <c r="O2970" s="144">
        <f>IF(AND(B2970="",C2970=""),"",IF(G2970&gt;=20000,0.05,IF(G2970&gt;=10000,0.1,IF(G2970&gt;=5000,0.2,IF(G2970&gt;=1000,0.3,IF(G2970&gt;=0,0.4,{0}))))))</f>
        <v/>
      </c>
      <c r="P2970" s="395">
        <f>IF(AND(B2970="",C2970=""),"",ROUND(H2970*O2970,2))</f>
        <v/>
      </c>
      <c r="Q2970" s="390" t="inlineStr">
        <is>
          <t>元件</t>
        </is>
      </c>
      <c r="R2970" s="164" t="inlineStr"/>
      <c r="S2970" s="164" t="inlineStr"/>
      <c r="T2970" s="164" t="inlineStr">
        <is>
          <t>0</t>
        </is>
      </c>
      <c r="U2970" s="164" t="inlineStr">
        <is>
          <t>A9L620601</t>
        </is>
      </c>
      <c r="V2970" s="391" t="n"/>
      <c r="W2970" s="391" t="n"/>
      <c r="X2970" s="166" t="inlineStr">
        <is>
          <t>iPRF1 12.5r 3P+N→iPRU 40r 3P→iPRF1 12.5r 3P+N</t>
        </is>
      </c>
    </row>
    <row r="2971" customFormat="1" s="3">
      <c r="A2971" s="64">
        <f>ROW()-ROW(A$2959)</f>
        <v/>
      </c>
      <c r="B2971" s="27" t="inlineStr">
        <is>
          <t>微型断路器</t>
        </is>
      </c>
      <c r="C2971" s="22" t="inlineStr">
        <is>
          <t>iC65H 2P C16A</t>
        </is>
      </c>
      <c r="D2971" s="22" t="inlineStr">
        <is>
          <t>甲供/施耐德电气</t>
        </is>
      </c>
      <c r="E2971" s="110" t="inlineStr">
        <is>
          <t>只</t>
        </is>
      </c>
      <c r="F2971" s="23" t="n">
        <v>2</v>
      </c>
      <c r="G2971" s="349">
        <f>IF(AND(B2971="",C2971=""),"",ROUND(M2971*L2971*N2971,2))</f>
        <v/>
      </c>
      <c r="H2971" s="349">
        <f>IF(AND(B2971="",C2971=""),"",ROUND(F2971*G2971,2))</f>
        <v/>
      </c>
      <c r="I2971" s="45" t="inlineStr"/>
      <c r="J2971" s="392">
        <f>IF(AND(B2971="",C2971=""),"",ROUND(M2971*N2971,2))</f>
        <v/>
      </c>
      <c r="K2971" s="393">
        <f>IF(AND(B2971="",C2971=""),"",ROUND(J2971*F2971,2))</f>
        <v/>
      </c>
      <c r="L2971" s="141" t="n">
        <v>1</v>
      </c>
      <c r="M2971" s="394" t="n">
        <v>1e-07</v>
      </c>
      <c r="N2971" s="143" t="n">
        <v>1</v>
      </c>
      <c r="O2971" s="144">
        <f>IF(AND(B2971="",C2971=""),"",IF(G2971&gt;=20000,0.05,IF(G2971&gt;=10000,0.1,IF(G2971&gt;=5000,0.2,IF(G2971&gt;=1000,0.3,IF(G2971&gt;=0,0.4,{0}))))))</f>
        <v/>
      </c>
      <c r="P2971" s="395">
        <f>IF(AND(B2971="",C2971=""),"",ROUND(H2971*O2971,2))</f>
        <v/>
      </c>
      <c r="Q2971" s="390" t="inlineStr">
        <is>
          <t>元件</t>
        </is>
      </c>
      <c r="R2971" s="164" t="inlineStr"/>
      <c r="S2971" s="164" t="inlineStr"/>
      <c r="T2971" s="164" t="n">
        <v>0</v>
      </c>
      <c r="U2971" s="164" t="inlineStr"/>
      <c r="V2971" s="391" t="n"/>
      <c r="W2971" s="391" t="n"/>
      <c r="X2971" s="166" t="inlineStr"/>
    </row>
    <row r="2972" customFormat="1" s="3">
      <c r="A2972" s="64">
        <f>ROW()-ROW(A$2959)</f>
        <v/>
      </c>
      <c r="B2972" s="22" t="inlineStr">
        <is>
          <t>指示灯</t>
        </is>
      </c>
      <c r="C2972" s="22" t="inlineStr">
        <is>
          <t>XB2BVM3LC</t>
        </is>
      </c>
      <c r="D2972" s="22" t="inlineStr">
        <is>
          <t>甲供/施耐德电气</t>
        </is>
      </c>
      <c r="E2972" s="23" t="inlineStr">
        <is>
          <t>只</t>
        </is>
      </c>
      <c r="F2972" s="23" t="n">
        <v>6</v>
      </c>
      <c r="G2972" s="349">
        <f>IF(AND(B2972="",C2972=""),"",ROUND(M2972*L2972*N2972,2))</f>
        <v/>
      </c>
      <c r="H2972" s="353">
        <f>IF(AND(B2972="",C2972=""),"",ROUND(F2972*G2972,2))</f>
        <v/>
      </c>
      <c r="I2972" s="180" t="inlineStr"/>
      <c r="J2972" s="392">
        <f>IF(AND(B2972="",C2972=""),"",ROUND(M2972*N2972,2))</f>
        <v/>
      </c>
      <c r="K2972" s="393">
        <f>IF(AND(B2972="",C2972=""),"",ROUND(J2972*F2972,2))</f>
        <v/>
      </c>
      <c r="L2972" s="141" t="n">
        <v>1</v>
      </c>
      <c r="M2972" s="394" t="n">
        <v>1e-07</v>
      </c>
      <c r="N2972" s="220" t="n">
        <v>1</v>
      </c>
      <c r="O2972" s="221">
        <f>IF(AND(B2972="",C2972=""),"",IF(G2972&gt;=20000,0.05,IF(G2972&gt;=10000,0.1,IF(G2972&gt;=5000,0.2,IF(G2972&gt;=1000,0.3,IF(G2972&gt;=0,0.4,{0}))))))</f>
        <v/>
      </c>
      <c r="P2972" s="419">
        <f>IF(AND(B2972="",C2972=""),"",ROUND(H2972*O2972,2))</f>
        <v/>
      </c>
      <c r="Q2972" s="420" t="inlineStr">
        <is>
          <t>元件</t>
        </is>
      </c>
      <c r="R2972" s="231" t="inlineStr"/>
      <c r="S2972" s="231" t="inlineStr"/>
      <c r="T2972" s="231" t="inlineStr">
        <is>
          <t>0</t>
        </is>
      </c>
      <c r="U2972" s="231" t="inlineStr">
        <is>
          <t>XB2BVM3LC</t>
        </is>
      </c>
      <c r="V2972" s="421" t="n"/>
      <c r="W2972" s="421" t="n"/>
      <c r="X2972" s="166" t="inlineStr">
        <is>
          <t>XA2EVM3LC</t>
        </is>
      </c>
    </row>
    <row r="2973" customFormat="1" s="3">
      <c r="A2973" s="64">
        <f>ROW()-ROW(A$2959)</f>
        <v/>
      </c>
      <c r="B2973" s="22" t="inlineStr">
        <is>
          <t>指示灯</t>
        </is>
      </c>
      <c r="C2973" s="22" t="inlineStr">
        <is>
          <t>XB2BVM4LC</t>
        </is>
      </c>
      <c r="D2973" s="22" t="inlineStr">
        <is>
          <t>甲供/施耐德电气</t>
        </is>
      </c>
      <c r="E2973" s="23" t="inlineStr">
        <is>
          <t>只</t>
        </is>
      </c>
      <c r="F2973" s="23" t="n">
        <v>6</v>
      </c>
      <c r="G2973" s="349">
        <f>IF(AND(B2973="",C2973=""),"",ROUND(M2973*L2973*N2973,2))</f>
        <v/>
      </c>
      <c r="H2973" s="353">
        <f>IF(AND(B2973="",C2973=""),"",ROUND(F2973*G2973,2))</f>
        <v/>
      </c>
      <c r="I2973" s="180" t="inlineStr"/>
      <c r="J2973" s="392">
        <f>IF(AND(B2973="",C2973=""),"",ROUND(M2973*N2973,2))</f>
        <v/>
      </c>
      <c r="K2973" s="393">
        <f>IF(AND(B2973="",C2973=""),"",ROUND(J2973*F2973,2))</f>
        <v/>
      </c>
      <c r="L2973" s="141" t="n">
        <v>1</v>
      </c>
      <c r="M2973" s="394" t="n">
        <v>1e-07</v>
      </c>
      <c r="N2973" s="220" t="n">
        <v>1</v>
      </c>
      <c r="O2973" s="221">
        <f>IF(AND(B2973="",C2973=""),"",IF(G2973&gt;=20000,0.05,IF(G2973&gt;=10000,0.1,IF(G2973&gt;=5000,0.2,IF(G2973&gt;=1000,0.3,IF(G2973&gt;=0,0.4,{0}))))))</f>
        <v/>
      </c>
      <c r="P2973" s="419">
        <f>IF(AND(B2973="",C2973=""),"",ROUND(H2973*O2973,2))</f>
        <v/>
      </c>
      <c r="Q2973" s="420" t="inlineStr">
        <is>
          <t>元件</t>
        </is>
      </c>
      <c r="R2973" s="231" t="inlineStr"/>
      <c r="S2973" s="231" t="inlineStr"/>
      <c r="T2973" s="231" t="inlineStr">
        <is>
          <t>0</t>
        </is>
      </c>
      <c r="U2973" s="231" t="inlineStr">
        <is>
          <t>XB2BVM4LC</t>
        </is>
      </c>
      <c r="V2973" s="421" t="n"/>
      <c r="W2973" s="421" t="n"/>
      <c r="X2973" s="166" t="inlineStr">
        <is>
          <t>XA2EVM4LC</t>
        </is>
      </c>
    </row>
    <row r="2974" s="308">
      <c r="A2974" s="64">
        <f>ROW()-ROW(A$2959)</f>
        <v/>
      </c>
      <c r="B2974" s="112" t="inlineStr">
        <is>
          <t>温湿度控制器</t>
        </is>
      </c>
      <c r="C2974" s="112" t="inlineStr">
        <is>
          <t>ATH48G-11</t>
        </is>
      </c>
      <c r="D2974" s="22" t="inlineStr">
        <is>
          <t>杭州安廷</t>
        </is>
      </c>
      <c r="E2974" s="23" t="inlineStr">
        <is>
          <t>套</t>
        </is>
      </c>
      <c r="F2974" s="23" t="n">
        <v>1</v>
      </c>
      <c r="G2974" s="349">
        <f>IF(AND(B2974="",C2974=""),"",ROUND(M2974*L2974*N2974,2))</f>
        <v/>
      </c>
      <c r="H2974" s="396">
        <f>IF(AND(B2974="",C2974=""),"",ROUND(F2974*G2974,2))</f>
        <v/>
      </c>
      <c r="I2974" s="150" t="inlineStr"/>
      <c r="J2974" s="397">
        <f>IF(AND(B2974="",C2974=""),"",ROUND(M2974*N2974,2))</f>
        <v/>
      </c>
      <c r="K2974" s="398">
        <f>IF(AND(B2974="",C2974=""),"",ROUND(J2974*F2974,2))</f>
        <v/>
      </c>
      <c r="L2974" s="141" t="n">
        <v>1</v>
      </c>
      <c r="M2974" s="399" t="n">
        <v>450</v>
      </c>
      <c r="N2974" s="154" t="n">
        <v>1</v>
      </c>
      <c r="O2974" s="155">
        <f>IF(AND(B2974="",C2974=""),"",IF(G2974&gt;=20000,0.05,IF(G2974&gt;=10000,0.1,IF(G2974&gt;=5000,0.2,IF(G2974&gt;=1000,0.3,IF(G2974&gt;=0,0.4,{0}))))))</f>
        <v/>
      </c>
      <c r="P2974" s="400">
        <f>IF(AND(B2974="",C2974=""),"",ROUND(H2974*O2974,2))</f>
        <v/>
      </c>
      <c r="Q2974" s="401" t="inlineStr">
        <is>
          <t>元件</t>
        </is>
      </c>
      <c r="R2974" s="168" t="inlineStr"/>
      <c r="S2974" s="168" t="inlineStr"/>
      <c r="T2974" s="168" t="inlineStr">
        <is>
          <t>0</t>
        </is>
      </c>
      <c r="U2974" s="168" t="inlineStr"/>
      <c r="V2974" s="402" t="n"/>
      <c r="W2974" s="402" t="n"/>
      <c r="X2974" s="170" t="inlineStr"/>
    </row>
    <row r="2975" s="308">
      <c r="A2975" s="64">
        <f>ROW()-ROW(A$2959)</f>
        <v/>
      </c>
      <c r="B2975" s="22" t="inlineStr">
        <is>
          <t>中间继电器</t>
        </is>
      </c>
      <c r="C2975" s="22" t="inlineStr">
        <is>
          <t>RXM4AB2P7+RXZE2S114M+RXZ400</t>
        </is>
      </c>
      <c r="D2975" s="22" t="inlineStr">
        <is>
          <t>甲供/施耐德电气</t>
        </is>
      </c>
      <c r="E2975" s="23" t="inlineStr">
        <is>
          <t>只</t>
        </is>
      </c>
      <c r="F2975" s="23" t="n">
        <v>12</v>
      </c>
      <c r="G2975" s="349">
        <f>IF(AND(B2975="",C2975=""),"",ROUND(M2975*L2975*N2975,2))</f>
        <v/>
      </c>
      <c r="H2975" s="349">
        <f>IF(AND(B2975="",C2975=""),"",ROUND(F2975*G2975,2))</f>
        <v/>
      </c>
      <c r="I2975" s="45" t="inlineStr"/>
      <c r="J2975" s="397">
        <f>IF(AND(B2975="",C2975=""),"",ROUND(M2975*N2975,2))</f>
        <v/>
      </c>
      <c r="K2975" s="398">
        <f>IF(AND(B2975="",C2975=""),"",ROUND(J2975*F2975,2))</f>
        <v/>
      </c>
      <c r="L2975" s="141" t="n">
        <v>1</v>
      </c>
      <c r="M2975" s="399" t="n">
        <v>1e-07</v>
      </c>
      <c r="N2975" s="154" t="n">
        <v>1</v>
      </c>
      <c r="O2975" s="155">
        <f>IF(AND(B2975="",C2975=""),"",IF(G2975&gt;=20000,0.05,IF(G2975&gt;=10000,0.1,IF(G2975&gt;=5000,0.2,IF(G2975&gt;=1000,0.3,IF(G2975&gt;=0,0.4,{0}))))))</f>
        <v/>
      </c>
      <c r="P2975" s="400">
        <f>IF(AND(B2975="",C2975=""),"",ROUND(H2975*O2975,2))</f>
        <v/>
      </c>
      <c r="Q2975" s="401" t="inlineStr">
        <is>
          <t>元件</t>
        </is>
      </c>
      <c r="R2975" s="168" t="inlineStr"/>
      <c r="S2975" s="168" t="inlineStr"/>
      <c r="T2975" s="168" t="inlineStr">
        <is>
          <t>0</t>
        </is>
      </c>
      <c r="U2975" s="168" t="inlineStr">
        <is>
          <t>RXM4AB2P7+RXZE2S114M+RXZ400</t>
        </is>
      </c>
      <c r="V2975" s="402" t="n"/>
      <c r="W2975" s="402" t="n"/>
      <c r="X2975" s="170" t="inlineStr">
        <is>
          <t>REL-IR-BL/L-230AC/4X21，含底座→RXM4AB2P7+RXZE2S114M+RXZ400→REL-IR-BL/L-230AC/4X21，含底座</t>
        </is>
      </c>
    </row>
    <row r="2976" customFormat="1" s="3">
      <c r="A2976" s="64">
        <f>ROW()-ROW(A$2959)</f>
        <v/>
      </c>
      <c r="B2976" s="22" t="inlineStr">
        <is>
          <t>带熔丝端子</t>
        </is>
      </c>
      <c r="C2976" s="22" t="inlineStr">
        <is>
          <t>UK 5-HESI</t>
        </is>
      </c>
      <c r="D2976" s="22" t="inlineStr">
        <is>
          <t>菲尼克斯</t>
        </is>
      </c>
      <c r="E2976" s="23" t="inlineStr">
        <is>
          <t>只</t>
        </is>
      </c>
      <c r="F2976" s="23" t="n">
        <v>24</v>
      </c>
      <c r="G2976" s="349">
        <f>IF(AND(B2976="",C2976=""),"",ROUND(M2976*L2976*N2976,2))</f>
        <v/>
      </c>
      <c r="H2976" s="349">
        <f>IF(AND(B2976="",C2976=""),"",ROUND(F2976*G2976,2))</f>
        <v/>
      </c>
      <c r="I2976" s="45" t="inlineStr"/>
      <c r="J2976" s="392">
        <f>IF(AND(B2976="",C2976=""),"",ROUND(M2976*N2976,2))</f>
        <v/>
      </c>
      <c r="K2976" s="393">
        <f>IF(AND(B2976="",C2976=""),"",ROUND(J2976*F2976,2))</f>
        <v/>
      </c>
      <c r="L2976" s="141" t="n">
        <v>1</v>
      </c>
      <c r="M2976" s="394" t="n">
        <v>7</v>
      </c>
      <c r="N2976" s="220" t="n">
        <v>1</v>
      </c>
      <c r="O2976" s="221">
        <f>IF(AND(B2976="",C2976=""),"",IF(G2976&gt;=20000,0.05,IF(G2976&gt;=10000,0.1,IF(G2976&gt;=5000,0.2,IF(G2976&gt;=1000,0.3,IF(G2976&gt;=0,0.4,{0}))))))</f>
        <v/>
      </c>
      <c r="P2976" s="419">
        <f>IF(AND(B2976="",C2976=""),"",ROUND(H2976*O2976,2))</f>
        <v/>
      </c>
      <c r="Q2976" s="420" t="inlineStr">
        <is>
          <t>元件</t>
        </is>
      </c>
      <c r="R2976" s="231" t="inlineStr"/>
      <c r="S2976" s="231" t="inlineStr"/>
      <c r="T2976" s="231" t="inlineStr">
        <is>
          <t>0</t>
        </is>
      </c>
      <c r="U2976" s="231" t="inlineStr">
        <is>
          <t>True</t>
        </is>
      </c>
      <c r="V2976" s="421" t="n"/>
      <c r="W2976" s="421" t="n"/>
      <c r="X2976" s="166" t="inlineStr"/>
    </row>
    <row r="2977" s="308">
      <c r="A2977" s="64">
        <f>ROW()-ROW(A$2959)</f>
        <v/>
      </c>
      <c r="B2977" s="22" t="inlineStr">
        <is>
          <t>水平母排</t>
        </is>
      </c>
      <c r="C2977" s="22" t="inlineStr">
        <is>
          <t>TMY 4*(100*5)+50*5</t>
        </is>
      </c>
      <c r="D2977" s="22" t="inlineStr">
        <is>
          <t>国产优质</t>
        </is>
      </c>
      <c r="E2977" s="23" t="inlineStr">
        <is>
          <t>米</t>
        </is>
      </c>
      <c r="F2977" s="23" t="n">
        <v>0.6</v>
      </c>
      <c r="G2977" s="349">
        <f>IF(AND(B2977="",C2977=""),"",ROUND(M2977*L2977*N2977,2))</f>
        <v/>
      </c>
      <c r="H2977" s="349">
        <f>IF(AND(B2977="",C2977=""),"",ROUND(F2977*G2977,2))</f>
        <v/>
      </c>
      <c r="I2977" s="45" t="inlineStr"/>
      <c r="J2977" s="397">
        <f>IF(AND(B2977="",C2977=""),"",ROUND(M2977*N2977,2))</f>
        <v/>
      </c>
      <c r="K2977" s="398">
        <f>IF(AND(B2977="",C2977=""),"",ROUND(J2977*F2977,2))</f>
        <v/>
      </c>
      <c r="L2977" s="200" t="n">
        <v>1</v>
      </c>
      <c r="M2977" s="399" t="n">
        <v>2164.802625</v>
      </c>
      <c r="N2977" s="154">
        <f>(6317.932*1*1+2684.8*1*1)/9002.732</f>
        <v/>
      </c>
      <c r="O2977" s="155">
        <f>IF(AND(B2977="",C2977=""),"",IF(J2977&gt;=20000,0.05,IF(J2977&gt;=10000,0.1,IF(J2977&gt;=5000,0.2,IF(J2977&gt;=1000,0.3,IF(J2977&gt;=0,0.4,{0}))))))</f>
        <v/>
      </c>
      <c r="P2977" s="400">
        <f>IF(AND(B2977="",C2977=""),"",ROUND(H2977*O2977,2))</f>
        <v/>
      </c>
      <c r="Q2977" s="401" t="inlineStr">
        <is>
          <t>母排</t>
        </is>
      </c>
      <c r="R2977" s="168" t="inlineStr"/>
      <c r="S2977" s="168" t="inlineStr"/>
      <c r="T2977" s="168" t="inlineStr">
        <is>
          <t>0</t>
        </is>
      </c>
      <c r="U2977" s="168" t="inlineStr"/>
      <c r="V2977" s="402" t="n"/>
      <c r="W2977" s="402" t="n"/>
      <c r="X2977" s="170" t="inlineStr"/>
    </row>
    <row r="2978" customFormat="1" s="5">
      <c r="A2978" s="64">
        <f>ROW()-ROW(A$2959)</f>
        <v/>
      </c>
      <c r="B2978" s="22" t="inlineStr">
        <is>
          <t>垂直排</t>
        </is>
      </c>
      <c r="C2978" s="22" t="inlineStr">
        <is>
          <t>TMY 3*80*5</t>
        </is>
      </c>
      <c r="D2978" s="22" t="inlineStr">
        <is>
          <t>国产优质</t>
        </is>
      </c>
      <c r="E2978" s="23" t="inlineStr">
        <is>
          <t>米</t>
        </is>
      </c>
      <c r="F2978" s="23" t="n">
        <v>2</v>
      </c>
      <c r="G2978" s="349">
        <f>IF(AND(B2978="",C2978=""),"",ROUND(M2978*L2978*N2978,2))</f>
        <v/>
      </c>
      <c r="H2978" s="349">
        <f>IF(AND(B2978="",C2978=""),"",ROUND(F2978*G2978,2))</f>
        <v/>
      </c>
      <c r="I2978" s="45" t="inlineStr"/>
      <c r="J2978" s="422">
        <f>IF(AND(B2978="",C2978=""),"",ROUND(M2978*N2978,2))</f>
        <v/>
      </c>
      <c r="K2978" s="423">
        <f>IF(AND(B2978="",C2978=""),"",ROUND(J2978*F2978,2))</f>
        <v/>
      </c>
      <c r="L2978" s="225" t="n">
        <v>1</v>
      </c>
      <c r="M2978" s="424" t="n">
        <v>1154.5614</v>
      </c>
      <c r="N2978" s="227" t="n">
        <v>1</v>
      </c>
      <c r="O2978" s="228">
        <f>IF(AND(B2978="",C2978=""),"",IF(G2978&gt;=20000,0.05,IF(G2978&gt;=10000,0.1,IF(G2978&gt;=5000,0.2,IF(G2978&gt;=1000,0.3,IF(G2978&gt;=0,0.4,{0}))))))</f>
        <v/>
      </c>
      <c r="P2978" s="425">
        <f>IF(AND(B2978="",C2978=""),"",ROUND(H2978*O2978,2))</f>
        <v/>
      </c>
      <c r="Q2978" s="426" t="inlineStr">
        <is>
          <t>母排</t>
        </is>
      </c>
      <c r="R2978" s="234" t="inlineStr"/>
      <c r="S2978" s="234" t="inlineStr"/>
      <c r="T2978" s="235" t="inlineStr">
        <is>
          <t>0</t>
        </is>
      </c>
      <c r="U2978" s="235" t="inlineStr"/>
      <c r="V2978" s="427" t="n"/>
      <c r="W2978" s="427" t="n"/>
      <c r="X2978" s="237" t="inlineStr">
        <is>
          <t>TMY 2*30*5→TMY 30*8</t>
        </is>
      </c>
    </row>
    <row r="2979" customFormat="1" s="5">
      <c r="A2979" s="64">
        <f>ROW()-ROW(A$2959)</f>
        <v/>
      </c>
      <c r="B2979" s="22" t="inlineStr">
        <is>
          <t>N排</t>
        </is>
      </c>
      <c r="C2979" s="22" t="inlineStr">
        <is>
          <t>TMY 40*10</t>
        </is>
      </c>
      <c r="D2979" s="22" t="inlineStr">
        <is>
          <t>国产优质</t>
        </is>
      </c>
      <c r="E2979" s="23" t="inlineStr">
        <is>
          <t>米</t>
        </is>
      </c>
      <c r="F2979" s="23" t="n">
        <v>3</v>
      </c>
      <c r="G2979" s="349">
        <f>IF(AND(B2979="",C2979=""),"",ROUND(M2979*L2979*N2979,2))</f>
        <v/>
      </c>
      <c r="H2979" s="349">
        <f>IF(AND(B2979="",C2979=""),"",ROUND(F2979*G2979,2))</f>
        <v/>
      </c>
      <c r="I2979" s="45" t="inlineStr"/>
      <c r="J2979" s="422">
        <f>IF(AND(B2979="",C2979=""),"",ROUND(M2979*N2979,2))</f>
        <v/>
      </c>
      <c r="K2979" s="423">
        <f>IF(AND(B2979="",C2979=""),"",ROUND(J2979*F2979,2))</f>
        <v/>
      </c>
      <c r="L2979" s="225" t="n">
        <v>1</v>
      </c>
      <c r="M2979" s="424" t="n">
        <v>384.8538</v>
      </c>
      <c r="N2979" s="227" t="n">
        <v>1</v>
      </c>
      <c r="O2979" s="228">
        <f>IF(AND(B2979="",C2979=""),"",IF(G2979&gt;=20000,0.05,IF(G2979&gt;=10000,0.1,IF(G2979&gt;=5000,0.2,IF(G2979&gt;=1000,0.3,IF(G2979&gt;=0,0.4,{0}))))))</f>
        <v/>
      </c>
      <c r="P2979" s="425">
        <f>IF(AND(B2979="",C2979=""),"",ROUND(H2979*O2979,2))</f>
        <v/>
      </c>
      <c r="Q2979" s="426" t="inlineStr">
        <is>
          <t>母排</t>
        </is>
      </c>
      <c r="R2979" s="234" t="inlineStr"/>
      <c r="S2979" s="234" t="inlineStr"/>
      <c r="T2979" s="235" t="inlineStr">
        <is>
          <t>0</t>
        </is>
      </c>
      <c r="U2979" s="235" t="inlineStr"/>
      <c r="V2979" s="427" t="n"/>
      <c r="W2979" s="427" t="n"/>
      <c r="X2979" s="237" t="inlineStr">
        <is>
          <t>TMY 2*30*5→TMY 30*8</t>
        </is>
      </c>
    </row>
    <row r="2980" customFormat="1" s="5">
      <c r="A2980" s="64">
        <f>ROW()-ROW(A$2959)</f>
        <v/>
      </c>
      <c r="B2980" s="22" t="inlineStr">
        <is>
          <t>PE排</t>
        </is>
      </c>
      <c r="C2980" s="22" t="inlineStr">
        <is>
          <t>TMY 2*50*5</t>
        </is>
      </c>
      <c r="D2980" s="22" t="inlineStr">
        <is>
          <t>国产优质</t>
        </is>
      </c>
      <c r="E2980" s="23" t="inlineStr">
        <is>
          <t>米</t>
        </is>
      </c>
      <c r="F2980" s="23" t="n">
        <v>2</v>
      </c>
      <c r="G2980" s="349">
        <f>IF(AND(B2980="",C2980=""),"",ROUND(M2980*L2980*N2980,2))</f>
        <v/>
      </c>
      <c r="H2980" s="349">
        <f>IF(AND(B2980="",C2980=""),"",ROUND(F2980*G2980,2))</f>
        <v/>
      </c>
      <c r="I2980" s="45" t="inlineStr"/>
      <c r="J2980" s="422">
        <f>IF(AND(B2980="",C2980=""),"",ROUND(M2980*N2980,2))</f>
        <v/>
      </c>
      <c r="K2980" s="423">
        <f>IF(AND(B2980="",C2980=""),"",ROUND(J2980*F2980,2))</f>
        <v/>
      </c>
      <c r="L2980" s="225" t="n">
        <v>1</v>
      </c>
      <c r="M2980" s="424" t="n">
        <v>481.06725</v>
      </c>
      <c r="N2980" s="227" t="n">
        <v>1</v>
      </c>
      <c r="O2980" s="228">
        <f>IF(AND(B2980="",C2980=""),"",IF(G2980&gt;=20000,0.05,IF(G2980&gt;=10000,0.1,IF(G2980&gt;=5000,0.2,IF(G2980&gt;=1000,0.3,IF(G2980&gt;=0,0.4,{0}))))))</f>
        <v/>
      </c>
      <c r="P2980" s="425">
        <f>IF(AND(B2980="",C2980=""),"",ROUND(H2980*O2980,2))</f>
        <v/>
      </c>
      <c r="Q2980" s="426" t="inlineStr">
        <is>
          <t>母排</t>
        </is>
      </c>
      <c r="R2980" s="234" t="inlineStr"/>
      <c r="S2980" s="234" t="inlineStr"/>
      <c r="T2980" s="235" t="inlineStr">
        <is>
          <t>0</t>
        </is>
      </c>
      <c r="U2980" s="235" t="inlineStr"/>
      <c r="V2980" s="427" t="n"/>
      <c r="W2980" s="427" t="n"/>
      <c r="X2980" s="237" t="inlineStr">
        <is>
          <t>TMY 2*30*5→TMY 30*8</t>
        </is>
      </c>
    </row>
    <row r="2981" customFormat="1" s="5">
      <c r="A2981" s="64">
        <f>ROW()-ROW(A$2959)</f>
        <v/>
      </c>
      <c r="B2981" s="22" t="inlineStr">
        <is>
          <t>400A铜排</t>
        </is>
      </c>
      <c r="C2981" s="22" t="inlineStr">
        <is>
          <t>TMY 30*5</t>
        </is>
      </c>
      <c r="D2981" s="22" t="inlineStr">
        <is>
          <t>国产优质</t>
        </is>
      </c>
      <c r="E2981" s="23" t="inlineStr">
        <is>
          <t>米</t>
        </is>
      </c>
      <c r="F2981" s="23" t="n">
        <v>3.2</v>
      </c>
      <c r="G2981" s="349">
        <f>IF(AND(B2981="",C2981=""),"",ROUND(M2981*L2981*N2981,2))</f>
        <v/>
      </c>
      <c r="H2981" s="349">
        <f>IF(AND(B2981="",C2981=""),"",ROUND(F2981*G2981,2))</f>
        <v/>
      </c>
      <c r="I2981" s="45" t="inlineStr"/>
      <c r="J2981" s="422">
        <f>IF(AND(B2981="",C2981=""),"",ROUND(M2981*N2981,2))</f>
        <v/>
      </c>
      <c r="K2981" s="423">
        <f>IF(AND(B2981="",C2981=""),"",ROUND(J2981*F2981,2))</f>
        <v/>
      </c>
      <c r="L2981" s="225" t="n">
        <v>1</v>
      </c>
      <c r="M2981" s="424" t="n">
        <v>144.320175</v>
      </c>
      <c r="N2981" s="227" t="n">
        <v>1</v>
      </c>
      <c r="O2981" s="228">
        <f>IF(AND(B2981="",C2981=""),"",IF(G2981&gt;=20000,0.05,IF(G2981&gt;=10000,0.1,IF(G2981&gt;=5000,0.2,IF(G2981&gt;=1000,0.3,IF(G2981&gt;=0,0.4,{0}))))))</f>
        <v/>
      </c>
      <c r="P2981" s="425">
        <f>IF(AND(B2981="",C2981=""),"",ROUND(H2981*O2981,2))</f>
        <v/>
      </c>
      <c r="Q2981" s="426" t="inlineStr">
        <is>
          <t>母排</t>
        </is>
      </c>
      <c r="R2981" s="234" t="inlineStr"/>
      <c r="S2981" s="234" t="inlineStr"/>
      <c r="T2981" s="235" t="inlineStr">
        <is>
          <t>0</t>
        </is>
      </c>
      <c r="U2981" s="235" t="inlineStr"/>
      <c r="V2981" s="427" t="n"/>
      <c r="W2981" s="427" t="n"/>
      <c r="X2981" s="237" t="inlineStr">
        <is>
          <t>TMY 2*30*5→TMY 30*8</t>
        </is>
      </c>
    </row>
    <row r="2982" customFormat="1" s="5">
      <c r="A2982" s="64">
        <f>ROW()-ROW(A$2959)</f>
        <v/>
      </c>
      <c r="B2982" s="22" t="inlineStr">
        <is>
          <t>630A铜排</t>
        </is>
      </c>
      <c r="C2982" s="22" t="inlineStr">
        <is>
          <t>TMY 30*8</t>
        </is>
      </c>
      <c r="D2982" s="22" t="inlineStr">
        <is>
          <t>国产优质</t>
        </is>
      </c>
      <c r="E2982" s="23" t="inlineStr">
        <is>
          <t>米</t>
        </is>
      </c>
      <c r="F2982" s="23" t="n">
        <v>6.4</v>
      </c>
      <c r="G2982" s="349">
        <f>IF(AND(B2982="",C2982=""),"",ROUND(M2982*L2982*N2982,2))</f>
        <v/>
      </c>
      <c r="H2982" s="349">
        <f>IF(AND(B2982="",C2982=""),"",ROUND(F2982*G2982,2))</f>
        <v/>
      </c>
      <c r="I2982" s="45" t="inlineStr"/>
      <c r="J2982" s="422">
        <f>IF(AND(B2982="",C2982=""),"",ROUND(M2982*N2982,2))</f>
        <v/>
      </c>
      <c r="K2982" s="423">
        <f>IF(AND(B2982="",C2982=""),"",ROUND(J2982*F2982,2))</f>
        <v/>
      </c>
      <c r="L2982" s="225" t="n">
        <v>1</v>
      </c>
      <c r="M2982" s="424" t="n">
        <v>230.91228</v>
      </c>
      <c r="N2982" s="227" t="n">
        <v>1</v>
      </c>
      <c r="O2982" s="228">
        <f>IF(AND(B2982="",C2982=""),"",IF(G2982&gt;=20000,0.05,IF(G2982&gt;=10000,0.1,IF(G2982&gt;=5000,0.2,IF(G2982&gt;=1000,0.3,IF(G2982&gt;=0,0.4,{0}))))))</f>
        <v/>
      </c>
      <c r="P2982" s="425">
        <f>IF(AND(B2982="",C2982=""),"",ROUND(H2982*O2982,2))</f>
        <v/>
      </c>
      <c r="Q2982" s="426" t="inlineStr">
        <is>
          <t>母排</t>
        </is>
      </c>
      <c r="R2982" s="234" t="inlineStr"/>
      <c r="S2982" s="234" t="inlineStr"/>
      <c r="T2982" s="235" t="inlineStr">
        <is>
          <t>0</t>
        </is>
      </c>
      <c r="U2982" s="235" t="inlineStr"/>
      <c r="V2982" s="427" t="n"/>
      <c r="W2982" s="427" t="n"/>
      <c r="X2982" s="237" t="inlineStr">
        <is>
          <t>TMY 2*30*5→TMY 30*8</t>
        </is>
      </c>
    </row>
    <row r="2983" s="308">
      <c r="A2983" s="64">
        <f>ROW()-ROW(A$2959)</f>
        <v/>
      </c>
      <c r="B2983" s="112" t="inlineStr">
        <is>
          <t>辅料</t>
        </is>
      </c>
      <c r="C2983" s="112" t="inlineStr"/>
      <c r="D2983" s="112" t="inlineStr"/>
      <c r="E2983" s="114" t="inlineStr">
        <is>
          <t>套</t>
        </is>
      </c>
      <c r="F2983" s="114" t="n">
        <v>1</v>
      </c>
      <c r="G2983" s="396">
        <f>IF(AND(B2983="",C2983=""),"",ROUND(M2983*L2983*N2983,2))</f>
        <v/>
      </c>
      <c r="H2983" s="396">
        <f>IF(AND(B2983="",C2983=""),"",ROUND(F2983*G2983,2))</f>
        <v/>
      </c>
      <c r="I2983" s="219" t="inlineStr"/>
      <c r="J2983" s="397">
        <f>IF(AND(B2983="",C2983=""),"",ROUND(M2983*N2983,2))</f>
        <v/>
      </c>
      <c r="K2983" s="398">
        <f>IF(AND(B2983="",C2983=""),"",ROUND(J2983*F2983,2))</f>
        <v/>
      </c>
      <c r="L2983" s="200" t="n">
        <v>1</v>
      </c>
      <c r="M2983" s="399" t="n">
        <v>1254.46</v>
      </c>
      <c r="N2983" s="154" t="n">
        <v>1</v>
      </c>
      <c r="O2983" s="155">
        <f>IF(AND(B2983="",C2983=""),"",IF(G2983&gt;=20000,0.05,IF(G2983&gt;=10000,0.1,IF(G2983&gt;=5000,0.2,IF(G2983&gt;=1000,0.3,IF(G2983&gt;=0,0.4,{0}))))))</f>
        <v/>
      </c>
      <c r="P2983" s="400">
        <f>IF(AND(B2983="",C2983=""),"",ROUND(H2983*O2983,2))</f>
        <v/>
      </c>
      <c r="Q2983" s="401" t="inlineStr">
        <is>
          <t>辅料</t>
        </is>
      </c>
      <c r="R2983" s="168" t="inlineStr"/>
      <c r="S2983" s="168" t="inlineStr"/>
      <c r="T2983" s="168" t="inlineStr">
        <is>
          <t>0</t>
        </is>
      </c>
      <c r="U2983" s="168" t="inlineStr"/>
      <c r="V2983" s="402" t="n"/>
      <c r="W2983" s="402" t="n"/>
      <c r="X2983" s="170" t="inlineStr"/>
    </row>
    <row r="2984" s="308">
      <c r="A2984" s="64">
        <f>ROW()-ROW(A$2959)</f>
        <v/>
      </c>
      <c r="B2984" s="112" t="inlineStr">
        <is>
          <t>柜体Blokset</t>
        </is>
      </c>
      <c r="C2984" s="22" t="inlineStr">
        <is>
          <t>600W*1200D*2200H</t>
        </is>
      </c>
      <c r="D2984" s="112" t="inlineStr">
        <is>
          <t>清科</t>
        </is>
      </c>
      <c r="E2984" s="114" t="inlineStr">
        <is>
          <t>台</t>
        </is>
      </c>
      <c r="F2984" s="114" t="n">
        <v>1</v>
      </c>
      <c r="G2984" s="396">
        <f>IF(AND(B2984="",C2984=""),"",ROUND(M2984*L2984*N2984,2))</f>
        <v/>
      </c>
      <c r="H2984" s="396">
        <f>IF(AND(B2984="",C2984=""),"",ROUND(F2984*G2984,2))</f>
        <v/>
      </c>
      <c r="I2984" s="219" t="inlineStr"/>
      <c r="J2984" s="397">
        <f>IF(AND(B2984="",C2984=""),"",ROUND(M2984*N2984,2))</f>
        <v/>
      </c>
      <c r="K2984" s="398">
        <f>IF(AND(B2984="",C2984=""),"",ROUND(J2984*F2984,2))</f>
        <v/>
      </c>
      <c r="L2984" s="200" t="n">
        <v>1</v>
      </c>
      <c r="M2984" s="399" t="n">
        <v>5427</v>
      </c>
      <c r="N2984" s="154" t="n">
        <v>1</v>
      </c>
      <c r="O2984" s="155">
        <f>IF(AND(B2984="",C2984=""),"",IF(G2984&gt;=20000,0.05,IF(G2984&gt;=10000,0.1,IF(G2984&gt;=5000,0.2,IF(G2984&gt;=1000,0.3,IF(G2984&gt;=0,0.4,{0}))))))</f>
        <v/>
      </c>
      <c r="P2984" s="400">
        <f>IF(AND(B2984="",C2984=""),"",ROUND(H2984*O2984,2))</f>
        <v/>
      </c>
      <c r="Q2984" s="401" t="inlineStr">
        <is>
          <t>箱体</t>
        </is>
      </c>
      <c r="R2984" s="168" t="inlineStr"/>
      <c r="S2984" s="168" t="inlineStr"/>
      <c r="T2984" s="168" t="inlineStr">
        <is>
          <t>0</t>
        </is>
      </c>
      <c r="U2984" s="168" t="inlineStr"/>
      <c r="V2984" s="402" t="n"/>
      <c r="W2984" s="402" t="n"/>
      <c r="X2984" s="170" t="inlineStr">
        <is>
          <t>BlokSeT</t>
        </is>
      </c>
    </row>
    <row r="2985" s="308">
      <c r="A2985" s="64">
        <f>ROW()-ROW(A$2959)</f>
        <v/>
      </c>
      <c r="B2985" s="22" t="inlineStr"/>
      <c r="C2985" s="22" t="inlineStr"/>
      <c r="D2985" s="22" t="inlineStr"/>
      <c r="E2985" s="23" t="n"/>
      <c r="F2985" s="23">
        <f>IF(AND(B2985="",C2985=""),"",1)</f>
        <v/>
      </c>
      <c r="G2985" s="349">
        <f>IF(AND(B2985="",C2985=""),"",ROUND(M2985*L2985*N2985,2))</f>
        <v/>
      </c>
      <c r="H2985" s="349">
        <f>IF(AND(B2985="",C2985=""),"",ROUND(F2985*G2985,2))</f>
        <v/>
      </c>
      <c r="I2985" s="45" t="inlineStr"/>
      <c r="J2985" s="397">
        <f>IF(AND(B2985="",C2985=""),"",ROUND(M2985*N2985,2))</f>
        <v/>
      </c>
      <c r="K2985" s="398">
        <f>IF(AND(B2985="",C2985=""),"",ROUND(J2985*F2985,2))</f>
        <v/>
      </c>
      <c r="L2985" s="200">
        <f>IF(AND(B2985="",C2985=""),"",1)</f>
        <v/>
      </c>
      <c r="M2985" s="399" t="n"/>
      <c r="N2985" s="154">
        <f>IF(AND(B2985="",C2985=""),"",1)</f>
        <v/>
      </c>
      <c r="O2985" s="155">
        <f>IF(AND(B2985="",C2985=""),"",IF(J2985&gt;=20000,0.05,IF(J2985&gt;=10000,0.1,IF(J2985&gt;=5000,0.2,IF(J2985&gt;=1000,0.3,IF(J2985&gt;=0,0.4,{0}))))))</f>
        <v/>
      </c>
      <c r="P2985" s="400">
        <f>IF(AND(B2985="",C2985=""),"",ROUND(H2985*O2985,2))</f>
        <v/>
      </c>
      <c r="Q2985" s="401">
        <f>IF(AND(B2985="",C2985=""),"","元件")</f>
        <v/>
      </c>
      <c r="R2985" s="168" t="inlineStr"/>
      <c r="S2985" s="168" t="inlineStr"/>
      <c r="T2985" s="168" t="inlineStr"/>
      <c r="U2985" s="168" t="inlineStr"/>
      <c r="V2985" s="402" t="n"/>
      <c r="W2985" s="402" t="n"/>
      <c r="X2985" s="170" t="inlineStr"/>
    </row>
    <row r="2986" s="308">
      <c r="A2986" s="64">
        <f>ROW()-ROW(A$2959)</f>
        <v/>
      </c>
      <c r="B2986" s="171" t="inlineStr">
        <is>
          <t>小计</t>
        </is>
      </c>
      <c r="C2986" s="172" t="n"/>
      <c r="D2986" s="204" t="n"/>
      <c r="E2986" s="114" t="n"/>
      <c r="F2986" s="114" t="n"/>
      <c r="G2986" s="396" t="n"/>
      <c r="H2986" s="396">
        <f>ROUND(SUM(H2959:INDEX(H:H,ROW()-1)),2)</f>
        <v/>
      </c>
      <c r="I2986" s="45" t="inlineStr"/>
      <c r="J2986" s="397" t="n"/>
      <c r="K2986" s="398">
        <f>ROUND(SUM(K2959:INDEX(K:K,ROW()-1)),2)</f>
        <v/>
      </c>
      <c r="L2986" s="200" t="n"/>
      <c r="M2986" s="399" t="n"/>
      <c r="N2986" s="154" t="n"/>
      <c r="O2986" s="155" t="n"/>
      <c r="P2986" s="400" t="n"/>
      <c r="Q2986" s="401" t="n"/>
      <c r="R2986" s="168" t="inlineStr"/>
      <c r="S2986" s="168" t="inlineStr"/>
      <c r="T2986" s="168" t="inlineStr"/>
      <c r="U2986" s="168" t="inlineStr"/>
      <c r="V2986" s="402">
        <f>ROUND(SUMPRODUCT(F2959:INDEX(F:F,ROW()-1),V2959:INDEX(V:V,ROW()-1)),2)</f>
        <v/>
      </c>
      <c r="W2986" s="402">
        <f>ROUND(SUMPRODUCT(F2959:INDEX(F:F,ROW()-1),W2959:INDEX(W:W,ROW()-1)),2)</f>
        <v/>
      </c>
      <c r="X2986" s="170" t="inlineStr"/>
    </row>
    <row r="2987" s="308">
      <c r="A2987" s="64">
        <f>ROW()-ROW(A$2959)</f>
        <v/>
      </c>
      <c r="B2987" s="171" t="inlineStr">
        <is>
          <t>综合费(人工、管理、税金、利润等)</t>
        </is>
      </c>
      <c r="C2987" s="172" t="n"/>
      <c r="D2987" s="204" t="n"/>
      <c r="E2987" s="114" t="n"/>
      <c r="F2987" s="114" t="n"/>
      <c r="G2987" s="396" t="n"/>
      <c r="H2987" s="396">
        <f>2500</f>
        <v/>
      </c>
      <c r="I2987" s="45" t="inlineStr"/>
      <c r="J2987" s="397" t="n"/>
      <c r="K2987" s="398" t="n"/>
      <c r="L2987" s="200" t="n"/>
      <c r="M2987" s="399" t="n"/>
      <c r="N2987" s="154" t="n"/>
      <c r="O2987" s="155" t="n"/>
      <c r="P2987" s="400" t="n"/>
      <c r="Q2987" s="401" t="inlineStr">
        <is>
          <t>费用</t>
        </is>
      </c>
      <c r="R2987" s="168" t="inlineStr"/>
      <c r="S2987" s="168" t="inlineStr"/>
      <c r="T2987" s="168" t="inlineStr"/>
      <c r="U2987" s="168" t="inlineStr"/>
      <c r="V2987" s="402" t="n"/>
      <c r="W2987" s="402" t="n"/>
      <c r="X2987" s="170" t="inlineStr"/>
    </row>
    <row r="2988" s="308">
      <c r="A2988" s="64">
        <f>ROW()-ROW(A$2959)</f>
        <v/>
      </c>
      <c r="B2988" s="204" t="inlineStr">
        <is>
          <t>单台合计</t>
        </is>
      </c>
      <c r="C2988" s="172" t="n"/>
      <c r="D2988" s="204" t="n"/>
      <c r="E2988" s="114" t="n"/>
      <c r="F2988" s="114" t="n"/>
      <c r="G2988" s="396" t="n"/>
      <c r="H2988" s="396">
        <f>ROUND(SUM(H2986:H2987),2)</f>
        <v/>
      </c>
      <c r="I2988" s="181" t="n"/>
      <c r="J2988" s="397" t="n"/>
      <c r="K2988" s="398">
        <f>ROUND(SUM(K2986:K2987),2)</f>
        <v/>
      </c>
      <c r="L2988" s="209" t="n"/>
      <c r="M2988" s="399" t="n"/>
      <c r="N2988" s="210" t="n"/>
      <c r="O2988" s="211" t="n"/>
      <c r="P2988" s="400" t="n"/>
      <c r="Q2988" s="401" t="n"/>
      <c r="R2988" s="168" t="inlineStr"/>
      <c r="S2988" s="168" t="inlineStr"/>
      <c r="T2988" s="168" t="inlineStr"/>
      <c r="U2988" s="168" t="inlineStr"/>
      <c r="V2988" s="402" t="n"/>
      <c r="W2988" s="402" t="n"/>
      <c r="X2988" s="170" t="inlineStr"/>
    </row>
    <row r="2989" s="308">
      <c r="A2989" s="173" t="inlineStr">
        <is>
          <t>总计</t>
        </is>
      </c>
      <c r="B2989" s="205" t="n"/>
      <c r="C2989" s="175" t="n"/>
      <c r="D2989" s="206" t="n"/>
      <c r="E2989" s="206" t="inlineStr">
        <is>
          <t>台</t>
        </is>
      </c>
      <c r="F2989" s="206" t="n">
        <v>1</v>
      </c>
      <c r="G2989" s="414">
        <f>ROUND(H2988,2)</f>
        <v/>
      </c>
      <c r="H2989" s="414">
        <f>ROUND(F2989*G2989,2)</f>
        <v/>
      </c>
      <c r="I2989" s="185" t="n"/>
      <c r="J2989" s="415" t="n"/>
      <c r="K2989" s="416">
        <f>ROUND(K2988*F2989,2)</f>
        <v/>
      </c>
      <c r="L2989" s="214" t="n"/>
      <c r="M2989" s="417" t="n"/>
      <c r="N2989" s="216" t="n"/>
      <c r="O2989" s="217" t="n"/>
      <c r="P2989" s="418" t="n"/>
      <c r="Q2989" s="401" t="n"/>
      <c r="R2989" s="168" t="inlineStr"/>
      <c r="S2989" s="168" t="inlineStr"/>
      <c r="T2989" s="168" t="inlineStr"/>
      <c r="U2989" s="168" t="inlineStr"/>
      <c r="V2989" s="402" t="n"/>
      <c r="W2989" s="402" t="n"/>
      <c r="X2989" s="170" t="inlineStr"/>
    </row>
    <row r="2990" customFormat="1" s="4">
      <c r="A2990" s="6" t="n"/>
      <c r="B2990" s="195" t="inlineStr"/>
      <c r="C2990" s="195" t="inlineStr"/>
      <c r="D2990" s="195" t="inlineStr"/>
      <c r="Q2990" s="159" t="n"/>
      <c r="R2990" s="159" t="n"/>
      <c r="S2990" s="159" t="n"/>
      <c r="T2990" s="159" t="n"/>
      <c r="U2990" s="159" t="n"/>
      <c r="X2990" s="195" t="inlineStr"/>
    </row>
    <row r="2991" customFormat="1" s="4">
      <c r="A2991" s="6" t="n"/>
      <c r="B2991" s="195" t="inlineStr"/>
      <c r="C2991" s="195" t="inlineStr"/>
      <c r="D2991" s="195" t="inlineStr"/>
      <c r="Q2991" s="159" t="n"/>
      <c r="R2991" s="159" t="n"/>
      <c r="S2991" s="159" t="n"/>
      <c r="T2991" s="159" t="n"/>
      <c r="U2991" s="159" t="n"/>
      <c r="X2991" s="195" t="inlineStr"/>
    </row>
    <row r="2992" s="308">
      <c r="A2992" s="208">
        <f>CONCATENATE("报价人：",项目信息!$B$8)</f>
        <v/>
      </c>
      <c r="B2992" s="208" t="n"/>
      <c r="C2992" s="4" t="n"/>
      <c r="D2992" s="4" t="n"/>
      <c r="E2992" s="4" t="n"/>
      <c r="F2992" s="4" t="n"/>
      <c r="G2992" s="4" t="n"/>
      <c r="H2992" s="178">
        <f>项目信息!$B$9</f>
        <v/>
      </c>
      <c r="Q2992" s="159" t="n"/>
      <c r="R2992" s="159" t="n"/>
      <c r="S2992" s="159" t="n"/>
      <c r="T2992" s="159" t="n"/>
      <c r="U2992" s="159" t="n"/>
      <c r="X2992" s="203" t="inlineStr"/>
    </row>
    <row r="2993" s="308">
      <c r="A2993" s="8">
        <f>T(项目信息!$B$22)</f>
        <v/>
      </c>
      <c r="Q2993" s="159" t="n"/>
      <c r="R2993" s="159" t="n"/>
      <c r="S2993" s="159" t="n"/>
      <c r="T2993" s="159" t="n"/>
      <c r="U2993" s="159" t="n"/>
    </row>
    <row r="2994" s="308">
      <c r="A2994" s="9">
        <f>T(项目信息!$B$23)</f>
        <v/>
      </c>
      <c r="Q2994" s="159" t="n"/>
      <c r="R2994" s="159" t="n"/>
      <c r="S2994" s="159" t="n"/>
      <c r="T2994" s="159" t="n"/>
      <c r="U2994" s="159" t="n"/>
    </row>
    <row r="2995" s="308">
      <c r="A2995" s="97" t="inlineStr">
        <is>
          <t>成套产品报价明细表</t>
        </is>
      </c>
      <c r="B2995" s="378" t="n"/>
      <c r="C2995" s="378" t="n"/>
      <c r="D2995" s="378" t="n"/>
      <c r="E2995" s="378" t="n"/>
      <c r="F2995" s="378" t="n"/>
      <c r="G2995" s="378" t="n"/>
      <c r="H2995" s="378" t="n"/>
      <c r="I2995" s="378" t="n"/>
      <c r="Q2995" s="159" t="n"/>
      <c r="R2995" s="159" t="n"/>
      <c r="S2995" s="159" t="n"/>
      <c r="T2995" s="159" t="n"/>
      <c r="U2995" s="159" t="n"/>
    </row>
    <row r="2996" customFormat="1" s="4">
      <c r="A2996" s="98" t="inlineStr">
        <is>
          <t>柜号:</t>
        </is>
      </c>
      <c r="B2996" s="99" t="inlineStr">
        <is>
          <t>A/B-CHB-01/02</t>
        </is>
      </c>
      <c r="C2996" s="100" t="inlineStr">
        <is>
          <t>型号:</t>
        </is>
      </c>
      <c r="D2996" s="99" t="inlineStr">
        <is>
          <t>BlokSeT</t>
        </is>
      </c>
      <c r="E2996" s="379" t="n"/>
      <c r="F2996" s="101" t="inlineStr">
        <is>
          <t>名称:</t>
        </is>
      </c>
      <c r="G2996" s="99" t="inlineStr">
        <is>
          <t>双电源切换柜</t>
        </is>
      </c>
      <c r="H2996" s="379" t="n"/>
      <c r="I2996" s="408" t="inlineStr"/>
      <c r="J2996" s="194" t="inlineStr">
        <is>
          <t>箱柜尺寸:</t>
        </is>
      </c>
      <c r="K2996" s="195" t="inlineStr">
        <is>
          <t>900W*1000D*2200H</t>
        </is>
      </c>
      <c r="L2996" s="194" t="inlineStr">
        <is>
          <t>类别:</t>
        </is>
      </c>
      <c r="M2996" s="195" t="inlineStr">
        <is>
          <t>低压固定柜</t>
        </is>
      </c>
      <c r="N2996" s="409" t="inlineStr"/>
      <c r="Q2996" s="159" t="n"/>
      <c r="R2996" s="159" t="n"/>
      <c r="S2996" s="159" t="n"/>
      <c r="T2996" s="159" t="n"/>
      <c r="U2996" s="159" t="n"/>
    </row>
    <row r="2997" ht="20.1" customHeight="1" s="308">
      <c r="A2997" s="102" t="inlineStr">
        <is>
          <t>序号</t>
        </is>
      </c>
      <c r="B2997" s="103" t="inlineStr">
        <is>
          <t>元件名称</t>
        </is>
      </c>
      <c r="C2997" s="103" t="inlineStr">
        <is>
          <t>型号规格</t>
        </is>
      </c>
      <c r="D2997" s="104" t="inlineStr">
        <is>
          <t>生产厂家</t>
        </is>
      </c>
      <c r="E2997" s="105" t="inlineStr">
        <is>
          <t>单位</t>
        </is>
      </c>
      <c r="F2997" s="105" t="inlineStr">
        <is>
          <t>数量</t>
        </is>
      </c>
      <c r="G2997" s="382" t="inlineStr">
        <is>
          <t>单   价</t>
        </is>
      </c>
      <c r="H2997" s="383" t="inlineStr">
        <is>
          <t>总   价</t>
        </is>
      </c>
      <c r="I2997" s="134" t="inlineStr">
        <is>
          <t>备注</t>
        </is>
      </c>
      <c r="J2997" s="384" t="inlineStr">
        <is>
          <t>成本单价</t>
        </is>
      </c>
      <c r="K2997" s="384" t="inlineStr">
        <is>
          <t>成本总价</t>
        </is>
      </c>
      <c r="L2997" s="136" t="inlineStr">
        <is>
          <t>报出
系数</t>
        </is>
      </c>
      <c r="M2997" s="384" t="inlineStr">
        <is>
          <t>表价</t>
        </is>
      </c>
      <c r="N2997" s="136" t="inlineStr">
        <is>
          <t>折扣
系数</t>
        </is>
      </c>
      <c r="O2997" s="137" t="inlineStr">
        <is>
          <t>取费
系数</t>
        </is>
      </c>
      <c r="P2997" s="384" t="inlineStr">
        <is>
          <t>成套费</t>
        </is>
      </c>
      <c r="Q2997" s="161" t="inlineStr">
        <is>
          <t>类别</t>
        </is>
      </c>
      <c r="R2997" s="161" t="inlineStr">
        <is>
          <t>物料编码</t>
        </is>
      </c>
      <c r="S2997" s="161" t="inlineStr">
        <is>
          <t>产地</t>
        </is>
      </c>
      <c r="T2997" s="161" t="inlineStr">
        <is>
          <t>加工费</t>
        </is>
      </c>
      <c r="U2997" s="161" t="inlineStr">
        <is>
          <t>订货号</t>
        </is>
      </c>
      <c r="V2997" s="161" t="inlineStr">
        <is>
          <t>人工</t>
        </is>
      </c>
      <c r="W2997" s="161" t="inlineStr">
        <is>
          <t>辅料</t>
        </is>
      </c>
      <c r="X2997" s="203" t="inlineStr"/>
    </row>
    <row r="2998" s="308">
      <c r="A2998" s="64">
        <f>ROW()-ROW(A$2997)</f>
        <v/>
      </c>
      <c r="B2998" s="22" t="inlineStr">
        <is>
          <t>塑壳断路器</t>
        </is>
      </c>
      <c r="C2998" s="22" t="inlineStr">
        <is>
          <t>NS1600 N 3P MIC2.0 抽出式 电动操作</t>
        </is>
      </c>
      <c r="D2998" s="22" t="inlineStr">
        <is>
          <t>甲供/施耐德电气</t>
        </is>
      </c>
      <c r="E2998" s="23" t="inlineStr">
        <is>
          <t>只</t>
        </is>
      </c>
      <c r="F2998" s="23" t="n">
        <v>1</v>
      </c>
      <c r="G2998" s="349">
        <f>IF(AND(B2998="",C2998=""),"",ROUND(M2998*L2998*N2998,2))</f>
        <v/>
      </c>
      <c r="H2998" s="349">
        <f>IF(AND(B2998="",C2998=""),"",ROUND(F2998*G2998,2))</f>
        <v/>
      </c>
      <c r="I2998" s="45" t="inlineStr"/>
      <c r="J2998" s="397">
        <f>IF(AND(B2998="",C2998=""),"",ROUND(M2998*N2998,2))</f>
        <v/>
      </c>
      <c r="K2998" s="398">
        <f>IF(AND(B2998="",C2998=""),"",ROUND(J2998*F2998,2))</f>
        <v/>
      </c>
      <c r="L2998" s="200" t="n">
        <v>1</v>
      </c>
      <c r="M2998" s="399" t="n">
        <v>1e-07</v>
      </c>
      <c r="N2998" s="154" t="n">
        <v>1</v>
      </c>
      <c r="O2998" s="155">
        <f>IF(AND(B2998="",C2998=""),"",IF(G2998&gt;=20000,0.05,IF(G2998&gt;=10000,0.1,IF(G2998&gt;=5000,0.2,IF(G2998&gt;=1000,0.3,IF(G2998&gt;=0,0.4,{0}))))))</f>
        <v/>
      </c>
      <c r="P2998" s="400">
        <f>IF(AND(B2998="",C2998=""),"",ROUND(H2998*O2998,2))</f>
        <v/>
      </c>
      <c r="Q2998" s="401" t="inlineStr">
        <is>
          <t>元件</t>
        </is>
      </c>
      <c r="R2998" s="168" t="inlineStr"/>
      <c r="S2998" s="168" t="inlineStr"/>
      <c r="T2998" s="168" t="inlineStr">
        <is>
          <t>0</t>
        </is>
      </c>
      <c r="U2998" s="168" t="inlineStr">
        <is>
          <t>C16F32D160</t>
        </is>
      </c>
      <c r="V2998" s="402" t="n"/>
      <c r="W2998" s="402" t="n"/>
      <c r="X2998" s="170" t="inlineStr">
        <is>
          <t>NSX630N Mic2.3 630A 3P3D F→NSX630F MIC2.3 630 3P F→NSX630F MIC 2.3 630 3P F</t>
        </is>
      </c>
    </row>
    <row r="2999" s="308">
      <c r="A2999" s="64">
        <f>ROW()-ROW(A$2997)</f>
        <v/>
      </c>
      <c r="B2999" s="22" t="inlineStr">
        <is>
          <t>双电源开关</t>
        </is>
      </c>
      <c r="C2999" s="22" t="inlineStr">
        <is>
          <t>WTS1600/4DL 1600A 4P D控制器</t>
        </is>
      </c>
      <c r="D2999" s="22" t="inlineStr">
        <is>
          <t>甲供/施耐德万高</t>
        </is>
      </c>
      <c r="E2999" s="110" t="inlineStr">
        <is>
          <t>只</t>
        </is>
      </c>
      <c r="F2999" s="23" t="n">
        <v>1</v>
      </c>
      <c r="G2999" s="349">
        <f>IF(AND(B2999="",C2999=""),"",ROUND(M2999*L2999*N2999,2))</f>
        <v/>
      </c>
      <c r="H2999" s="349">
        <f>IF(AND(B2999="",C2999=""),"",ROUND(F2999*G2999,2))</f>
        <v/>
      </c>
      <c r="I2999" s="45" t="inlineStr"/>
      <c r="J2999" s="397">
        <f>IF(AND(B2999="",C2999=""),"",ROUND(M2999*N2999,2))</f>
        <v/>
      </c>
      <c r="K2999" s="398">
        <f>IF(AND(B2999="",C2999=""),"",ROUND(J2999*F2999,2))</f>
        <v/>
      </c>
      <c r="L2999" s="200" t="n">
        <v>1</v>
      </c>
      <c r="M2999" s="399" t="n">
        <v>1e-07</v>
      </c>
      <c r="N2999" s="154" t="n">
        <v>1</v>
      </c>
      <c r="O2999" s="155">
        <f>IF(AND(B2999="",C2999=""),"",IF(G2999&gt;=20000,0.05,IF(G2999&gt;=10000,0.1,IF(G2999&gt;=5000,0.2,IF(G2999&gt;=1000,0.3,IF(G2999&gt;=0,0.4,{0}))))))</f>
        <v/>
      </c>
      <c r="P2999" s="400">
        <f>IF(AND(B2999="",C2999=""),"",ROUND(H2999*O2999,2))</f>
        <v/>
      </c>
      <c r="Q2999" s="401" t="inlineStr">
        <is>
          <t>元件</t>
        </is>
      </c>
      <c r="R2999" s="168" t="inlineStr"/>
      <c r="S2999" s="168" t="inlineStr"/>
      <c r="T2999" s="168" t="n">
        <v>0</v>
      </c>
      <c r="U2999" s="168" t="inlineStr"/>
      <c r="V2999" s="402" t="n"/>
      <c r="W2999" s="402" t="n"/>
      <c r="X2999" s="170" t="inlineStr"/>
    </row>
    <row r="3000" s="308">
      <c r="A3000" s="64">
        <f>ROW()-ROW(A$2997)</f>
        <v/>
      </c>
      <c r="B3000" s="22" t="inlineStr">
        <is>
          <t>电流互感器</t>
        </is>
      </c>
      <c r="C3000" s="22" t="inlineStr">
        <is>
          <t>SD-0.66-100II-C 1600/5A</t>
        </is>
      </c>
      <c r="D3000" s="22" t="inlineStr">
        <is>
          <t>桑迪</t>
        </is>
      </c>
      <c r="E3000" s="23" t="inlineStr">
        <is>
          <t>只</t>
        </is>
      </c>
      <c r="F3000" s="23" t="n">
        <v>6</v>
      </c>
      <c r="G3000" s="349">
        <f>IF(AND(B3000="",C3000=""),"",ROUND(M3000*L3000*N3000,2))</f>
        <v/>
      </c>
      <c r="H3000" s="396">
        <f>IF(AND(B3000="",C3000=""),"",ROUND(F3000*G3000,2))</f>
        <v/>
      </c>
      <c r="I3000" s="219" t="inlineStr"/>
      <c r="J3000" s="397">
        <f>IF(AND(B3000="",C3000=""),"",ROUND(M3000*N3000,2))</f>
        <v/>
      </c>
      <c r="K3000" s="398">
        <f>IF(AND(B3000="",C3000=""),"",ROUND(J3000*F3000,2))</f>
        <v/>
      </c>
      <c r="L3000" s="200" t="n">
        <v>1</v>
      </c>
      <c r="M3000" s="399" t="n">
        <v>146.25</v>
      </c>
      <c r="N3000" s="154" t="n">
        <v>1</v>
      </c>
      <c r="O3000" s="155">
        <f>IF(AND(B3000="",C3000=""),"",IF(G3000&gt;=20000,0.05,IF(G3000&gt;=10000,0.1,IF(G3000&gt;=5000,0.2,IF(G3000&gt;=1000,0.3,IF(G3000&gt;=0,0.4,{0}))))))</f>
        <v/>
      </c>
      <c r="P3000" s="400">
        <f>IF(AND(B3000="",C3000=""),"",ROUND(H3000*O3000,2))</f>
        <v/>
      </c>
      <c r="Q3000" s="401" t="inlineStr">
        <is>
          <t>元件</t>
        </is>
      </c>
      <c r="R3000" s="168" t="inlineStr"/>
      <c r="S3000" s="168" t="inlineStr"/>
      <c r="T3000" s="168" t="inlineStr">
        <is>
          <t>0</t>
        </is>
      </c>
      <c r="U3000" s="168" t="inlineStr">
        <is>
          <t>710141426552500</t>
        </is>
      </c>
      <c r="V3000" s="402" t="n"/>
      <c r="W3000" s="402" t="n"/>
      <c r="X3000" s="170" t="inlineStr">
        <is>
          <t>SD→SD-0.66-40II-C 400/5A→SD-0.66-30I 250/5A→SD-0.66-30I 150/5A→SD-0.66-60II-C 750/5A→SD-0.66-60II-C 600/5A→SD-0.66-30I 150/5A→SD-0.66-40II-C 400/5A→SD-0.66-100II-C 1600/5A→SD-0.66-80II-V 1000/5A→SD-0.66-80II-V 1250/5A→SD-0.66-80II-V 1000/5A→SD-0.66-80II-V 800/5A</t>
        </is>
      </c>
    </row>
    <row r="3001" s="308">
      <c r="A3001" s="64">
        <f>ROW()-ROW(A$2997)</f>
        <v/>
      </c>
      <c r="B3001" s="112" t="inlineStr">
        <is>
          <t>多功能表</t>
        </is>
      </c>
      <c r="C3001" s="112" t="inlineStr">
        <is>
          <t>PM4101</t>
        </is>
      </c>
      <c r="D3001" s="112" t="inlineStr">
        <is>
          <t>甲供/施耐德电气</t>
        </is>
      </c>
      <c r="E3001" s="114" t="inlineStr">
        <is>
          <t>只</t>
        </is>
      </c>
      <c r="F3001" s="114" t="n">
        <v>2</v>
      </c>
      <c r="G3001" s="396">
        <f>IF(AND(B3001="",C3001=""),"",ROUND(M3001*L3001*N3001,2))</f>
        <v/>
      </c>
      <c r="H3001" s="349">
        <f>IF(AND(B3001="",C3001=""),"",ROUND(F3001*G3001,2))</f>
        <v/>
      </c>
      <c r="I3001" s="45" t="inlineStr"/>
      <c r="J3001" s="397">
        <f>IF(AND(B3001="",C3001=""),"",ROUND(M3001*N3001,2))</f>
        <v/>
      </c>
      <c r="K3001" s="398">
        <f>IF(AND(B3001="",C3001=""),"",ROUND(J3001*F3001,2))</f>
        <v/>
      </c>
      <c r="L3001" s="200" t="n">
        <v>1</v>
      </c>
      <c r="M3001" s="399" t="n">
        <v>1e-07</v>
      </c>
      <c r="N3001" s="154" t="n">
        <v>1</v>
      </c>
      <c r="O3001" s="155">
        <f>IF(AND(B3001="",C3001=""),"",IF(J3001&gt;=20000,0.05,IF(J3001&gt;=10000,0.1,IF(J3001&gt;=5000,0.2,IF(J3001&gt;=1000,0.3,IF(J3001&gt;=0,0.4,{0}))))))</f>
        <v/>
      </c>
      <c r="P3001" s="400">
        <f>IF(AND(B3001="",C3001=""),"",ROUND(H3001*O3001,2))</f>
        <v/>
      </c>
      <c r="Q3001" s="401" t="inlineStr">
        <is>
          <t>元件</t>
        </is>
      </c>
      <c r="R3001" s="168" t="inlineStr"/>
      <c r="S3001" s="168" t="inlineStr"/>
      <c r="T3001" s="168" t="inlineStr">
        <is>
          <t>0</t>
        </is>
      </c>
      <c r="U3001" s="168" t="inlineStr"/>
      <c r="V3001" s="402" t="n"/>
      <c r="W3001" s="402" t="n"/>
      <c r="X3001" s="170" t="inlineStr"/>
    </row>
    <row r="3002" customFormat="1" s="3">
      <c r="A3002" s="64">
        <f>ROW()-ROW(A$2997)</f>
        <v/>
      </c>
      <c r="B3002" s="27" t="inlineStr">
        <is>
          <t>后备保护器</t>
        </is>
      </c>
      <c r="C3002" s="22" t="inlineStr">
        <is>
          <t>iSCB1 25L1 4P</t>
        </is>
      </c>
      <c r="D3002" s="22" t="inlineStr">
        <is>
          <t>甲供/施耐德万高</t>
        </is>
      </c>
      <c r="E3002" s="110" t="inlineStr">
        <is>
          <t>只</t>
        </is>
      </c>
      <c r="F3002" s="23" t="n">
        <v>1</v>
      </c>
      <c r="G3002" s="349">
        <f>IF(AND(B3002="",C3002=""),"",ROUND(M3002*L3002*N3002,2))</f>
        <v/>
      </c>
      <c r="H3002" s="349">
        <f>IF(AND(B3002="",C3002=""),"",ROUND(F3002*G3002,2))</f>
        <v/>
      </c>
      <c r="I3002" s="45" t="inlineStr"/>
      <c r="J3002" s="392">
        <f>IF(AND(B3002="",C3002=""),"",ROUND(M3002*N3002,2))</f>
        <v/>
      </c>
      <c r="K3002" s="393">
        <f>IF(AND(B3002="",C3002=""),"",ROUND(J3002*F3002,2))</f>
        <v/>
      </c>
      <c r="L3002" s="141" t="n">
        <v>1</v>
      </c>
      <c r="M3002" s="394" t="n">
        <v>1e-07</v>
      </c>
      <c r="N3002" s="143" t="n">
        <v>1</v>
      </c>
      <c r="O3002" s="144">
        <f>IF(AND(B3002="",C3002=""),"",IF(G3002&gt;=20000,0.05,IF(G3002&gt;=10000,0.1,IF(G3002&gt;=5000,0.2,IF(G3002&gt;=1000,0.3,IF(G3002&gt;=0,0.4,{0}))))))</f>
        <v/>
      </c>
      <c r="P3002" s="395">
        <f>IF(AND(B3002="",C3002=""),"",ROUND(H3002*O3002,2))</f>
        <v/>
      </c>
      <c r="Q3002" s="390" t="inlineStr">
        <is>
          <t>元件</t>
        </is>
      </c>
      <c r="R3002" s="164" t="inlineStr"/>
      <c r="S3002" s="164" t="inlineStr"/>
      <c r="T3002" s="164" t="inlineStr">
        <is>
          <t>0</t>
        </is>
      </c>
      <c r="U3002" s="164" t="inlineStr">
        <is>
          <t>A9L102554</t>
        </is>
      </c>
      <c r="V3002" s="391" t="n"/>
      <c r="W3002" s="391" t="n"/>
      <c r="X3002" s="166" t="inlineStr">
        <is>
          <t>iSCB1 25L1 4P→iSCB2 40H2 4P</t>
        </is>
      </c>
    </row>
    <row r="3003" customFormat="1" s="3">
      <c r="A3003" s="64">
        <f>ROW()-ROW(A$2997)</f>
        <v/>
      </c>
      <c r="B3003" s="27" t="inlineStr">
        <is>
          <t>电涌保护器</t>
        </is>
      </c>
      <c r="C3003" s="22" t="inlineStr">
        <is>
          <t>iPRF1 12.5r 3P+N</t>
        </is>
      </c>
      <c r="D3003" s="22" t="inlineStr">
        <is>
          <t>甲供/施耐德万高</t>
        </is>
      </c>
      <c r="E3003" s="110" t="inlineStr">
        <is>
          <t>只</t>
        </is>
      </c>
      <c r="F3003" s="23" t="n">
        <v>1</v>
      </c>
      <c r="G3003" s="349">
        <f>IF(AND(B3003="",C3003=""),"",ROUND(M3003*L3003*N3003,2))</f>
        <v/>
      </c>
      <c r="H3003" s="349">
        <f>IF(AND(B3003="",C3003=""),"",ROUND(F3003*G3003,2))</f>
        <v/>
      </c>
      <c r="I3003" s="45" t="inlineStr"/>
      <c r="J3003" s="392">
        <f>IF(AND(B3003="",C3003=""),"",ROUND(M3003*N3003,2))</f>
        <v/>
      </c>
      <c r="K3003" s="393">
        <f>IF(AND(B3003="",C3003=""),"",ROUND(J3003*F3003,2))</f>
        <v/>
      </c>
      <c r="L3003" s="141" t="n">
        <v>1</v>
      </c>
      <c r="M3003" s="394" t="n">
        <v>1e-07</v>
      </c>
      <c r="N3003" s="143" t="n">
        <v>1</v>
      </c>
      <c r="O3003" s="144">
        <f>IF(AND(B3003="",C3003=""),"",IF(G3003&gt;=20000,0.05,IF(G3003&gt;=10000,0.1,IF(G3003&gt;=5000,0.2,IF(G3003&gt;=1000,0.3,IF(G3003&gt;=0,0.4,{0}))))))</f>
        <v/>
      </c>
      <c r="P3003" s="395">
        <f>IF(AND(B3003="",C3003=""),"",ROUND(H3003*O3003,2))</f>
        <v/>
      </c>
      <c r="Q3003" s="390" t="inlineStr">
        <is>
          <t>元件</t>
        </is>
      </c>
      <c r="R3003" s="164" t="inlineStr"/>
      <c r="S3003" s="164" t="inlineStr"/>
      <c r="T3003" s="164" t="inlineStr">
        <is>
          <t>0</t>
        </is>
      </c>
      <c r="U3003" s="164" t="inlineStr">
        <is>
          <t>A9L620601</t>
        </is>
      </c>
      <c r="V3003" s="391" t="n"/>
      <c r="W3003" s="391" t="n"/>
      <c r="X3003" s="166" t="inlineStr">
        <is>
          <t>iPRF1 12.5r 3P+N→iPRU 40r 3P→iPRF1 12.5r 3P+N</t>
        </is>
      </c>
    </row>
    <row r="3004" customFormat="1" s="3">
      <c r="A3004" s="64">
        <f>ROW()-ROW(A$2997)</f>
        <v/>
      </c>
      <c r="B3004" s="27" t="inlineStr">
        <is>
          <t>微型断路器</t>
        </is>
      </c>
      <c r="C3004" s="22" t="inlineStr">
        <is>
          <t>iC65H 3P D32A</t>
        </is>
      </c>
      <c r="D3004" s="22" t="inlineStr">
        <is>
          <t>甲供/施耐德电气</t>
        </is>
      </c>
      <c r="E3004" s="110" t="inlineStr">
        <is>
          <t>只</t>
        </is>
      </c>
      <c r="F3004" s="23" t="n">
        <v>2</v>
      </c>
      <c r="G3004" s="349">
        <f>IF(AND(B3004="",C3004=""),"",ROUND(M3004*L3004*N3004,2))</f>
        <v/>
      </c>
      <c r="H3004" s="349">
        <f>IF(AND(B3004="",C3004=""),"",ROUND(F3004*G3004,2))</f>
        <v/>
      </c>
      <c r="I3004" s="45" t="inlineStr"/>
      <c r="J3004" s="392">
        <f>IF(AND(B3004="",C3004=""),"",ROUND(M3004*N3004,2))</f>
        <v/>
      </c>
      <c r="K3004" s="393">
        <f>IF(AND(B3004="",C3004=""),"",ROUND(J3004*F3004,2))</f>
        <v/>
      </c>
      <c r="L3004" s="141" t="n">
        <v>1</v>
      </c>
      <c r="M3004" s="394" t="n">
        <v>1e-07</v>
      </c>
      <c r="N3004" s="143" t="n">
        <v>1</v>
      </c>
      <c r="O3004" s="144">
        <f>IF(AND(B3004="",C3004=""),"",IF(G3004&gt;=20000,0.05,IF(G3004&gt;=10000,0.1,IF(G3004&gt;=5000,0.2,IF(G3004&gt;=1000,0.3,IF(G3004&gt;=0,0.4,{0}))))))</f>
        <v/>
      </c>
      <c r="P3004" s="395">
        <f>IF(AND(B3004="",C3004=""),"",ROUND(H3004*O3004,2))</f>
        <v/>
      </c>
      <c r="Q3004" s="390" t="inlineStr">
        <is>
          <t>元件</t>
        </is>
      </c>
      <c r="R3004" s="164" t="inlineStr"/>
      <c r="S3004" s="164" t="inlineStr"/>
      <c r="T3004" s="164" t="n">
        <v>0</v>
      </c>
      <c r="U3004" s="164" t="inlineStr"/>
      <c r="V3004" s="391" t="n"/>
      <c r="W3004" s="391" t="n"/>
      <c r="X3004" s="166" t="inlineStr"/>
    </row>
    <row r="3005" customFormat="1" s="3">
      <c r="A3005" s="64">
        <f>ROW()-ROW(A$2997)</f>
        <v/>
      </c>
      <c r="B3005" s="27" t="inlineStr">
        <is>
          <t>微型断路器</t>
        </is>
      </c>
      <c r="C3005" s="22" t="inlineStr">
        <is>
          <t>iC65H 3P D16A</t>
        </is>
      </c>
      <c r="D3005" s="22" t="inlineStr">
        <is>
          <t>甲供/施耐德电气</t>
        </is>
      </c>
      <c r="E3005" s="110" t="inlineStr">
        <is>
          <t>只</t>
        </is>
      </c>
      <c r="F3005" s="23" t="n">
        <v>1</v>
      </c>
      <c r="G3005" s="349">
        <f>IF(AND(B3005="",C3005=""),"",ROUND(M3005*L3005*N3005,2))</f>
        <v/>
      </c>
      <c r="H3005" s="349">
        <f>IF(AND(B3005="",C3005=""),"",ROUND(F3005*G3005,2))</f>
        <v/>
      </c>
      <c r="I3005" s="45" t="inlineStr"/>
      <c r="J3005" s="392">
        <f>IF(AND(B3005="",C3005=""),"",ROUND(M3005*N3005,2))</f>
        <v/>
      </c>
      <c r="K3005" s="393">
        <f>IF(AND(B3005="",C3005=""),"",ROUND(J3005*F3005,2))</f>
        <v/>
      </c>
      <c r="L3005" s="141" t="n">
        <v>1</v>
      </c>
      <c r="M3005" s="394" t="n">
        <v>1e-07</v>
      </c>
      <c r="N3005" s="143" t="n">
        <v>1</v>
      </c>
      <c r="O3005" s="144">
        <f>IF(AND(B3005="",C3005=""),"",IF(G3005&gt;=20000,0.05,IF(G3005&gt;=10000,0.1,IF(G3005&gt;=5000,0.2,IF(G3005&gt;=1000,0.3,IF(G3005&gt;=0,0.4,{0}))))))</f>
        <v/>
      </c>
      <c r="P3005" s="395">
        <f>IF(AND(B3005="",C3005=""),"",ROUND(H3005*O3005,2))</f>
        <v/>
      </c>
      <c r="Q3005" s="390" t="inlineStr">
        <is>
          <t>元件</t>
        </is>
      </c>
      <c r="R3005" s="164" t="inlineStr"/>
      <c r="S3005" s="164" t="inlineStr"/>
      <c r="T3005" s="164" t="n">
        <v>0</v>
      </c>
      <c r="U3005" s="164" t="inlineStr"/>
      <c r="V3005" s="391" t="n"/>
      <c r="W3005" s="391" t="n"/>
      <c r="X3005" s="166" t="inlineStr"/>
    </row>
    <row r="3006" customFormat="1" s="3">
      <c r="A3006" s="64">
        <f>ROW()-ROW(A$2997)</f>
        <v/>
      </c>
      <c r="B3006" s="22" t="inlineStr">
        <is>
          <t>指示灯</t>
        </is>
      </c>
      <c r="C3006" s="22" t="inlineStr">
        <is>
          <t>XB2BVM3LC</t>
        </is>
      </c>
      <c r="D3006" s="22" t="inlineStr">
        <is>
          <t>甲供/施耐德电气</t>
        </is>
      </c>
      <c r="E3006" s="23" t="inlineStr">
        <is>
          <t>只</t>
        </is>
      </c>
      <c r="F3006" s="23" t="n">
        <v>1</v>
      </c>
      <c r="G3006" s="349">
        <f>IF(AND(B3006="",C3006=""),"",ROUND(M3006*L3006*N3006,2))</f>
        <v/>
      </c>
      <c r="H3006" s="353">
        <f>IF(AND(B3006="",C3006=""),"",ROUND(F3006*G3006,2))</f>
        <v/>
      </c>
      <c r="I3006" s="180" t="inlineStr"/>
      <c r="J3006" s="392">
        <f>IF(AND(B3006="",C3006=""),"",ROUND(M3006*N3006,2))</f>
        <v/>
      </c>
      <c r="K3006" s="393">
        <f>IF(AND(B3006="",C3006=""),"",ROUND(J3006*F3006,2))</f>
        <v/>
      </c>
      <c r="L3006" s="141" t="n">
        <v>1</v>
      </c>
      <c r="M3006" s="394" t="n">
        <v>1e-07</v>
      </c>
      <c r="N3006" s="220" t="n">
        <v>1</v>
      </c>
      <c r="O3006" s="221">
        <f>IF(AND(B3006="",C3006=""),"",IF(G3006&gt;=20000,0.05,IF(G3006&gt;=10000,0.1,IF(G3006&gt;=5000,0.2,IF(G3006&gt;=1000,0.3,IF(G3006&gt;=0,0.4,{0}))))))</f>
        <v/>
      </c>
      <c r="P3006" s="419">
        <f>IF(AND(B3006="",C3006=""),"",ROUND(H3006*O3006,2))</f>
        <v/>
      </c>
      <c r="Q3006" s="420" t="inlineStr">
        <is>
          <t>元件</t>
        </is>
      </c>
      <c r="R3006" s="231" t="inlineStr"/>
      <c r="S3006" s="231" t="inlineStr"/>
      <c r="T3006" s="231" t="inlineStr">
        <is>
          <t>0</t>
        </is>
      </c>
      <c r="U3006" s="231" t="inlineStr">
        <is>
          <t>XB2BVM3LC</t>
        </is>
      </c>
      <c r="V3006" s="421" t="n"/>
      <c r="W3006" s="421" t="n"/>
      <c r="X3006" s="166" t="inlineStr">
        <is>
          <t>XA2EVM3LC</t>
        </is>
      </c>
    </row>
    <row r="3007" customFormat="1" s="3">
      <c r="A3007" s="64">
        <f>ROW()-ROW(A$2997)</f>
        <v/>
      </c>
      <c r="B3007" s="22" t="inlineStr">
        <is>
          <t>指示灯</t>
        </is>
      </c>
      <c r="C3007" s="22" t="inlineStr">
        <is>
          <t>XB2BVM4LC</t>
        </is>
      </c>
      <c r="D3007" s="22" t="inlineStr">
        <is>
          <t>甲供/施耐德电气</t>
        </is>
      </c>
      <c r="E3007" s="23" t="inlineStr">
        <is>
          <t>只</t>
        </is>
      </c>
      <c r="F3007" s="23" t="n">
        <v>1</v>
      </c>
      <c r="G3007" s="349">
        <f>IF(AND(B3007="",C3007=""),"",ROUND(M3007*L3007*N3007,2))</f>
        <v/>
      </c>
      <c r="H3007" s="353">
        <f>IF(AND(B3007="",C3007=""),"",ROUND(F3007*G3007,2))</f>
        <v/>
      </c>
      <c r="I3007" s="180" t="inlineStr"/>
      <c r="J3007" s="392">
        <f>IF(AND(B3007="",C3007=""),"",ROUND(M3007*N3007,2))</f>
        <v/>
      </c>
      <c r="K3007" s="393">
        <f>IF(AND(B3007="",C3007=""),"",ROUND(J3007*F3007,2))</f>
        <v/>
      </c>
      <c r="L3007" s="141" t="n">
        <v>1</v>
      </c>
      <c r="M3007" s="394" t="n">
        <v>1e-07</v>
      </c>
      <c r="N3007" s="220" t="n">
        <v>1</v>
      </c>
      <c r="O3007" s="221">
        <f>IF(AND(B3007="",C3007=""),"",IF(G3007&gt;=20000,0.05,IF(G3007&gt;=10000,0.1,IF(G3007&gt;=5000,0.2,IF(G3007&gt;=1000,0.3,IF(G3007&gt;=0,0.4,{0}))))))</f>
        <v/>
      </c>
      <c r="P3007" s="419">
        <f>IF(AND(B3007="",C3007=""),"",ROUND(H3007*O3007,2))</f>
        <v/>
      </c>
      <c r="Q3007" s="420" t="inlineStr">
        <is>
          <t>元件</t>
        </is>
      </c>
      <c r="R3007" s="231" t="inlineStr"/>
      <c r="S3007" s="231" t="inlineStr"/>
      <c r="T3007" s="231" t="inlineStr">
        <is>
          <t>0</t>
        </is>
      </c>
      <c r="U3007" s="231" t="inlineStr">
        <is>
          <t>XB2BVM4LC</t>
        </is>
      </c>
      <c r="V3007" s="421" t="n"/>
      <c r="W3007" s="421" t="n"/>
      <c r="X3007" s="166" t="inlineStr">
        <is>
          <t>XA2EVM4LC</t>
        </is>
      </c>
    </row>
    <row r="3008" s="308">
      <c r="A3008" s="64">
        <f>ROW()-ROW(A$2997)</f>
        <v/>
      </c>
      <c r="B3008" s="112" t="inlineStr">
        <is>
          <t>指示灯</t>
        </is>
      </c>
      <c r="C3008" s="112" t="inlineStr">
        <is>
          <t>XB2BVM5LC</t>
        </is>
      </c>
      <c r="D3008" s="112" t="inlineStr">
        <is>
          <t>甲供/施耐德电气</t>
        </is>
      </c>
      <c r="E3008" s="114" t="inlineStr">
        <is>
          <t>只</t>
        </is>
      </c>
      <c r="F3008" s="114" t="n">
        <v>1</v>
      </c>
      <c r="G3008" s="396">
        <f>IF(AND(B3008="",C3008=""),"",ROUND(M3008*L3008*N3008,2))</f>
        <v/>
      </c>
      <c r="H3008" s="396">
        <f>IF(AND(B3008="",C3008=""),"",ROUND(F3008*G3008,2))</f>
        <v/>
      </c>
      <c r="I3008" s="150" t="inlineStr"/>
      <c r="J3008" s="397">
        <f>IF(AND(B3008="",C3008=""),"",ROUND(M3008*N3008,2))</f>
        <v/>
      </c>
      <c r="K3008" s="398">
        <f>IF(AND(B3008="",C3008=""),"",ROUND(J3008*F3008,2))</f>
        <v/>
      </c>
      <c r="L3008" s="141" t="n">
        <v>1</v>
      </c>
      <c r="M3008" s="399" t="n">
        <v>1e-07</v>
      </c>
      <c r="N3008" s="154" t="n">
        <v>1</v>
      </c>
      <c r="O3008" s="155">
        <f>IF(AND(B3008="",C3008=""),"",IF(G3008&gt;=20000,0.05,IF(G3008&gt;=10000,0.1,IF(G3008&gt;=5000,0.2,IF(G3008&gt;=1000,0.3,IF(G3008&gt;=0,0.4,{0}))))))</f>
        <v/>
      </c>
      <c r="P3008" s="400">
        <f>IF(AND(B3008="",C3008=""),"",ROUND(H3008*O3008,2))</f>
        <v/>
      </c>
      <c r="Q3008" s="401" t="inlineStr">
        <is>
          <t>元件</t>
        </is>
      </c>
      <c r="R3008" s="168" t="inlineStr"/>
      <c r="S3008" s="168" t="inlineStr"/>
      <c r="T3008" s="168" t="inlineStr">
        <is>
          <t>0</t>
        </is>
      </c>
      <c r="U3008" s="168" t="inlineStr">
        <is>
          <t>XA2EVM5LC</t>
        </is>
      </c>
      <c r="V3008" s="402" t="n"/>
      <c r="W3008" s="402" t="n"/>
      <c r="X3008" s="170" t="inlineStr"/>
    </row>
    <row r="3009" s="308">
      <c r="A3009" s="64">
        <f>ROW()-ROW(A$2997)</f>
        <v/>
      </c>
      <c r="B3009" s="112" t="inlineStr">
        <is>
          <t>按钮</t>
        </is>
      </c>
      <c r="C3009" s="112" t="inlineStr">
        <is>
          <t>XB2BA31C</t>
        </is>
      </c>
      <c r="D3009" s="112" t="inlineStr">
        <is>
          <t>甲供/施耐德电气</t>
        </is>
      </c>
      <c r="E3009" s="114" t="inlineStr">
        <is>
          <t>只</t>
        </is>
      </c>
      <c r="F3009" s="114" t="n">
        <v>1</v>
      </c>
      <c r="G3009" s="396">
        <f>IF(AND(B3009="",C3009=""),"",ROUND(M3009*L3009*N3009,2))</f>
        <v/>
      </c>
      <c r="H3009" s="396">
        <f>IF(AND(B3009="",C3009=""),"",ROUND(F3009*G3009,2))</f>
        <v/>
      </c>
      <c r="I3009" s="150" t="inlineStr"/>
      <c r="J3009" s="397">
        <f>IF(AND(B3009="",C3009=""),"",ROUND(M3009*N3009,2))</f>
        <v/>
      </c>
      <c r="K3009" s="398">
        <f>IF(AND(B3009="",C3009=""),"",ROUND(J3009*F3009,2))</f>
        <v/>
      </c>
      <c r="L3009" s="141" t="n">
        <v>1</v>
      </c>
      <c r="M3009" s="399" t="n">
        <v>1e-07</v>
      </c>
      <c r="N3009" s="154" t="n">
        <v>1</v>
      </c>
      <c r="O3009" s="155">
        <f>IF(AND(B3009="",C3009=""),"",IF(G3009&gt;=20000,0.05,IF(G3009&gt;=10000,0.1,IF(G3009&gt;=5000,0.2,IF(G3009&gt;=1000,0.3,IF(G3009&gt;=0,0.4,{0}))))))</f>
        <v/>
      </c>
      <c r="P3009" s="400">
        <f>IF(AND(B3009="",C3009=""),"",ROUND(H3009*O3009,2))</f>
        <v/>
      </c>
      <c r="Q3009" s="401" t="inlineStr">
        <is>
          <t>元件</t>
        </is>
      </c>
      <c r="R3009" s="168" t="inlineStr"/>
      <c r="S3009" s="168" t="inlineStr"/>
      <c r="T3009" s="168" t="inlineStr">
        <is>
          <t>0</t>
        </is>
      </c>
      <c r="U3009" s="168" t="inlineStr">
        <is>
          <t>XB2BA31C</t>
        </is>
      </c>
      <c r="V3009" s="402" t="n"/>
      <c r="W3009" s="402" t="n"/>
      <c r="X3009" s="170" t="inlineStr">
        <is>
          <t>XA2EA31</t>
        </is>
      </c>
    </row>
    <row r="3010" s="308">
      <c r="A3010" s="64">
        <f>ROW()-ROW(A$2997)</f>
        <v/>
      </c>
      <c r="B3010" s="22" t="inlineStr">
        <is>
          <t>按钮</t>
        </is>
      </c>
      <c r="C3010" s="22" t="inlineStr">
        <is>
          <t>XB2BA42C</t>
        </is>
      </c>
      <c r="D3010" s="22" t="inlineStr">
        <is>
          <t>甲供/施耐德电气</t>
        </is>
      </c>
      <c r="E3010" s="23" t="inlineStr">
        <is>
          <t>只</t>
        </is>
      </c>
      <c r="F3010" s="23" t="n">
        <v>1</v>
      </c>
      <c r="G3010" s="349">
        <f>IF(AND(B3010="",C3010=""),"",ROUND(M3010*L3010*N3010,2))</f>
        <v/>
      </c>
      <c r="H3010" s="396">
        <f>IF(AND(B3010="",C3010=""),"",ROUND(F3010*G3010,2))</f>
        <v/>
      </c>
      <c r="I3010" s="150" t="inlineStr"/>
      <c r="J3010" s="397">
        <f>IF(AND(B3010="",C3010=""),"",ROUND(M3010*N3010,2))</f>
        <v/>
      </c>
      <c r="K3010" s="398">
        <f>IF(AND(B3010="",C3010=""),"",ROUND(J3010*F3010,2))</f>
        <v/>
      </c>
      <c r="L3010" s="141" t="n">
        <v>1</v>
      </c>
      <c r="M3010" s="399" t="n">
        <v>1e-07</v>
      </c>
      <c r="N3010" s="154" t="n">
        <v>1</v>
      </c>
      <c r="O3010" s="155">
        <f>IF(AND(B3010="",C3010=""),"",IF(G3010&gt;=20000,0.05,IF(G3010&gt;=10000,0.1,IF(G3010&gt;=5000,0.2,IF(G3010&gt;=1000,0.3,IF(G3010&gt;=0,0.4,{0}))))))</f>
        <v/>
      </c>
      <c r="P3010" s="400">
        <f>IF(AND(B3010="",C3010=""),"",ROUND(H3010*O3010,2))</f>
        <v/>
      </c>
      <c r="Q3010" s="401" t="inlineStr">
        <is>
          <t>元件</t>
        </is>
      </c>
      <c r="R3010" s="168" t="inlineStr"/>
      <c r="S3010" s="168" t="inlineStr"/>
      <c r="T3010" s="168" t="inlineStr">
        <is>
          <t>0</t>
        </is>
      </c>
      <c r="U3010" s="168" t="inlineStr">
        <is>
          <t>XB2BA42C</t>
        </is>
      </c>
      <c r="V3010" s="402" t="n"/>
      <c r="W3010" s="402" t="n"/>
      <c r="X3010" s="170" t="inlineStr">
        <is>
          <t>XA2EA41</t>
        </is>
      </c>
    </row>
    <row r="3011" s="308">
      <c r="A3011" s="64">
        <f>ROW()-ROW(A$2997)</f>
        <v/>
      </c>
      <c r="B3011" s="112" t="inlineStr">
        <is>
          <t>温湿度控制器</t>
        </is>
      </c>
      <c r="C3011" s="112" t="inlineStr">
        <is>
          <t>ATH48G-11</t>
        </is>
      </c>
      <c r="D3011" s="22" t="inlineStr">
        <is>
          <t>杭州安廷</t>
        </is>
      </c>
      <c r="E3011" s="23" t="inlineStr">
        <is>
          <t>套</t>
        </is>
      </c>
      <c r="F3011" s="23" t="n">
        <v>1</v>
      </c>
      <c r="G3011" s="349">
        <f>IF(AND(B3011="",C3011=""),"",ROUND(M3011*L3011*N3011,2))</f>
        <v/>
      </c>
      <c r="H3011" s="396">
        <f>IF(AND(B3011="",C3011=""),"",ROUND(F3011*G3011,2))</f>
        <v/>
      </c>
      <c r="I3011" s="150" t="inlineStr"/>
      <c r="J3011" s="397">
        <f>IF(AND(B3011="",C3011=""),"",ROUND(M3011*N3011,2))</f>
        <v/>
      </c>
      <c r="K3011" s="398">
        <f>IF(AND(B3011="",C3011=""),"",ROUND(J3011*F3011,2))</f>
        <v/>
      </c>
      <c r="L3011" s="141" t="n">
        <v>1</v>
      </c>
      <c r="M3011" s="399" t="n">
        <v>450</v>
      </c>
      <c r="N3011" s="154" t="n">
        <v>1</v>
      </c>
      <c r="O3011" s="155">
        <f>IF(AND(B3011="",C3011=""),"",IF(G3011&gt;=20000,0.05,IF(G3011&gt;=10000,0.1,IF(G3011&gt;=5000,0.2,IF(G3011&gt;=1000,0.3,IF(G3011&gt;=0,0.4,{0}))))))</f>
        <v/>
      </c>
      <c r="P3011" s="400">
        <f>IF(AND(B3011="",C3011=""),"",ROUND(H3011*O3011,2))</f>
        <v/>
      </c>
      <c r="Q3011" s="401" t="inlineStr">
        <is>
          <t>元件</t>
        </is>
      </c>
      <c r="R3011" s="168" t="inlineStr"/>
      <c r="S3011" s="168" t="inlineStr"/>
      <c r="T3011" s="168" t="inlineStr">
        <is>
          <t>0</t>
        </is>
      </c>
      <c r="U3011" s="168" t="inlineStr"/>
      <c r="V3011" s="402" t="n"/>
      <c r="W3011" s="402" t="n"/>
      <c r="X3011" s="170" t="inlineStr"/>
    </row>
    <row r="3012" customFormat="1" s="3">
      <c r="A3012" s="64">
        <f>ROW()-ROW(A$2997)</f>
        <v/>
      </c>
      <c r="B3012" s="22" t="inlineStr">
        <is>
          <t>带熔丝端子</t>
        </is>
      </c>
      <c r="C3012" s="22" t="inlineStr">
        <is>
          <t>UK 5-HESI</t>
        </is>
      </c>
      <c r="D3012" s="22" t="inlineStr">
        <is>
          <t>菲尼克斯</t>
        </is>
      </c>
      <c r="E3012" s="23" t="inlineStr">
        <is>
          <t>只</t>
        </is>
      </c>
      <c r="F3012" s="23" t="n">
        <v>4</v>
      </c>
      <c r="G3012" s="349">
        <f>IF(AND(B3012="",C3012=""),"",ROUND(M3012*L3012*N3012,2))</f>
        <v/>
      </c>
      <c r="H3012" s="349">
        <f>IF(AND(B3012="",C3012=""),"",ROUND(F3012*G3012,2))</f>
        <v/>
      </c>
      <c r="I3012" s="45" t="inlineStr"/>
      <c r="J3012" s="392">
        <f>IF(AND(B3012="",C3012=""),"",ROUND(M3012*N3012,2))</f>
        <v/>
      </c>
      <c r="K3012" s="393">
        <f>IF(AND(B3012="",C3012=""),"",ROUND(J3012*F3012,2))</f>
        <v/>
      </c>
      <c r="L3012" s="141" t="n">
        <v>1</v>
      </c>
      <c r="M3012" s="394" t="n">
        <v>7</v>
      </c>
      <c r="N3012" s="220" t="n">
        <v>1</v>
      </c>
      <c r="O3012" s="221">
        <f>IF(AND(B3012="",C3012=""),"",IF(G3012&gt;=20000,0.05,IF(G3012&gt;=10000,0.1,IF(G3012&gt;=5000,0.2,IF(G3012&gt;=1000,0.3,IF(G3012&gt;=0,0.4,{0}))))))</f>
        <v/>
      </c>
      <c r="P3012" s="419">
        <f>IF(AND(B3012="",C3012=""),"",ROUND(H3012*O3012,2))</f>
        <v/>
      </c>
      <c r="Q3012" s="420" t="inlineStr">
        <is>
          <t>元件</t>
        </is>
      </c>
      <c r="R3012" s="231" t="inlineStr"/>
      <c r="S3012" s="231" t="inlineStr"/>
      <c r="T3012" s="231" t="inlineStr">
        <is>
          <t>0</t>
        </is>
      </c>
      <c r="U3012" s="231" t="inlineStr">
        <is>
          <t>True</t>
        </is>
      </c>
      <c r="V3012" s="421" t="n"/>
      <c r="W3012" s="421" t="n"/>
      <c r="X3012" s="166" t="inlineStr"/>
    </row>
    <row r="3013" customFormat="1" s="5">
      <c r="A3013" s="64">
        <f>ROW()-ROW(A$2997)</f>
        <v/>
      </c>
      <c r="B3013" s="22" t="inlineStr">
        <is>
          <t>桩头排</t>
        </is>
      </c>
      <c r="C3013" s="22" t="inlineStr">
        <is>
          <t>TMY 4**2*80*5</t>
        </is>
      </c>
      <c r="D3013" s="22" t="inlineStr">
        <is>
          <t>国产优质</t>
        </is>
      </c>
      <c r="E3013" s="23" t="inlineStr">
        <is>
          <t>米</t>
        </is>
      </c>
      <c r="F3013" s="23" t="n">
        <v>5.4</v>
      </c>
      <c r="G3013" s="349">
        <f>IF(AND(B3013="",C3013=""),"",ROUND(M3013*L3013*N3013,2))</f>
        <v/>
      </c>
      <c r="H3013" s="349">
        <f>IF(AND(B3013="",C3013=""),"",ROUND(F3013*G3013,2))</f>
        <v/>
      </c>
      <c r="I3013" s="45" t="inlineStr"/>
      <c r="J3013" s="422">
        <f>IF(AND(B3013="",C3013=""),"",ROUND(M3013*N3013,2))</f>
        <v/>
      </c>
      <c r="K3013" s="423">
        <f>IF(AND(B3013="",C3013=""),"",ROUND(J3013*F3013,2))</f>
        <v/>
      </c>
      <c r="L3013" s="225" t="n">
        <v>1</v>
      </c>
      <c r="M3013" s="424" t="n">
        <v>1112.4288</v>
      </c>
      <c r="N3013" s="227" t="n">
        <v>1</v>
      </c>
      <c r="O3013" s="228">
        <f>IF(AND(B3013="",C3013=""),"",IF(G3013&gt;=20000,0.05,IF(G3013&gt;=10000,0.1,IF(G3013&gt;=5000,0.2,IF(G3013&gt;=1000,0.3,IF(G3013&gt;=0,0.4,{0}))))))</f>
        <v/>
      </c>
      <c r="P3013" s="425">
        <f>IF(AND(B3013="",C3013=""),"",ROUND(H3013*O3013,2))</f>
        <v/>
      </c>
      <c r="Q3013" s="426" t="inlineStr">
        <is>
          <t>母排</t>
        </is>
      </c>
      <c r="R3013" s="234" t="inlineStr"/>
      <c r="S3013" s="234" t="inlineStr"/>
      <c r="T3013" s="235" t="inlineStr">
        <is>
          <t>0</t>
        </is>
      </c>
      <c r="U3013" s="235" t="inlineStr"/>
      <c r="V3013" s="427" t="n"/>
      <c r="W3013" s="427" t="n"/>
      <c r="X3013" s="237" t="inlineStr">
        <is>
          <t>TMY 2*30*5→TMY 30*8</t>
        </is>
      </c>
    </row>
    <row r="3014" s="308">
      <c r="A3014" s="64">
        <f>ROW()-ROW(A$2997)</f>
        <v/>
      </c>
      <c r="B3014" s="112" t="inlineStr">
        <is>
          <t>辅料</t>
        </is>
      </c>
      <c r="C3014" s="112" t="inlineStr"/>
      <c r="D3014" s="112" t="inlineStr"/>
      <c r="E3014" s="114" t="inlineStr">
        <is>
          <t>套</t>
        </is>
      </c>
      <c r="F3014" s="114" t="n">
        <v>1</v>
      </c>
      <c r="G3014" s="396">
        <f>IF(AND(B3014="",C3014=""),"",ROUND(M3014*L3014*N3014,2))</f>
        <v/>
      </c>
      <c r="H3014" s="396">
        <f>IF(AND(B3014="",C3014=""),"",ROUND(F3014*G3014,2))</f>
        <v/>
      </c>
      <c r="I3014" s="219" t="inlineStr"/>
      <c r="J3014" s="397">
        <f>IF(AND(B3014="",C3014=""),"",ROUND(M3014*N3014,2))</f>
        <v/>
      </c>
      <c r="K3014" s="398">
        <f>IF(AND(B3014="",C3014=""),"",ROUND(J3014*F3014,2))</f>
        <v/>
      </c>
      <c r="L3014" s="200" t="n">
        <v>1</v>
      </c>
      <c r="M3014" s="399" t="n">
        <v>800</v>
      </c>
      <c r="N3014" s="154" t="n">
        <v>1</v>
      </c>
      <c r="O3014" s="155">
        <f>IF(AND(B3014="",C3014=""),"",IF(G3014&gt;=20000,0.05,IF(G3014&gt;=10000,0.1,IF(G3014&gt;=5000,0.2,IF(G3014&gt;=1000,0.3,IF(G3014&gt;=0,0.4,{0}))))))</f>
        <v/>
      </c>
      <c r="P3014" s="400">
        <f>IF(AND(B3014="",C3014=""),"",ROUND(H3014*O3014,2))</f>
        <v/>
      </c>
      <c r="Q3014" s="401" t="inlineStr">
        <is>
          <t>辅料</t>
        </is>
      </c>
      <c r="R3014" s="168" t="inlineStr"/>
      <c r="S3014" s="168" t="inlineStr"/>
      <c r="T3014" s="168" t="inlineStr">
        <is>
          <t>0</t>
        </is>
      </c>
      <c r="U3014" s="168" t="inlineStr"/>
      <c r="V3014" s="402" t="n"/>
      <c r="W3014" s="402" t="n"/>
      <c r="X3014" s="170" t="inlineStr"/>
    </row>
    <row r="3015" s="308">
      <c r="A3015" s="64">
        <f>ROW()-ROW(A$2997)</f>
        <v/>
      </c>
      <c r="B3015" s="112" t="inlineStr">
        <is>
          <t>柜体Blokset</t>
        </is>
      </c>
      <c r="C3015" s="22" t="inlineStr">
        <is>
          <t>900W*1000D*2200H</t>
        </is>
      </c>
      <c r="D3015" s="112" t="inlineStr">
        <is>
          <t>清科</t>
        </is>
      </c>
      <c r="E3015" s="114" t="inlineStr">
        <is>
          <t>台</t>
        </is>
      </c>
      <c r="F3015" s="114" t="n">
        <v>1</v>
      </c>
      <c r="G3015" s="396">
        <f>IF(AND(B3015="",C3015=""),"",ROUND(M3015*L3015*N3015,2))</f>
        <v/>
      </c>
      <c r="H3015" s="396">
        <f>IF(AND(B3015="",C3015=""),"",ROUND(F3015*G3015,2))</f>
        <v/>
      </c>
      <c r="I3015" s="219" t="inlineStr"/>
      <c r="J3015" s="397">
        <f>IF(AND(B3015="",C3015=""),"",ROUND(M3015*N3015,2))</f>
        <v/>
      </c>
      <c r="K3015" s="398">
        <f>IF(AND(B3015="",C3015=""),"",ROUND(J3015*F3015,2))</f>
        <v/>
      </c>
      <c r="L3015" s="200" t="n">
        <v>1</v>
      </c>
      <c r="M3015" s="399" t="n">
        <v>4607</v>
      </c>
      <c r="N3015" s="154" t="n">
        <v>1</v>
      </c>
      <c r="O3015" s="155">
        <f>IF(AND(B3015="",C3015=""),"",IF(G3015&gt;=20000,0.05,IF(G3015&gt;=10000,0.1,IF(G3015&gt;=5000,0.2,IF(G3015&gt;=1000,0.3,IF(G3015&gt;=0,0.4,{0}))))))</f>
        <v/>
      </c>
      <c r="P3015" s="400">
        <f>IF(AND(B3015="",C3015=""),"",ROUND(H3015*O3015,2))</f>
        <v/>
      </c>
      <c r="Q3015" s="401" t="inlineStr">
        <is>
          <t>箱体</t>
        </is>
      </c>
      <c r="R3015" s="168" t="inlineStr"/>
      <c r="S3015" s="168" t="inlineStr"/>
      <c r="T3015" s="168" t="inlineStr">
        <is>
          <t>0</t>
        </is>
      </c>
      <c r="U3015" s="168" t="inlineStr"/>
      <c r="V3015" s="402" t="n"/>
      <c r="W3015" s="402" t="n"/>
      <c r="X3015" s="170" t="inlineStr">
        <is>
          <t>BlokSeT</t>
        </is>
      </c>
    </row>
    <row r="3016" s="308">
      <c r="A3016" s="64">
        <f>ROW()-ROW(A$2997)</f>
        <v/>
      </c>
      <c r="B3016" s="22" t="inlineStr"/>
      <c r="C3016" s="22" t="inlineStr"/>
      <c r="D3016" s="22" t="inlineStr"/>
      <c r="E3016" s="23" t="n"/>
      <c r="F3016" s="23">
        <f>IF(AND(B3016="",C3016=""),"",1)</f>
        <v/>
      </c>
      <c r="G3016" s="349">
        <f>IF(AND(B3016="",C3016=""),"",ROUND(M3016*L3016*N3016,2))</f>
        <v/>
      </c>
      <c r="H3016" s="349">
        <f>IF(AND(B3016="",C3016=""),"",ROUND(F3016*G3016,2))</f>
        <v/>
      </c>
      <c r="I3016" s="45" t="inlineStr"/>
      <c r="J3016" s="397">
        <f>IF(AND(B3016="",C3016=""),"",ROUND(M3016*N3016,2))</f>
        <v/>
      </c>
      <c r="K3016" s="398">
        <f>IF(AND(B3016="",C3016=""),"",ROUND(J3016*F3016,2))</f>
        <v/>
      </c>
      <c r="L3016" s="200">
        <f>IF(AND(B3016="",C3016=""),"",1)</f>
        <v/>
      </c>
      <c r="M3016" s="399" t="n"/>
      <c r="N3016" s="154">
        <f>IF(AND(B3016="",C3016=""),"",1)</f>
        <v/>
      </c>
      <c r="O3016" s="155">
        <f>IF(AND(B3016="",C3016=""),"",IF(J3016&gt;=20000,0.05,IF(J3016&gt;=10000,0.1,IF(J3016&gt;=5000,0.2,IF(J3016&gt;=1000,0.3,IF(J3016&gt;=0,0.4,{0}))))))</f>
        <v/>
      </c>
      <c r="P3016" s="400">
        <f>IF(AND(B3016="",C3016=""),"",ROUND(H3016*O3016,2))</f>
        <v/>
      </c>
      <c r="Q3016" s="401">
        <f>IF(AND(B3016="",C3016=""),"","元件")</f>
        <v/>
      </c>
      <c r="R3016" s="168" t="inlineStr"/>
      <c r="S3016" s="168" t="inlineStr"/>
      <c r="T3016" s="168" t="inlineStr"/>
      <c r="U3016" s="168" t="inlineStr"/>
      <c r="V3016" s="402" t="n"/>
      <c r="W3016" s="402" t="n"/>
      <c r="X3016" s="170" t="inlineStr"/>
    </row>
    <row r="3017" s="308">
      <c r="A3017" s="64">
        <f>ROW()-ROW(A$2997)</f>
        <v/>
      </c>
      <c r="B3017" s="171" t="inlineStr">
        <is>
          <t>小计</t>
        </is>
      </c>
      <c r="C3017" s="172" t="n"/>
      <c r="D3017" s="204" t="n"/>
      <c r="E3017" s="114" t="n"/>
      <c r="F3017" s="114" t="n"/>
      <c r="G3017" s="396" t="n"/>
      <c r="H3017" s="396">
        <f>ROUND(SUM(H2997:INDEX(H:H,ROW()-1)),2)</f>
        <v/>
      </c>
      <c r="I3017" s="45" t="inlineStr"/>
      <c r="J3017" s="397" t="n"/>
      <c r="K3017" s="398">
        <f>ROUND(SUM(K2997:INDEX(K:K,ROW()-1)),2)</f>
        <v/>
      </c>
      <c r="L3017" s="200" t="n"/>
      <c r="M3017" s="399" t="n"/>
      <c r="N3017" s="154" t="n"/>
      <c r="O3017" s="155" t="n"/>
      <c r="P3017" s="400" t="n"/>
      <c r="Q3017" s="401" t="n"/>
      <c r="R3017" s="168" t="inlineStr"/>
      <c r="S3017" s="168" t="inlineStr"/>
      <c r="T3017" s="168" t="inlineStr"/>
      <c r="U3017" s="168" t="inlineStr"/>
      <c r="V3017" s="402">
        <f>ROUND(SUMPRODUCT(F2997:INDEX(F:F,ROW()-1),V2997:INDEX(V:V,ROW()-1)),2)</f>
        <v/>
      </c>
      <c r="W3017" s="402">
        <f>ROUND(SUMPRODUCT(F2997:INDEX(F:F,ROW()-1),W2997:INDEX(W:W,ROW()-1)),2)</f>
        <v/>
      </c>
      <c r="X3017" s="170" t="inlineStr"/>
    </row>
    <row r="3018" s="308">
      <c r="A3018" s="64">
        <f>ROW()-ROW(A$2997)</f>
        <v/>
      </c>
      <c r="B3018" s="171" t="inlineStr">
        <is>
          <t>综合费(人工、管理、税金、利润等)</t>
        </is>
      </c>
      <c r="C3018" s="172" t="n"/>
      <c r="D3018" s="204" t="n"/>
      <c r="E3018" s="114" t="n"/>
      <c r="F3018" s="114" t="n"/>
      <c r="G3018" s="396" t="n"/>
      <c r="H3018" s="396">
        <f>2500</f>
        <v/>
      </c>
      <c r="I3018" s="45" t="inlineStr"/>
      <c r="J3018" s="397" t="n"/>
      <c r="K3018" s="398" t="n"/>
      <c r="L3018" s="200" t="n"/>
      <c r="M3018" s="399" t="n"/>
      <c r="N3018" s="154" t="n"/>
      <c r="O3018" s="155" t="n"/>
      <c r="P3018" s="400" t="n"/>
      <c r="Q3018" s="401" t="inlineStr">
        <is>
          <t>费用</t>
        </is>
      </c>
      <c r="R3018" s="168" t="inlineStr"/>
      <c r="S3018" s="168" t="inlineStr"/>
      <c r="T3018" s="168" t="inlineStr"/>
      <c r="U3018" s="168" t="inlineStr"/>
      <c r="V3018" s="402" t="n"/>
      <c r="W3018" s="402" t="n"/>
      <c r="X3018" s="170" t="inlineStr"/>
    </row>
    <row r="3019" s="308">
      <c r="A3019" s="64">
        <f>ROW()-ROW(A$2997)</f>
        <v/>
      </c>
      <c r="B3019" s="204" t="inlineStr">
        <is>
          <t>单台合计</t>
        </is>
      </c>
      <c r="C3019" s="172" t="n"/>
      <c r="D3019" s="204" t="n"/>
      <c r="E3019" s="114" t="n"/>
      <c r="F3019" s="114" t="n"/>
      <c r="G3019" s="396" t="n"/>
      <c r="H3019" s="396">
        <f>ROUND(SUM(H3017:H3018),2)</f>
        <v/>
      </c>
      <c r="I3019" s="181" t="n"/>
      <c r="J3019" s="397" t="n"/>
      <c r="K3019" s="398">
        <f>ROUND(SUM(K3017:K3018),2)</f>
        <v/>
      </c>
      <c r="L3019" s="209" t="n"/>
      <c r="M3019" s="399" t="n"/>
      <c r="N3019" s="210" t="n"/>
      <c r="O3019" s="211" t="n"/>
      <c r="P3019" s="400" t="n"/>
      <c r="Q3019" s="401" t="n"/>
      <c r="R3019" s="168" t="inlineStr"/>
      <c r="S3019" s="168" t="inlineStr"/>
      <c r="T3019" s="168" t="inlineStr"/>
      <c r="U3019" s="168" t="inlineStr"/>
      <c r="V3019" s="402" t="n"/>
      <c r="W3019" s="402" t="n"/>
      <c r="X3019" s="170" t="inlineStr"/>
    </row>
    <row r="3020" s="308">
      <c r="A3020" s="173" t="inlineStr">
        <is>
          <t>总计</t>
        </is>
      </c>
      <c r="B3020" s="205" t="n"/>
      <c r="C3020" s="175" t="n"/>
      <c r="D3020" s="206" t="n"/>
      <c r="E3020" s="206" t="inlineStr">
        <is>
          <t>台</t>
        </is>
      </c>
      <c r="F3020" s="206" t="n">
        <v>4</v>
      </c>
      <c r="G3020" s="414">
        <f>ROUND(H3019,2)</f>
        <v/>
      </c>
      <c r="H3020" s="414">
        <f>ROUND(F3020*G3020,2)</f>
        <v/>
      </c>
      <c r="I3020" s="185" t="n"/>
      <c r="J3020" s="415" t="n"/>
      <c r="K3020" s="416">
        <f>ROUND(K3019*F3020,2)</f>
        <v/>
      </c>
      <c r="L3020" s="214" t="n"/>
      <c r="M3020" s="417" t="n"/>
      <c r="N3020" s="216" t="n"/>
      <c r="O3020" s="217" t="n"/>
      <c r="P3020" s="418" t="n"/>
      <c r="Q3020" s="401" t="n"/>
      <c r="R3020" s="168" t="inlineStr"/>
      <c r="S3020" s="168" t="inlineStr"/>
      <c r="T3020" s="168" t="inlineStr"/>
      <c r="U3020" s="168" t="inlineStr"/>
      <c r="V3020" s="402" t="n"/>
      <c r="W3020" s="402" t="n"/>
      <c r="X3020" s="170" t="inlineStr"/>
    </row>
    <row r="3021" customFormat="1" s="4">
      <c r="A3021" s="6" t="n"/>
      <c r="B3021" s="195" t="inlineStr"/>
      <c r="C3021" s="195" t="inlineStr"/>
      <c r="D3021" s="195" t="inlineStr"/>
      <c r="Q3021" s="159" t="n"/>
      <c r="R3021" s="159" t="n"/>
      <c r="S3021" s="159" t="n"/>
      <c r="T3021" s="159" t="n"/>
      <c r="U3021" s="159" t="n"/>
      <c r="X3021" s="195" t="inlineStr"/>
    </row>
    <row r="3022" customFormat="1" s="4">
      <c r="A3022" s="6" t="n"/>
      <c r="B3022" s="195" t="inlineStr"/>
      <c r="C3022" s="195" t="inlineStr"/>
      <c r="D3022" s="195" t="inlineStr"/>
      <c r="Q3022" s="159" t="n"/>
      <c r="R3022" s="159" t="n"/>
      <c r="S3022" s="159" t="n"/>
      <c r="T3022" s="159" t="n"/>
      <c r="U3022" s="159" t="n"/>
      <c r="X3022" s="195" t="inlineStr"/>
    </row>
    <row r="3023" s="308">
      <c r="A3023" s="208">
        <f>CONCATENATE("报价人：",项目信息!$B$8)</f>
        <v/>
      </c>
      <c r="B3023" s="208" t="n"/>
      <c r="C3023" s="4" t="n"/>
      <c r="D3023" s="4" t="n"/>
      <c r="E3023" s="4" t="n"/>
      <c r="F3023" s="4" t="n"/>
      <c r="G3023" s="4" t="n"/>
      <c r="H3023" s="178">
        <f>项目信息!$B$9</f>
        <v/>
      </c>
      <c r="Q3023" s="159" t="n"/>
      <c r="R3023" s="159" t="n"/>
      <c r="S3023" s="159" t="n"/>
      <c r="T3023" s="159" t="n"/>
      <c r="U3023" s="159" t="n"/>
      <c r="X3023" s="203" t="inlineStr"/>
    </row>
    <row r="3024" s="308">
      <c r="A3024" s="8">
        <f>T(项目信息!$B$22)</f>
        <v/>
      </c>
      <c r="Q3024" s="159" t="n"/>
      <c r="R3024" s="159" t="n"/>
      <c r="S3024" s="159" t="n"/>
      <c r="T3024" s="159" t="n"/>
      <c r="U3024" s="159" t="n"/>
    </row>
    <row r="3025" s="308">
      <c r="A3025" s="9">
        <f>T(项目信息!$B$23)</f>
        <v/>
      </c>
      <c r="Q3025" s="159" t="n"/>
      <c r="R3025" s="159" t="n"/>
      <c r="S3025" s="159" t="n"/>
      <c r="T3025" s="159" t="n"/>
      <c r="U3025" s="159" t="n"/>
    </row>
    <row r="3026" s="308">
      <c r="A3026" s="97" t="inlineStr">
        <is>
          <t>成套产品报价明细表</t>
        </is>
      </c>
      <c r="B3026" s="378" t="n"/>
      <c r="C3026" s="378" t="n"/>
      <c r="D3026" s="378" t="n"/>
      <c r="E3026" s="378" t="n"/>
      <c r="F3026" s="378" t="n"/>
      <c r="G3026" s="378" t="n"/>
      <c r="H3026" s="378" t="n"/>
      <c r="I3026" s="378" t="n"/>
      <c r="Q3026" s="159" t="n"/>
      <c r="R3026" s="159" t="n"/>
      <c r="S3026" s="159" t="n"/>
      <c r="T3026" s="159" t="n"/>
      <c r="U3026" s="159" t="n"/>
    </row>
    <row r="3027" customFormat="1" s="4">
      <c r="A3027" s="98" t="inlineStr">
        <is>
          <t>柜号:</t>
        </is>
      </c>
      <c r="B3027" s="99" t="inlineStr">
        <is>
          <t>A/B-CHWPB-01/02</t>
        </is>
      </c>
      <c r="C3027" s="100" t="inlineStr">
        <is>
          <t>型号:</t>
        </is>
      </c>
      <c r="D3027" s="99" t="inlineStr">
        <is>
          <t>BlokSeT</t>
        </is>
      </c>
      <c r="E3027" s="379" t="n"/>
      <c r="F3027" s="101" t="inlineStr">
        <is>
          <t>名称:</t>
        </is>
      </c>
      <c r="G3027" s="99" t="inlineStr">
        <is>
          <t>变频软启柜</t>
        </is>
      </c>
      <c r="H3027" s="379" t="n"/>
      <c r="I3027" s="408" t="inlineStr"/>
      <c r="J3027" s="194" t="inlineStr">
        <is>
          <t>箱柜尺寸:</t>
        </is>
      </c>
      <c r="K3027" s="195" t="inlineStr">
        <is>
          <t>1200W*1000D*2200H</t>
        </is>
      </c>
      <c r="L3027" s="194" t="inlineStr">
        <is>
          <t>类别:</t>
        </is>
      </c>
      <c r="M3027" s="195" t="inlineStr">
        <is>
          <t>低压固定柜</t>
        </is>
      </c>
      <c r="N3027" s="409" t="inlineStr"/>
      <c r="Q3027" s="159" t="n"/>
      <c r="R3027" s="159" t="n"/>
      <c r="S3027" s="159" t="n"/>
      <c r="T3027" s="159" t="n"/>
      <c r="U3027" s="159" t="n"/>
    </row>
    <row r="3028" ht="20.1" customHeight="1" s="308">
      <c r="A3028" s="102" t="inlineStr">
        <is>
          <t>序号</t>
        </is>
      </c>
      <c r="B3028" s="103" t="inlineStr">
        <is>
          <t>元件名称</t>
        </is>
      </c>
      <c r="C3028" s="103" t="inlineStr">
        <is>
          <t>型号规格</t>
        </is>
      </c>
      <c r="D3028" s="104" t="inlineStr">
        <is>
          <t>生产厂家</t>
        </is>
      </c>
      <c r="E3028" s="105" t="inlineStr">
        <is>
          <t>单位</t>
        </is>
      </c>
      <c r="F3028" s="105" t="inlineStr">
        <is>
          <t>数量</t>
        </is>
      </c>
      <c r="G3028" s="382" t="inlineStr">
        <is>
          <t>单   价</t>
        </is>
      </c>
      <c r="H3028" s="383" t="inlineStr">
        <is>
          <t>总   价</t>
        </is>
      </c>
      <c r="I3028" s="134" t="inlineStr">
        <is>
          <t>备注</t>
        </is>
      </c>
      <c r="J3028" s="384" t="inlineStr">
        <is>
          <t>成本单价</t>
        </is>
      </c>
      <c r="K3028" s="384" t="inlineStr">
        <is>
          <t>成本总价</t>
        </is>
      </c>
      <c r="L3028" s="136" t="inlineStr">
        <is>
          <t>报出
系数</t>
        </is>
      </c>
      <c r="M3028" s="384" t="inlineStr">
        <is>
          <t>表价</t>
        </is>
      </c>
      <c r="N3028" s="136" t="inlineStr">
        <is>
          <t>折扣
系数</t>
        </is>
      </c>
      <c r="O3028" s="137" t="inlineStr">
        <is>
          <t>取费
系数</t>
        </is>
      </c>
      <c r="P3028" s="384" t="inlineStr">
        <is>
          <t>成套费</t>
        </is>
      </c>
      <c r="Q3028" s="161" t="inlineStr">
        <is>
          <t>类别</t>
        </is>
      </c>
      <c r="R3028" s="161" t="inlineStr">
        <is>
          <t>物料编码</t>
        </is>
      </c>
      <c r="S3028" s="161" t="inlineStr">
        <is>
          <t>产地</t>
        </is>
      </c>
      <c r="T3028" s="161" t="inlineStr">
        <is>
          <t>加工费</t>
        </is>
      </c>
      <c r="U3028" s="161" t="inlineStr">
        <is>
          <t>订货号</t>
        </is>
      </c>
      <c r="V3028" s="161" t="inlineStr">
        <is>
          <t>人工</t>
        </is>
      </c>
      <c r="W3028" s="161" t="inlineStr">
        <is>
          <t>辅料</t>
        </is>
      </c>
      <c r="X3028" s="203" t="inlineStr"/>
    </row>
    <row r="3029" s="308">
      <c r="A3029" s="64">
        <f>ROW()-ROW(A$3028)</f>
        <v/>
      </c>
      <c r="B3029" s="22" t="inlineStr">
        <is>
          <t>隔离开关</t>
        </is>
      </c>
      <c r="C3029" s="22" t="inlineStr">
        <is>
          <t>NSX400NA 3P</t>
        </is>
      </c>
      <c r="D3029" s="22" t="inlineStr">
        <is>
          <t>甲供/施耐德电气</t>
        </is>
      </c>
      <c r="E3029" s="23" t="inlineStr">
        <is>
          <t>只</t>
        </is>
      </c>
      <c r="F3029" s="23" t="n">
        <v>4</v>
      </c>
      <c r="G3029" s="349">
        <f>IF(AND(B3029="",C3029=""),"",ROUND(M3029*L3029*N3029,2))</f>
        <v/>
      </c>
      <c r="H3029" s="349">
        <f>IF(AND(B3029="",C3029=""),"",ROUND(F3029*G3029,2))</f>
        <v/>
      </c>
      <c r="I3029" s="45" t="inlineStr"/>
      <c r="J3029" s="397">
        <f>IF(AND(B3029="",C3029=""),"",ROUND(M3029*N3029,2))</f>
        <v/>
      </c>
      <c r="K3029" s="398">
        <f>IF(AND(B3029="",C3029=""),"",ROUND(J3029*F3029,2))</f>
        <v/>
      </c>
      <c r="L3029" s="200" t="n">
        <v>1</v>
      </c>
      <c r="M3029" s="399" t="n">
        <v>1e-07</v>
      </c>
      <c r="N3029" s="154" t="n">
        <v>1</v>
      </c>
      <c r="O3029" s="155">
        <f>IF(AND(B3029="",C3029=""),"",IF(G3029&gt;=20000,0.05,IF(G3029&gt;=10000,0.1,IF(G3029&gt;=5000,0.2,IF(G3029&gt;=1000,0.3,IF(G3029&gt;=0,0.4,{0}))))))</f>
        <v/>
      </c>
      <c r="P3029" s="400">
        <f>IF(AND(B3029="",C3029=""),"",ROUND(H3029*O3029,2))</f>
        <v/>
      </c>
      <c r="Q3029" s="401" t="inlineStr">
        <is>
          <t>元件</t>
        </is>
      </c>
      <c r="R3029" s="168" t="inlineStr"/>
      <c r="S3029" s="168" t="inlineStr"/>
      <c r="T3029" s="168" t="inlineStr">
        <is>
          <t>0</t>
        </is>
      </c>
      <c r="U3029" s="168" t="inlineStr">
        <is>
          <t>C16F32D160</t>
        </is>
      </c>
      <c r="V3029" s="402" t="n"/>
      <c r="W3029" s="402" t="n"/>
      <c r="X3029" s="170" t="inlineStr">
        <is>
          <t>NSX630N Mic2.3 630A 3P3D F→NSX630F MIC2.3 630 3P F→NSX630F MIC 2.3 630 3P F</t>
        </is>
      </c>
    </row>
    <row r="3030" s="308">
      <c r="A3030" s="64">
        <f>ROW()-ROW(A$3028)</f>
        <v/>
      </c>
      <c r="B3030" s="22" t="inlineStr">
        <is>
          <t>通讯模块</t>
        </is>
      </c>
      <c r="C3030" s="22" t="inlineStr">
        <is>
          <t>PROFIBUS DP 通讯卡</t>
        </is>
      </c>
      <c r="D3030" s="22" t="inlineStr">
        <is>
          <t>甲供/施耐德电气</t>
        </is>
      </c>
      <c r="E3030" s="23" t="inlineStr">
        <is>
          <t>只</t>
        </is>
      </c>
      <c r="F3030" s="23" t="n">
        <v>2</v>
      </c>
      <c r="G3030" s="349">
        <f>IF(AND(B3030="",C3030=""),"",ROUND(M3030*L3030*N3030,2))</f>
        <v/>
      </c>
      <c r="H3030" s="349">
        <f>IF(AND(B3030="",C3030=""),"",ROUND(F3030*G3030,2))</f>
        <v/>
      </c>
      <c r="I3030" s="45" t="inlineStr"/>
      <c r="J3030" s="397">
        <f>IF(AND(B3030="",C3030=""),"",ROUND(M3030*N3030,2))</f>
        <v/>
      </c>
      <c r="K3030" s="398">
        <f>IF(AND(B3030="",C3030=""),"",ROUND(J3030*F3030,2))</f>
        <v/>
      </c>
      <c r="L3030" s="200" t="n">
        <v>1</v>
      </c>
      <c r="M3030" s="399" t="n">
        <v>1e-07</v>
      </c>
      <c r="N3030" s="154" t="n">
        <v>1</v>
      </c>
      <c r="O3030" s="155">
        <f>IF(AND(B3030="",C3030=""),"",IF(G3030&gt;=20000,0.05,IF(G3030&gt;=10000,0.1,IF(G3030&gt;=5000,0.2,IF(G3030&gt;=1000,0.3,IF(G3030&gt;=0,0.4,{0}))))))</f>
        <v/>
      </c>
      <c r="P3030" s="400">
        <f>IF(AND(B3030="",C3030=""),"",ROUND(H3030*O3030,2))</f>
        <v/>
      </c>
      <c r="Q3030" s="401" t="inlineStr">
        <is>
          <t>元件</t>
        </is>
      </c>
      <c r="R3030" s="168" t="inlineStr"/>
      <c r="S3030" s="168" t="inlineStr"/>
      <c r="T3030" s="168" t="n">
        <v>0</v>
      </c>
      <c r="U3030" s="168" t="inlineStr"/>
      <c r="V3030" s="402" t="n"/>
      <c r="W3030" s="402" t="n"/>
      <c r="X3030" s="170" t="inlineStr"/>
    </row>
    <row r="3031" s="308">
      <c r="A3031" s="64">
        <f>ROW()-ROW(A$3028)</f>
        <v/>
      </c>
      <c r="B3031" s="22" t="inlineStr">
        <is>
          <t>双电源开关</t>
        </is>
      </c>
      <c r="C3031" s="22" t="inlineStr">
        <is>
          <t>WTS400/4DL 400A 4P D控制器</t>
        </is>
      </c>
      <c r="D3031" s="22" t="inlineStr">
        <is>
          <t>甲供/施耐德万高</t>
        </is>
      </c>
      <c r="E3031" s="110" t="inlineStr">
        <is>
          <t>只</t>
        </is>
      </c>
      <c r="F3031" s="23" t="n">
        <v>1</v>
      </c>
      <c r="G3031" s="349">
        <f>IF(AND(B3031="",C3031=""),"",ROUND(M3031*L3031*N3031,2))</f>
        <v/>
      </c>
      <c r="H3031" s="349">
        <f>IF(AND(B3031="",C3031=""),"",ROUND(F3031*G3031,2))</f>
        <v/>
      </c>
      <c r="I3031" s="45" t="inlineStr"/>
      <c r="J3031" s="397">
        <f>IF(AND(B3031="",C3031=""),"",ROUND(M3031*N3031,2))</f>
        <v/>
      </c>
      <c r="K3031" s="398">
        <f>IF(AND(B3031="",C3031=""),"",ROUND(J3031*F3031,2))</f>
        <v/>
      </c>
      <c r="L3031" s="200" t="n">
        <v>1</v>
      </c>
      <c r="M3031" s="399" t="n">
        <v>1e-07</v>
      </c>
      <c r="N3031" s="154" t="n">
        <v>1</v>
      </c>
      <c r="O3031" s="155">
        <f>IF(AND(B3031="",C3031=""),"",IF(G3031&gt;=20000,0.05,IF(G3031&gt;=10000,0.1,IF(G3031&gt;=5000,0.2,IF(G3031&gt;=1000,0.3,IF(G3031&gt;=0,0.4,{0}))))))</f>
        <v/>
      </c>
      <c r="P3031" s="400">
        <f>IF(AND(B3031="",C3031=""),"",ROUND(H3031*O3031,2))</f>
        <v/>
      </c>
      <c r="Q3031" s="401" t="inlineStr">
        <is>
          <t>元件</t>
        </is>
      </c>
      <c r="R3031" s="168" t="inlineStr"/>
      <c r="S3031" s="168" t="inlineStr"/>
      <c r="T3031" s="168" t="n">
        <v>0</v>
      </c>
      <c r="U3031" s="168" t="inlineStr"/>
      <c r="V3031" s="402" t="n"/>
      <c r="W3031" s="402" t="n"/>
      <c r="X3031" s="170" t="inlineStr"/>
    </row>
    <row r="3032" s="308">
      <c r="A3032" s="64">
        <f>ROW()-ROW(A$3028)</f>
        <v/>
      </c>
      <c r="B3032" s="22" t="inlineStr">
        <is>
          <t>电流互感器</t>
        </is>
      </c>
      <c r="C3032" s="22" t="inlineStr">
        <is>
          <t>SD-0.66-40II-C 400/5A</t>
        </is>
      </c>
      <c r="D3032" s="22" t="inlineStr">
        <is>
          <t>桑迪</t>
        </is>
      </c>
      <c r="E3032" s="23" t="inlineStr">
        <is>
          <t>只</t>
        </is>
      </c>
      <c r="F3032" s="23" t="n">
        <v>3</v>
      </c>
      <c r="G3032" s="349">
        <f>IF(AND(B3032="",C3032=""),"",ROUND(M3032*L3032*N3032,2))</f>
        <v/>
      </c>
      <c r="H3032" s="396">
        <f>IF(AND(B3032="",C3032=""),"",ROUND(F3032*G3032,2))</f>
        <v/>
      </c>
      <c r="I3032" s="219" t="inlineStr"/>
      <c r="J3032" s="397">
        <f>IF(AND(B3032="",C3032=""),"",ROUND(M3032*N3032,2))</f>
        <v/>
      </c>
      <c r="K3032" s="398">
        <f>IF(AND(B3032="",C3032=""),"",ROUND(J3032*F3032,2))</f>
        <v/>
      </c>
      <c r="L3032" s="200" t="n">
        <v>1</v>
      </c>
      <c r="M3032" s="399" t="n">
        <v>52</v>
      </c>
      <c r="N3032" s="154" t="n">
        <v>1</v>
      </c>
      <c r="O3032" s="155">
        <f>IF(AND(B3032="",C3032=""),"",IF(G3032&gt;=20000,0.05,IF(G3032&gt;=10000,0.1,IF(G3032&gt;=5000,0.2,IF(G3032&gt;=1000,0.3,IF(G3032&gt;=0,0.4,{0}))))))</f>
        <v/>
      </c>
      <c r="P3032" s="400">
        <f>IF(AND(B3032="",C3032=""),"",ROUND(H3032*O3032,2))</f>
        <v/>
      </c>
      <c r="Q3032" s="401" t="inlineStr">
        <is>
          <t>元件</t>
        </is>
      </c>
      <c r="R3032" s="168" t="inlineStr"/>
      <c r="S3032" s="168" t="inlineStr"/>
      <c r="T3032" s="168" t="inlineStr">
        <is>
          <t>0</t>
        </is>
      </c>
      <c r="U3032" s="168" t="inlineStr">
        <is>
          <t>710140200000049</t>
        </is>
      </c>
      <c r="V3032" s="402" t="n"/>
      <c r="W3032" s="402" t="n"/>
      <c r="X3032" s="170" t="inlineStr">
        <is>
          <t>SD→SD-0.66-40II-C 400/5A→SD-0.66-30I 250/5A→SD-0.66-30I 150/5A→SD-0.66-60II-C 750/5A→SD-0.66-60II-C 600/5A→SD-0.66-30I 150/5A→SD-0.66-40II-C 400/5A→SD-0.66-100II-C 1600/5A→SD-0.66-80II-V 1000/5A→SD-0.66-80II-V 1250/5A→SD-0.66-80II-V 1000/5A→SD-0.66-80II-V 800/5A→SD-0.66-100II-C 1600/5A</t>
        </is>
      </c>
    </row>
    <row r="3033" s="308">
      <c r="A3033" s="64">
        <f>ROW()-ROW(A$3028)</f>
        <v/>
      </c>
      <c r="B3033" s="112" t="inlineStr">
        <is>
          <t>多功能表</t>
        </is>
      </c>
      <c r="C3033" s="112" t="inlineStr">
        <is>
          <t>PM4101</t>
        </is>
      </c>
      <c r="D3033" s="112" t="inlineStr">
        <is>
          <t>甲供/施耐德电气</t>
        </is>
      </c>
      <c r="E3033" s="114" t="inlineStr">
        <is>
          <t>只</t>
        </is>
      </c>
      <c r="F3033" s="114" t="n">
        <v>1</v>
      </c>
      <c r="G3033" s="396">
        <f>IF(AND(B3033="",C3033=""),"",ROUND(M3033*L3033*N3033,2))</f>
        <v/>
      </c>
      <c r="H3033" s="349">
        <f>IF(AND(B3033="",C3033=""),"",ROUND(F3033*G3033,2))</f>
        <v/>
      </c>
      <c r="I3033" s="45" t="inlineStr"/>
      <c r="J3033" s="397">
        <f>IF(AND(B3033="",C3033=""),"",ROUND(M3033*N3033,2))</f>
        <v/>
      </c>
      <c r="K3033" s="398">
        <f>IF(AND(B3033="",C3033=""),"",ROUND(J3033*F3033,2))</f>
        <v/>
      </c>
      <c r="L3033" s="200" t="n">
        <v>1</v>
      </c>
      <c r="M3033" s="399" t="n">
        <v>1e-07</v>
      </c>
      <c r="N3033" s="154" t="n">
        <v>1</v>
      </c>
      <c r="O3033" s="155">
        <f>IF(AND(B3033="",C3033=""),"",IF(J3033&gt;=20000,0.05,IF(J3033&gt;=10000,0.1,IF(J3033&gt;=5000,0.2,IF(J3033&gt;=1000,0.3,IF(J3033&gt;=0,0.4,{0}))))))</f>
        <v/>
      </c>
      <c r="P3033" s="400">
        <f>IF(AND(B3033="",C3033=""),"",ROUND(H3033*O3033,2))</f>
        <v/>
      </c>
      <c r="Q3033" s="401" t="inlineStr">
        <is>
          <t>元件</t>
        </is>
      </c>
      <c r="R3033" s="168" t="inlineStr"/>
      <c r="S3033" s="168" t="inlineStr"/>
      <c r="T3033" s="168" t="inlineStr">
        <is>
          <t>0</t>
        </is>
      </c>
      <c r="U3033" s="168" t="inlineStr"/>
      <c r="V3033" s="402" t="n"/>
      <c r="W3033" s="402" t="n"/>
      <c r="X3033" s="170" t="inlineStr"/>
    </row>
    <row r="3034" customFormat="1" s="3">
      <c r="A3034" s="64">
        <f>ROW()-ROW(A$3028)</f>
        <v/>
      </c>
      <c r="B3034" s="27" t="inlineStr">
        <is>
          <t>后备保护器</t>
        </is>
      </c>
      <c r="C3034" s="22" t="inlineStr">
        <is>
          <t>iSCB1 25L1 4P</t>
        </is>
      </c>
      <c r="D3034" s="22" t="inlineStr">
        <is>
          <t>甲供/施耐德万高</t>
        </is>
      </c>
      <c r="E3034" s="110" t="inlineStr">
        <is>
          <t>只</t>
        </is>
      </c>
      <c r="F3034" s="23" t="n">
        <v>1</v>
      </c>
      <c r="G3034" s="349">
        <f>IF(AND(B3034="",C3034=""),"",ROUND(M3034*L3034*N3034,2))</f>
        <v/>
      </c>
      <c r="H3034" s="349">
        <f>IF(AND(B3034="",C3034=""),"",ROUND(F3034*G3034,2))</f>
        <v/>
      </c>
      <c r="I3034" s="45" t="inlineStr"/>
      <c r="J3034" s="392">
        <f>IF(AND(B3034="",C3034=""),"",ROUND(M3034*N3034,2))</f>
        <v/>
      </c>
      <c r="K3034" s="393">
        <f>IF(AND(B3034="",C3034=""),"",ROUND(J3034*F3034,2))</f>
        <v/>
      </c>
      <c r="L3034" s="141" t="n">
        <v>1</v>
      </c>
      <c r="M3034" s="394" t="n">
        <v>1e-07</v>
      </c>
      <c r="N3034" s="143" t="n">
        <v>1</v>
      </c>
      <c r="O3034" s="144">
        <f>IF(AND(B3034="",C3034=""),"",IF(G3034&gt;=20000,0.05,IF(G3034&gt;=10000,0.1,IF(G3034&gt;=5000,0.2,IF(G3034&gt;=1000,0.3,IF(G3034&gt;=0,0.4,{0}))))))</f>
        <v/>
      </c>
      <c r="P3034" s="395">
        <f>IF(AND(B3034="",C3034=""),"",ROUND(H3034*O3034,2))</f>
        <v/>
      </c>
      <c r="Q3034" s="390" t="inlineStr">
        <is>
          <t>元件</t>
        </is>
      </c>
      <c r="R3034" s="164" t="inlineStr"/>
      <c r="S3034" s="164" t="inlineStr"/>
      <c r="T3034" s="164" t="inlineStr">
        <is>
          <t>0</t>
        </is>
      </c>
      <c r="U3034" s="164" t="inlineStr">
        <is>
          <t>A9L102554</t>
        </is>
      </c>
      <c r="V3034" s="391" t="n"/>
      <c r="W3034" s="391" t="n"/>
      <c r="X3034" s="166" t="inlineStr">
        <is>
          <t>iSCB1 25L1 4P→iSCB2 40H2 4P</t>
        </is>
      </c>
    </row>
    <row r="3035" customFormat="1" s="3">
      <c r="A3035" s="64">
        <f>ROW()-ROW(A$3028)</f>
        <v/>
      </c>
      <c r="B3035" s="27" t="inlineStr">
        <is>
          <t>电涌保护器</t>
        </is>
      </c>
      <c r="C3035" s="22" t="inlineStr">
        <is>
          <t>iPRF1 12.5r 3P+N</t>
        </is>
      </c>
      <c r="D3035" s="22" t="inlineStr">
        <is>
          <t>甲供/施耐德万高</t>
        </is>
      </c>
      <c r="E3035" s="110" t="inlineStr">
        <is>
          <t>只</t>
        </is>
      </c>
      <c r="F3035" s="23" t="n">
        <v>1</v>
      </c>
      <c r="G3035" s="349">
        <f>IF(AND(B3035="",C3035=""),"",ROUND(M3035*L3035*N3035,2))</f>
        <v/>
      </c>
      <c r="H3035" s="349">
        <f>IF(AND(B3035="",C3035=""),"",ROUND(F3035*G3035,2))</f>
        <v/>
      </c>
      <c r="I3035" s="45" t="inlineStr"/>
      <c r="J3035" s="392">
        <f>IF(AND(B3035="",C3035=""),"",ROUND(M3035*N3035,2))</f>
        <v/>
      </c>
      <c r="K3035" s="393">
        <f>IF(AND(B3035="",C3035=""),"",ROUND(J3035*F3035,2))</f>
        <v/>
      </c>
      <c r="L3035" s="141" t="n">
        <v>1</v>
      </c>
      <c r="M3035" s="394" t="n">
        <v>1e-07</v>
      </c>
      <c r="N3035" s="143" t="n">
        <v>1</v>
      </c>
      <c r="O3035" s="144">
        <f>IF(AND(B3035="",C3035=""),"",IF(G3035&gt;=20000,0.05,IF(G3035&gt;=10000,0.1,IF(G3035&gt;=5000,0.2,IF(G3035&gt;=1000,0.3,IF(G3035&gt;=0,0.4,{0}))))))</f>
        <v/>
      </c>
      <c r="P3035" s="395">
        <f>IF(AND(B3035="",C3035=""),"",ROUND(H3035*O3035,2))</f>
        <v/>
      </c>
      <c r="Q3035" s="390" t="inlineStr">
        <is>
          <t>元件</t>
        </is>
      </c>
      <c r="R3035" s="164" t="inlineStr"/>
      <c r="S3035" s="164" t="inlineStr"/>
      <c r="T3035" s="164" t="inlineStr">
        <is>
          <t>0</t>
        </is>
      </c>
      <c r="U3035" s="164" t="inlineStr">
        <is>
          <t>A9L620601</t>
        </is>
      </c>
      <c r="V3035" s="391" t="n"/>
      <c r="W3035" s="391" t="n"/>
      <c r="X3035" s="166" t="inlineStr">
        <is>
          <t>iPRF1 12.5r 3P+N→iPRU 40r 3P→iPRF1 12.5r 3P+N</t>
        </is>
      </c>
    </row>
    <row r="3036" customFormat="1" s="3">
      <c r="A3036" s="64">
        <f>ROW()-ROW(A$3028)</f>
        <v/>
      </c>
      <c r="B3036" s="27" t="inlineStr">
        <is>
          <t>塑壳断路器400A</t>
        </is>
      </c>
      <c r="C3036" s="22" t="inlineStr">
        <is>
          <t>NSX400N Mic2.3 400A 3P3D</t>
        </is>
      </c>
      <c r="D3036" s="112" t="inlineStr">
        <is>
          <t>甲供/施耐德电气</t>
        </is>
      </c>
      <c r="E3036" s="114" t="inlineStr">
        <is>
          <t>只</t>
        </is>
      </c>
      <c r="F3036" s="114" t="n">
        <v>2</v>
      </c>
      <c r="G3036" s="349">
        <f>IF(AND(B3036="",C3036=""),"",ROUND(M3036*L3036*N3036,2))</f>
        <v/>
      </c>
      <c r="H3036" s="349">
        <f>IF(AND(B3036="",C3036=""),"",ROUND(F3036*G3036,2))</f>
        <v/>
      </c>
      <c r="I3036" s="45" t="inlineStr"/>
      <c r="J3036" s="392">
        <f>IF(AND(B3036="",C3036=""),"",ROUND(M3036*N3036,2))</f>
        <v/>
      </c>
      <c r="K3036" s="393">
        <f>IF(AND(B3036="",C3036=""),"",ROUND(J3036*F3036,2))</f>
        <v/>
      </c>
      <c r="L3036" s="141" t="n">
        <v>1</v>
      </c>
      <c r="M3036" s="394" t="n">
        <v>1e-07</v>
      </c>
      <c r="N3036" s="143" t="n">
        <v>1</v>
      </c>
      <c r="O3036" s="144">
        <f>IF(AND(B3036="",C3036=""),"",IF(G3036&gt;=20000,0.05,IF(G3036&gt;=10000,0.1,IF(G3036&gt;=5000,0.2,IF(G3036&gt;=1000,0.3,IF(G3036&gt;=0,0.4,{0}))))))</f>
        <v/>
      </c>
      <c r="P3036" s="395">
        <f>IF(AND(B3036="",C3036=""),"",ROUND(H3036*O3036,2))</f>
        <v/>
      </c>
      <c r="Q3036" s="390" t="inlineStr">
        <is>
          <t>元件</t>
        </is>
      </c>
      <c r="R3036" s="164" t="inlineStr"/>
      <c r="S3036" s="164" t="inlineStr"/>
      <c r="T3036" s="164" t="n">
        <v>0</v>
      </c>
      <c r="U3036" s="164" t="inlineStr"/>
      <c r="V3036" s="391" t="n"/>
      <c r="W3036" s="391" t="n"/>
      <c r="X3036" s="166" t="inlineStr"/>
    </row>
    <row r="3037" customFormat="1" s="3">
      <c r="A3037" s="64">
        <f>ROW()-ROW(A$3028)</f>
        <v/>
      </c>
      <c r="B3037" s="27" t="inlineStr">
        <is>
          <t>塑壳断路器400A</t>
        </is>
      </c>
      <c r="C3037" s="22" t="inlineStr">
        <is>
          <t>NSX400N Mic1.3 M 320A 3P3D</t>
        </is>
      </c>
      <c r="D3037" s="112" t="inlineStr">
        <is>
          <t>甲供/施耐德电气</t>
        </is>
      </c>
      <c r="E3037" s="114" t="inlineStr">
        <is>
          <t>只</t>
        </is>
      </c>
      <c r="F3037" s="114" t="n">
        <v>1</v>
      </c>
      <c r="G3037" s="349">
        <f>IF(AND(B3037="",C3037=""),"",ROUND(M3037*L3037*N3037,2))</f>
        <v/>
      </c>
      <c r="H3037" s="349">
        <f>IF(AND(B3037="",C3037=""),"",ROUND(F3037*G3037,2))</f>
        <v/>
      </c>
      <c r="I3037" s="45" t="inlineStr"/>
      <c r="J3037" s="392">
        <f>IF(AND(B3037="",C3037=""),"",ROUND(M3037*N3037,2))</f>
        <v/>
      </c>
      <c r="K3037" s="393">
        <f>IF(AND(B3037="",C3037=""),"",ROUND(J3037*F3037,2))</f>
        <v/>
      </c>
      <c r="L3037" s="141" t="n">
        <v>1</v>
      </c>
      <c r="M3037" s="394" t="n">
        <v>1e-07</v>
      </c>
      <c r="N3037" s="143" t="n">
        <v>1</v>
      </c>
      <c r="O3037" s="144">
        <f>IF(AND(B3037="",C3037=""),"",IF(G3037&gt;=20000,0.05,IF(G3037&gt;=10000,0.1,IF(G3037&gt;=5000,0.2,IF(G3037&gt;=1000,0.3,IF(G3037&gt;=0,0.4,{0}))))))</f>
        <v/>
      </c>
      <c r="P3037" s="395">
        <f>IF(AND(B3037="",C3037=""),"",ROUND(H3037*O3037,2))</f>
        <v/>
      </c>
      <c r="Q3037" s="390" t="inlineStr">
        <is>
          <t>元件</t>
        </is>
      </c>
      <c r="R3037" s="164" t="inlineStr"/>
      <c r="S3037" s="164" t="inlineStr"/>
      <c r="T3037" s="164" t="n">
        <v>0</v>
      </c>
      <c r="U3037" s="164" t="inlineStr"/>
      <c r="V3037" s="391" t="n"/>
      <c r="W3037" s="391" t="n"/>
      <c r="X3037" s="166" t="inlineStr"/>
    </row>
    <row r="3038" customFormat="1" s="3">
      <c r="A3038" s="64">
        <f>ROW()-ROW(A$3028)</f>
        <v/>
      </c>
      <c r="B3038" s="27" t="inlineStr">
        <is>
          <t>接触器</t>
        </is>
      </c>
      <c r="C3038" s="22" t="inlineStr">
        <is>
          <t>LC1G410KUEC</t>
        </is>
      </c>
      <c r="D3038" s="112" t="inlineStr">
        <is>
          <t>甲供/施耐德电气</t>
        </is>
      </c>
      <c r="E3038" s="114" t="inlineStr">
        <is>
          <t>只</t>
        </is>
      </c>
      <c r="F3038" s="114" t="n">
        <v>2</v>
      </c>
      <c r="G3038" s="349">
        <f>IF(AND(B3038="",C3038=""),"",ROUND(M3038*L3038*N3038,2))</f>
        <v/>
      </c>
      <c r="H3038" s="349">
        <f>IF(AND(B3038="",C3038=""),"",ROUND(F3038*G3038,2))</f>
        <v/>
      </c>
      <c r="I3038" s="45" t="inlineStr"/>
      <c r="J3038" s="392">
        <f>IF(AND(B3038="",C3038=""),"",ROUND(M3038*N3038,2))</f>
        <v/>
      </c>
      <c r="K3038" s="393">
        <f>IF(AND(B3038="",C3038=""),"",ROUND(J3038*F3038,2))</f>
        <v/>
      </c>
      <c r="L3038" s="141" t="n">
        <v>1</v>
      </c>
      <c r="M3038" s="394" t="n">
        <v>1e-07</v>
      </c>
      <c r="N3038" s="143" t="n">
        <v>1</v>
      </c>
      <c r="O3038" s="144">
        <f>IF(AND(B3038="",C3038=""),"",IF(G3038&gt;=20000,0.05,IF(G3038&gt;=10000,0.1,IF(G3038&gt;=5000,0.2,IF(G3038&gt;=1000,0.3,IF(G3038&gt;=0,0.4,{0}))))))</f>
        <v/>
      </c>
      <c r="P3038" s="395">
        <f>IF(AND(B3038="",C3038=""),"",ROUND(H3038*O3038,2))</f>
        <v/>
      </c>
      <c r="Q3038" s="390" t="inlineStr">
        <is>
          <t>元件</t>
        </is>
      </c>
      <c r="R3038" s="164" t="inlineStr"/>
      <c r="S3038" s="164" t="inlineStr"/>
      <c r="T3038" s="164" t="n">
        <v>0</v>
      </c>
      <c r="U3038" s="164" t="inlineStr"/>
      <c r="V3038" s="391" t="n"/>
      <c r="W3038" s="391" t="n"/>
      <c r="X3038" s="166" t="inlineStr"/>
    </row>
    <row r="3039" customFormat="1" s="3">
      <c r="A3039" s="64">
        <f>ROW()-ROW(A$3028)</f>
        <v/>
      </c>
      <c r="B3039" s="27" t="inlineStr">
        <is>
          <t>接触器</t>
        </is>
      </c>
      <c r="C3039" s="22" t="inlineStr">
        <is>
          <t>LC1G300KUEC</t>
        </is>
      </c>
      <c r="D3039" s="112" t="inlineStr">
        <is>
          <t>甲供/施耐德电气</t>
        </is>
      </c>
      <c r="E3039" s="114" t="inlineStr">
        <is>
          <t>只</t>
        </is>
      </c>
      <c r="F3039" s="114" t="n">
        <v>1</v>
      </c>
      <c r="G3039" s="349">
        <f>IF(AND(B3039="",C3039=""),"",ROUND(M3039*L3039*N3039,2))</f>
        <v/>
      </c>
      <c r="H3039" s="349">
        <f>IF(AND(B3039="",C3039=""),"",ROUND(F3039*G3039,2))</f>
        <v/>
      </c>
      <c r="I3039" s="45" t="inlineStr"/>
      <c r="J3039" s="392">
        <f>IF(AND(B3039="",C3039=""),"",ROUND(M3039*N3039,2))</f>
        <v/>
      </c>
      <c r="K3039" s="393">
        <f>IF(AND(B3039="",C3039=""),"",ROUND(J3039*F3039,2))</f>
        <v/>
      </c>
      <c r="L3039" s="141" t="n">
        <v>1</v>
      </c>
      <c r="M3039" s="394" t="n">
        <v>1e-07</v>
      </c>
      <c r="N3039" s="143" t="n">
        <v>1</v>
      </c>
      <c r="O3039" s="144">
        <f>IF(AND(B3039="",C3039=""),"",IF(G3039&gt;=20000,0.05,IF(G3039&gt;=10000,0.1,IF(G3039&gt;=5000,0.2,IF(G3039&gt;=1000,0.3,IF(G3039&gt;=0,0.4,{0}))))))</f>
        <v/>
      </c>
      <c r="P3039" s="395">
        <f>IF(AND(B3039="",C3039=""),"",ROUND(H3039*O3039,2))</f>
        <v/>
      </c>
      <c r="Q3039" s="390" t="inlineStr">
        <is>
          <t>元件</t>
        </is>
      </c>
      <c r="R3039" s="164" t="inlineStr"/>
      <c r="S3039" s="164" t="inlineStr"/>
      <c r="T3039" s="164" t="n">
        <v>0</v>
      </c>
      <c r="U3039" s="164" t="inlineStr"/>
      <c r="V3039" s="391" t="n"/>
      <c r="W3039" s="391" t="n"/>
      <c r="X3039" s="166" t="inlineStr"/>
    </row>
    <row r="3040" customFormat="1" s="3">
      <c r="A3040" s="64">
        <f>ROW()-ROW(A$3028)</f>
        <v/>
      </c>
      <c r="B3040" s="27" t="inlineStr">
        <is>
          <t>变频器ATV630</t>
        </is>
      </c>
      <c r="C3040" s="22" t="inlineStr">
        <is>
          <t>ATV630C16N4</t>
        </is>
      </c>
      <c r="D3040" s="112" t="inlineStr">
        <is>
          <t>甲供/施耐德电气</t>
        </is>
      </c>
      <c r="E3040" s="114" t="inlineStr">
        <is>
          <t>只</t>
        </is>
      </c>
      <c r="F3040" s="114" t="n">
        <v>1</v>
      </c>
      <c r="G3040" s="349">
        <f>IF(AND(B3040="",C3040=""),"",ROUND(M3040*L3040*N3040,2))</f>
        <v/>
      </c>
      <c r="H3040" s="349">
        <f>IF(AND(B3040="",C3040=""),"",ROUND(F3040*G3040,2))</f>
        <v/>
      </c>
      <c r="I3040" s="45" t="inlineStr"/>
      <c r="J3040" s="392">
        <f>IF(AND(B3040="",C3040=""),"",ROUND(M3040*N3040,2))</f>
        <v/>
      </c>
      <c r="K3040" s="393">
        <f>IF(AND(B3040="",C3040=""),"",ROUND(J3040*F3040,2))</f>
        <v/>
      </c>
      <c r="L3040" s="141" t="n">
        <v>1</v>
      </c>
      <c r="M3040" s="394" t="n">
        <v>1e-07</v>
      </c>
      <c r="N3040" s="143" t="n">
        <v>1</v>
      </c>
      <c r="O3040" s="144">
        <f>IF(AND(B3040="",C3040=""),"",IF(G3040&gt;=20000,0.05,IF(G3040&gt;=10000,0.1,IF(G3040&gt;=5000,0.2,IF(G3040&gt;=1000,0.3,IF(G3040&gt;=0,0.4,{0}))))))</f>
        <v/>
      </c>
      <c r="P3040" s="395">
        <f>IF(AND(B3040="",C3040=""),"",ROUND(H3040*O3040,2))</f>
        <v/>
      </c>
      <c r="Q3040" s="390" t="inlineStr">
        <is>
          <t>元件</t>
        </is>
      </c>
      <c r="R3040" s="164" t="inlineStr"/>
      <c r="S3040" s="164" t="inlineStr"/>
      <c r="T3040" s="164" t="n">
        <v>0</v>
      </c>
      <c r="U3040" s="164" t="inlineStr"/>
      <c r="V3040" s="391" t="n"/>
      <c r="W3040" s="391" t="n"/>
      <c r="X3040" s="166" t="inlineStr"/>
    </row>
    <row r="3041" customFormat="1" s="3">
      <c r="A3041" s="64">
        <f>ROW()-ROW(A$3028)</f>
        <v/>
      </c>
      <c r="B3041" s="27" t="inlineStr">
        <is>
          <t>dvdt滤波器</t>
        </is>
      </c>
      <c r="C3041" s="22" t="inlineStr">
        <is>
          <t>VW3A5307</t>
        </is>
      </c>
      <c r="D3041" s="112" t="inlineStr">
        <is>
          <t>甲供/施耐德电气</t>
        </is>
      </c>
      <c r="E3041" s="114" t="inlineStr">
        <is>
          <t>只</t>
        </is>
      </c>
      <c r="F3041" s="114" t="n">
        <v>1</v>
      </c>
      <c r="G3041" s="349">
        <f>IF(AND(B3041="",C3041=""),"",ROUND(M3041*L3041*N3041,2))</f>
        <v/>
      </c>
      <c r="H3041" s="349">
        <f>IF(AND(B3041="",C3041=""),"",ROUND(F3041*G3041,2))</f>
        <v/>
      </c>
      <c r="I3041" s="45" t="inlineStr"/>
      <c r="J3041" s="392">
        <f>IF(AND(B3041="",C3041=""),"",ROUND(M3041*N3041,2))</f>
        <v/>
      </c>
      <c r="K3041" s="393">
        <f>IF(AND(B3041="",C3041=""),"",ROUND(J3041*F3041,2))</f>
        <v/>
      </c>
      <c r="L3041" s="141" t="n">
        <v>1</v>
      </c>
      <c r="M3041" s="394" t="n">
        <v>1e-07</v>
      </c>
      <c r="N3041" s="143" t="n">
        <v>1</v>
      </c>
      <c r="O3041" s="144">
        <f>IF(AND(B3041="",C3041=""),"",IF(G3041&gt;=20000,0.05,IF(G3041&gt;=10000,0.1,IF(G3041&gt;=5000,0.2,IF(G3041&gt;=1000,0.3,IF(G3041&gt;=0,0.4,{0}))))))</f>
        <v/>
      </c>
      <c r="P3041" s="395">
        <f>IF(AND(B3041="",C3041=""),"",ROUND(H3041*O3041,2))</f>
        <v/>
      </c>
      <c r="Q3041" s="390" t="inlineStr">
        <is>
          <t>元件</t>
        </is>
      </c>
      <c r="R3041" s="164" t="inlineStr"/>
      <c r="S3041" s="164" t="inlineStr"/>
      <c r="T3041" s="164" t="n">
        <v>0</v>
      </c>
      <c r="U3041" s="164" t="inlineStr"/>
      <c r="V3041" s="391" t="n"/>
      <c r="W3041" s="391" t="n"/>
      <c r="X3041" s="166" t="inlineStr"/>
    </row>
    <row r="3042" customFormat="1" s="3">
      <c r="A3042" s="64">
        <f>ROW()-ROW(A$3028)</f>
        <v/>
      </c>
      <c r="B3042" s="27" t="inlineStr">
        <is>
          <t>软起动器</t>
        </is>
      </c>
      <c r="C3042" s="22" t="inlineStr">
        <is>
          <t>ATS480C25Y</t>
        </is>
      </c>
      <c r="D3042" s="112" t="inlineStr">
        <is>
          <t>甲供/施耐德电气</t>
        </is>
      </c>
      <c r="E3042" s="114" t="inlineStr">
        <is>
          <t>只</t>
        </is>
      </c>
      <c r="F3042" s="114" t="n">
        <v>1</v>
      </c>
      <c r="G3042" s="349">
        <f>IF(AND(B3042="",C3042=""),"",ROUND(M3042*L3042*N3042,2))</f>
        <v/>
      </c>
      <c r="H3042" s="349">
        <f>IF(AND(B3042="",C3042=""),"",ROUND(F3042*G3042,2))</f>
        <v/>
      </c>
      <c r="I3042" s="45" t="inlineStr"/>
      <c r="J3042" s="392">
        <f>IF(AND(B3042="",C3042=""),"",ROUND(M3042*N3042,2))</f>
        <v/>
      </c>
      <c r="K3042" s="393">
        <f>IF(AND(B3042="",C3042=""),"",ROUND(J3042*F3042,2))</f>
        <v/>
      </c>
      <c r="L3042" s="141" t="n">
        <v>1</v>
      </c>
      <c r="M3042" s="394" t="n">
        <v>1e-07</v>
      </c>
      <c r="N3042" s="143" t="n">
        <v>1</v>
      </c>
      <c r="O3042" s="144">
        <f>IF(AND(B3042="",C3042=""),"",IF(G3042&gt;=20000,0.05,IF(G3042&gt;=10000,0.1,IF(G3042&gt;=5000,0.2,IF(G3042&gt;=1000,0.3,IF(G3042&gt;=0,0.4,{0}))))))</f>
        <v/>
      </c>
      <c r="P3042" s="395">
        <f>IF(AND(B3042="",C3042=""),"",ROUND(H3042*O3042,2))</f>
        <v/>
      </c>
      <c r="Q3042" s="390" t="inlineStr">
        <is>
          <t>元件</t>
        </is>
      </c>
      <c r="R3042" s="164" t="inlineStr"/>
      <c r="S3042" s="164" t="inlineStr"/>
      <c r="T3042" s="164" t="n">
        <v>0</v>
      </c>
      <c r="U3042" s="164" t="inlineStr"/>
      <c r="V3042" s="391" t="n"/>
      <c r="W3042" s="391" t="n"/>
      <c r="X3042" s="166" t="inlineStr"/>
    </row>
    <row r="3043" customFormat="1" s="3">
      <c r="A3043" s="64">
        <f>ROW()-ROW(A$3028)</f>
        <v/>
      </c>
      <c r="B3043" s="27" t="inlineStr">
        <is>
          <t>微型断路器</t>
        </is>
      </c>
      <c r="C3043" s="22" t="inlineStr">
        <is>
          <t>iC65H 3P D63A</t>
        </is>
      </c>
      <c r="D3043" s="22" t="inlineStr">
        <is>
          <t>甲供/施耐德电气</t>
        </is>
      </c>
      <c r="E3043" s="110" t="inlineStr">
        <is>
          <t>只</t>
        </is>
      </c>
      <c r="F3043" s="23" t="n">
        <v>3</v>
      </c>
      <c r="G3043" s="349">
        <f>IF(AND(B3043="",C3043=""),"",ROUND(M3043*L3043*N3043,2))</f>
        <v/>
      </c>
      <c r="H3043" s="349">
        <f>IF(AND(B3043="",C3043=""),"",ROUND(F3043*G3043,2))</f>
        <v/>
      </c>
      <c r="I3043" s="45" t="inlineStr"/>
      <c r="J3043" s="392">
        <f>IF(AND(B3043="",C3043=""),"",ROUND(M3043*N3043,2))</f>
        <v/>
      </c>
      <c r="K3043" s="393">
        <f>IF(AND(B3043="",C3043=""),"",ROUND(J3043*F3043,2))</f>
        <v/>
      </c>
      <c r="L3043" s="141" t="n">
        <v>1</v>
      </c>
      <c r="M3043" s="394" t="n">
        <v>1e-07</v>
      </c>
      <c r="N3043" s="143" t="n">
        <v>1</v>
      </c>
      <c r="O3043" s="144">
        <f>IF(AND(B3043="",C3043=""),"",IF(G3043&gt;=20000,0.05,IF(G3043&gt;=10000,0.1,IF(G3043&gt;=5000,0.2,IF(G3043&gt;=1000,0.3,IF(G3043&gt;=0,0.4,{0}))))))</f>
        <v/>
      </c>
      <c r="P3043" s="395">
        <f>IF(AND(B3043="",C3043=""),"",ROUND(H3043*O3043,2))</f>
        <v/>
      </c>
      <c r="Q3043" s="390" t="inlineStr">
        <is>
          <t>元件</t>
        </is>
      </c>
      <c r="R3043" s="164" t="inlineStr"/>
      <c r="S3043" s="164" t="inlineStr"/>
      <c r="T3043" s="164" t="n">
        <v>0</v>
      </c>
      <c r="U3043" s="164" t="inlineStr"/>
      <c r="V3043" s="391" t="n"/>
      <c r="W3043" s="391" t="n"/>
      <c r="X3043" s="166" t="inlineStr"/>
    </row>
    <row r="3044" customFormat="1" s="3">
      <c r="A3044" s="64">
        <f>ROW()-ROW(A$3028)</f>
        <v/>
      </c>
      <c r="B3044" s="27" t="inlineStr">
        <is>
          <t>微型断路器</t>
        </is>
      </c>
      <c r="C3044" s="22" t="inlineStr">
        <is>
          <t>iC65H 3P D32A</t>
        </is>
      </c>
      <c r="D3044" s="22" t="inlineStr">
        <is>
          <t>甲供/施耐德电气</t>
        </is>
      </c>
      <c r="E3044" s="110" t="inlineStr">
        <is>
          <t>只</t>
        </is>
      </c>
      <c r="F3044" s="23" t="n">
        <v>1</v>
      </c>
      <c r="G3044" s="349">
        <f>IF(AND(B3044="",C3044=""),"",ROUND(M3044*L3044*N3044,2))</f>
        <v/>
      </c>
      <c r="H3044" s="349">
        <f>IF(AND(B3044="",C3044=""),"",ROUND(F3044*G3044,2))</f>
        <v/>
      </c>
      <c r="I3044" s="45" t="inlineStr"/>
      <c r="J3044" s="392">
        <f>IF(AND(B3044="",C3044=""),"",ROUND(M3044*N3044,2))</f>
        <v/>
      </c>
      <c r="K3044" s="393">
        <f>IF(AND(B3044="",C3044=""),"",ROUND(J3044*F3044,2))</f>
        <v/>
      </c>
      <c r="L3044" s="141" t="n">
        <v>1</v>
      </c>
      <c r="M3044" s="394" t="n">
        <v>1e-07</v>
      </c>
      <c r="N3044" s="143" t="n">
        <v>1</v>
      </c>
      <c r="O3044" s="144">
        <f>IF(AND(B3044="",C3044=""),"",IF(G3044&gt;=20000,0.05,IF(G3044&gt;=10000,0.1,IF(G3044&gt;=5000,0.2,IF(G3044&gt;=1000,0.3,IF(G3044&gt;=0,0.4,{0}))))))</f>
        <v/>
      </c>
      <c r="P3044" s="395">
        <f>IF(AND(B3044="",C3044=""),"",ROUND(H3044*O3044,2))</f>
        <v/>
      </c>
      <c r="Q3044" s="390" t="inlineStr">
        <is>
          <t>元件</t>
        </is>
      </c>
      <c r="R3044" s="164" t="inlineStr"/>
      <c r="S3044" s="164" t="inlineStr"/>
      <c r="T3044" s="164" t="n">
        <v>0</v>
      </c>
      <c r="U3044" s="164" t="inlineStr"/>
      <c r="V3044" s="391" t="n"/>
      <c r="W3044" s="391" t="n"/>
      <c r="X3044" s="166" t="inlineStr"/>
    </row>
    <row r="3045" customFormat="1" s="3">
      <c r="A3045" s="64">
        <f>ROW()-ROW(A$3028)</f>
        <v/>
      </c>
      <c r="B3045" s="27" t="inlineStr">
        <is>
          <t>熔断器</t>
        </is>
      </c>
      <c r="C3045" s="22" t="inlineStr">
        <is>
          <t>NH3 gG 690V/315~630A、NT3（新底座）</t>
        </is>
      </c>
      <c r="D3045" s="22" t="inlineStr">
        <is>
          <t>茗熔</t>
        </is>
      </c>
      <c r="E3045" s="110" t="inlineStr">
        <is>
          <t>只</t>
        </is>
      </c>
      <c r="F3045" s="23" t="n">
        <v>3</v>
      </c>
      <c r="G3045" s="349">
        <f>IF(AND(B3045="",C3045=""),"",ROUND(M3045*L3045*N3045,2))</f>
        <v/>
      </c>
      <c r="H3045" s="349">
        <f>IF(AND(B3045="",C3045=""),"",ROUND(F3045*G3045,2))</f>
        <v/>
      </c>
      <c r="I3045" s="45" t="inlineStr"/>
      <c r="J3045" s="392">
        <f>IF(AND(B3045="",C3045=""),"",ROUND(M3045*N3045,2))</f>
        <v/>
      </c>
      <c r="K3045" s="393">
        <f>IF(AND(B3045="",C3045=""),"",ROUND(J3045*F3045,2))</f>
        <v/>
      </c>
      <c r="L3045" s="141" t="n">
        <v>1</v>
      </c>
      <c r="M3045" s="394" t="n">
        <v>137</v>
      </c>
      <c r="N3045" s="143" t="n">
        <v>1</v>
      </c>
      <c r="O3045" s="144">
        <f>IF(AND(B3045="",C3045=""),"",IF(G3045&gt;=20000,0.05,IF(G3045&gt;=10000,0.1,IF(G3045&gt;=5000,0.2,IF(G3045&gt;=1000,0.3,IF(G3045&gt;=0,0.4,{0}))))))</f>
        <v/>
      </c>
      <c r="P3045" s="395">
        <f>IF(AND(B3045="",C3045=""),"",ROUND(H3045*O3045,2))</f>
        <v/>
      </c>
      <c r="Q3045" s="390" t="inlineStr">
        <is>
          <t>元件</t>
        </is>
      </c>
      <c r="R3045" s="164" t="inlineStr"/>
      <c r="S3045" s="164" t="inlineStr"/>
      <c r="T3045" s="164" t="inlineStr">
        <is>
          <t>0</t>
        </is>
      </c>
      <c r="U3045" s="164" t="inlineStr">
        <is>
          <t>0</t>
        </is>
      </c>
      <c r="V3045" s="391" t="n"/>
      <c r="W3045" s="391" t="n"/>
      <c r="X3045" s="166" t="inlineStr"/>
    </row>
    <row r="3046" s="308">
      <c r="A3046" s="64">
        <f>ROW()-ROW(A$3028)</f>
        <v/>
      </c>
      <c r="B3046" s="112" t="inlineStr">
        <is>
          <t>温湿度控制器</t>
        </is>
      </c>
      <c r="C3046" s="112" t="inlineStr">
        <is>
          <t>ATH48G-11</t>
        </is>
      </c>
      <c r="D3046" s="22" t="inlineStr">
        <is>
          <t>杭州安廷</t>
        </is>
      </c>
      <c r="E3046" s="23" t="inlineStr">
        <is>
          <t>套</t>
        </is>
      </c>
      <c r="F3046" s="23" t="n">
        <v>1</v>
      </c>
      <c r="G3046" s="349">
        <f>IF(AND(B3046="",C3046=""),"",ROUND(M3046*L3046*N3046,2))</f>
        <v/>
      </c>
      <c r="H3046" s="396">
        <f>IF(AND(B3046="",C3046=""),"",ROUND(F3046*G3046,2))</f>
        <v/>
      </c>
      <c r="I3046" s="150" t="inlineStr"/>
      <c r="J3046" s="397">
        <f>IF(AND(B3046="",C3046=""),"",ROUND(M3046*N3046,2))</f>
        <v/>
      </c>
      <c r="K3046" s="398">
        <f>IF(AND(B3046="",C3046=""),"",ROUND(J3046*F3046,2))</f>
        <v/>
      </c>
      <c r="L3046" s="141" t="n">
        <v>1</v>
      </c>
      <c r="M3046" s="399" t="n">
        <v>450</v>
      </c>
      <c r="N3046" s="154" t="n">
        <v>1</v>
      </c>
      <c r="O3046" s="155">
        <f>IF(AND(B3046="",C3046=""),"",IF(G3046&gt;=20000,0.05,IF(G3046&gt;=10000,0.1,IF(G3046&gt;=5000,0.2,IF(G3046&gt;=1000,0.3,IF(G3046&gt;=0,0.4,{0}))))))</f>
        <v/>
      </c>
      <c r="P3046" s="400">
        <f>IF(AND(B3046="",C3046=""),"",ROUND(H3046*O3046,2))</f>
        <v/>
      </c>
      <c r="Q3046" s="401" t="inlineStr">
        <is>
          <t>元件</t>
        </is>
      </c>
      <c r="R3046" s="168" t="inlineStr"/>
      <c r="S3046" s="168" t="inlineStr"/>
      <c r="T3046" s="168" t="inlineStr">
        <is>
          <t>0</t>
        </is>
      </c>
      <c r="U3046" s="168" t="inlineStr"/>
      <c r="V3046" s="402" t="n"/>
      <c r="W3046" s="402" t="n"/>
      <c r="X3046" s="170" t="inlineStr"/>
    </row>
    <row r="3047" s="308">
      <c r="A3047" s="64">
        <f>ROW()-ROW(A$3028)</f>
        <v/>
      </c>
      <c r="B3047" s="112" t="inlineStr">
        <is>
          <t>变频柜散热风扇</t>
        </is>
      </c>
      <c r="C3047" s="112" t="inlineStr">
        <is>
          <t>SF1238HA2BMT+SVF103M</t>
        </is>
      </c>
      <c r="D3047" s="22" t="inlineStr">
        <is>
          <t>源顶</t>
        </is>
      </c>
      <c r="E3047" s="23" t="inlineStr">
        <is>
          <t>只</t>
        </is>
      </c>
      <c r="F3047" s="23" t="n">
        <v>2</v>
      </c>
      <c r="G3047" s="349">
        <f>IF(AND(B3047="",C3047=""),"",ROUND(M3047*L3047*N3047,2))</f>
        <v/>
      </c>
      <c r="H3047" s="396">
        <f>IF(AND(B3047="",C3047=""),"",ROUND(F3047*G3047,2))</f>
        <v/>
      </c>
      <c r="I3047" s="150" t="inlineStr"/>
      <c r="J3047" s="397">
        <f>IF(AND(B3047="",C3047=""),"",ROUND(M3047*N3047,2))</f>
        <v/>
      </c>
      <c r="K3047" s="398">
        <f>IF(AND(B3047="",C3047=""),"",ROUND(J3047*F3047,2))</f>
        <v/>
      </c>
      <c r="L3047" s="141" t="n">
        <v>1</v>
      </c>
      <c r="M3047" s="399" t="n">
        <v>67</v>
      </c>
      <c r="N3047" s="154" t="n">
        <v>1</v>
      </c>
      <c r="O3047" s="155">
        <f>IF(AND(B3047="",C3047=""),"",IF(G3047&gt;=20000,0.05,IF(G3047&gt;=10000,0.1,IF(G3047&gt;=5000,0.2,IF(G3047&gt;=1000,0.3,IF(G3047&gt;=0,0.4,{0}))))))</f>
        <v/>
      </c>
      <c r="P3047" s="400">
        <f>IF(AND(B3047="",C3047=""),"",ROUND(H3047*O3047,2))</f>
        <v/>
      </c>
      <c r="Q3047" s="401" t="inlineStr">
        <is>
          <t>元件</t>
        </is>
      </c>
      <c r="R3047" s="168" t="inlineStr"/>
      <c r="S3047" s="168" t="inlineStr"/>
      <c r="T3047" s="168" t="inlineStr">
        <is>
          <t>0</t>
        </is>
      </c>
      <c r="U3047" s="168" t="inlineStr">
        <is>
          <t>0</t>
        </is>
      </c>
      <c r="V3047" s="402" t="n"/>
      <c r="W3047" s="402" t="n"/>
      <c r="X3047" s="170" t="inlineStr"/>
    </row>
    <row r="3048" customFormat="1" s="3">
      <c r="A3048" s="64">
        <f>ROW()-ROW(A$3028)</f>
        <v/>
      </c>
      <c r="B3048" s="22" t="inlineStr">
        <is>
          <t>带熔丝端子</t>
        </is>
      </c>
      <c r="C3048" s="22" t="inlineStr">
        <is>
          <t>UK 5-HESI</t>
        </is>
      </c>
      <c r="D3048" s="22" t="inlineStr">
        <is>
          <t>菲尼克斯</t>
        </is>
      </c>
      <c r="E3048" s="23" t="inlineStr">
        <is>
          <t>只</t>
        </is>
      </c>
      <c r="F3048" s="23" t="n">
        <v>4</v>
      </c>
      <c r="G3048" s="349">
        <f>IF(AND(B3048="",C3048=""),"",ROUND(M3048*L3048*N3048,2))</f>
        <v/>
      </c>
      <c r="H3048" s="349">
        <f>IF(AND(B3048="",C3048=""),"",ROUND(F3048*G3048,2))</f>
        <v/>
      </c>
      <c r="I3048" s="45" t="inlineStr"/>
      <c r="J3048" s="392">
        <f>IF(AND(B3048="",C3048=""),"",ROUND(M3048*N3048,2))</f>
        <v/>
      </c>
      <c r="K3048" s="393">
        <f>IF(AND(B3048="",C3048=""),"",ROUND(J3048*F3048,2))</f>
        <v/>
      </c>
      <c r="L3048" s="141" t="n">
        <v>1</v>
      </c>
      <c r="M3048" s="394" t="n">
        <v>7</v>
      </c>
      <c r="N3048" s="220" t="n">
        <v>1</v>
      </c>
      <c r="O3048" s="221">
        <f>IF(AND(B3048="",C3048=""),"",IF(G3048&gt;=20000,0.05,IF(G3048&gt;=10000,0.1,IF(G3048&gt;=5000,0.2,IF(G3048&gt;=1000,0.3,IF(G3048&gt;=0,0.4,{0}))))))</f>
        <v/>
      </c>
      <c r="P3048" s="419">
        <f>IF(AND(B3048="",C3048=""),"",ROUND(H3048*O3048,2))</f>
        <v/>
      </c>
      <c r="Q3048" s="420" t="inlineStr">
        <is>
          <t>元件</t>
        </is>
      </c>
      <c r="R3048" s="231" t="inlineStr"/>
      <c r="S3048" s="231" t="inlineStr"/>
      <c r="T3048" s="231" t="inlineStr">
        <is>
          <t>0</t>
        </is>
      </c>
      <c r="U3048" s="231" t="inlineStr">
        <is>
          <t>True</t>
        </is>
      </c>
      <c r="V3048" s="421" t="n"/>
      <c r="W3048" s="421" t="n"/>
      <c r="X3048" s="166" t="inlineStr"/>
    </row>
    <row r="3049" customFormat="1" s="5">
      <c r="A3049" s="64">
        <f>ROW()-ROW(A$3028)</f>
        <v/>
      </c>
      <c r="B3049" s="22" t="inlineStr">
        <is>
          <t>铜排</t>
        </is>
      </c>
      <c r="C3049" s="22" t="inlineStr">
        <is>
          <t>TMY 4*60*5</t>
        </is>
      </c>
      <c r="D3049" s="22" t="inlineStr">
        <is>
          <t>国产优质</t>
        </is>
      </c>
      <c r="E3049" s="23" t="inlineStr">
        <is>
          <t>米</t>
        </is>
      </c>
      <c r="F3049" s="23" t="n">
        <v>1.2</v>
      </c>
      <c r="G3049" s="349">
        <f>IF(AND(B3049="",C3049=""),"",ROUND(M3049*L3049*N3049,2))</f>
        <v/>
      </c>
      <c r="H3049" s="349">
        <f>IF(AND(B3049="",C3049=""),"",ROUND(F3049*G3049,2))</f>
        <v/>
      </c>
      <c r="I3049" s="45" t="inlineStr"/>
      <c r="J3049" s="422">
        <f>IF(AND(B3049="",C3049=""),"",ROUND(M3049*N3049,2))</f>
        <v/>
      </c>
      <c r="K3049" s="423">
        <f>IF(AND(B3049="",C3049=""),"",ROUND(J3049*F3049,2))</f>
        <v/>
      </c>
      <c r="L3049" s="225" t="n">
        <v>1</v>
      </c>
      <c r="M3049" s="424" t="n">
        <v>1154.5614</v>
      </c>
      <c r="N3049" s="227" t="n">
        <v>1</v>
      </c>
      <c r="O3049" s="228">
        <f>IF(AND(B3049="",C3049=""),"",IF(G3049&gt;=20000,0.05,IF(G3049&gt;=10000,0.1,IF(G3049&gt;=5000,0.2,IF(G3049&gt;=1000,0.3,IF(G3049&gt;=0,0.4,{0}))))))</f>
        <v/>
      </c>
      <c r="P3049" s="425">
        <f>IF(AND(B3049="",C3049=""),"",ROUND(H3049*O3049,2))</f>
        <v/>
      </c>
      <c r="Q3049" s="426" t="inlineStr">
        <is>
          <t>母排</t>
        </is>
      </c>
      <c r="R3049" s="234" t="inlineStr"/>
      <c r="S3049" s="234" t="inlineStr"/>
      <c r="T3049" s="235" t="inlineStr">
        <is>
          <t>0</t>
        </is>
      </c>
      <c r="U3049" s="235" t="inlineStr"/>
      <c r="V3049" s="427" t="n"/>
      <c r="W3049" s="427" t="n"/>
      <c r="X3049" s="237" t="inlineStr">
        <is>
          <t>TMY 2*30*5→TMY 30*8</t>
        </is>
      </c>
    </row>
    <row r="3050" customFormat="1" s="5">
      <c r="A3050" s="64">
        <f>ROW()-ROW(A$3028)</f>
        <v/>
      </c>
      <c r="B3050" s="22" t="inlineStr">
        <is>
          <t>铜排</t>
        </is>
      </c>
      <c r="C3050" s="22" t="inlineStr">
        <is>
          <t>TMY 30*8</t>
        </is>
      </c>
      <c r="D3050" s="22" t="inlineStr">
        <is>
          <t>国产优质</t>
        </is>
      </c>
      <c r="E3050" s="23" t="inlineStr">
        <is>
          <t>米</t>
        </is>
      </c>
      <c r="F3050" s="23" t="n">
        <v>13.5</v>
      </c>
      <c r="G3050" s="349">
        <f>IF(AND(B3050="",C3050=""),"",ROUND(M3050*L3050*N3050,2))</f>
        <v/>
      </c>
      <c r="H3050" s="349">
        <f>IF(AND(B3050="",C3050=""),"",ROUND(F3050*G3050,2))</f>
        <v/>
      </c>
      <c r="I3050" s="45" t="inlineStr"/>
      <c r="J3050" s="422">
        <f>IF(AND(B3050="",C3050=""),"",ROUND(M3050*N3050,2))</f>
        <v/>
      </c>
      <c r="K3050" s="423">
        <f>IF(AND(B3050="",C3050=""),"",ROUND(J3050*F3050,2))</f>
        <v/>
      </c>
      <c r="L3050" s="225" t="n">
        <v>1</v>
      </c>
      <c r="M3050" s="424" t="n">
        <v>230.91228</v>
      </c>
      <c r="N3050" s="227" t="n">
        <v>1</v>
      </c>
      <c r="O3050" s="228">
        <f>IF(AND(B3050="",C3050=""),"",IF(G3050&gt;=20000,0.05,IF(G3050&gt;=10000,0.1,IF(G3050&gt;=5000,0.2,IF(G3050&gt;=1000,0.3,IF(G3050&gt;=0,0.4,{0}))))))</f>
        <v/>
      </c>
      <c r="P3050" s="425">
        <f>IF(AND(B3050="",C3050=""),"",ROUND(H3050*O3050,2))</f>
        <v/>
      </c>
      <c r="Q3050" s="426" t="inlineStr">
        <is>
          <t>母排</t>
        </is>
      </c>
      <c r="R3050" s="234" t="inlineStr"/>
      <c r="S3050" s="234" t="inlineStr"/>
      <c r="T3050" s="235" t="inlineStr">
        <is>
          <t>0</t>
        </is>
      </c>
      <c r="U3050" s="235" t="inlineStr"/>
      <c r="V3050" s="427" t="n"/>
      <c r="W3050" s="427" t="n"/>
      <c r="X3050" s="237" t="inlineStr">
        <is>
          <t>TMY 2*30*5→TMY 30*8</t>
        </is>
      </c>
    </row>
    <row r="3051" s="308">
      <c r="A3051" s="64">
        <f>ROW()-ROW(A$3028)</f>
        <v/>
      </c>
      <c r="B3051" s="112" t="inlineStr">
        <is>
          <t>辅料</t>
        </is>
      </c>
      <c r="C3051" s="112" t="inlineStr"/>
      <c r="D3051" s="112" t="inlineStr"/>
      <c r="E3051" s="114" t="inlineStr">
        <is>
          <t>套</t>
        </is>
      </c>
      <c r="F3051" s="114" t="n">
        <v>1</v>
      </c>
      <c r="G3051" s="396">
        <f>IF(AND(B3051="",C3051=""),"",ROUND(M3051*L3051*N3051,2))</f>
        <v/>
      </c>
      <c r="H3051" s="396">
        <f>IF(AND(B3051="",C3051=""),"",ROUND(F3051*G3051,2))</f>
        <v/>
      </c>
      <c r="I3051" s="219" t="inlineStr"/>
      <c r="J3051" s="397">
        <f>IF(AND(B3051="",C3051=""),"",ROUND(M3051*N3051,2))</f>
        <v/>
      </c>
      <c r="K3051" s="398">
        <f>IF(AND(B3051="",C3051=""),"",ROUND(J3051*F3051,2))</f>
        <v/>
      </c>
      <c r="L3051" s="200" t="n">
        <v>1</v>
      </c>
      <c r="M3051" s="399" t="n">
        <v>1500</v>
      </c>
      <c r="N3051" s="154" t="n">
        <v>1</v>
      </c>
      <c r="O3051" s="155">
        <f>IF(AND(B3051="",C3051=""),"",IF(G3051&gt;=20000,0.05,IF(G3051&gt;=10000,0.1,IF(G3051&gt;=5000,0.2,IF(G3051&gt;=1000,0.3,IF(G3051&gt;=0,0.4,{0}))))))</f>
        <v/>
      </c>
      <c r="P3051" s="400">
        <f>IF(AND(B3051="",C3051=""),"",ROUND(H3051*O3051,2))</f>
        <v/>
      </c>
      <c r="Q3051" s="401" t="inlineStr">
        <is>
          <t>辅料</t>
        </is>
      </c>
      <c r="R3051" s="168" t="inlineStr"/>
      <c r="S3051" s="168" t="inlineStr"/>
      <c r="T3051" s="168" t="inlineStr">
        <is>
          <t>0</t>
        </is>
      </c>
      <c r="U3051" s="168" t="inlineStr"/>
      <c r="V3051" s="402" t="n"/>
      <c r="W3051" s="402" t="n"/>
      <c r="X3051" s="170" t="inlineStr"/>
    </row>
    <row r="3052" s="308">
      <c r="A3052" s="64">
        <f>ROW()-ROW(A$3028)</f>
        <v/>
      </c>
      <c r="B3052" s="112" t="inlineStr">
        <is>
          <t>柜体Blokset</t>
        </is>
      </c>
      <c r="C3052" s="22" t="inlineStr">
        <is>
          <t>1200W*1000D*2200H</t>
        </is>
      </c>
      <c r="D3052" s="112" t="inlineStr">
        <is>
          <t>清科</t>
        </is>
      </c>
      <c r="E3052" s="114" t="inlineStr">
        <is>
          <t>台</t>
        </is>
      </c>
      <c r="F3052" s="114" t="n">
        <v>1</v>
      </c>
      <c r="G3052" s="396">
        <f>IF(AND(B3052="",C3052=""),"",ROUND(M3052*L3052*N3052,2))</f>
        <v/>
      </c>
      <c r="H3052" s="396">
        <f>IF(AND(B3052="",C3052=""),"",ROUND(F3052*G3052,2))</f>
        <v/>
      </c>
      <c r="I3052" s="219" t="inlineStr"/>
      <c r="J3052" s="397">
        <f>IF(AND(B3052="",C3052=""),"",ROUND(M3052*N3052,2))</f>
        <v/>
      </c>
      <c r="K3052" s="398">
        <f>IF(AND(B3052="",C3052=""),"",ROUND(J3052*F3052,2))</f>
        <v/>
      </c>
      <c r="L3052" s="200" t="n">
        <v>1</v>
      </c>
      <c r="M3052" s="399" t="n">
        <v>8240</v>
      </c>
      <c r="N3052" s="154" t="n">
        <v>1</v>
      </c>
      <c r="O3052" s="155">
        <f>IF(AND(B3052="",C3052=""),"",IF(G3052&gt;=20000,0.05,IF(G3052&gt;=10000,0.1,IF(G3052&gt;=5000,0.2,IF(G3052&gt;=1000,0.3,IF(G3052&gt;=0,0.4,{0}))))))</f>
        <v/>
      </c>
      <c r="P3052" s="400">
        <f>IF(AND(B3052="",C3052=""),"",ROUND(H3052*O3052,2))</f>
        <v/>
      </c>
      <c r="Q3052" s="401" t="inlineStr">
        <is>
          <t>箱体</t>
        </is>
      </c>
      <c r="R3052" s="168" t="inlineStr"/>
      <c r="S3052" s="168" t="inlineStr"/>
      <c r="T3052" s="168" t="inlineStr">
        <is>
          <t>0</t>
        </is>
      </c>
      <c r="U3052" s="168" t="inlineStr"/>
      <c r="V3052" s="402" t="n"/>
      <c r="W3052" s="402" t="n"/>
      <c r="X3052" s="170" t="inlineStr">
        <is>
          <t>BlokSeT</t>
        </is>
      </c>
    </row>
    <row r="3053" s="308">
      <c r="A3053" s="64">
        <f>ROW()-ROW(A$3028)</f>
        <v/>
      </c>
      <c r="B3053" s="22" t="inlineStr"/>
      <c r="C3053" s="22" t="inlineStr"/>
      <c r="D3053" s="22" t="inlineStr"/>
      <c r="E3053" s="23" t="n"/>
      <c r="F3053" s="23">
        <f>IF(AND(B3053="",C3053=""),"",1)</f>
        <v/>
      </c>
      <c r="G3053" s="349">
        <f>IF(AND(B3053="",C3053=""),"",ROUND(M3053*L3053*N3053,2))</f>
        <v/>
      </c>
      <c r="H3053" s="349">
        <f>IF(AND(B3053="",C3053=""),"",ROUND(F3053*G3053,2))</f>
        <v/>
      </c>
      <c r="I3053" s="45" t="inlineStr"/>
      <c r="J3053" s="397">
        <f>IF(AND(B3053="",C3053=""),"",ROUND(M3053*N3053,2))</f>
        <v/>
      </c>
      <c r="K3053" s="398">
        <f>IF(AND(B3053="",C3053=""),"",ROUND(J3053*F3053,2))</f>
        <v/>
      </c>
      <c r="L3053" s="200">
        <f>IF(AND(B3053="",C3053=""),"",1)</f>
        <v/>
      </c>
      <c r="M3053" s="399" t="n"/>
      <c r="N3053" s="154">
        <f>IF(AND(B3053="",C3053=""),"",1)</f>
        <v/>
      </c>
      <c r="O3053" s="155">
        <f>IF(AND(B3053="",C3053=""),"",IF(J3053&gt;=20000,0.05,IF(J3053&gt;=10000,0.1,IF(J3053&gt;=5000,0.2,IF(J3053&gt;=1000,0.3,IF(J3053&gt;=0,0.4,{0}))))))</f>
        <v/>
      </c>
      <c r="P3053" s="400">
        <f>IF(AND(B3053="",C3053=""),"",ROUND(H3053*O3053,2))</f>
        <v/>
      </c>
      <c r="Q3053" s="401">
        <f>IF(AND(B3053="",C3053=""),"","元件")</f>
        <v/>
      </c>
      <c r="R3053" s="168" t="inlineStr"/>
      <c r="S3053" s="168" t="inlineStr"/>
      <c r="T3053" s="168" t="inlineStr"/>
      <c r="U3053" s="168" t="inlineStr"/>
      <c r="V3053" s="402" t="n"/>
      <c r="W3053" s="402" t="n"/>
      <c r="X3053" s="170" t="inlineStr"/>
    </row>
    <row r="3054" s="308">
      <c r="A3054" s="64">
        <f>ROW()-ROW(A$3028)</f>
        <v/>
      </c>
      <c r="B3054" s="171" t="inlineStr">
        <is>
          <t>小计</t>
        </is>
      </c>
      <c r="C3054" s="172" t="n"/>
      <c r="D3054" s="204" t="n"/>
      <c r="E3054" s="114" t="n"/>
      <c r="F3054" s="114" t="n"/>
      <c r="G3054" s="396" t="n"/>
      <c r="H3054" s="396">
        <f>ROUND(SUM(H3028:INDEX(H:H,ROW()-1)),2)</f>
        <v/>
      </c>
      <c r="I3054" s="45" t="inlineStr"/>
      <c r="J3054" s="397" t="n"/>
      <c r="K3054" s="398">
        <f>ROUND(SUM(K3028:INDEX(K:K,ROW()-1)),2)</f>
        <v/>
      </c>
      <c r="L3054" s="200" t="n"/>
      <c r="M3054" s="399" t="n"/>
      <c r="N3054" s="154" t="n"/>
      <c r="O3054" s="155" t="n"/>
      <c r="P3054" s="400" t="n"/>
      <c r="Q3054" s="401" t="n"/>
      <c r="R3054" s="168" t="inlineStr"/>
      <c r="S3054" s="168" t="inlineStr"/>
      <c r="T3054" s="168" t="inlineStr"/>
      <c r="U3054" s="168" t="inlineStr"/>
      <c r="V3054" s="402">
        <f>ROUND(SUMPRODUCT(F3028:INDEX(F:F,ROW()-1),V3028:INDEX(V:V,ROW()-1)),2)</f>
        <v/>
      </c>
      <c r="W3054" s="402">
        <f>ROUND(SUMPRODUCT(F3028:INDEX(F:F,ROW()-1),W3028:INDEX(W:W,ROW()-1)),2)</f>
        <v/>
      </c>
      <c r="X3054" s="170" t="inlineStr"/>
    </row>
    <row r="3055" s="308">
      <c r="A3055" s="64">
        <f>ROW()-ROW(A$3028)</f>
        <v/>
      </c>
      <c r="B3055" s="171" t="inlineStr">
        <is>
          <t>综合费(人工、管理、税金、利润等)</t>
        </is>
      </c>
      <c r="C3055" s="172" t="n"/>
      <c r="D3055" s="204" t="n"/>
      <c r="E3055" s="114" t="n"/>
      <c r="F3055" s="114" t="n"/>
      <c r="G3055" s="396" t="n"/>
      <c r="H3055" s="396" t="n">
        <v>1872.26</v>
      </c>
      <c r="I3055" s="45" t="inlineStr"/>
      <c r="J3055" s="397" t="n"/>
      <c r="K3055" s="398" t="n"/>
      <c r="L3055" s="200" t="n"/>
      <c r="M3055" s="399" t="n"/>
      <c r="N3055" s="154" t="n"/>
      <c r="O3055" s="155" t="n"/>
      <c r="P3055" s="400" t="n"/>
      <c r="Q3055" s="401" t="inlineStr">
        <is>
          <t>费用</t>
        </is>
      </c>
      <c r="R3055" s="168" t="inlineStr"/>
      <c r="S3055" s="168" t="inlineStr"/>
      <c r="T3055" s="168" t="inlineStr"/>
      <c r="U3055" s="168" t="inlineStr"/>
      <c r="V3055" s="402" t="n"/>
      <c r="W3055" s="402" t="n"/>
      <c r="X3055" s="170" t="inlineStr"/>
    </row>
    <row r="3056" s="308">
      <c r="A3056" s="64">
        <f>ROW()-ROW(A$3028)</f>
        <v/>
      </c>
      <c r="B3056" s="204" t="inlineStr">
        <is>
          <t>单台合计</t>
        </is>
      </c>
      <c r="C3056" s="172" t="n"/>
      <c r="D3056" s="204" t="n"/>
      <c r="E3056" s="114" t="n"/>
      <c r="F3056" s="114" t="n"/>
      <c r="G3056" s="396" t="n"/>
      <c r="H3056" s="396">
        <f>ROUND(SUM(H3054:H3055),2)</f>
        <v/>
      </c>
      <c r="I3056" s="181" t="n"/>
      <c r="J3056" s="397" t="n"/>
      <c r="K3056" s="398">
        <f>ROUND(SUM(K3054:K3055),2)</f>
        <v/>
      </c>
      <c r="L3056" s="209" t="n"/>
      <c r="M3056" s="399" t="n"/>
      <c r="N3056" s="210" t="n"/>
      <c r="O3056" s="211" t="n"/>
      <c r="P3056" s="400" t="n"/>
      <c r="Q3056" s="401" t="n"/>
      <c r="R3056" s="168" t="inlineStr"/>
      <c r="S3056" s="168" t="inlineStr"/>
      <c r="T3056" s="168" t="inlineStr"/>
      <c r="U3056" s="168" t="inlineStr"/>
      <c r="V3056" s="402" t="n"/>
      <c r="W3056" s="402" t="n"/>
      <c r="X3056" s="170" t="inlineStr"/>
    </row>
    <row r="3057" s="308">
      <c r="A3057" s="173" t="inlineStr">
        <is>
          <t>总计</t>
        </is>
      </c>
      <c r="B3057" s="205" t="n"/>
      <c r="C3057" s="175" t="n"/>
      <c r="D3057" s="206" t="n"/>
      <c r="E3057" s="206" t="inlineStr">
        <is>
          <t>台</t>
        </is>
      </c>
      <c r="F3057" s="206" t="n">
        <v>4</v>
      </c>
      <c r="G3057" s="414">
        <f>ROUND(H3056,2)</f>
        <v/>
      </c>
      <c r="H3057" s="414">
        <f>ROUND(F3057*G3057,2)</f>
        <v/>
      </c>
      <c r="I3057" s="185" t="n"/>
      <c r="J3057" s="415" t="n"/>
      <c r="K3057" s="416">
        <f>ROUND(K3056*F3057,2)</f>
        <v/>
      </c>
      <c r="L3057" s="214" t="n"/>
      <c r="M3057" s="417" t="n"/>
      <c r="N3057" s="216" t="n"/>
      <c r="O3057" s="217" t="n"/>
      <c r="P3057" s="418" t="n"/>
      <c r="Q3057" s="401" t="n"/>
      <c r="R3057" s="168" t="inlineStr"/>
      <c r="S3057" s="168" t="inlineStr"/>
      <c r="T3057" s="168" t="inlineStr"/>
      <c r="U3057" s="168" t="inlineStr"/>
      <c r="V3057" s="402" t="n"/>
      <c r="W3057" s="402" t="n"/>
      <c r="X3057" s="170" t="inlineStr"/>
    </row>
    <row r="3058" customFormat="1" s="4">
      <c r="A3058" s="6" t="n"/>
      <c r="B3058" s="195" t="inlineStr"/>
      <c r="C3058" s="195" t="inlineStr"/>
      <c r="D3058" s="195" t="inlineStr"/>
      <c r="Q3058" s="159" t="n"/>
      <c r="R3058" s="159" t="n"/>
      <c r="S3058" s="159" t="n"/>
      <c r="T3058" s="159" t="n"/>
      <c r="U3058" s="159" t="n"/>
      <c r="X3058" s="195" t="inlineStr"/>
    </row>
    <row r="3059" customFormat="1" s="4">
      <c r="A3059" s="6" t="n"/>
      <c r="B3059" s="195" t="inlineStr"/>
      <c r="C3059" s="195" t="inlineStr"/>
      <c r="D3059" s="195" t="inlineStr"/>
      <c r="Q3059" s="159" t="n"/>
      <c r="R3059" s="159" t="n"/>
      <c r="S3059" s="159" t="n"/>
      <c r="T3059" s="159" t="n"/>
      <c r="U3059" s="159" t="n"/>
      <c r="X3059" s="195" t="inlineStr"/>
    </row>
    <row r="3060" s="308">
      <c r="A3060" s="208">
        <f>CONCATENATE("报价人：",项目信息!$B$8)</f>
        <v/>
      </c>
      <c r="B3060" s="208" t="n"/>
      <c r="C3060" s="4" t="n"/>
      <c r="D3060" s="4" t="n"/>
      <c r="E3060" s="4" t="n"/>
      <c r="F3060" s="4" t="n"/>
      <c r="G3060" s="4" t="n"/>
      <c r="H3060" s="178">
        <f>项目信息!$B$9</f>
        <v/>
      </c>
      <c r="Q3060" s="159" t="n"/>
      <c r="R3060" s="159" t="n"/>
      <c r="S3060" s="159" t="n"/>
      <c r="T3060" s="159" t="n"/>
      <c r="U3060" s="159" t="n"/>
      <c r="X3060" s="203" t="inlineStr"/>
    </row>
    <row r="3061" s="308">
      <c r="A3061" s="8">
        <f>T(项目信息!$B$22)</f>
        <v/>
      </c>
      <c r="Q3061" s="159" t="n"/>
      <c r="R3061" s="159" t="n"/>
      <c r="S3061" s="159" t="n"/>
      <c r="T3061" s="159" t="n"/>
      <c r="U3061" s="159" t="n"/>
    </row>
    <row r="3062" s="308">
      <c r="A3062" s="9">
        <f>T(项目信息!$B$23)</f>
        <v/>
      </c>
      <c r="Q3062" s="159" t="n"/>
      <c r="R3062" s="159" t="n"/>
      <c r="S3062" s="159" t="n"/>
      <c r="T3062" s="159" t="n"/>
      <c r="U3062" s="159" t="n"/>
    </row>
    <row r="3063" s="308">
      <c r="A3063" s="97" t="inlineStr">
        <is>
          <t>成套产品报价明细表</t>
        </is>
      </c>
      <c r="B3063" s="378" t="n"/>
      <c r="C3063" s="378" t="n"/>
      <c r="D3063" s="378" t="n"/>
      <c r="E3063" s="378" t="n"/>
      <c r="F3063" s="378" t="n"/>
      <c r="G3063" s="378" t="n"/>
      <c r="H3063" s="378" t="n"/>
      <c r="I3063" s="378" t="n"/>
      <c r="Q3063" s="159" t="n"/>
      <c r="R3063" s="159" t="n"/>
      <c r="S3063" s="159" t="n"/>
      <c r="T3063" s="159" t="n"/>
      <c r="U3063" s="159" t="n"/>
    </row>
    <row r="3064" customFormat="1" s="4">
      <c r="A3064" s="98" t="inlineStr">
        <is>
          <t>柜号:</t>
        </is>
      </c>
      <c r="B3064" s="99" t="inlineStr">
        <is>
          <t>A/B-CWPB-01/02</t>
        </is>
      </c>
      <c r="C3064" s="100" t="inlineStr">
        <is>
          <t>型号:</t>
        </is>
      </c>
      <c r="D3064" s="99" t="inlineStr">
        <is>
          <t>BlokSeT</t>
        </is>
      </c>
      <c r="E3064" s="379" t="n"/>
      <c r="F3064" s="101" t="inlineStr">
        <is>
          <t>名称:</t>
        </is>
      </c>
      <c r="G3064" s="99" t="inlineStr">
        <is>
          <t>变频软启柜</t>
        </is>
      </c>
      <c r="H3064" s="379" t="n"/>
      <c r="I3064" s="408" t="inlineStr"/>
      <c r="J3064" s="194" t="inlineStr">
        <is>
          <t>箱柜尺寸:</t>
        </is>
      </c>
      <c r="K3064" s="195" t="inlineStr">
        <is>
          <t>1200W*1000D*2200H</t>
        </is>
      </c>
      <c r="L3064" s="194" t="inlineStr">
        <is>
          <t>类别:</t>
        </is>
      </c>
      <c r="M3064" s="195" t="inlineStr">
        <is>
          <t>低压固定柜</t>
        </is>
      </c>
      <c r="N3064" s="409" t="inlineStr"/>
      <c r="Q3064" s="159" t="n"/>
      <c r="R3064" s="159" t="n"/>
      <c r="S3064" s="159" t="n"/>
      <c r="T3064" s="159" t="n"/>
      <c r="U3064" s="159" t="n"/>
    </row>
    <row r="3065" ht="20.1" customHeight="1" s="308">
      <c r="A3065" s="102" t="inlineStr">
        <is>
          <t>序号</t>
        </is>
      </c>
      <c r="B3065" s="103" t="inlineStr">
        <is>
          <t>元件名称</t>
        </is>
      </c>
      <c r="C3065" s="103" t="inlineStr">
        <is>
          <t>型号规格</t>
        </is>
      </c>
      <c r="D3065" s="104" t="inlineStr">
        <is>
          <t>生产厂家</t>
        </is>
      </c>
      <c r="E3065" s="105" t="inlineStr">
        <is>
          <t>单位</t>
        </is>
      </c>
      <c r="F3065" s="105" t="inlineStr">
        <is>
          <t>数量</t>
        </is>
      </c>
      <c r="G3065" s="382" t="inlineStr">
        <is>
          <t>单   价</t>
        </is>
      </c>
      <c r="H3065" s="383" t="inlineStr">
        <is>
          <t>总   价</t>
        </is>
      </c>
      <c r="I3065" s="134" t="inlineStr">
        <is>
          <t>备注</t>
        </is>
      </c>
      <c r="J3065" s="384" t="inlineStr">
        <is>
          <t>成本单价</t>
        </is>
      </c>
      <c r="K3065" s="384" t="inlineStr">
        <is>
          <t>成本总价</t>
        </is>
      </c>
      <c r="L3065" s="136" t="inlineStr">
        <is>
          <t>报出
系数</t>
        </is>
      </c>
      <c r="M3065" s="384" t="inlineStr">
        <is>
          <t>表价</t>
        </is>
      </c>
      <c r="N3065" s="136" t="inlineStr">
        <is>
          <t>折扣
系数</t>
        </is>
      </c>
      <c r="O3065" s="137" t="inlineStr">
        <is>
          <t>取费
系数</t>
        </is>
      </c>
      <c r="P3065" s="384" t="inlineStr">
        <is>
          <t>成套费</t>
        </is>
      </c>
      <c r="Q3065" s="161" t="inlineStr">
        <is>
          <t>类别</t>
        </is>
      </c>
      <c r="R3065" s="161" t="inlineStr">
        <is>
          <t>物料编码</t>
        </is>
      </c>
      <c r="S3065" s="161" t="inlineStr">
        <is>
          <t>产地</t>
        </is>
      </c>
      <c r="T3065" s="161" t="inlineStr">
        <is>
          <t>加工费</t>
        </is>
      </c>
      <c r="U3065" s="161" t="inlineStr">
        <is>
          <t>订货号</t>
        </is>
      </c>
      <c r="V3065" s="161" t="inlineStr">
        <is>
          <t>人工</t>
        </is>
      </c>
      <c r="W3065" s="161" t="inlineStr">
        <is>
          <t>辅料</t>
        </is>
      </c>
      <c r="X3065" s="203" t="inlineStr"/>
    </row>
    <row r="3066" s="308">
      <c r="A3066" s="64">
        <f>ROW()-ROW(A$3065)</f>
        <v/>
      </c>
      <c r="B3066" s="22" t="inlineStr">
        <is>
          <t>隔离开关</t>
        </is>
      </c>
      <c r="C3066" s="22" t="inlineStr">
        <is>
          <t>NSX400NA 3P</t>
        </is>
      </c>
      <c r="D3066" s="22" t="inlineStr">
        <is>
          <t>甲供/施耐德电气</t>
        </is>
      </c>
      <c r="E3066" s="23" t="inlineStr">
        <is>
          <t>只</t>
        </is>
      </c>
      <c r="F3066" s="23" t="n">
        <v>4</v>
      </c>
      <c r="G3066" s="349">
        <f>IF(AND(B3066="",C3066=""),"",ROUND(M3066*L3066*N3066,2))</f>
        <v/>
      </c>
      <c r="H3066" s="349">
        <f>IF(AND(B3066="",C3066=""),"",ROUND(F3066*G3066,2))</f>
        <v/>
      </c>
      <c r="I3066" s="45" t="inlineStr"/>
      <c r="J3066" s="397">
        <f>IF(AND(B3066="",C3066=""),"",ROUND(M3066*N3066,2))</f>
        <v/>
      </c>
      <c r="K3066" s="398">
        <f>IF(AND(B3066="",C3066=""),"",ROUND(J3066*F3066,2))</f>
        <v/>
      </c>
      <c r="L3066" s="200" t="n">
        <v>1</v>
      </c>
      <c r="M3066" s="399" t="n">
        <v>1e-07</v>
      </c>
      <c r="N3066" s="154" t="n">
        <v>1</v>
      </c>
      <c r="O3066" s="155">
        <f>IF(AND(B3066="",C3066=""),"",IF(G3066&gt;=20000,0.05,IF(G3066&gt;=10000,0.1,IF(G3066&gt;=5000,0.2,IF(G3066&gt;=1000,0.3,IF(G3066&gt;=0,0.4,{0}))))))</f>
        <v/>
      </c>
      <c r="P3066" s="400">
        <f>IF(AND(B3066="",C3066=""),"",ROUND(H3066*O3066,2))</f>
        <v/>
      </c>
      <c r="Q3066" s="401" t="inlineStr">
        <is>
          <t>元件</t>
        </is>
      </c>
      <c r="R3066" s="168" t="inlineStr"/>
      <c r="S3066" s="168" t="inlineStr"/>
      <c r="T3066" s="168" t="inlineStr">
        <is>
          <t>0</t>
        </is>
      </c>
      <c r="U3066" s="168" t="inlineStr">
        <is>
          <t>C16F32D160</t>
        </is>
      </c>
      <c r="V3066" s="402" t="n"/>
      <c r="W3066" s="402" t="n"/>
      <c r="X3066" s="170" t="inlineStr">
        <is>
          <t>NSX630N Mic2.3 630A 3P3D F→NSX630F MIC2.3 630 3P F→NSX630F MIC 2.3 630 3P F</t>
        </is>
      </c>
    </row>
    <row r="3067" s="308">
      <c r="A3067" s="64">
        <f>ROW()-ROW(A$3065)</f>
        <v/>
      </c>
      <c r="B3067" s="22" t="inlineStr">
        <is>
          <t>通讯模块</t>
        </is>
      </c>
      <c r="C3067" s="22" t="inlineStr">
        <is>
          <t>PROFIBUS DP 通讯卡</t>
        </is>
      </c>
      <c r="D3067" s="22" t="inlineStr">
        <is>
          <t>甲供/施耐德电气</t>
        </is>
      </c>
      <c r="E3067" s="23" t="inlineStr">
        <is>
          <t>只</t>
        </is>
      </c>
      <c r="F3067" s="23" t="n">
        <v>2</v>
      </c>
      <c r="G3067" s="349">
        <f>IF(AND(B3067="",C3067=""),"",ROUND(M3067*L3067*N3067,2))</f>
        <v/>
      </c>
      <c r="H3067" s="349">
        <f>IF(AND(B3067="",C3067=""),"",ROUND(F3067*G3067,2))</f>
        <v/>
      </c>
      <c r="I3067" s="45" t="inlineStr"/>
      <c r="J3067" s="397">
        <f>IF(AND(B3067="",C3067=""),"",ROUND(M3067*N3067,2))</f>
        <v/>
      </c>
      <c r="K3067" s="398">
        <f>IF(AND(B3067="",C3067=""),"",ROUND(J3067*F3067,2))</f>
        <v/>
      </c>
      <c r="L3067" s="200" t="n">
        <v>1</v>
      </c>
      <c r="M3067" s="399" t="n">
        <v>1e-07</v>
      </c>
      <c r="N3067" s="154" t="n">
        <v>1</v>
      </c>
      <c r="O3067" s="155">
        <f>IF(AND(B3067="",C3067=""),"",IF(G3067&gt;=20000,0.05,IF(G3067&gt;=10000,0.1,IF(G3067&gt;=5000,0.2,IF(G3067&gt;=1000,0.3,IF(G3067&gt;=0,0.4,{0}))))))</f>
        <v/>
      </c>
      <c r="P3067" s="400">
        <f>IF(AND(B3067="",C3067=""),"",ROUND(H3067*O3067,2))</f>
        <v/>
      </c>
      <c r="Q3067" s="401" t="inlineStr">
        <is>
          <t>元件</t>
        </is>
      </c>
      <c r="R3067" s="168" t="inlineStr"/>
      <c r="S3067" s="168" t="inlineStr"/>
      <c r="T3067" s="168" t="n">
        <v>0</v>
      </c>
      <c r="U3067" s="168" t="inlineStr"/>
      <c r="V3067" s="402" t="n"/>
      <c r="W3067" s="402" t="n"/>
      <c r="X3067" s="170" t="inlineStr"/>
    </row>
    <row r="3068" s="308">
      <c r="A3068" s="64">
        <f>ROW()-ROW(A$3065)</f>
        <v/>
      </c>
      <c r="B3068" s="22" t="inlineStr">
        <is>
          <t>双电源开关</t>
        </is>
      </c>
      <c r="C3068" s="22" t="inlineStr">
        <is>
          <t>WTS400/4DL 400A 4P D控制器</t>
        </is>
      </c>
      <c r="D3068" s="22" t="inlineStr">
        <is>
          <t>甲供/施耐德万高</t>
        </is>
      </c>
      <c r="E3068" s="110" t="inlineStr">
        <is>
          <t>只</t>
        </is>
      </c>
      <c r="F3068" s="23" t="n">
        <v>1</v>
      </c>
      <c r="G3068" s="349">
        <f>IF(AND(B3068="",C3068=""),"",ROUND(M3068*L3068*N3068,2))</f>
        <v/>
      </c>
      <c r="H3068" s="349">
        <f>IF(AND(B3068="",C3068=""),"",ROUND(F3068*G3068,2))</f>
        <v/>
      </c>
      <c r="I3068" s="45" t="inlineStr"/>
      <c r="J3068" s="397">
        <f>IF(AND(B3068="",C3068=""),"",ROUND(M3068*N3068,2))</f>
        <v/>
      </c>
      <c r="K3068" s="398">
        <f>IF(AND(B3068="",C3068=""),"",ROUND(J3068*F3068,2))</f>
        <v/>
      </c>
      <c r="L3068" s="200" t="n">
        <v>1</v>
      </c>
      <c r="M3068" s="399" t="n">
        <v>1e-07</v>
      </c>
      <c r="N3068" s="154" t="n">
        <v>1</v>
      </c>
      <c r="O3068" s="155">
        <f>IF(AND(B3068="",C3068=""),"",IF(G3068&gt;=20000,0.05,IF(G3068&gt;=10000,0.1,IF(G3068&gt;=5000,0.2,IF(G3068&gt;=1000,0.3,IF(G3068&gt;=0,0.4,{0}))))))</f>
        <v/>
      </c>
      <c r="P3068" s="400">
        <f>IF(AND(B3068="",C3068=""),"",ROUND(H3068*O3068,2))</f>
        <v/>
      </c>
      <c r="Q3068" s="401" t="inlineStr">
        <is>
          <t>元件</t>
        </is>
      </c>
      <c r="R3068" s="168" t="inlineStr"/>
      <c r="S3068" s="168" t="inlineStr"/>
      <c r="T3068" s="168" t="n">
        <v>0</v>
      </c>
      <c r="U3068" s="168" t="inlineStr"/>
      <c r="V3068" s="402" t="n"/>
      <c r="W3068" s="402" t="n"/>
      <c r="X3068" s="170" t="inlineStr"/>
    </row>
    <row r="3069" s="308">
      <c r="A3069" s="64">
        <f>ROW()-ROW(A$3065)</f>
        <v/>
      </c>
      <c r="B3069" s="22" t="inlineStr">
        <is>
          <t>电流互感器</t>
        </is>
      </c>
      <c r="C3069" s="22" t="inlineStr">
        <is>
          <t>SD-0.66-40II-C 400/5A</t>
        </is>
      </c>
      <c r="D3069" s="22" t="inlineStr">
        <is>
          <t>桑迪</t>
        </is>
      </c>
      <c r="E3069" s="23" t="inlineStr">
        <is>
          <t>只</t>
        </is>
      </c>
      <c r="F3069" s="23" t="n">
        <v>3</v>
      </c>
      <c r="G3069" s="349">
        <f>IF(AND(B3069="",C3069=""),"",ROUND(M3069*L3069*N3069,2))</f>
        <v/>
      </c>
      <c r="H3069" s="396">
        <f>IF(AND(B3069="",C3069=""),"",ROUND(F3069*G3069,2))</f>
        <v/>
      </c>
      <c r="I3069" s="219" t="inlineStr"/>
      <c r="J3069" s="397">
        <f>IF(AND(B3069="",C3069=""),"",ROUND(M3069*N3069,2))</f>
        <v/>
      </c>
      <c r="K3069" s="398">
        <f>IF(AND(B3069="",C3069=""),"",ROUND(J3069*F3069,2))</f>
        <v/>
      </c>
      <c r="L3069" s="200" t="n">
        <v>1</v>
      </c>
      <c r="M3069" s="399" t="n">
        <v>52</v>
      </c>
      <c r="N3069" s="154" t="n">
        <v>1</v>
      </c>
      <c r="O3069" s="155">
        <f>IF(AND(B3069="",C3069=""),"",IF(G3069&gt;=20000,0.05,IF(G3069&gt;=10000,0.1,IF(G3069&gt;=5000,0.2,IF(G3069&gt;=1000,0.3,IF(G3069&gt;=0,0.4,{0}))))))</f>
        <v/>
      </c>
      <c r="P3069" s="400">
        <f>IF(AND(B3069="",C3069=""),"",ROUND(H3069*O3069,2))</f>
        <v/>
      </c>
      <c r="Q3069" s="401" t="inlineStr">
        <is>
          <t>元件</t>
        </is>
      </c>
      <c r="R3069" s="168" t="inlineStr"/>
      <c r="S3069" s="168" t="inlineStr"/>
      <c r="T3069" s="168" t="inlineStr">
        <is>
          <t>0</t>
        </is>
      </c>
      <c r="U3069" s="168" t="inlineStr">
        <is>
          <t>710140200000049</t>
        </is>
      </c>
      <c r="V3069" s="402" t="n"/>
      <c r="W3069" s="402" t="n"/>
      <c r="X3069" s="170" t="inlineStr">
        <is>
          <t>SD→SD-0.66-40II-C 400/5A→SD-0.66-30I 250/5A→SD-0.66-30I 150/5A→SD-0.66-60II-C 750/5A→SD-0.66-60II-C 600/5A→SD-0.66-30I 150/5A→SD-0.66-40II-C 400/5A→SD-0.66-100II-C 1600/5A→SD-0.66-80II-V 1000/5A→SD-0.66-80II-V 1250/5A→SD-0.66-80II-V 1000/5A→SD-0.66-80II-V 800/5A→SD-0.66-100II-C 1600/5A</t>
        </is>
      </c>
    </row>
    <row r="3070" s="308">
      <c r="A3070" s="64">
        <f>ROW()-ROW(A$3065)</f>
        <v/>
      </c>
      <c r="B3070" s="112" t="inlineStr">
        <is>
          <t>多功能表</t>
        </is>
      </c>
      <c r="C3070" s="112" t="inlineStr">
        <is>
          <t>PM4101</t>
        </is>
      </c>
      <c r="D3070" s="112" t="inlineStr">
        <is>
          <t>甲供/施耐德电气</t>
        </is>
      </c>
      <c r="E3070" s="114" t="inlineStr">
        <is>
          <t>只</t>
        </is>
      </c>
      <c r="F3070" s="114" t="n">
        <v>1</v>
      </c>
      <c r="G3070" s="396">
        <f>IF(AND(B3070="",C3070=""),"",ROUND(M3070*L3070*N3070,2))</f>
        <v/>
      </c>
      <c r="H3070" s="349">
        <f>IF(AND(B3070="",C3070=""),"",ROUND(F3070*G3070,2))</f>
        <v/>
      </c>
      <c r="I3070" s="45" t="inlineStr"/>
      <c r="J3070" s="397">
        <f>IF(AND(B3070="",C3070=""),"",ROUND(M3070*N3070,2))</f>
        <v/>
      </c>
      <c r="K3070" s="398">
        <f>IF(AND(B3070="",C3070=""),"",ROUND(J3070*F3070,2))</f>
        <v/>
      </c>
      <c r="L3070" s="200" t="n">
        <v>1</v>
      </c>
      <c r="M3070" s="399" t="n">
        <v>1e-07</v>
      </c>
      <c r="N3070" s="154" t="n">
        <v>1</v>
      </c>
      <c r="O3070" s="155">
        <f>IF(AND(B3070="",C3070=""),"",IF(J3070&gt;=20000,0.05,IF(J3070&gt;=10000,0.1,IF(J3070&gt;=5000,0.2,IF(J3070&gt;=1000,0.3,IF(J3070&gt;=0,0.4,{0}))))))</f>
        <v/>
      </c>
      <c r="P3070" s="400">
        <f>IF(AND(B3070="",C3070=""),"",ROUND(H3070*O3070,2))</f>
        <v/>
      </c>
      <c r="Q3070" s="401" t="inlineStr">
        <is>
          <t>元件</t>
        </is>
      </c>
      <c r="R3070" s="168" t="inlineStr"/>
      <c r="S3070" s="168" t="inlineStr"/>
      <c r="T3070" s="168" t="inlineStr">
        <is>
          <t>0</t>
        </is>
      </c>
      <c r="U3070" s="168" t="inlineStr"/>
      <c r="V3070" s="402" t="n"/>
      <c r="W3070" s="402" t="n"/>
      <c r="X3070" s="170" t="inlineStr"/>
    </row>
    <row r="3071" customFormat="1" s="3">
      <c r="A3071" s="64">
        <f>ROW()-ROW(A$3065)</f>
        <v/>
      </c>
      <c r="B3071" s="27" t="inlineStr">
        <is>
          <t>后备保护器</t>
        </is>
      </c>
      <c r="C3071" s="22" t="inlineStr">
        <is>
          <t>iSCB1 25L1 4P</t>
        </is>
      </c>
      <c r="D3071" s="22" t="inlineStr">
        <is>
          <t>甲供/施耐德万高</t>
        </is>
      </c>
      <c r="E3071" s="110" t="inlineStr">
        <is>
          <t>只</t>
        </is>
      </c>
      <c r="F3071" s="23" t="n">
        <v>1</v>
      </c>
      <c r="G3071" s="349">
        <f>IF(AND(B3071="",C3071=""),"",ROUND(M3071*L3071*N3071,2))</f>
        <v/>
      </c>
      <c r="H3071" s="349">
        <f>IF(AND(B3071="",C3071=""),"",ROUND(F3071*G3071,2))</f>
        <v/>
      </c>
      <c r="I3071" s="45" t="inlineStr"/>
      <c r="J3071" s="392">
        <f>IF(AND(B3071="",C3071=""),"",ROUND(M3071*N3071,2))</f>
        <v/>
      </c>
      <c r="K3071" s="393">
        <f>IF(AND(B3071="",C3071=""),"",ROUND(J3071*F3071,2))</f>
        <v/>
      </c>
      <c r="L3071" s="141" t="n">
        <v>1</v>
      </c>
      <c r="M3071" s="394" t="n">
        <v>1e-07</v>
      </c>
      <c r="N3071" s="143" t="n">
        <v>1</v>
      </c>
      <c r="O3071" s="144">
        <f>IF(AND(B3071="",C3071=""),"",IF(G3071&gt;=20000,0.05,IF(G3071&gt;=10000,0.1,IF(G3071&gt;=5000,0.2,IF(G3071&gt;=1000,0.3,IF(G3071&gt;=0,0.4,{0}))))))</f>
        <v/>
      </c>
      <c r="P3071" s="395">
        <f>IF(AND(B3071="",C3071=""),"",ROUND(H3071*O3071,2))</f>
        <v/>
      </c>
      <c r="Q3071" s="390" t="inlineStr">
        <is>
          <t>元件</t>
        </is>
      </c>
      <c r="R3071" s="164" t="inlineStr"/>
      <c r="S3071" s="164" t="inlineStr"/>
      <c r="T3071" s="164" t="inlineStr">
        <is>
          <t>0</t>
        </is>
      </c>
      <c r="U3071" s="164" t="inlineStr">
        <is>
          <t>A9L102554</t>
        </is>
      </c>
      <c r="V3071" s="391" t="n"/>
      <c r="W3071" s="391" t="n"/>
      <c r="X3071" s="166" t="inlineStr">
        <is>
          <t>iSCB1 25L1 4P→iSCB2 40H2 4P</t>
        </is>
      </c>
    </row>
    <row r="3072" customFormat="1" s="3">
      <c r="A3072" s="64">
        <f>ROW()-ROW(A$3065)</f>
        <v/>
      </c>
      <c r="B3072" s="27" t="inlineStr">
        <is>
          <t>电涌保护器</t>
        </is>
      </c>
      <c r="C3072" s="22" t="inlineStr">
        <is>
          <t>iPRF1 12.5r 3P+N</t>
        </is>
      </c>
      <c r="D3072" s="22" t="inlineStr">
        <is>
          <t>甲供/施耐德万高</t>
        </is>
      </c>
      <c r="E3072" s="110" t="inlineStr">
        <is>
          <t>只</t>
        </is>
      </c>
      <c r="F3072" s="23" t="n">
        <v>1</v>
      </c>
      <c r="G3072" s="349">
        <f>IF(AND(B3072="",C3072=""),"",ROUND(M3072*L3072*N3072,2))</f>
        <v/>
      </c>
      <c r="H3072" s="349">
        <f>IF(AND(B3072="",C3072=""),"",ROUND(F3072*G3072,2))</f>
        <v/>
      </c>
      <c r="I3072" s="45" t="inlineStr"/>
      <c r="J3072" s="392">
        <f>IF(AND(B3072="",C3072=""),"",ROUND(M3072*N3072,2))</f>
        <v/>
      </c>
      <c r="K3072" s="393">
        <f>IF(AND(B3072="",C3072=""),"",ROUND(J3072*F3072,2))</f>
        <v/>
      </c>
      <c r="L3072" s="141" t="n">
        <v>1</v>
      </c>
      <c r="M3072" s="394" t="n">
        <v>1e-07</v>
      </c>
      <c r="N3072" s="143" t="n">
        <v>1</v>
      </c>
      <c r="O3072" s="144">
        <f>IF(AND(B3072="",C3072=""),"",IF(G3072&gt;=20000,0.05,IF(G3072&gt;=10000,0.1,IF(G3072&gt;=5000,0.2,IF(G3072&gt;=1000,0.3,IF(G3072&gt;=0,0.4,{0}))))))</f>
        <v/>
      </c>
      <c r="P3072" s="395">
        <f>IF(AND(B3072="",C3072=""),"",ROUND(H3072*O3072,2))</f>
        <v/>
      </c>
      <c r="Q3072" s="390" t="inlineStr">
        <is>
          <t>元件</t>
        </is>
      </c>
      <c r="R3072" s="164" t="inlineStr"/>
      <c r="S3072" s="164" t="inlineStr"/>
      <c r="T3072" s="164" t="inlineStr">
        <is>
          <t>0</t>
        </is>
      </c>
      <c r="U3072" s="164" t="inlineStr">
        <is>
          <t>A9L620601</t>
        </is>
      </c>
      <c r="V3072" s="391" t="n"/>
      <c r="W3072" s="391" t="n"/>
      <c r="X3072" s="166" t="inlineStr">
        <is>
          <t>iPRF1 12.5r 3P+N→iPRU 40r 3P→iPRF1 12.5r 3P+N</t>
        </is>
      </c>
    </row>
    <row r="3073" customFormat="1" s="3">
      <c r="A3073" s="64">
        <f>ROW()-ROW(A$3065)</f>
        <v/>
      </c>
      <c r="B3073" s="27" t="inlineStr">
        <is>
          <t>塑壳断路器400A</t>
        </is>
      </c>
      <c r="C3073" s="22" t="inlineStr">
        <is>
          <t>NSX400N Mic2.3 400A 3P3D</t>
        </is>
      </c>
      <c r="D3073" s="112" t="inlineStr">
        <is>
          <t>甲供/施耐德电气</t>
        </is>
      </c>
      <c r="E3073" s="114" t="inlineStr">
        <is>
          <t>只</t>
        </is>
      </c>
      <c r="F3073" s="114" t="n">
        <v>2</v>
      </c>
      <c r="G3073" s="349">
        <f>IF(AND(B3073="",C3073=""),"",ROUND(M3073*L3073*N3073,2))</f>
        <v/>
      </c>
      <c r="H3073" s="349">
        <f>IF(AND(B3073="",C3073=""),"",ROUND(F3073*G3073,2))</f>
        <v/>
      </c>
      <c r="I3073" s="45" t="inlineStr"/>
      <c r="J3073" s="392">
        <f>IF(AND(B3073="",C3073=""),"",ROUND(M3073*N3073,2))</f>
        <v/>
      </c>
      <c r="K3073" s="393">
        <f>IF(AND(B3073="",C3073=""),"",ROUND(J3073*F3073,2))</f>
        <v/>
      </c>
      <c r="L3073" s="141" t="n">
        <v>1</v>
      </c>
      <c r="M3073" s="394" t="n">
        <v>1e-07</v>
      </c>
      <c r="N3073" s="143" t="n">
        <v>1</v>
      </c>
      <c r="O3073" s="144">
        <f>IF(AND(B3073="",C3073=""),"",IF(G3073&gt;=20000,0.05,IF(G3073&gt;=10000,0.1,IF(G3073&gt;=5000,0.2,IF(G3073&gt;=1000,0.3,IF(G3073&gt;=0,0.4,{0}))))))</f>
        <v/>
      </c>
      <c r="P3073" s="395">
        <f>IF(AND(B3073="",C3073=""),"",ROUND(H3073*O3073,2))</f>
        <v/>
      </c>
      <c r="Q3073" s="390" t="inlineStr">
        <is>
          <t>元件</t>
        </is>
      </c>
      <c r="R3073" s="164" t="inlineStr"/>
      <c r="S3073" s="164" t="inlineStr"/>
      <c r="T3073" s="164" t="n">
        <v>0</v>
      </c>
      <c r="U3073" s="164" t="inlineStr"/>
      <c r="V3073" s="391" t="n"/>
      <c r="W3073" s="391" t="n"/>
      <c r="X3073" s="166" t="inlineStr"/>
    </row>
    <row r="3074" customFormat="1" s="3">
      <c r="A3074" s="64">
        <f>ROW()-ROW(A$3065)</f>
        <v/>
      </c>
      <c r="B3074" s="27" t="inlineStr">
        <is>
          <t>塑壳断路器400A</t>
        </is>
      </c>
      <c r="C3074" s="22" t="inlineStr">
        <is>
          <t>NSX400N Mic1.3 M 320A 3P3D</t>
        </is>
      </c>
      <c r="D3074" s="112" t="inlineStr">
        <is>
          <t>甲供/施耐德电气</t>
        </is>
      </c>
      <c r="E3074" s="114" t="inlineStr">
        <is>
          <t>只</t>
        </is>
      </c>
      <c r="F3074" s="114" t="n">
        <v>1</v>
      </c>
      <c r="G3074" s="349">
        <f>IF(AND(B3074="",C3074=""),"",ROUND(M3074*L3074*N3074,2))</f>
        <v/>
      </c>
      <c r="H3074" s="349">
        <f>IF(AND(B3074="",C3074=""),"",ROUND(F3074*G3074,2))</f>
        <v/>
      </c>
      <c r="I3074" s="45" t="inlineStr"/>
      <c r="J3074" s="392">
        <f>IF(AND(B3074="",C3074=""),"",ROUND(M3074*N3074,2))</f>
        <v/>
      </c>
      <c r="K3074" s="393">
        <f>IF(AND(B3074="",C3074=""),"",ROUND(J3074*F3074,2))</f>
        <v/>
      </c>
      <c r="L3074" s="141" t="n">
        <v>1</v>
      </c>
      <c r="M3074" s="394" t="n">
        <v>1e-07</v>
      </c>
      <c r="N3074" s="143" t="n">
        <v>1</v>
      </c>
      <c r="O3074" s="144">
        <f>IF(AND(B3074="",C3074=""),"",IF(G3074&gt;=20000,0.05,IF(G3074&gt;=10000,0.1,IF(G3074&gt;=5000,0.2,IF(G3074&gt;=1000,0.3,IF(G3074&gt;=0,0.4,{0}))))))</f>
        <v/>
      </c>
      <c r="P3074" s="395">
        <f>IF(AND(B3074="",C3074=""),"",ROUND(H3074*O3074,2))</f>
        <v/>
      </c>
      <c r="Q3074" s="390" t="inlineStr">
        <is>
          <t>元件</t>
        </is>
      </c>
      <c r="R3074" s="164" t="inlineStr"/>
      <c r="S3074" s="164" t="inlineStr"/>
      <c r="T3074" s="164" t="n">
        <v>0</v>
      </c>
      <c r="U3074" s="164" t="inlineStr"/>
      <c r="V3074" s="391" t="n"/>
      <c r="W3074" s="391" t="n"/>
      <c r="X3074" s="166" t="inlineStr"/>
    </row>
    <row r="3075" customFormat="1" s="3">
      <c r="A3075" s="64">
        <f>ROW()-ROW(A$3065)</f>
        <v/>
      </c>
      <c r="B3075" s="27" t="inlineStr">
        <is>
          <t>接触器</t>
        </is>
      </c>
      <c r="C3075" s="22" t="inlineStr">
        <is>
          <t>LC1G410KUEC</t>
        </is>
      </c>
      <c r="D3075" s="112" t="inlineStr">
        <is>
          <t>甲供/施耐德电气</t>
        </is>
      </c>
      <c r="E3075" s="114" t="inlineStr">
        <is>
          <t>只</t>
        </is>
      </c>
      <c r="F3075" s="114" t="n">
        <v>2</v>
      </c>
      <c r="G3075" s="349">
        <f>IF(AND(B3075="",C3075=""),"",ROUND(M3075*L3075*N3075,2))</f>
        <v/>
      </c>
      <c r="H3075" s="349">
        <f>IF(AND(B3075="",C3075=""),"",ROUND(F3075*G3075,2))</f>
        <v/>
      </c>
      <c r="I3075" s="45" t="inlineStr"/>
      <c r="J3075" s="392">
        <f>IF(AND(B3075="",C3075=""),"",ROUND(M3075*N3075,2))</f>
        <v/>
      </c>
      <c r="K3075" s="393">
        <f>IF(AND(B3075="",C3075=""),"",ROUND(J3075*F3075,2))</f>
        <v/>
      </c>
      <c r="L3075" s="141" t="n">
        <v>1</v>
      </c>
      <c r="M3075" s="394" t="n">
        <v>1e-07</v>
      </c>
      <c r="N3075" s="143" t="n">
        <v>1</v>
      </c>
      <c r="O3075" s="144">
        <f>IF(AND(B3075="",C3075=""),"",IF(G3075&gt;=20000,0.05,IF(G3075&gt;=10000,0.1,IF(G3075&gt;=5000,0.2,IF(G3075&gt;=1000,0.3,IF(G3075&gt;=0,0.4,{0}))))))</f>
        <v/>
      </c>
      <c r="P3075" s="395">
        <f>IF(AND(B3075="",C3075=""),"",ROUND(H3075*O3075,2))</f>
        <v/>
      </c>
      <c r="Q3075" s="390" t="inlineStr">
        <is>
          <t>元件</t>
        </is>
      </c>
      <c r="R3075" s="164" t="inlineStr"/>
      <c r="S3075" s="164" t="inlineStr"/>
      <c r="T3075" s="164" t="n">
        <v>0</v>
      </c>
      <c r="U3075" s="164" t="inlineStr"/>
      <c r="V3075" s="391" t="n"/>
      <c r="W3075" s="391" t="n"/>
      <c r="X3075" s="166" t="inlineStr"/>
    </row>
    <row r="3076" customFormat="1" s="3">
      <c r="A3076" s="64">
        <f>ROW()-ROW(A$3065)</f>
        <v/>
      </c>
      <c r="B3076" s="27" t="inlineStr">
        <is>
          <t>接触器</t>
        </is>
      </c>
      <c r="C3076" s="22" t="inlineStr">
        <is>
          <t>LC1G300KUEC</t>
        </is>
      </c>
      <c r="D3076" s="112" t="inlineStr">
        <is>
          <t>甲供/施耐德电气</t>
        </is>
      </c>
      <c r="E3076" s="114" t="inlineStr">
        <is>
          <t>只</t>
        </is>
      </c>
      <c r="F3076" s="114" t="n">
        <v>1</v>
      </c>
      <c r="G3076" s="349">
        <f>IF(AND(B3076="",C3076=""),"",ROUND(M3076*L3076*N3076,2))</f>
        <v/>
      </c>
      <c r="H3076" s="349">
        <f>IF(AND(B3076="",C3076=""),"",ROUND(F3076*G3076,2))</f>
        <v/>
      </c>
      <c r="I3076" s="45" t="inlineStr"/>
      <c r="J3076" s="392">
        <f>IF(AND(B3076="",C3076=""),"",ROUND(M3076*N3076,2))</f>
        <v/>
      </c>
      <c r="K3076" s="393">
        <f>IF(AND(B3076="",C3076=""),"",ROUND(J3076*F3076,2))</f>
        <v/>
      </c>
      <c r="L3076" s="141" t="n">
        <v>1</v>
      </c>
      <c r="M3076" s="394" t="n">
        <v>1e-07</v>
      </c>
      <c r="N3076" s="143" t="n">
        <v>1</v>
      </c>
      <c r="O3076" s="144">
        <f>IF(AND(B3076="",C3076=""),"",IF(G3076&gt;=20000,0.05,IF(G3076&gt;=10000,0.1,IF(G3076&gt;=5000,0.2,IF(G3076&gt;=1000,0.3,IF(G3076&gt;=0,0.4,{0}))))))</f>
        <v/>
      </c>
      <c r="P3076" s="395">
        <f>IF(AND(B3076="",C3076=""),"",ROUND(H3076*O3076,2))</f>
        <v/>
      </c>
      <c r="Q3076" s="390" t="inlineStr">
        <is>
          <t>元件</t>
        </is>
      </c>
      <c r="R3076" s="164" t="inlineStr"/>
      <c r="S3076" s="164" t="inlineStr"/>
      <c r="T3076" s="164" t="n">
        <v>0</v>
      </c>
      <c r="U3076" s="164" t="inlineStr"/>
      <c r="V3076" s="391" t="n"/>
      <c r="W3076" s="391" t="n"/>
      <c r="X3076" s="166" t="inlineStr"/>
    </row>
    <row r="3077" customFormat="1" s="3">
      <c r="A3077" s="64">
        <f>ROW()-ROW(A$3065)</f>
        <v/>
      </c>
      <c r="B3077" s="27" t="inlineStr">
        <is>
          <t>变频器ATV630</t>
        </is>
      </c>
      <c r="C3077" s="22" t="inlineStr">
        <is>
          <t>ATV630C16N4</t>
        </is>
      </c>
      <c r="D3077" s="112" t="inlineStr">
        <is>
          <t>甲供/施耐德电气</t>
        </is>
      </c>
      <c r="E3077" s="114" t="inlineStr">
        <is>
          <t>只</t>
        </is>
      </c>
      <c r="F3077" s="114" t="n">
        <v>1</v>
      </c>
      <c r="G3077" s="349">
        <f>IF(AND(B3077="",C3077=""),"",ROUND(M3077*L3077*N3077,2))</f>
        <v/>
      </c>
      <c r="H3077" s="349">
        <f>IF(AND(B3077="",C3077=""),"",ROUND(F3077*G3077,2))</f>
        <v/>
      </c>
      <c r="I3077" s="45" t="inlineStr"/>
      <c r="J3077" s="392">
        <f>IF(AND(B3077="",C3077=""),"",ROUND(M3077*N3077,2))</f>
        <v/>
      </c>
      <c r="K3077" s="393">
        <f>IF(AND(B3077="",C3077=""),"",ROUND(J3077*F3077,2))</f>
        <v/>
      </c>
      <c r="L3077" s="141" t="n">
        <v>1</v>
      </c>
      <c r="M3077" s="394" t="n">
        <v>1e-07</v>
      </c>
      <c r="N3077" s="143" t="n">
        <v>1</v>
      </c>
      <c r="O3077" s="144">
        <f>IF(AND(B3077="",C3077=""),"",IF(G3077&gt;=20000,0.05,IF(G3077&gt;=10000,0.1,IF(G3077&gt;=5000,0.2,IF(G3077&gt;=1000,0.3,IF(G3077&gt;=0,0.4,{0}))))))</f>
        <v/>
      </c>
      <c r="P3077" s="395">
        <f>IF(AND(B3077="",C3077=""),"",ROUND(H3077*O3077,2))</f>
        <v/>
      </c>
      <c r="Q3077" s="390" t="inlineStr">
        <is>
          <t>元件</t>
        </is>
      </c>
      <c r="R3077" s="164" t="inlineStr"/>
      <c r="S3077" s="164" t="inlineStr"/>
      <c r="T3077" s="164" t="n">
        <v>0</v>
      </c>
      <c r="U3077" s="164" t="inlineStr"/>
      <c r="V3077" s="391" t="n"/>
      <c r="W3077" s="391" t="n"/>
      <c r="X3077" s="166" t="inlineStr"/>
    </row>
    <row r="3078" customFormat="1" s="3">
      <c r="A3078" s="64">
        <f>ROW()-ROW(A$3065)</f>
        <v/>
      </c>
      <c r="B3078" s="27" t="inlineStr">
        <is>
          <t>dvdt滤波器</t>
        </is>
      </c>
      <c r="C3078" s="22" t="inlineStr">
        <is>
          <t>VW3A5307</t>
        </is>
      </c>
      <c r="D3078" s="112" t="inlineStr">
        <is>
          <t>甲供/施耐德电气</t>
        </is>
      </c>
      <c r="E3078" s="114" t="inlineStr">
        <is>
          <t>只</t>
        </is>
      </c>
      <c r="F3078" s="114" t="n">
        <v>1</v>
      </c>
      <c r="G3078" s="349">
        <f>IF(AND(B3078="",C3078=""),"",ROUND(M3078*L3078*N3078,2))</f>
        <v/>
      </c>
      <c r="H3078" s="349">
        <f>IF(AND(B3078="",C3078=""),"",ROUND(F3078*G3078,2))</f>
        <v/>
      </c>
      <c r="I3078" s="45" t="inlineStr"/>
      <c r="J3078" s="392">
        <f>IF(AND(B3078="",C3078=""),"",ROUND(M3078*N3078,2))</f>
        <v/>
      </c>
      <c r="K3078" s="393">
        <f>IF(AND(B3078="",C3078=""),"",ROUND(J3078*F3078,2))</f>
        <v/>
      </c>
      <c r="L3078" s="141" t="n">
        <v>1</v>
      </c>
      <c r="M3078" s="394" t="n">
        <v>1e-07</v>
      </c>
      <c r="N3078" s="143" t="n">
        <v>1</v>
      </c>
      <c r="O3078" s="144">
        <f>IF(AND(B3078="",C3078=""),"",IF(G3078&gt;=20000,0.05,IF(G3078&gt;=10000,0.1,IF(G3078&gt;=5000,0.2,IF(G3078&gt;=1000,0.3,IF(G3078&gt;=0,0.4,{0}))))))</f>
        <v/>
      </c>
      <c r="P3078" s="395">
        <f>IF(AND(B3078="",C3078=""),"",ROUND(H3078*O3078,2))</f>
        <v/>
      </c>
      <c r="Q3078" s="390" t="inlineStr">
        <is>
          <t>元件</t>
        </is>
      </c>
      <c r="R3078" s="164" t="inlineStr"/>
      <c r="S3078" s="164" t="inlineStr"/>
      <c r="T3078" s="164" t="n">
        <v>0</v>
      </c>
      <c r="U3078" s="164" t="inlineStr"/>
      <c r="V3078" s="391" t="n"/>
      <c r="W3078" s="391" t="n"/>
      <c r="X3078" s="166" t="inlineStr"/>
    </row>
    <row r="3079" customFormat="1" s="3">
      <c r="A3079" s="64">
        <f>ROW()-ROW(A$3065)</f>
        <v/>
      </c>
      <c r="B3079" s="27" t="inlineStr">
        <is>
          <t>软起动器</t>
        </is>
      </c>
      <c r="C3079" s="22" t="inlineStr">
        <is>
          <t>ATS480C25Y</t>
        </is>
      </c>
      <c r="D3079" s="112" t="inlineStr">
        <is>
          <t>甲供/施耐德电气</t>
        </is>
      </c>
      <c r="E3079" s="114" t="inlineStr">
        <is>
          <t>只</t>
        </is>
      </c>
      <c r="F3079" s="114" t="n">
        <v>1</v>
      </c>
      <c r="G3079" s="349">
        <f>IF(AND(B3079="",C3079=""),"",ROUND(M3079*L3079*N3079,2))</f>
        <v/>
      </c>
      <c r="H3079" s="349">
        <f>IF(AND(B3079="",C3079=""),"",ROUND(F3079*G3079,2))</f>
        <v/>
      </c>
      <c r="I3079" s="45" t="inlineStr"/>
      <c r="J3079" s="392">
        <f>IF(AND(B3079="",C3079=""),"",ROUND(M3079*N3079,2))</f>
        <v/>
      </c>
      <c r="K3079" s="393">
        <f>IF(AND(B3079="",C3079=""),"",ROUND(J3079*F3079,2))</f>
        <v/>
      </c>
      <c r="L3079" s="141" t="n">
        <v>1</v>
      </c>
      <c r="M3079" s="394" t="n">
        <v>1e-07</v>
      </c>
      <c r="N3079" s="143" t="n">
        <v>1</v>
      </c>
      <c r="O3079" s="144">
        <f>IF(AND(B3079="",C3079=""),"",IF(G3079&gt;=20000,0.05,IF(G3079&gt;=10000,0.1,IF(G3079&gt;=5000,0.2,IF(G3079&gt;=1000,0.3,IF(G3079&gt;=0,0.4,{0}))))))</f>
        <v/>
      </c>
      <c r="P3079" s="395">
        <f>IF(AND(B3079="",C3079=""),"",ROUND(H3079*O3079,2))</f>
        <v/>
      </c>
      <c r="Q3079" s="390" t="inlineStr">
        <is>
          <t>元件</t>
        </is>
      </c>
      <c r="R3079" s="164" t="inlineStr"/>
      <c r="S3079" s="164" t="inlineStr"/>
      <c r="T3079" s="164" t="n">
        <v>0</v>
      </c>
      <c r="U3079" s="164" t="inlineStr"/>
      <c r="V3079" s="391" t="n"/>
      <c r="W3079" s="391" t="n"/>
      <c r="X3079" s="166" t="inlineStr"/>
    </row>
    <row r="3080" customFormat="1" s="3">
      <c r="A3080" s="64">
        <f>ROW()-ROW(A$3065)</f>
        <v/>
      </c>
      <c r="B3080" s="27" t="inlineStr">
        <is>
          <t>微型断路器</t>
        </is>
      </c>
      <c r="C3080" s="22" t="inlineStr">
        <is>
          <t>iC65H 3P D63A</t>
        </is>
      </c>
      <c r="D3080" s="22" t="inlineStr">
        <is>
          <t>甲供/施耐德电气</t>
        </is>
      </c>
      <c r="E3080" s="110" t="inlineStr">
        <is>
          <t>只</t>
        </is>
      </c>
      <c r="F3080" s="23" t="n">
        <v>3</v>
      </c>
      <c r="G3080" s="349">
        <f>IF(AND(B3080="",C3080=""),"",ROUND(M3080*L3080*N3080,2))</f>
        <v/>
      </c>
      <c r="H3080" s="349">
        <f>IF(AND(B3080="",C3080=""),"",ROUND(F3080*G3080,2))</f>
        <v/>
      </c>
      <c r="I3080" s="45" t="inlineStr"/>
      <c r="J3080" s="392">
        <f>IF(AND(B3080="",C3080=""),"",ROUND(M3080*N3080,2))</f>
        <v/>
      </c>
      <c r="K3080" s="393">
        <f>IF(AND(B3080="",C3080=""),"",ROUND(J3080*F3080,2))</f>
        <v/>
      </c>
      <c r="L3080" s="141" t="n">
        <v>1</v>
      </c>
      <c r="M3080" s="394" t="n">
        <v>1e-07</v>
      </c>
      <c r="N3080" s="143" t="n">
        <v>1</v>
      </c>
      <c r="O3080" s="144">
        <f>IF(AND(B3080="",C3080=""),"",IF(G3080&gt;=20000,0.05,IF(G3080&gt;=10000,0.1,IF(G3080&gt;=5000,0.2,IF(G3080&gt;=1000,0.3,IF(G3080&gt;=0,0.4,{0}))))))</f>
        <v/>
      </c>
      <c r="P3080" s="395">
        <f>IF(AND(B3080="",C3080=""),"",ROUND(H3080*O3080,2))</f>
        <v/>
      </c>
      <c r="Q3080" s="390" t="inlineStr">
        <is>
          <t>元件</t>
        </is>
      </c>
      <c r="R3080" s="164" t="inlineStr"/>
      <c r="S3080" s="164" t="inlineStr"/>
      <c r="T3080" s="164" t="n">
        <v>0</v>
      </c>
      <c r="U3080" s="164" t="inlineStr"/>
      <c r="V3080" s="391" t="n"/>
      <c r="W3080" s="391" t="n"/>
      <c r="X3080" s="166" t="inlineStr"/>
    </row>
    <row r="3081" customFormat="1" s="3">
      <c r="A3081" s="64">
        <f>ROW()-ROW(A$3065)</f>
        <v/>
      </c>
      <c r="B3081" s="27" t="inlineStr">
        <is>
          <t>微型断路器</t>
        </is>
      </c>
      <c r="C3081" s="22" t="inlineStr">
        <is>
          <t>iC65H 3P D32A</t>
        </is>
      </c>
      <c r="D3081" s="22" t="inlineStr">
        <is>
          <t>甲供/施耐德电气</t>
        </is>
      </c>
      <c r="E3081" s="110" t="inlineStr">
        <is>
          <t>只</t>
        </is>
      </c>
      <c r="F3081" s="23" t="n">
        <v>1</v>
      </c>
      <c r="G3081" s="349">
        <f>IF(AND(B3081="",C3081=""),"",ROUND(M3081*L3081*N3081,2))</f>
        <v/>
      </c>
      <c r="H3081" s="349">
        <f>IF(AND(B3081="",C3081=""),"",ROUND(F3081*G3081,2))</f>
        <v/>
      </c>
      <c r="I3081" s="45" t="inlineStr"/>
      <c r="J3081" s="392">
        <f>IF(AND(B3081="",C3081=""),"",ROUND(M3081*N3081,2))</f>
        <v/>
      </c>
      <c r="K3081" s="393">
        <f>IF(AND(B3081="",C3081=""),"",ROUND(J3081*F3081,2))</f>
        <v/>
      </c>
      <c r="L3081" s="141" t="n">
        <v>1</v>
      </c>
      <c r="M3081" s="394" t="n">
        <v>1e-07</v>
      </c>
      <c r="N3081" s="143" t="n">
        <v>1</v>
      </c>
      <c r="O3081" s="144">
        <f>IF(AND(B3081="",C3081=""),"",IF(G3081&gt;=20000,0.05,IF(G3081&gt;=10000,0.1,IF(G3081&gt;=5000,0.2,IF(G3081&gt;=1000,0.3,IF(G3081&gt;=0,0.4,{0}))))))</f>
        <v/>
      </c>
      <c r="P3081" s="395">
        <f>IF(AND(B3081="",C3081=""),"",ROUND(H3081*O3081,2))</f>
        <v/>
      </c>
      <c r="Q3081" s="390" t="inlineStr">
        <is>
          <t>元件</t>
        </is>
      </c>
      <c r="R3081" s="164" t="inlineStr"/>
      <c r="S3081" s="164" t="inlineStr"/>
      <c r="T3081" s="164" t="n">
        <v>0</v>
      </c>
      <c r="U3081" s="164" t="inlineStr"/>
      <c r="V3081" s="391" t="n"/>
      <c r="W3081" s="391" t="n"/>
      <c r="X3081" s="166" t="inlineStr"/>
    </row>
    <row r="3082" customFormat="1" s="3">
      <c r="A3082" s="64">
        <f>ROW()-ROW(A$3065)</f>
        <v/>
      </c>
      <c r="B3082" s="27" t="inlineStr">
        <is>
          <t>熔断器</t>
        </is>
      </c>
      <c r="C3082" s="22" t="inlineStr">
        <is>
          <t>NH3 gG 690V/315~630A、NT3（新底座）</t>
        </is>
      </c>
      <c r="D3082" s="22" t="inlineStr">
        <is>
          <t>茗熔</t>
        </is>
      </c>
      <c r="E3082" s="110" t="inlineStr">
        <is>
          <t>只</t>
        </is>
      </c>
      <c r="F3082" s="23" t="n">
        <v>3</v>
      </c>
      <c r="G3082" s="349">
        <f>IF(AND(B3082="",C3082=""),"",ROUND(M3082*L3082*N3082,2))</f>
        <v/>
      </c>
      <c r="H3082" s="349">
        <f>IF(AND(B3082="",C3082=""),"",ROUND(F3082*G3082,2))</f>
        <v/>
      </c>
      <c r="I3082" s="45" t="inlineStr"/>
      <c r="J3082" s="392">
        <f>IF(AND(B3082="",C3082=""),"",ROUND(M3082*N3082,2))</f>
        <v/>
      </c>
      <c r="K3082" s="393">
        <f>IF(AND(B3082="",C3082=""),"",ROUND(J3082*F3082,2))</f>
        <v/>
      </c>
      <c r="L3082" s="141" t="n">
        <v>1</v>
      </c>
      <c r="M3082" s="394" t="n">
        <v>137</v>
      </c>
      <c r="N3082" s="143" t="n">
        <v>1</v>
      </c>
      <c r="O3082" s="144">
        <f>IF(AND(B3082="",C3082=""),"",IF(G3082&gt;=20000,0.05,IF(G3082&gt;=10000,0.1,IF(G3082&gt;=5000,0.2,IF(G3082&gt;=1000,0.3,IF(G3082&gt;=0,0.4,{0}))))))</f>
        <v/>
      </c>
      <c r="P3082" s="395">
        <f>IF(AND(B3082="",C3082=""),"",ROUND(H3082*O3082,2))</f>
        <v/>
      </c>
      <c r="Q3082" s="390" t="inlineStr">
        <is>
          <t>元件</t>
        </is>
      </c>
      <c r="R3082" s="164" t="inlineStr"/>
      <c r="S3082" s="164" t="inlineStr"/>
      <c r="T3082" s="164" t="inlineStr">
        <is>
          <t>0</t>
        </is>
      </c>
      <c r="U3082" s="164" t="inlineStr">
        <is>
          <t>0</t>
        </is>
      </c>
      <c r="V3082" s="391" t="n"/>
      <c r="W3082" s="391" t="n"/>
      <c r="X3082" s="166" t="inlineStr"/>
    </row>
    <row r="3083" s="308">
      <c r="A3083" s="64">
        <f>ROW()-ROW(A$3065)</f>
        <v/>
      </c>
      <c r="B3083" s="112" t="inlineStr">
        <is>
          <t>温湿度控制器</t>
        </is>
      </c>
      <c r="C3083" s="112" t="inlineStr">
        <is>
          <t>ATH48G-11</t>
        </is>
      </c>
      <c r="D3083" s="22" t="inlineStr">
        <is>
          <t>杭州安廷</t>
        </is>
      </c>
      <c r="E3083" s="23" t="inlineStr">
        <is>
          <t>套</t>
        </is>
      </c>
      <c r="F3083" s="23" t="n">
        <v>1</v>
      </c>
      <c r="G3083" s="349">
        <f>IF(AND(B3083="",C3083=""),"",ROUND(M3083*L3083*N3083,2))</f>
        <v/>
      </c>
      <c r="H3083" s="396">
        <f>IF(AND(B3083="",C3083=""),"",ROUND(F3083*G3083,2))</f>
        <v/>
      </c>
      <c r="I3083" s="150" t="inlineStr"/>
      <c r="J3083" s="397">
        <f>IF(AND(B3083="",C3083=""),"",ROUND(M3083*N3083,2))</f>
        <v/>
      </c>
      <c r="K3083" s="398">
        <f>IF(AND(B3083="",C3083=""),"",ROUND(J3083*F3083,2))</f>
        <v/>
      </c>
      <c r="L3083" s="141" t="n">
        <v>1</v>
      </c>
      <c r="M3083" s="399" t="n">
        <v>450</v>
      </c>
      <c r="N3083" s="154" t="n">
        <v>1</v>
      </c>
      <c r="O3083" s="155">
        <f>IF(AND(B3083="",C3083=""),"",IF(G3083&gt;=20000,0.05,IF(G3083&gt;=10000,0.1,IF(G3083&gt;=5000,0.2,IF(G3083&gt;=1000,0.3,IF(G3083&gt;=0,0.4,{0}))))))</f>
        <v/>
      </c>
      <c r="P3083" s="400">
        <f>IF(AND(B3083="",C3083=""),"",ROUND(H3083*O3083,2))</f>
        <v/>
      </c>
      <c r="Q3083" s="401" t="inlineStr">
        <is>
          <t>元件</t>
        </is>
      </c>
      <c r="R3083" s="168" t="inlineStr"/>
      <c r="S3083" s="168" t="inlineStr"/>
      <c r="T3083" s="168" t="inlineStr">
        <is>
          <t>0</t>
        </is>
      </c>
      <c r="U3083" s="168" t="inlineStr"/>
      <c r="V3083" s="402" t="n"/>
      <c r="W3083" s="402" t="n"/>
      <c r="X3083" s="170" t="inlineStr"/>
    </row>
    <row r="3084" s="308">
      <c r="A3084" s="64">
        <f>ROW()-ROW(A$3065)</f>
        <v/>
      </c>
      <c r="B3084" s="112" t="inlineStr">
        <is>
          <t>变频柜散热风扇</t>
        </is>
      </c>
      <c r="C3084" s="112" t="inlineStr">
        <is>
          <t>SF1238HA2BMT+SVF103M</t>
        </is>
      </c>
      <c r="D3084" s="22" t="inlineStr">
        <is>
          <t>源顶</t>
        </is>
      </c>
      <c r="E3084" s="23" t="inlineStr">
        <is>
          <t>只</t>
        </is>
      </c>
      <c r="F3084" s="23" t="n">
        <v>2</v>
      </c>
      <c r="G3084" s="349">
        <f>IF(AND(B3084="",C3084=""),"",ROUND(M3084*L3084*N3084,2))</f>
        <v/>
      </c>
      <c r="H3084" s="396">
        <f>IF(AND(B3084="",C3084=""),"",ROUND(F3084*G3084,2))</f>
        <v/>
      </c>
      <c r="I3084" s="150" t="inlineStr"/>
      <c r="J3084" s="397">
        <f>IF(AND(B3084="",C3084=""),"",ROUND(M3084*N3084,2))</f>
        <v/>
      </c>
      <c r="K3084" s="398">
        <f>IF(AND(B3084="",C3084=""),"",ROUND(J3084*F3084,2))</f>
        <v/>
      </c>
      <c r="L3084" s="141" t="n">
        <v>1</v>
      </c>
      <c r="M3084" s="399" t="n">
        <v>67</v>
      </c>
      <c r="N3084" s="154" t="n">
        <v>1</v>
      </c>
      <c r="O3084" s="155">
        <f>IF(AND(B3084="",C3084=""),"",IF(G3084&gt;=20000,0.05,IF(G3084&gt;=10000,0.1,IF(G3084&gt;=5000,0.2,IF(G3084&gt;=1000,0.3,IF(G3084&gt;=0,0.4,{0}))))))</f>
        <v/>
      </c>
      <c r="P3084" s="400">
        <f>IF(AND(B3084="",C3084=""),"",ROUND(H3084*O3084,2))</f>
        <v/>
      </c>
      <c r="Q3084" s="401" t="inlineStr">
        <is>
          <t>元件</t>
        </is>
      </c>
      <c r="R3084" s="168" t="inlineStr"/>
      <c r="S3084" s="168" t="inlineStr"/>
      <c r="T3084" s="168" t="inlineStr">
        <is>
          <t>0</t>
        </is>
      </c>
      <c r="U3084" s="168" t="inlineStr">
        <is>
          <t>0</t>
        </is>
      </c>
      <c r="V3084" s="402" t="n"/>
      <c r="W3084" s="402" t="n"/>
      <c r="X3084" s="170" t="inlineStr"/>
    </row>
    <row r="3085" customFormat="1" s="3">
      <c r="A3085" s="64">
        <f>ROW()-ROW(A$3065)</f>
        <v/>
      </c>
      <c r="B3085" s="22" t="inlineStr">
        <is>
          <t>带熔丝端子</t>
        </is>
      </c>
      <c r="C3085" s="22" t="inlineStr">
        <is>
          <t>UK 5-HESI</t>
        </is>
      </c>
      <c r="D3085" s="22" t="inlineStr">
        <is>
          <t>菲尼克斯</t>
        </is>
      </c>
      <c r="E3085" s="23" t="inlineStr">
        <is>
          <t>只</t>
        </is>
      </c>
      <c r="F3085" s="23" t="n">
        <v>4</v>
      </c>
      <c r="G3085" s="349">
        <f>IF(AND(B3085="",C3085=""),"",ROUND(M3085*L3085*N3085,2))</f>
        <v/>
      </c>
      <c r="H3085" s="349">
        <f>IF(AND(B3085="",C3085=""),"",ROUND(F3085*G3085,2))</f>
        <v/>
      </c>
      <c r="I3085" s="45" t="inlineStr"/>
      <c r="J3085" s="392">
        <f>IF(AND(B3085="",C3085=""),"",ROUND(M3085*N3085,2))</f>
        <v/>
      </c>
      <c r="K3085" s="393">
        <f>IF(AND(B3085="",C3085=""),"",ROUND(J3085*F3085,2))</f>
        <v/>
      </c>
      <c r="L3085" s="141" t="n">
        <v>1</v>
      </c>
      <c r="M3085" s="394" t="n">
        <v>7</v>
      </c>
      <c r="N3085" s="220" t="n">
        <v>1</v>
      </c>
      <c r="O3085" s="221">
        <f>IF(AND(B3085="",C3085=""),"",IF(G3085&gt;=20000,0.05,IF(G3085&gt;=10000,0.1,IF(G3085&gt;=5000,0.2,IF(G3085&gt;=1000,0.3,IF(G3085&gt;=0,0.4,{0}))))))</f>
        <v/>
      </c>
      <c r="P3085" s="419">
        <f>IF(AND(B3085="",C3085=""),"",ROUND(H3085*O3085,2))</f>
        <v/>
      </c>
      <c r="Q3085" s="420" t="inlineStr">
        <is>
          <t>元件</t>
        </is>
      </c>
      <c r="R3085" s="231" t="inlineStr"/>
      <c r="S3085" s="231" t="inlineStr"/>
      <c r="T3085" s="231" t="inlineStr">
        <is>
          <t>0</t>
        </is>
      </c>
      <c r="U3085" s="231" t="inlineStr">
        <is>
          <t>True</t>
        </is>
      </c>
      <c r="V3085" s="421" t="n"/>
      <c r="W3085" s="421" t="n"/>
      <c r="X3085" s="166" t="inlineStr"/>
    </row>
    <row r="3086" customFormat="1" s="5">
      <c r="A3086" s="64">
        <f>ROW()-ROW(A$3065)</f>
        <v/>
      </c>
      <c r="B3086" s="22" t="inlineStr">
        <is>
          <t>铜排</t>
        </is>
      </c>
      <c r="C3086" s="22" t="inlineStr">
        <is>
          <t>TMY 4*60*5</t>
        </is>
      </c>
      <c r="D3086" s="22" t="inlineStr">
        <is>
          <t>国产优质</t>
        </is>
      </c>
      <c r="E3086" s="23" t="inlineStr">
        <is>
          <t>米</t>
        </is>
      </c>
      <c r="F3086" s="23" t="n">
        <v>1.2</v>
      </c>
      <c r="G3086" s="349">
        <f>IF(AND(B3086="",C3086=""),"",ROUND(M3086*L3086*N3086,2))</f>
        <v/>
      </c>
      <c r="H3086" s="349">
        <f>IF(AND(B3086="",C3086=""),"",ROUND(F3086*G3086,2))</f>
        <v/>
      </c>
      <c r="I3086" s="45" t="inlineStr"/>
      <c r="J3086" s="422">
        <f>IF(AND(B3086="",C3086=""),"",ROUND(M3086*N3086,2))</f>
        <v/>
      </c>
      <c r="K3086" s="423">
        <f>IF(AND(B3086="",C3086=""),"",ROUND(J3086*F3086,2))</f>
        <v/>
      </c>
      <c r="L3086" s="225" t="n">
        <v>1</v>
      </c>
      <c r="M3086" s="424" t="n">
        <v>1154.5614</v>
      </c>
      <c r="N3086" s="227" t="n">
        <v>1</v>
      </c>
      <c r="O3086" s="228">
        <f>IF(AND(B3086="",C3086=""),"",IF(G3086&gt;=20000,0.05,IF(G3086&gt;=10000,0.1,IF(G3086&gt;=5000,0.2,IF(G3086&gt;=1000,0.3,IF(G3086&gt;=0,0.4,{0}))))))</f>
        <v/>
      </c>
      <c r="P3086" s="425">
        <f>IF(AND(B3086="",C3086=""),"",ROUND(H3086*O3086,2))</f>
        <v/>
      </c>
      <c r="Q3086" s="426" t="inlineStr">
        <is>
          <t>母排</t>
        </is>
      </c>
      <c r="R3086" s="234" t="inlineStr"/>
      <c r="S3086" s="234" t="inlineStr"/>
      <c r="T3086" s="235" t="inlineStr">
        <is>
          <t>0</t>
        </is>
      </c>
      <c r="U3086" s="235" t="inlineStr"/>
      <c r="V3086" s="427" t="n"/>
      <c r="W3086" s="427" t="n"/>
      <c r="X3086" s="237" t="inlineStr">
        <is>
          <t>TMY 2*30*5→TMY 30*8</t>
        </is>
      </c>
    </row>
    <row r="3087" customFormat="1" s="5">
      <c r="A3087" s="64">
        <f>ROW()-ROW(A$3065)</f>
        <v/>
      </c>
      <c r="B3087" s="22" t="inlineStr">
        <is>
          <t>铜排</t>
        </is>
      </c>
      <c r="C3087" s="22" t="inlineStr">
        <is>
          <t>TMY 30*8</t>
        </is>
      </c>
      <c r="D3087" s="22" t="inlineStr">
        <is>
          <t>国产优质</t>
        </is>
      </c>
      <c r="E3087" s="23" t="inlineStr">
        <is>
          <t>米</t>
        </is>
      </c>
      <c r="F3087" s="23" t="n">
        <v>13.5</v>
      </c>
      <c r="G3087" s="349">
        <f>IF(AND(B3087="",C3087=""),"",ROUND(M3087*L3087*N3087,2))</f>
        <v/>
      </c>
      <c r="H3087" s="349">
        <f>IF(AND(B3087="",C3087=""),"",ROUND(F3087*G3087,2))</f>
        <v/>
      </c>
      <c r="I3087" s="45" t="inlineStr"/>
      <c r="J3087" s="422">
        <f>IF(AND(B3087="",C3087=""),"",ROUND(M3087*N3087,2))</f>
        <v/>
      </c>
      <c r="K3087" s="423">
        <f>IF(AND(B3087="",C3087=""),"",ROUND(J3087*F3087,2))</f>
        <v/>
      </c>
      <c r="L3087" s="225" t="n">
        <v>1</v>
      </c>
      <c r="M3087" s="424" t="n">
        <v>230.91228</v>
      </c>
      <c r="N3087" s="227" t="n">
        <v>1</v>
      </c>
      <c r="O3087" s="228">
        <f>IF(AND(B3087="",C3087=""),"",IF(G3087&gt;=20000,0.05,IF(G3087&gt;=10000,0.1,IF(G3087&gt;=5000,0.2,IF(G3087&gt;=1000,0.3,IF(G3087&gt;=0,0.4,{0}))))))</f>
        <v/>
      </c>
      <c r="P3087" s="425">
        <f>IF(AND(B3087="",C3087=""),"",ROUND(H3087*O3087,2))</f>
        <v/>
      </c>
      <c r="Q3087" s="426" t="inlineStr">
        <is>
          <t>母排</t>
        </is>
      </c>
      <c r="R3087" s="234" t="inlineStr"/>
      <c r="S3087" s="234" t="inlineStr"/>
      <c r="T3087" s="235" t="inlineStr">
        <is>
          <t>0</t>
        </is>
      </c>
      <c r="U3087" s="235" t="inlineStr"/>
      <c r="V3087" s="427" t="n"/>
      <c r="W3087" s="427" t="n"/>
      <c r="X3087" s="237" t="inlineStr">
        <is>
          <t>TMY 2*30*5→TMY 30*8</t>
        </is>
      </c>
    </row>
    <row r="3088" s="308">
      <c r="A3088" s="64">
        <f>ROW()-ROW(A$3065)</f>
        <v/>
      </c>
      <c r="B3088" s="112" t="inlineStr">
        <is>
          <t>辅料</t>
        </is>
      </c>
      <c r="C3088" s="112" t="inlineStr"/>
      <c r="D3088" s="112" t="inlineStr"/>
      <c r="E3088" s="114" t="inlineStr">
        <is>
          <t>套</t>
        </is>
      </c>
      <c r="F3088" s="114" t="n">
        <v>1</v>
      </c>
      <c r="G3088" s="396">
        <f>IF(AND(B3088="",C3088=""),"",ROUND(M3088*L3088*N3088,2))</f>
        <v/>
      </c>
      <c r="H3088" s="396">
        <f>IF(AND(B3088="",C3088=""),"",ROUND(F3088*G3088,2))</f>
        <v/>
      </c>
      <c r="I3088" s="219" t="inlineStr"/>
      <c r="J3088" s="397">
        <f>IF(AND(B3088="",C3088=""),"",ROUND(M3088*N3088,2))</f>
        <v/>
      </c>
      <c r="K3088" s="398">
        <f>IF(AND(B3088="",C3088=""),"",ROUND(J3088*F3088,2))</f>
        <v/>
      </c>
      <c r="L3088" s="200" t="n">
        <v>1</v>
      </c>
      <c r="M3088" s="399" t="n">
        <v>1500</v>
      </c>
      <c r="N3088" s="154" t="n">
        <v>1</v>
      </c>
      <c r="O3088" s="155">
        <f>IF(AND(B3088="",C3088=""),"",IF(G3088&gt;=20000,0.05,IF(G3088&gt;=10000,0.1,IF(G3088&gt;=5000,0.2,IF(G3088&gt;=1000,0.3,IF(G3088&gt;=0,0.4,{0}))))))</f>
        <v/>
      </c>
      <c r="P3088" s="400">
        <f>IF(AND(B3088="",C3088=""),"",ROUND(H3088*O3088,2))</f>
        <v/>
      </c>
      <c r="Q3088" s="401" t="inlineStr">
        <is>
          <t>辅料</t>
        </is>
      </c>
      <c r="R3088" s="168" t="inlineStr"/>
      <c r="S3088" s="168" t="inlineStr"/>
      <c r="T3088" s="168" t="inlineStr">
        <is>
          <t>0</t>
        </is>
      </c>
      <c r="U3088" s="168" t="inlineStr"/>
      <c r="V3088" s="402" t="n"/>
      <c r="W3088" s="402" t="n"/>
      <c r="X3088" s="170" t="inlineStr"/>
    </row>
    <row r="3089" s="308">
      <c r="A3089" s="64">
        <f>ROW()-ROW(A$3065)</f>
        <v/>
      </c>
      <c r="B3089" s="112" t="inlineStr">
        <is>
          <t>柜体Blokset</t>
        </is>
      </c>
      <c r="C3089" s="22" t="inlineStr">
        <is>
          <t>1200W*1000D*2200H</t>
        </is>
      </c>
      <c r="D3089" s="112" t="inlineStr">
        <is>
          <t>清科</t>
        </is>
      </c>
      <c r="E3089" s="114" t="inlineStr">
        <is>
          <t>台</t>
        </is>
      </c>
      <c r="F3089" s="114" t="n">
        <v>1</v>
      </c>
      <c r="G3089" s="396">
        <f>IF(AND(B3089="",C3089=""),"",ROUND(M3089*L3089*N3089,2))</f>
        <v/>
      </c>
      <c r="H3089" s="396">
        <f>IF(AND(B3089="",C3089=""),"",ROUND(F3089*G3089,2))</f>
        <v/>
      </c>
      <c r="I3089" s="219" t="inlineStr"/>
      <c r="J3089" s="397">
        <f>IF(AND(B3089="",C3089=""),"",ROUND(M3089*N3089,2))</f>
        <v/>
      </c>
      <c r="K3089" s="398">
        <f>IF(AND(B3089="",C3089=""),"",ROUND(J3089*F3089,2))</f>
        <v/>
      </c>
      <c r="L3089" s="200" t="n">
        <v>1</v>
      </c>
      <c r="M3089" s="399" t="n">
        <v>8240</v>
      </c>
      <c r="N3089" s="154" t="n">
        <v>1</v>
      </c>
      <c r="O3089" s="155">
        <f>IF(AND(B3089="",C3089=""),"",IF(G3089&gt;=20000,0.05,IF(G3089&gt;=10000,0.1,IF(G3089&gt;=5000,0.2,IF(G3089&gt;=1000,0.3,IF(G3089&gt;=0,0.4,{0}))))))</f>
        <v/>
      </c>
      <c r="P3089" s="400">
        <f>IF(AND(B3089="",C3089=""),"",ROUND(H3089*O3089,2))</f>
        <v/>
      </c>
      <c r="Q3089" s="401" t="inlineStr">
        <is>
          <t>箱体</t>
        </is>
      </c>
      <c r="R3089" s="168" t="inlineStr"/>
      <c r="S3089" s="168" t="inlineStr"/>
      <c r="T3089" s="168" t="inlineStr">
        <is>
          <t>0</t>
        </is>
      </c>
      <c r="U3089" s="168" t="inlineStr"/>
      <c r="V3089" s="402" t="n"/>
      <c r="W3089" s="402" t="n"/>
      <c r="X3089" s="170" t="inlineStr">
        <is>
          <t>BlokSeT</t>
        </is>
      </c>
    </row>
    <row r="3090" s="308">
      <c r="A3090" s="64">
        <f>ROW()-ROW(A$3065)</f>
        <v/>
      </c>
      <c r="B3090" s="22" t="inlineStr"/>
      <c r="C3090" s="22" t="inlineStr"/>
      <c r="D3090" s="22" t="inlineStr"/>
      <c r="E3090" s="23" t="n"/>
      <c r="F3090" s="23">
        <f>IF(AND(B3090="",C3090=""),"",1)</f>
        <v/>
      </c>
      <c r="G3090" s="349">
        <f>IF(AND(B3090="",C3090=""),"",ROUND(M3090*L3090*N3090,2))</f>
        <v/>
      </c>
      <c r="H3090" s="349">
        <f>IF(AND(B3090="",C3090=""),"",ROUND(F3090*G3090,2))</f>
        <v/>
      </c>
      <c r="I3090" s="45" t="inlineStr"/>
      <c r="J3090" s="397">
        <f>IF(AND(B3090="",C3090=""),"",ROUND(M3090*N3090,2))</f>
        <v/>
      </c>
      <c r="K3090" s="398">
        <f>IF(AND(B3090="",C3090=""),"",ROUND(J3090*F3090,2))</f>
        <v/>
      </c>
      <c r="L3090" s="200">
        <f>IF(AND(B3090="",C3090=""),"",1)</f>
        <v/>
      </c>
      <c r="M3090" s="399" t="n"/>
      <c r="N3090" s="154">
        <f>IF(AND(B3090="",C3090=""),"",1)</f>
        <v/>
      </c>
      <c r="O3090" s="155">
        <f>IF(AND(B3090="",C3090=""),"",IF(J3090&gt;=20000,0.05,IF(J3090&gt;=10000,0.1,IF(J3090&gt;=5000,0.2,IF(J3090&gt;=1000,0.3,IF(J3090&gt;=0,0.4,{0}))))))</f>
        <v/>
      </c>
      <c r="P3090" s="400">
        <f>IF(AND(B3090="",C3090=""),"",ROUND(H3090*O3090,2))</f>
        <v/>
      </c>
      <c r="Q3090" s="401">
        <f>IF(AND(B3090="",C3090=""),"","元件")</f>
        <v/>
      </c>
      <c r="R3090" s="168" t="inlineStr"/>
      <c r="S3090" s="168" t="inlineStr"/>
      <c r="T3090" s="168" t="inlineStr"/>
      <c r="U3090" s="168" t="inlineStr"/>
      <c r="V3090" s="402" t="n"/>
      <c r="W3090" s="402" t="n"/>
      <c r="X3090" s="170" t="inlineStr"/>
    </row>
    <row r="3091" s="308">
      <c r="A3091" s="64">
        <f>ROW()-ROW(A$3065)</f>
        <v/>
      </c>
      <c r="B3091" s="171" t="inlineStr">
        <is>
          <t>小计</t>
        </is>
      </c>
      <c r="C3091" s="172" t="n"/>
      <c r="D3091" s="204" t="n"/>
      <c r="E3091" s="114" t="n"/>
      <c r="F3091" s="114" t="n"/>
      <c r="G3091" s="396" t="n"/>
      <c r="H3091" s="396">
        <f>ROUND(SUM(H3065:INDEX(H:H,ROW()-1)),2)</f>
        <v/>
      </c>
      <c r="I3091" s="45" t="inlineStr"/>
      <c r="J3091" s="397" t="n"/>
      <c r="K3091" s="398">
        <f>ROUND(SUM(K3065:INDEX(K:K,ROW()-1)),2)</f>
        <v/>
      </c>
      <c r="L3091" s="200" t="n"/>
      <c r="M3091" s="399" t="n"/>
      <c r="N3091" s="154" t="n"/>
      <c r="O3091" s="155" t="n"/>
      <c r="P3091" s="400" t="n"/>
      <c r="Q3091" s="401" t="n"/>
      <c r="R3091" s="168" t="inlineStr"/>
      <c r="S3091" s="168" t="inlineStr"/>
      <c r="T3091" s="168" t="inlineStr"/>
      <c r="U3091" s="168" t="inlineStr"/>
      <c r="V3091" s="402">
        <f>ROUND(SUMPRODUCT(F3065:INDEX(F:F,ROW()-1),V3065:INDEX(V:V,ROW()-1)),2)</f>
        <v/>
      </c>
      <c r="W3091" s="402">
        <f>ROUND(SUMPRODUCT(F3065:INDEX(F:F,ROW()-1),W3065:INDEX(W:W,ROW()-1)),2)</f>
        <v/>
      </c>
      <c r="X3091" s="170" t="inlineStr"/>
    </row>
    <row r="3092" s="308">
      <c r="A3092" s="64">
        <f>ROW()-ROW(A$3065)</f>
        <v/>
      </c>
      <c r="B3092" s="171" t="inlineStr">
        <is>
          <t>综合费(人工、管理、税金、利润等)</t>
        </is>
      </c>
      <c r="C3092" s="172" t="n"/>
      <c r="D3092" s="204" t="n"/>
      <c r="E3092" s="114" t="n"/>
      <c r="F3092" s="114" t="n"/>
      <c r="G3092" s="396" t="n"/>
      <c r="H3092" s="396" t="n">
        <v>1872.26</v>
      </c>
      <c r="I3092" s="45" t="inlineStr"/>
      <c r="J3092" s="397" t="n"/>
      <c r="K3092" s="398" t="n"/>
      <c r="L3092" s="200" t="n"/>
      <c r="M3092" s="399" t="n"/>
      <c r="N3092" s="154" t="n"/>
      <c r="O3092" s="155" t="n"/>
      <c r="P3092" s="400" t="n"/>
      <c r="Q3092" s="401" t="inlineStr">
        <is>
          <t>费用</t>
        </is>
      </c>
      <c r="R3092" s="168" t="inlineStr"/>
      <c r="S3092" s="168" t="inlineStr"/>
      <c r="T3092" s="168" t="inlineStr"/>
      <c r="U3092" s="168" t="inlineStr"/>
      <c r="V3092" s="402" t="n"/>
      <c r="W3092" s="402" t="n"/>
      <c r="X3092" s="170" t="inlineStr"/>
    </row>
    <row r="3093" s="308">
      <c r="A3093" s="64">
        <f>ROW()-ROW(A$3065)</f>
        <v/>
      </c>
      <c r="B3093" s="204" t="inlineStr">
        <is>
          <t>单台合计</t>
        </is>
      </c>
      <c r="C3093" s="172" t="n"/>
      <c r="D3093" s="204" t="n"/>
      <c r="E3093" s="114" t="n"/>
      <c r="F3093" s="114" t="n"/>
      <c r="G3093" s="396" t="n"/>
      <c r="H3093" s="396">
        <f>ROUND(SUM(H3091:H3092),2)</f>
        <v/>
      </c>
      <c r="I3093" s="181" t="n"/>
      <c r="J3093" s="397" t="n"/>
      <c r="K3093" s="398">
        <f>ROUND(SUM(K3091:K3092),2)</f>
        <v/>
      </c>
      <c r="L3093" s="209" t="n"/>
      <c r="M3093" s="399" t="n"/>
      <c r="N3093" s="210" t="n"/>
      <c r="O3093" s="211" t="n"/>
      <c r="P3093" s="400" t="n"/>
      <c r="Q3093" s="401" t="n"/>
      <c r="R3093" s="168" t="inlineStr"/>
      <c r="S3093" s="168" t="inlineStr"/>
      <c r="T3093" s="168" t="inlineStr"/>
      <c r="U3093" s="168" t="inlineStr"/>
      <c r="V3093" s="402" t="n"/>
      <c r="W3093" s="402" t="n"/>
      <c r="X3093" s="170" t="inlineStr"/>
    </row>
    <row r="3094" s="308">
      <c r="A3094" s="173" t="inlineStr">
        <is>
          <t>总计</t>
        </is>
      </c>
      <c r="B3094" s="205" t="n"/>
      <c r="C3094" s="175" t="n"/>
      <c r="D3094" s="206" t="n"/>
      <c r="E3094" s="206" t="inlineStr">
        <is>
          <t>台</t>
        </is>
      </c>
      <c r="F3094" s="206" t="n">
        <v>4</v>
      </c>
      <c r="G3094" s="414">
        <f>ROUND(H3093,2)</f>
        <v/>
      </c>
      <c r="H3094" s="414">
        <f>ROUND(F3094*G3094,2)</f>
        <v/>
      </c>
      <c r="I3094" s="185" t="n"/>
      <c r="J3094" s="415" t="n"/>
      <c r="K3094" s="416">
        <f>ROUND(K3093*F3094,2)</f>
        <v/>
      </c>
      <c r="L3094" s="214" t="n"/>
      <c r="M3094" s="417" t="n"/>
      <c r="N3094" s="216" t="n"/>
      <c r="O3094" s="217" t="n"/>
      <c r="P3094" s="418" t="n"/>
      <c r="Q3094" s="401" t="n"/>
      <c r="R3094" s="168" t="inlineStr"/>
      <c r="S3094" s="168" t="inlineStr"/>
      <c r="T3094" s="168" t="inlineStr"/>
      <c r="U3094" s="168" t="inlineStr"/>
      <c r="V3094" s="402" t="n"/>
      <c r="W3094" s="402" t="n"/>
      <c r="X3094" s="170" t="inlineStr"/>
    </row>
    <row r="3095" customFormat="1" s="4">
      <c r="A3095" s="6" t="n"/>
      <c r="B3095" s="195" t="inlineStr"/>
      <c r="C3095" s="195" t="inlineStr"/>
      <c r="D3095" s="195" t="inlineStr"/>
      <c r="Q3095" s="159" t="n"/>
      <c r="R3095" s="159" t="n"/>
      <c r="S3095" s="159" t="n"/>
      <c r="T3095" s="159" t="n"/>
      <c r="U3095" s="159" t="n"/>
      <c r="X3095" s="195" t="inlineStr"/>
    </row>
    <row r="3096" customFormat="1" s="4">
      <c r="A3096" s="6" t="n"/>
      <c r="B3096" s="195" t="inlineStr"/>
      <c r="C3096" s="195" t="inlineStr"/>
      <c r="D3096" s="195" t="inlineStr"/>
      <c r="Q3096" s="159" t="n"/>
      <c r="R3096" s="159" t="n"/>
      <c r="S3096" s="159" t="n"/>
      <c r="T3096" s="159" t="n"/>
      <c r="U3096" s="159" t="n"/>
      <c r="X3096" s="195" t="inlineStr"/>
    </row>
    <row r="3097" s="308">
      <c r="A3097" s="208">
        <f>CONCATENATE("报价人：",项目信息!$B$8)</f>
        <v/>
      </c>
      <c r="B3097" s="208" t="n"/>
      <c r="C3097" s="4" t="n"/>
      <c r="D3097" s="4" t="n"/>
      <c r="E3097" s="4" t="n"/>
      <c r="F3097" s="4" t="n"/>
      <c r="G3097" s="4" t="n"/>
      <c r="H3097" s="178">
        <f>项目信息!$B$9</f>
        <v/>
      </c>
      <c r="Q3097" s="159" t="n"/>
      <c r="R3097" s="159" t="n"/>
      <c r="S3097" s="159" t="n"/>
      <c r="T3097" s="159" t="n"/>
      <c r="U3097" s="159" t="n"/>
      <c r="X3097" s="203" t="inlineStr"/>
    </row>
    <row r="3098" s="308">
      <c r="A3098" s="8">
        <f>T(项目信息!$B$22)</f>
        <v/>
      </c>
      <c r="Q3098" s="159" t="n"/>
      <c r="R3098" s="159" t="n"/>
      <c r="S3098" s="159" t="n"/>
      <c r="T3098" s="159" t="n"/>
      <c r="U3098" s="159" t="n"/>
    </row>
    <row r="3099" s="308">
      <c r="A3099" s="9">
        <f>T(项目信息!$B$23)</f>
        <v/>
      </c>
      <c r="Q3099" s="159" t="n"/>
      <c r="R3099" s="159" t="n"/>
      <c r="S3099" s="159" t="n"/>
      <c r="T3099" s="159" t="n"/>
      <c r="U3099" s="159" t="n"/>
    </row>
    <row r="3100" s="308">
      <c r="A3100" s="97" t="inlineStr">
        <is>
          <t>成套产品报价明细表</t>
        </is>
      </c>
      <c r="B3100" s="378" t="n"/>
      <c r="C3100" s="378" t="n"/>
      <c r="D3100" s="378" t="n"/>
      <c r="E3100" s="378" t="n"/>
      <c r="F3100" s="378" t="n"/>
      <c r="G3100" s="378" t="n"/>
      <c r="H3100" s="378" t="n"/>
      <c r="I3100" s="378" t="n"/>
      <c r="Q3100" s="159" t="n"/>
      <c r="R3100" s="159" t="n"/>
      <c r="S3100" s="159" t="n"/>
      <c r="T3100" s="159" t="n"/>
      <c r="U3100" s="159" t="n"/>
    </row>
    <row r="3101" customFormat="1" s="4">
      <c r="A3101" s="98" t="inlineStr">
        <is>
          <t>柜号:</t>
        </is>
      </c>
      <c r="B3101" s="99" t="inlineStr">
        <is>
          <t>A/B-CTB-01/02</t>
        </is>
      </c>
      <c r="C3101" s="100" t="inlineStr">
        <is>
          <t>型号:</t>
        </is>
      </c>
      <c r="D3101" s="99" t="inlineStr">
        <is>
          <t>BlokSeT</t>
        </is>
      </c>
      <c r="E3101" s="379" t="n"/>
      <c r="F3101" s="101" t="inlineStr">
        <is>
          <t>名称:</t>
        </is>
      </c>
      <c r="G3101" s="99" t="inlineStr">
        <is>
          <t>变频软启柜</t>
        </is>
      </c>
      <c r="H3101" s="379" t="n"/>
      <c r="I3101" s="408" t="inlineStr"/>
      <c r="J3101" s="194" t="inlineStr">
        <is>
          <t>箱柜尺寸:</t>
        </is>
      </c>
      <c r="K3101" s="195" t="inlineStr">
        <is>
          <t>800W*1000D*2200H</t>
        </is>
      </c>
      <c r="L3101" s="194" t="inlineStr">
        <is>
          <t>类别:</t>
        </is>
      </c>
      <c r="M3101" s="195" t="inlineStr">
        <is>
          <t>低压固定柜</t>
        </is>
      </c>
      <c r="N3101" s="409" t="inlineStr"/>
      <c r="Q3101" s="159" t="n"/>
      <c r="R3101" s="159" t="n"/>
      <c r="S3101" s="159" t="n"/>
      <c r="T3101" s="159" t="n"/>
      <c r="U3101" s="159" t="n"/>
    </row>
    <row r="3102" ht="20.1" customHeight="1" s="308">
      <c r="A3102" s="102" t="inlineStr">
        <is>
          <t>序号</t>
        </is>
      </c>
      <c r="B3102" s="103" t="inlineStr">
        <is>
          <t>元件名称</t>
        </is>
      </c>
      <c r="C3102" s="103" t="inlineStr">
        <is>
          <t>型号规格</t>
        </is>
      </c>
      <c r="D3102" s="104" t="inlineStr">
        <is>
          <t>生产厂家</t>
        </is>
      </c>
      <c r="E3102" s="105" t="inlineStr">
        <is>
          <t>单位</t>
        </is>
      </c>
      <c r="F3102" s="105" t="inlineStr">
        <is>
          <t>数量</t>
        </is>
      </c>
      <c r="G3102" s="382" t="inlineStr">
        <is>
          <t>单   价</t>
        </is>
      </c>
      <c r="H3102" s="383" t="inlineStr">
        <is>
          <t>总   价</t>
        </is>
      </c>
      <c r="I3102" s="134" t="inlineStr">
        <is>
          <t>备注</t>
        </is>
      </c>
      <c r="J3102" s="384" t="inlineStr">
        <is>
          <t>成本单价</t>
        </is>
      </c>
      <c r="K3102" s="384" t="inlineStr">
        <is>
          <t>成本总价</t>
        </is>
      </c>
      <c r="L3102" s="136" t="inlineStr">
        <is>
          <t>报出
系数</t>
        </is>
      </c>
      <c r="M3102" s="384" t="inlineStr">
        <is>
          <t>表价</t>
        </is>
      </c>
      <c r="N3102" s="136" t="inlineStr">
        <is>
          <t>折扣
系数</t>
        </is>
      </c>
      <c r="O3102" s="137" t="inlineStr">
        <is>
          <t>取费
系数</t>
        </is>
      </c>
      <c r="P3102" s="384" t="inlineStr">
        <is>
          <t>成套费</t>
        </is>
      </c>
      <c r="Q3102" s="161" t="inlineStr">
        <is>
          <t>类别</t>
        </is>
      </c>
      <c r="R3102" s="161" t="inlineStr">
        <is>
          <t>物料编码</t>
        </is>
      </c>
      <c r="S3102" s="161" t="inlineStr">
        <is>
          <t>产地</t>
        </is>
      </c>
      <c r="T3102" s="161" t="inlineStr">
        <is>
          <t>加工费</t>
        </is>
      </c>
      <c r="U3102" s="161" t="inlineStr">
        <is>
          <t>订货号</t>
        </is>
      </c>
      <c r="V3102" s="161" t="inlineStr">
        <is>
          <t>人工</t>
        </is>
      </c>
      <c r="W3102" s="161" t="inlineStr">
        <is>
          <t>辅料</t>
        </is>
      </c>
      <c r="X3102" s="203" t="inlineStr"/>
    </row>
    <row r="3103" s="308">
      <c r="A3103" s="64">
        <f>ROW()-ROW(A$3102)</f>
        <v/>
      </c>
      <c r="B3103" s="22" t="inlineStr">
        <is>
          <t>隔离开关</t>
        </is>
      </c>
      <c r="C3103" s="22" t="inlineStr">
        <is>
          <t>NSX100NA 3P</t>
        </is>
      </c>
      <c r="D3103" s="22" t="inlineStr">
        <is>
          <t>甲供/施耐德电气</t>
        </is>
      </c>
      <c r="E3103" s="23" t="inlineStr">
        <is>
          <t>只</t>
        </is>
      </c>
      <c r="F3103" s="23" t="n">
        <v>8</v>
      </c>
      <c r="G3103" s="349">
        <f>IF(AND(B3103="",C3103=""),"",ROUND(M3103*L3103*N3103,2))</f>
        <v/>
      </c>
      <c r="H3103" s="349">
        <f>IF(AND(B3103="",C3103=""),"",ROUND(F3103*G3103,2))</f>
        <v/>
      </c>
      <c r="I3103" s="45" t="inlineStr"/>
      <c r="J3103" s="397">
        <f>IF(AND(B3103="",C3103=""),"",ROUND(M3103*N3103,2))</f>
        <v/>
      </c>
      <c r="K3103" s="398">
        <f>IF(AND(B3103="",C3103=""),"",ROUND(J3103*F3103,2))</f>
        <v/>
      </c>
      <c r="L3103" s="200" t="n">
        <v>1</v>
      </c>
      <c r="M3103" s="399" t="n">
        <v>1e-07</v>
      </c>
      <c r="N3103" s="154" t="n">
        <v>1</v>
      </c>
      <c r="O3103" s="155">
        <f>IF(AND(B3103="",C3103=""),"",IF(G3103&gt;=20000,0.05,IF(G3103&gt;=10000,0.1,IF(G3103&gt;=5000,0.2,IF(G3103&gt;=1000,0.3,IF(G3103&gt;=0,0.4,{0}))))))</f>
        <v/>
      </c>
      <c r="P3103" s="400">
        <f>IF(AND(B3103="",C3103=""),"",ROUND(H3103*O3103,2))</f>
        <v/>
      </c>
      <c r="Q3103" s="401" t="inlineStr">
        <is>
          <t>元件</t>
        </is>
      </c>
      <c r="R3103" s="168" t="inlineStr"/>
      <c r="S3103" s="168" t="inlineStr"/>
      <c r="T3103" s="168" t="inlineStr">
        <is>
          <t>0</t>
        </is>
      </c>
      <c r="U3103" s="168" t="inlineStr">
        <is>
          <t>C16F32D160</t>
        </is>
      </c>
      <c r="V3103" s="402" t="n"/>
      <c r="W3103" s="402" t="n"/>
      <c r="X3103" s="170" t="inlineStr">
        <is>
          <t>NSX630N Mic2.3 630A 3P3D F→NSX630F MIC2.3 630 3P F→NSX630F MIC 2.3 630 3P F</t>
        </is>
      </c>
    </row>
    <row r="3104" s="308">
      <c r="A3104" s="64">
        <f>ROW()-ROW(A$3102)</f>
        <v/>
      </c>
      <c r="B3104" s="22" t="inlineStr">
        <is>
          <t>通讯模块</t>
        </is>
      </c>
      <c r="C3104" s="22" t="inlineStr">
        <is>
          <t>PROFIBUS DP 通讯卡</t>
        </is>
      </c>
      <c r="D3104" s="22" t="inlineStr">
        <is>
          <t>甲供/施耐德电气</t>
        </is>
      </c>
      <c r="E3104" s="23" t="inlineStr">
        <is>
          <t>只</t>
        </is>
      </c>
      <c r="F3104" s="23" t="n">
        <v>4</v>
      </c>
      <c r="G3104" s="349">
        <f>IF(AND(B3104="",C3104=""),"",ROUND(M3104*L3104*N3104,2))</f>
        <v/>
      </c>
      <c r="H3104" s="349">
        <f>IF(AND(B3104="",C3104=""),"",ROUND(F3104*G3104,2))</f>
        <v/>
      </c>
      <c r="I3104" s="45" t="inlineStr"/>
      <c r="J3104" s="397">
        <f>IF(AND(B3104="",C3104=""),"",ROUND(M3104*N3104,2))</f>
        <v/>
      </c>
      <c r="K3104" s="398">
        <f>IF(AND(B3104="",C3104=""),"",ROUND(J3104*F3104,2))</f>
        <v/>
      </c>
      <c r="L3104" s="200" t="n">
        <v>1</v>
      </c>
      <c r="M3104" s="399" t="n">
        <v>1e-07</v>
      </c>
      <c r="N3104" s="154" t="n">
        <v>1</v>
      </c>
      <c r="O3104" s="155">
        <f>IF(AND(B3104="",C3104=""),"",IF(G3104&gt;=20000,0.05,IF(G3104&gt;=10000,0.1,IF(G3104&gt;=5000,0.2,IF(G3104&gt;=1000,0.3,IF(G3104&gt;=0,0.4,{0}))))))</f>
        <v/>
      </c>
      <c r="P3104" s="400">
        <f>IF(AND(B3104="",C3104=""),"",ROUND(H3104*O3104,2))</f>
        <v/>
      </c>
      <c r="Q3104" s="401" t="inlineStr">
        <is>
          <t>元件</t>
        </is>
      </c>
      <c r="R3104" s="168" t="inlineStr"/>
      <c r="S3104" s="168" t="inlineStr"/>
      <c r="T3104" s="168" t="n">
        <v>0</v>
      </c>
      <c r="U3104" s="168" t="inlineStr"/>
      <c r="V3104" s="402" t="n"/>
      <c r="W3104" s="402" t="n"/>
      <c r="X3104" s="170" t="inlineStr"/>
    </row>
    <row r="3105" s="308">
      <c r="A3105" s="64">
        <f>ROW()-ROW(A$3102)</f>
        <v/>
      </c>
      <c r="B3105" s="22" t="inlineStr">
        <is>
          <t>双电源开关</t>
        </is>
      </c>
      <c r="C3105" s="22" t="inlineStr">
        <is>
          <t>WTS125/4DL 125A 4P D控制器</t>
        </is>
      </c>
      <c r="D3105" s="22" t="inlineStr">
        <is>
          <t>甲供/施耐德万高</t>
        </is>
      </c>
      <c r="E3105" s="110" t="inlineStr">
        <is>
          <t>只</t>
        </is>
      </c>
      <c r="F3105" s="23" t="n">
        <v>1</v>
      </c>
      <c r="G3105" s="349">
        <f>IF(AND(B3105="",C3105=""),"",ROUND(M3105*L3105*N3105,2))</f>
        <v/>
      </c>
      <c r="H3105" s="349">
        <f>IF(AND(B3105="",C3105=""),"",ROUND(F3105*G3105,2))</f>
        <v/>
      </c>
      <c r="I3105" s="45" t="inlineStr"/>
      <c r="J3105" s="397">
        <f>IF(AND(B3105="",C3105=""),"",ROUND(M3105*N3105,2))</f>
        <v/>
      </c>
      <c r="K3105" s="398">
        <f>IF(AND(B3105="",C3105=""),"",ROUND(J3105*F3105,2))</f>
        <v/>
      </c>
      <c r="L3105" s="200" t="n">
        <v>1</v>
      </c>
      <c r="M3105" s="399" t="n">
        <v>1e-07</v>
      </c>
      <c r="N3105" s="154" t="n">
        <v>1</v>
      </c>
      <c r="O3105" s="155">
        <f>IF(AND(B3105="",C3105=""),"",IF(G3105&gt;=20000,0.05,IF(G3105&gt;=10000,0.1,IF(G3105&gt;=5000,0.2,IF(G3105&gt;=1000,0.3,IF(G3105&gt;=0,0.4,{0}))))))</f>
        <v/>
      </c>
      <c r="P3105" s="400">
        <f>IF(AND(B3105="",C3105=""),"",ROUND(H3105*O3105,2))</f>
        <v/>
      </c>
      <c r="Q3105" s="401" t="inlineStr">
        <is>
          <t>元件</t>
        </is>
      </c>
      <c r="R3105" s="168" t="inlineStr"/>
      <c r="S3105" s="168" t="inlineStr"/>
      <c r="T3105" s="168" t="n">
        <v>0</v>
      </c>
      <c r="U3105" s="168" t="inlineStr"/>
      <c r="V3105" s="402" t="n"/>
      <c r="W3105" s="402" t="n"/>
      <c r="X3105" s="170" t="inlineStr"/>
    </row>
    <row r="3106" s="308">
      <c r="A3106" s="64">
        <f>ROW()-ROW(A$3102)</f>
        <v/>
      </c>
      <c r="B3106" s="22" t="inlineStr">
        <is>
          <t>电流互感器</t>
        </is>
      </c>
      <c r="C3106" s="22" t="inlineStr">
        <is>
          <t>SD-0.66-30I 150/5A</t>
        </is>
      </c>
      <c r="D3106" s="22" t="inlineStr">
        <is>
          <t>桑迪</t>
        </is>
      </c>
      <c r="E3106" s="23" t="inlineStr">
        <is>
          <t>只</t>
        </is>
      </c>
      <c r="F3106" s="23" t="n">
        <v>3</v>
      </c>
      <c r="G3106" s="349">
        <f>IF(AND(B3106="",C3106=""),"",ROUND(M3106*L3106*N3106,2))</f>
        <v/>
      </c>
      <c r="H3106" s="396">
        <f>IF(AND(B3106="",C3106=""),"",ROUND(F3106*G3106,2))</f>
        <v/>
      </c>
      <c r="I3106" s="219" t="inlineStr"/>
      <c r="J3106" s="397">
        <f>IF(AND(B3106="",C3106=""),"",ROUND(M3106*N3106,2))</f>
        <v/>
      </c>
      <c r="K3106" s="398">
        <f>IF(AND(B3106="",C3106=""),"",ROUND(J3106*F3106,2))</f>
        <v/>
      </c>
      <c r="L3106" s="200" t="n">
        <v>1</v>
      </c>
      <c r="M3106" s="399" t="n">
        <v>29.95</v>
      </c>
      <c r="N3106" s="154" t="n">
        <v>1</v>
      </c>
      <c r="O3106" s="155">
        <f>IF(AND(B3106="",C3106=""),"",IF(G3106&gt;=20000,0.05,IF(G3106&gt;=10000,0.1,IF(G3106&gt;=5000,0.2,IF(G3106&gt;=1000,0.3,IF(G3106&gt;=0,0.4,{0}))))))</f>
        <v/>
      </c>
      <c r="P3106" s="400">
        <f>IF(AND(B3106="",C3106=""),"",ROUND(H3106*O3106,2))</f>
        <v/>
      </c>
      <c r="Q3106" s="401" t="inlineStr">
        <is>
          <t>元件</t>
        </is>
      </c>
      <c r="R3106" s="168" t="inlineStr"/>
      <c r="S3106" s="168" t="inlineStr"/>
      <c r="T3106" s="168" t="inlineStr">
        <is>
          <t>0</t>
        </is>
      </c>
      <c r="U3106" s="168" t="inlineStr">
        <is>
          <t>710140200000049</t>
        </is>
      </c>
      <c r="V3106" s="402" t="n"/>
      <c r="W3106" s="402" t="n"/>
      <c r="X3106" s="170" t="inlineStr">
        <is>
          <t>SD→SD-0.66-40II-C 400/5A→SD-0.66-30I 250/5A→SD-0.66-30I 150/5A→SD-0.66-60II-C 750/5A→SD-0.66-60II-C 600/5A→SD-0.66-30I 150/5A→SD-0.66-40II-C 400/5A→SD-0.66-100II-C 1600/5A→SD-0.66-80II-V 1000/5A→SD-0.66-80II-V 1250/5A→SD-0.66-80II-V 1000/5A→SD-0.66-80II-V 800/5A→SD-0.66-100II-C 1600/5A→SD-0.66-40II-C 400/5A</t>
        </is>
      </c>
    </row>
    <row r="3107" s="308">
      <c r="A3107" s="64">
        <f>ROW()-ROW(A$3102)</f>
        <v/>
      </c>
      <c r="B3107" s="112" t="inlineStr">
        <is>
          <t>多功能表</t>
        </is>
      </c>
      <c r="C3107" s="112" t="inlineStr">
        <is>
          <t>PM4101</t>
        </is>
      </c>
      <c r="D3107" s="112" t="inlineStr">
        <is>
          <t>甲供/施耐德电气</t>
        </is>
      </c>
      <c r="E3107" s="114" t="inlineStr">
        <is>
          <t>只</t>
        </is>
      </c>
      <c r="F3107" s="114" t="n">
        <v>1</v>
      </c>
      <c r="G3107" s="396">
        <f>IF(AND(B3107="",C3107=""),"",ROUND(M3107*L3107*N3107,2))</f>
        <v/>
      </c>
      <c r="H3107" s="349">
        <f>IF(AND(B3107="",C3107=""),"",ROUND(F3107*G3107,2))</f>
        <v/>
      </c>
      <c r="I3107" s="45" t="inlineStr"/>
      <c r="J3107" s="397">
        <f>IF(AND(B3107="",C3107=""),"",ROUND(M3107*N3107,2))</f>
        <v/>
      </c>
      <c r="K3107" s="398">
        <f>IF(AND(B3107="",C3107=""),"",ROUND(J3107*F3107,2))</f>
        <v/>
      </c>
      <c r="L3107" s="200" t="n">
        <v>1</v>
      </c>
      <c r="M3107" s="399" t="n">
        <v>1e-07</v>
      </c>
      <c r="N3107" s="154" t="n">
        <v>1</v>
      </c>
      <c r="O3107" s="155">
        <f>IF(AND(B3107="",C3107=""),"",IF(J3107&gt;=20000,0.05,IF(J3107&gt;=10000,0.1,IF(J3107&gt;=5000,0.2,IF(J3107&gt;=1000,0.3,IF(J3107&gt;=0,0.4,{0}))))))</f>
        <v/>
      </c>
      <c r="P3107" s="400">
        <f>IF(AND(B3107="",C3107=""),"",ROUND(H3107*O3107,2))</f>
        <v/>
      </c>
      <c r="Q3107" s="401" t="inlineStr">
        <is>
          <t>元件</t>
        </is>
      </c>
      <c r="R3107" s="168" t="inlineStr"/>
      <c r="S3107" s="168" t="inlineStr"/>
      <c r="T3107" s="168" t="inlineStr">
        <is>
          <t>0</t>
        </is>
      </c>
      <c r="U3107" s="168" t="inlineStr"/>
      <c r="V3107" s="402" t="n"/>
      <c r="W3107" s="402" t="n"/>
      <c r="X3107" s="170" t="inlineStr"/>
    </row>
    <row r="3108" customFormat="1" s="3">
      <c r="A3108" s="64">
        <f>ROW()-ROW(A$3102)</f>
        <v/>
      </c>
      <c r="B3108" s="27" t="inlineStr">
        <is>
          <t>后备保护器</t>
        </is>
      </c>
      <c r="C3108" s="22" t="inlineStr">
        <is>
          <t>iSCB1 25L1 4P</t>
        </is>
      </c>
      <c r="D3108" s="22" t="inlineStr">
        <is>
          <t>甲供/施耐德万高</t>
        </is>
      </c>
      <c r="E3108" s="110" t="inlineStr">
        <is>
          <t>只</t>
        </is>
      </c>
      <c r="F3108" s="23" t="n">
        <v>1</v>
      </c>
      <c r="G3108" s="349">
        <f>IF(AND(B3108="",C3108=""),"",ROUND(M3108*L3108*N3108,2))</f>
        <v/>
      </c>
      <c r="H3108" s="349">
        <f>IF(AND(B3108="",C3108=""),"",ROUND(F3108*G3108,2))</f>
        <v/>
      </c>
      <c r="I3108" s="45" t="inlineStr"/>
      <c r="J3108" s="392">
        <f>IF(AND(B3108="",C3108=""),"",ROUND(M3108*N3108,2))</f>
        <v/>
      </c>
      <c r="K3108" s="393">
        <f>IF(AND(B3108="",C3108=""),"",ROUND(J3108*F3108,2))</f>
        <v/>
      </c>
      <c r="L3108" s="141" t="n">
        <v>1</v>
      </c>
      <c r="M3108" s="394" t="n">
        <v>1e-07</v>
      </c>
      <c r="N3108" s="143" t="n">
        <v>1</v>
      </c>
      <c r="O3108" s="144">
        <f>IF(AND(B3108="",C3108=""),"",IF(G3108&gt;=20000,0.05,IF(G3108&gt;=10000,0.1,IF(G3108&gt;=5000,0.2,IF(G3108&gt;=1000,0.3,IF(G3108&gt;=0,0.4,{0}))))))</f>
        <v/>
      </c>
      <c r="P3108" s="395">
        <f>IF(AND(B3108="",C3108=""),"",ROUND(H3108*O3108,2))</f>
        <v/>
      </c>
      <c r="Q3108" s="390" t="inlineStr">
        <is>
          <t>元件</t>
        </is>
      </c>
      <c r="R3108" s="164" t="inlineStr"/>
      <c r="S3108" s="164" t="inlineStr"/>
      <c r="T3108" s="164" t="inlineStr">
        <is>
          <t>0</t>
        </is>
      </c>
      <c r="U3108" s="164" t="inlineStr">
        <is>
          <t>A9L102554</t>
        </is>
      </c>
      <c r="V3108" s="391" t="n"/>
      <c r="W3108" s="391" t="n"/>
      <c r="X3108" s="166" t="inlineStr">
        <is>
          <t>iSCB1 25L1 4P→iSCB2 40H2 4P</t>
        </is>
      </c>
    </row>
    <row r="3109" customFormat="1" s="3">
      <c r="A3109" s="64">
        <f>ROW()-ROW(A$3102)</f>
        <v/>
      </c>
      <c r="B3109" s="27" t="inlineStr">
        <is>
          <t>电涌保护器</t>
        </is>
      </c>
      <c r="C3109" s="22" t="inlineStr">
        <is>
          <t>iPRF1 12.5r 3P+N</t>
        </is>
      </c>
      <c r="D3109" s="22" t="inlineStr">
        <is>
          <t>甲供/施耐德万高</t>
        </is>
      </c>
      <c r="E3109" s="110" t="inlineStr">
        <is>
          <t>只</t>
        </is>
      </c>
      <c r="F3109" s="23" t="n">
        <v>1</v>
      </c>
      <c r="G3109" s="349">
        <f>IF(AND(B3109="",C3109=""),"",ROUND(M3109*L3109*N3109,2))</f>
        <v/>
      </c>
      <c r="H3109" s="349">
        <f>IF(AND(B3109="",C3109=""),"",ROUND(F3109*G3109,2))</f>
        <v/>
      </c>
      <c r="I3109" s="45" t="inlineStr"/>
      <c r="J3109" s="392">
        <f>IF(AND(B3109="",C3109=""),"",ROUND(M3109*N3109,2))</f>
        <v/>
      </c>
      <c r="K3109" s="393">
        <f>IF(AND(B3109="",C3109=""),"",ROUND(J3109*F3109,2))</f>
        <v/>
      </c>
      <c r="L3109" s="141" t="n">
        <v>1</v>
      </c>
      <c r="M3109" s="394" t="n">
        <v>1e-07</v>
      </c>
      <c r="N3109" s="143" t="n">
        <v>1</v>
      </c>
      <c r="O3109" s="144">
        <f>IF(AND(B3109="",C3109=""),"",IF(G3109&gt;=20000,0.05,IF(G3109&gt;=10000,0.1,IF(G3109&gt;=5000,0.2,IF(G3109&gt;=1000,0.3,IF(G3109&gt;=0,0.4,{0}))))))</f>
        <v/>
      </c>
      <c r="P3109" s="395">
        <f>IF(AND(B3109="",C3109=""),"",ROUND(H3109*O3109,2))</f>
        <v/>
      </c>
      <c r="Q3109" s="390" t="inlineStr">
        <is>
          <t>元件</t>
        </is>
      </c>
      <c r="R3109" s="164" t="inlineStr"/>
      <c r="S3109" s="164" t="inlineStr"/>
      <c r="T3109" s="164" t="inlineStr">
        <is>
          <t>0</t>
        </is>
      </c>
      <c r="U3109" s="164" t="inlineStr">
        <is>
          <t>A9L620601</t>
        </is>
      </c>
      <c r="V3109" s="391" t="n"/>
      <c r="W3109" s="391" t="n"/>
      <c r="X3109" s="166" t="inlineStr">
        <is>
          <t>iPRF1 12.5r 3P+N→iPRU 40r 3P→iPRF1 12.5r 3P+N</t>
        </is>
      </c>
    </row>
    <row r="3110" customFormat="1" s="3">
      <c r="A3110" s="64">
        <f>ROW()-ROW(A$3102)</f>
        <v/>
      </c>
      <c r="B3110" s="27" t="inlineStr">
        <is>
          <t>塑壳断路器400A</t>
        </is>
      </c>
      <c r="C3110" s="22" t="inlineStr">
        <is>
          <t>NSX100N MA50 3P3D</t>
        </is>
      </c>
      <c r="D3110" s="112" t="inlineStr">
        <is>
          <t>甲供/施耐德电气</t>
        </is>
      </c>
      <c r="E3110" s="114" t="inlineStr">
        <is>
          <t>只</t>
        </is>
      </c>
      <c r="F3110" s="114" t="n">
        <v>2</v>
      </c>
      <c r="G3110" s="349">
        <f>IF(AND(B3110="",C3110=""),"",ROUND(M3110*L3110*N3110,2))</f>
        <v/>
      </c>
      <c r="H3110" s="349">
        <f>IF(AND(B3110="",C3110=""),"",ROUND(F3110*G3110,2))</f>
        <v/>
      </c>
      <c r="I3110" s="45" t="inlineStr"/>
      <c r="J3110" s="392">
        <f>IF(AND(B3110="",C3110=""),"",ROUND(M3110*N3110,2))</f>
        <v/>
      </c>
      <c r="K3110" s="393">
        <f>IF(AND(B3110="",C3110=""),"",ROUND(J3110*F3110,2))</f>
        <v/>
      </c>
      <c r="L3110" s="141" t="n">
        <v>1</v>
      </c>
      <c r="M3110" s="394" t="n">
        <v>1e-07</v>
      </c>
      <c r="N3110" s="143" t="n">
        <v>1</v>
      </c>
      <c r="O3110" s="144">
        <f>IF(AND(B3110="",C3110=""),"",IF(G3110&gt;=20000,0.05,IF(G3110&gt;=10000,0.1,IF(G3110&gt;=5000,0.2,IF(G3110&gt;=1000,0.3,IF(G3110&gt;=0,0.4,{0}))))))</f>
        <v/>
      </c>
      <c r="P3110" s="395">
        <f>IF(AND(B3110="",C3110=""),"",ROUND(H3110*O3110,2))</f>
        <v/>
      </c>
      <c r="Q3110" s="390" t="inlineStr">
        <is>
          <t>元件</t>
        </is>
      </c>
      <c r="R3110" s="164" t="inlineStr"/>
      <c r="S3110" s="164" t="inlineStr"/>
      <c r="T3110" s="164" t="n">
        <v>0</v>
      </c>
      <c r="U3110" s="164" t="inlineStr"/>
      <c r="V3110" s="391" t="n"/>
      <c r="W3110" s="391" t="n"/>
      <c r="X3110" s="166" t="inlineStr"/>
    </row>
    <row r="3111" customFormat="1" s="3">
      <c r="A3111" s="64">
        <f>ROW()-ROW(A$3102)</f>
        <v/>
      </c>
      <c r="B3111" s="27" t="inlineStr">
        <is>
          <t>塑壳断路器400A</t>
        </is>
      </c>
      <c r="C3111" s="22" t="inlineStr">
        <is>
          <t>NSX160N TM160D 3P3D</t>
        </is>
      </c>
      <c r="D3111" s="112" t="inlineStr">
        <is>
          <t>甲供/施耐德电气</t>
        </is>
      </c>
      <c r="E3111" s="114" t="inlineStr">
        <is>
          <t>只</t>
        </is>
      </c>
      <c r="F3111" s="114" t="n">
        <v>2</v>
      </c>
      <c r="G3111" s="349">
        <f>IF(AND(B3111="",C3111=""),"",ROUND(M3111*L3111*N3111,2))</f>
        <v/>
      </c>
      <c r="H3111" s="349">
        <f>IF(AND(B3111="",C3111=""),"",ROUND(F3111*G3111,2))</f>
        <v/>
      </c>
      <c r="I3111" s="45" t="inlineStr"/>
      <c r="J3111" s="392">
        <f>IF(AND(B3111="",C3111=""),"",ROUND(M3111*N3111,2))</f>
        <v/>
      </c>
      <c r="K3111" s="393">
        <f>IF(AND(B3111="",C3111=""),"",ROUND(J3111*F3111,2))</f>
        <v/>
      </c>
      <c r="L3111" s="141" t="n">
        <v>1</v>
      </c>
      <c r="M3111" s="394" t="n">
        <v>1e-07</v>
      </c>
      <c r="N3111" s="143" t="n">
        <v>1</v>
      </c>
      <c r="O3111" s="144">
        <f>IF(AND(B3111="",C3111=""),"",IF(G3111&gt;=20000,0.05,IF(G3111&gt;=10000,0.1,IF(G3111&gt;=5000,0.2,IF(G3111&gt;=1000,0.3,IF(G3111&gt;=0,0.4,{0}))))))</f>
        <v/>
      </c>
      <c r="P3111" s="395">
        <f>IF(AND(B3111="",C3111=""),"",ROUND(H3111*O3111,2))</f>
        <v/>
      </c>
      <c r="Q3111" s="390" t="inlineStr">
        <is>
          <t>元件</t>
        </is>
      </c>
      <c r="R3111" s="164" t="inlineStr"/>
      <c r="S3111" s="164" t="inlineStr"/>
      <c r="T3111" s="164" t="n">
        <v>0</v>
      </c>
      <c r="U3111" s="164" t="inlineStr"/>
      <c r="V3111" s="391" t="n"/>
      <c r="W3111" s="391" t="n"/>
      <c r="X3111" s="166" t="inlineStr"/>
    </row>
    <row r="3112" customFormat="1" s="3">
      <c r="A3112" s="64">
        <f>ROW()-ROW(A$3102)</f>
        <v/>
      </c>
      <c r="B3112" s="27" t="inlineStr">
        <is>
          <t>接触器</t>
        </is>
      </c>
      <c r="C3112" s="22" t="inlineStr">
        <is>
          <t>LC1D80M7C</t>
        </is>
      </c>
      <c r="D3112" s="112" t="inlineStr">
        <is>
          <t>甲供/施耐德电气</t>
        </is>
      </c>
      <c r="E3112" s="114" t="inlineStr">
        <is>
          <t>只</t>
        </is>
      </c>
      <c r="F3112" s="114" t="n">
        <v>4</v>
      </c>
      <c r="G3112" s="349">
        <f>IF(AND(B3112="",C3112=""),"",ROUND(M3112*L3112*N3112,2))</f>
        <v/>
      </c>
      <c r="H3112" s="349">
        <f>IF(AND(B3112="",C3112=""),"",ROUND(F3112*G3112,2))</f>
        <v/>
      </c>
      <c r="I3112" s="45" t="inlineStr"/>
      <c r="J3112" s="392">
        <f>IF(AND(B3112="",C3112=""),"",ROUND(M3112*N3112,2))</f>
        <v/>
      </c>
      <c r="K3112" s="393">
        <f>IF(AND(B3112="",C3112=""),"",ROUND(J3112*F3112,2))</f>
        <v/>
      </c>
      <c r="L3112" s="141" t="n">
        <v>1</v>
      </c>
      <c r="M3112" s="394" t="n">
        <v>1e-07</v>
      </c>
      <c r="N3112" s="143" t="n">
        <v>1</v>
      </c>
      <c r="O3112" s="144">
        <f>IF(AND(B3112="",C3112=""),"",IF(G3112&gt;=20000,0.05,IF(G3112&gt;=10000,0.1,IF(G3112&gt;=5000,0.2,IF(G3112&gt;=1000,0.3,IF(G3112&gt;=0,0.4,{0}))))))</f>
        <v/>
      </c>
      <c r="P3112" s="395">
        <f>IF(AND(B3112="",C3112=""),"",ROUND(H3112*O3112,2))</f>
        <v/>
      </c>
      <c r="Q3112" s="390" t="inlineStr">
        <is>
          <t>元件</t>
        </is>
      </c>
      <c r="R3112" s="164" t="inlineStr"/>
      <c r="S3112" s="164" t="inlineStr"/>
      <c r="T3112" s="164" t="n">
        <v>0</v>
      </c>
      <c r="U3112" s="164" t="inlineStr"/>
      <c r="V3112" s="391" t="n"/>
      <c r="W3112" s="391" t="n"/>
      <c r="X3112" s="166" t="inlineStr"/>
    </row>
    <row r="3113" customFormat="1" s="3">
      <c r="A3113" s="64">
        <f>ROW()-ROW(A$3102)</f>
        <v/>
      </c>
      <c r="B3113" s="27" t="inlineStr">
        <is>
          <t>接触器</t>
        </is>
      </c>
      <c r="C3113" s="22" t="inlineStr">
        <is>
          <t>LC1D50M7C</t>
        </is>
      </c>
      <c r="D3113" s="112" t="inlineStr">
        <is>
          <t>甲供/施耐德电气</t>
        </is>
      </c>
      <c r="E3113" s="114" t="inlineStr">
        <is>
          <t>只</t>
        </is>
      </c>
      <c r="F3113" s="114" t="n">
        <v>2</v>
      </c>
      <c r="G3113" s="349">
        <f>IF(AND(B3113="",C3113=""),"",ROUND(M3113*L3113*N3113,2))</f>
        <v/>
      </c>
      <c r="H3113" s="349">
        <f>IF(AND(B3113="",C3113=""),"",ROUND(F3113*G3113,2))</f>
        <v/>
      </c>
      <c r="I3113" s="45" t="inlineStr"/>
      <c r="J3113" s="392">
        <f>IF(AND(B3113="",C3113=""),"",ROUND(M3113*N3113,2))</f>
        <v/>
      </c>
      <c r="K3113" s="393">
        <f>IF(AND(B3113="",C3113=""),"",ROUND(J3113*F3113,2))</f>
        <v/>
      </c>
      <c r="L3113" s="141" t="n">
        <v>1</v>
      </c>
      <c r="M3113" s="394" t="n">
        <v>1e-07</v>
      </c>
      <c r="N3113" s="143" t="n">
        <v>1</v>
      </c>
      <c r="O3113" s="144">
        <f>IF(AND(B3113="",C3113=""),"",IF(G3113&gt;=20000,0.05,IF(G3113&gt;=10000,0.1,IF(G3113&gt;=5000,0.2,IF(G3113&gt;=1000,0.3,IF(G3113&gt;=0,0.4,{0}))))))</f>
        <v/>
      </c>
      <c r="P3113" s="395">
        <f>IF(AND(B3113="",C3113=""),"",ROUND(H3113*O3113,2))</f>
        <v/>
      </c>
      <c r="Q3113" s="390" t="inlineStr">
        <is>
          <t>元件</t>
        </is>
      </c>
      <c r="R3113" s="164" t="inlineStr"/>
      <c r="S3113" s="164" t="inlineStr"/>
      <c r="T3113" s="164" t="n">
        <v>0</v>
      </c>
      <c r="U3113" s="164" t="inlineStr"/>
      <c r="V3113" s="391" t="n"/>
      <c r="W3113" s="391" t="n"/>
      <c r="X3113" s="166" t="inlineStr"/>
    </row>
    <row r="3114" customFormat="1" s="3">
      <c r="A3114" s="64">
        <f>ROW()-ROW(A$3102)</f>
        <v/>
      </c>
      <c r="B3114" s="27" t="inlineStr">
        <is>
          <t>变频器ATV630</t>
        </is>
      </c>
      <c r="C3114" s="22" t="inlineStr">
        <is>
          <t>ATV630D22N4</t>
        </is>
      </c>
      <c r="D3114" s="112" t="inlineStr">
        <is>
          <t>甲供/施耐德电气</t>
        </is>
      </c>
      <c r="E3114" s="114" t="inlineStr">
        <is>
          <t>只</t>
        </is>
      </c>
      <c r="F3114" s="114" t="n">
        <v>2</v>
      </c>
      <c r="G3114" s="349">
        <f>IF(AND(B3114="",C3114=""),"",ROUND(M3114*L3114*N3114,2))</f>
        <v/>
      </c>
      <c r="H3114" s="349">
        <f>IF(AND(B3114="",C3114=""),"",ROUND(F3114*G3114,2))</f>
        <v/>
      </c>
      <c r="I3114" s="45" t="inlineStr"/>
      <c r="J3114" s="392">
        <f>IF(AND(B3114="",C3114=""),"",ROUND(M3114*N3114,2))</f>
        <v/>
      </c>
      <c r="K3114" s="393">
        <f>IF(AND(B3114="",C3114=""),"",ROUND(J3114*F3114,2))</f>
        <v/>
      </c>
      <c r="L3114" s="141" t="n">
        <v>1</v>
      </c>
      <c r="M3114" s="394" t="n">
        <v>1e-07</v>
      </c>
      <c r="N3114" s="143" t="n">
        <v>1</v>
      </c>
      <c r="O3114" s="144">
        <f>IF(AND(B3114="",C3114=""),"",IF(G3114&gt;=20000,0.05,IF(G3114&gt;=10000,0.1,IF(G3114&gt;=5000,0.2,IF(G3114&gt;=1000,0.3,IF(G3114&gt;=0,0.4,{0}))))))</f>
        <v/>
      </c>
      <c r="P3114" s="395">
        <f>IF(AND(B3114="",C3114=""),"",ROUND(H3114*O3114,2))</f>
        <v/>
      </c>
      <c r="Q3114" s="390" t="inlineStr">
        <is>
          <t>元件</t>
        </is>
      </c>
      <c r="R3114" s="164" t="inlineStr"/>
      <c r="S3114" s="164" t="inlineStr"/>
      <c r="T3114" s="164" t="n">
        <v>0</v>
      </c>
      <c r="U3114" s="164" t="inlineStr"/>
      <c r="V3114" s="391" t="n"/>
      <c r="W3114" s="391" t="n"/>
      <c r="X3114" s="166" t="inlineStr"/>
    </row>
    <row r="3115" customFormat="1" s="3">
      <c r="A3115" s="64">
        <f>ROW()-ROW(A$3102)</f>
        <v/>
      </c>
      <c r="B3115" s="27" t="inlineStr">
        <is>
          <t>dvdt滤波器</t>
        </is>
      </c>
      <c r="C3115" s="22" t="inlineStr">
        <is>
          <t>VW3A5304</t>
        </is>
      </c>
      <c r="D3115" s="112" t="inlineStr">
        <is>
          <t>甲供/施耐德电气</t>
        </is>
      </c>
      <c r="E3115" s="114" t="inlineStr">
        <is>
          <t>只</t>
        </is>
      </c>
      <c r="F3115" s="114" t="n">
        <v>2</v>
      </c>
      <c r="G3115" s="349">
        <f>IF(AND(B3115="",C3115=""),"",ROUND(M3115*L3115*N3115,2))</f>
        <v/>
      </c>
      <c r="H3115" s="349">
        <f>IF(AND(B3115="",C3115=""),"",ROUND(F3115*G3115,2))</f>
        <v/>
      </c>
      <c r="I3115" s="45" t="inlineStr"/>
      <c r="J3115" s="392">
        <f>IF(AND(B3115="",C3115=""),"",ROUND(M3115*N3115,2))</f>
        <v/>
      </c>
      <c r="K3115" s="393">
        <f>IF(AND(B3115="",C3115=""),"",ROUND(J3115*F3115,2))</f>
        <v/>
      </c>
      <c r="L3115" s="141" t="n">
        <v>1</v>
      </c>
      <c r="M3115" s="394" t="n">
        <v>1e-07</v>
      </c>
      <c r="N3115" s="143" t="n">
        <v>1</v>
      </c>
      <c r="O3115" s="144">
        <f>IF(AND(B3115="",C3115=""),"",IF(G3115&gt;=20000,0.05,IF(G3115&gt;=10000,0.1,IF(G3115&gt;=5000,0.2,IF(G3115&gt;=1000,0.3,IF(G3115&gt;=0,0.4,{0}))))))</f>
        <v/>
      </c>
      <c r="P3115" s="395">
        <f>IF(AND(B3115="",C3115=""),"",ROUND(H3115*O3115,2))</f>
        <v/>
      </c>
      <c r="Q3115" s="390" t="inlineStr">
        <is>
          <t>元件</t>
        </is>
      </c>
      <c r="R3115" s="164" t="inlineStr"/>
      <c r="S3115" s="164" t="inlineStr"/>
      <c r="T3115" s="164" t="n">
        <v>0</v>
      </c>
      <c r="U3115" s="164" t="inlineStr"/>
      <c r="V3115" s="391" t="n"/>
      <c r="W3115" s="391" t="n"/>
      <c r="X3115" s="166" t="inlineStr"/>
    </row>
    <row r="3116" customFormat="1" s="3">
      <c r="A3116" s="64">
        <f>ROW()-ROW(A$3102)</f>
        <v/>
      </c>
      <c r="B3116" s="27" t="inlineStr">
        <is>
          <t>软起动器</t>
        </is>
      </c>
      <c r="C3116" s="22" t="inlineStr">
        <is>
          <t>ATS480D47Y</t>
        </is>
      </c>
      <c r="D3116" s="112" t="inlineStr">
        <is>
          <t>甲供/施耐德电气</t>
        </is>
      </c>
      <c r="E3116" s="114" t="inlineStr">
        <is>
          <t>只</t>
        </is>
      </c>
      <c r="F3116" s="114" t="n">
        <v>2</v>
      </c>
      <c r="G3116" s="349">
        <f>IF(AND(B3116="",C3116=""),"",ROUND(M3116*L3116*N3116,2))</f>
        <v/>
      </c>
      <c r="H3116" s="349">
        <f>IF(AND(B3116="",C3116=""),"",ROUND(F3116*G3116,2))</f>
        <v/>
      </c>
      <c r="I3116" s="45" t="inlineStr"/>
      <c r="J3116" s="392">
        <f>IF(AND(B3116="",C3116=""),"",ROUND(M3116*N3116,2))</f>
        <v/>
      </c>
      <c r="K3116" s="393">
        <f>IF(AND(B3116="",C3116=""),"",ROUND(J3116*F3116,2))</f>
        <v/>
      </c>
      <c r="L3116" s="141" t="n">
        <v>1</v>
      </c>
      <c r="M3116" s="394" t="n">
        <v>1e-07</v>
      </c>
      <c r="N3116" s="143" t="n">
        <v>1</v>
      </c>
      <c r="O3116" s="144">
        <f>IF(AND(B3116="",C3116=""),"",IF(G3116&gt;=20000,0.05,IF(G3116&gt;=10000,0.1,IF(G3116&gt;=5000,0.2,IF(G3116&gt;=1000,0.3,IF(G3116&gt;=0,0.4,{0}))))))</f>
        <v/>
      </c>
      <c r="P3116" s="395">
        <f>IF(AND(B3116="",C3116=""),"",ROUND(H3116*O3116,2))</f>
        <v/>
      </c>
      <c r="Q3116" s="390" t="inlineStr">
        <is>
          <t>元件</t>
        </is>
      </c>
      <c r="R3116" s="164" t="inlineStr"/>
      <c r="S3116" s="164" t="inlineStr"/>
      <c r="T3116" s="164" t="n">
        <v>0</v>
      </c>
      <c r="U3116" s="164" t="inlineStr"/>
      <c r="V3116" s="391" t="n"/>
      <c r="W3116" s="391" t="n"/>
      <c r="X3116" s="166" t="inlineStr"/>
    </row>
    <row r="3117" customFormat="1" s="3">
      <c r="A3117" s="64">
        <f>ROW()-ROW(A$3102)</f>
        <v/>
      </c>
      <c r="B3117" s="27" t="inlineStr">
        <is>
          <t>微型断路器</t>
        </is>
      </c>
      <c r="C3117" s="22" t="inlineStr">
        <is>
          <t>iC65H 3P D63A</t>
        </is>
      </c>
      <c r="D3117" s="22" t="inlineStr">
        <is>
          <t>甲供/施耐德电气</t>
        </is>
      </c>
      <c r="E3117" s="110" t="inlineStr">
        <is>
          <t>只</t>
        </is>
      </c>
      <c r="F3117" s="23" t="n">
        <v>4</v>
      </c>
      <c r="G3117" s="349">
        <f>IF(AND(B3117="",C3117=""),"",ROUND(M3117*L3117*N3117,2))</f>
        <v/>
      </c>
      <c r="H3117" s="349">
        <f>IF(AND(B3117="",C3117=""),"",ROUND(F3117*G3117,2))</f>
        <v/>
      </c>
      <c r="I3117" s="45" t="inlineStr"/>
      <c r="J3117" s="392">
        <f>IF(AND(B3117="",C3117=""),"",ROUND(M3117*N3117,2))</f>
        <v/>
      </c>
      <c r="K3117" s="393">
        <f>IF(AND(B3117="",C3117=""),"",ROUND(J3117*F3117,2))</f>
        <v/>
      </c>
      <c r="L3117" s="141" t="n">
        <v>1</v>
      </c>
      <c r="M3117" s="394" t="n">
        <v>1e-07</v>
      </c>
      <c r="N3117" s="143" t="n">
        <v>1</v>
      </c>
      <c r="O3117" s="144">
        <f>IF(AND(B3117="",C3117=""),"",IF(G3117&gt;=20000,0.05,IF(G3117&gt;=10000,0.1,IF(G3117&gt;=5000,0.2,IF(G3117&gt;=1000,0.3,IF(G3117&gt;=0,0.4,{0}))))))</f>
        <v/>
      </c>
      <c r="P3117" s="395">
        <f>IF(AND(B3117="",C3117=""),"",ROUND(H3117*O3117,2))</f>
        <v/>
      </c>
      <c r="Q3117" s="390" t="inlineStr">
        <is>
          <t>元件</t>
        </is>
      </c>
      <c r="R3117" s="164" t="inlineStr"/>
      <c r="S3117" s="164" t="inlineStr"/>
      <c r="T3117" s="164" t="n">
        <v>0</v>
      </c>
      <c r="U3117" s="164" t="inlineStr"/>
      <c r="V3117" s="391" t="n"/>
      <c r="W3117" s="391" t="n"/>
      <c r="X3117" s="166" t="inlineStr"/>
    </row>
    <row r="3118" customFormat="1" s="3">
      <c r="A3118" s="64">
        <f>ROW()-ROW(A$3102)</f>
        <v/>
      </c>
      <c r="B3118" s="27" t="inlineStr">
        <is>
          <t>熔断器+底座</t>
        </is>
      </c>
      <c r="C3118" s="22" t="inlineStr">
        <is>
          <t>NT00 gG 690V/160A、NT00（新底座）</t>
        </is>
      </c>
      <c r="D3118" s="22" t="inlineStr">
        <is>
          <t>茗熔</t>
        </is>
      </c>
      <c r="E3118" s="110" t="inlineStr">
        <is>
          <t>只</t>
        </is>
      </c>
      <c r="F3118" s="23" t="n">
        <v>6</v>
      </c>
      <c r="G3118" s="349">
        <f>IF(AND(B3118="",C3118=""),"",ROUND(M3118*L3118*N3118,2))</f>
        <v/>
      </c>
      <c r="H3118" s="349">
        <f>IF(AND(B3118="",C3118=""),"",ROUND(F3118*G3118,2))</f>
        <v/>
      </c>
      <c r="I3118" s="45" t="inlineStr"/>
      <c r="J3118" s="392">
        <f>IF(AND(B3118="",C3118=""),"",ROUND(M3118*N3118,2))</f>
        <v/>
      </c>
      <c r="K3118" s="393">
        <f>IF(AND(B3118="",C3118=""),"",ROUND(J3118*F3118,2))</f>
        <v/>
      </c>
      <c r="L3118" s="141" t="n">
        <v>1</v>
      </c>
      <c r="M3118" s="394" t="n">
        <v>23.8</v>
      </c>
      <c r="N3118" s="143" t="n">
        <v>1</v>
      </c>
      <c r="O3118" s="144">
        <f>IF(AND(B3118="",C3118=""),"",IF(G3118&gt;=20000,0.05,IF(G3118&gt;=10000,0.1,IF(G3118&gt;=5000,0.2,IF(G3118&gt;=1000,0.3,IF(G3118&gt;=0,0.4,{0}))))))</f>
        <v/>
      </c>
      <c r="P3118" s="395">
        <f>IF(AND(B3118="",C3118=""),"",ROUND(H3118*O3118,2))</f>
        <v/>
      </c>
      <c r="Q3118" s="390" t="inlineStr">
        <is>
          <t>元件</t>
        </is>
      </c>
      <c r="R3118" s="164" t="inlineStr"/>
      <c r="S3118" s="164" t="inlineStr"/>
      <c r="T3118" s="164" t="inlineStr">
        <is>
          <t>0</t>
        </is>
      </c>
      <c r="U3118" s="164" t="inlineStr">
        <is>
          <t>0</t>
        </is>
      </c>
      <c r="V3118" s="391" t="n"/>
      <c r="W3118" s="391" t="n"/>
      <c r="X3118" s="166" t="inlineStr">
        <is>
          <t>NH3 gG 690V/315~630A、NT3（新底座）</t>
        </is>
      </c>
    </row>
    <row r="3119" s="308">
      <c r="A3119" s="64">
        <f>ROW()-ROW(A$3102)</f>
        <v/>
      </c>
      <c r="B3119" s="112" t="inlineStr">
        <is>
          <t>温湿度控制器</t>
        </is>
      </c>
      <c r="C3119" s="112" t="inlineStr">
        <is>
          <t>ATH48G-11</t>
        </is>
      </c>
      <c r="D3119" s="22" t="inlineStr">
        <is>
          <t>杭州安廷</t>
        </is>
      </c>
      <c r="E3119" s="23" t="inlineStr">
        <is>
          <t>套</t>
        </is>
      </c>
      <c r="F3119" s="23" t="n">
        <v>1</v>
      </c>
      <c r="G3119" s="349">
        <f>IF(AND(B3119="",C3119=""),"",ROUND(M3119*L3119*N3119,2))</f>
        <v/>
      </c>
      <c r="H3119" s="396">
        <f>IF(AND(B3119="",C3119=""),"",ROUND(F3119*G3119,2))</f>
        <v/>
      </c>
      <c r="I3119" s="150" t="inlineStr"/>
      <c r="J3119" s="397">
        <f>IF(AND(B3119="",C3119=""),"",ROUND(M3119*N3119,2))</f>
        <v/>
      </c>
      <c r="K3119" s="398">
        <f>IF(AND(B3119="",C3119=""),"",ROUND(J3119*F3119,2))</f>
        <v/>
      </c>
      <c r="L3119" s="141" t="n">
        <v>1</v>
      </c>
      <c r="M3119" s="399" t="n">
        <v>450</v>
      </c>
      <c r="N3119" s="154" t="n">
        <v>1</v>
      </c>
      <c r="O3119" s="155">
        <f>IF(AND(B3119="",C3119=""),"",IF(G3119&gt;=20000,0.05,IF(G3119&gt;=10000,0.1,IF(G3119&gt;=5000,0.2,IF(G3119&gt;=1000,0.3,IF(G3119&gt;=0,0.4,{0}))))))</f>
        <v/>
      </c>
      <c r="P3119" s="400">
        <f>IF(AND(B3119="",C3119=""),"",ROUND(H3119*O3119,2))</f>
        <v/>
      </c>
      <c r="Q3119" s="401" t="inlineStr">
        <is>
          <t>元件</t>
        </is>
      </c>
      <c r="R3119" s="168" t="inlineStr"/>
      <c r="S3119" s="168" t="inlineStr"/>
      <c r="T3119" s="168" t="inlineStr">
        <is>
          <t>0</t>
        </is>
      </c>
      <c r="U3119" s="168" t="inlineStr"/>
      <c r="V3119" s="402" t="n"/>
      <c r="W3119" s="402" t="n"/>
      <c r="X3119" s="170" t="inlineStr"/>
    </row>
    <row r="3120" s="308">
      <c r="A3120" s="64">
        <f>ROW()-ROW(A$3102)</f>
        <v/>
      </c>
      <c r="B3120" s="112" t="inlineStr">
        <is>
          <t>变频柜散热风扇</t>
        </is>
      </c>
      <c r="C3120" s="112" t="inlineStr">
        <is>
          <t>SF1238HA2BMT+SVF103M</t>
        </is>
      </c>
      <c r="D3120" s="22" t="inlineStr">
        <is>
          <t>源顶</t>
        </is>
      </c>
      <c r="E3120" s="23" t="inlineStr">
        <is>
          <t>只</t>
        </is>
      </c>
      <c r="F3120" s="23" t="n">
        <v>4</v>
      </c>
      <c r="G3120" s="349">
        <f>IF(AND(B3120="",C3120=""),"",ROUND(M3120*L3120*N3120,2))</f>
        <v/>
      </c>
      <c r="H3120" s="396">
        <f>IF(AND(B3120="",C3120=""),"",ROUND(F3120*G3120,2))</f>
        <v/>
      </c>
      <c r="I3120" s="150" t="inlineStr"/>
      <c r="J3120" s="397">
        <f>IF(AND(B3120="",C3120=""),"",ROUND(M3120*N3120,2))</f>
        <v/>
      </c>
      <c r="K3120" s="398">
        <f>IF(AND(B3120="",C3120=""),"",ROUND(J3120*F3120,2))</f>
        <v/>
      </c>
      <c r="L3120" s="141" t="n">
        <v>1</v>
      </c>
      <c r="M3120" s="399" t="n">
        <v>67</v>
      </c>
      <c r="N3120" s="154" t="n">
        <v>1</v>
      </c>
      <c r="O3120" s="155">
        <f>IF(AND(B3120="",C3120=""),"",IF(G3120&gt;=20000,0.05,IF(G3120&gt;=10000,0.1,IF(G3120&gt;=5000,0.2,IF(G3120&gt;=1000,0.3,IF(G3120&gt;=0,0.4,{0}))))))</f>
        <v/>
      </c>
      <c r="P3120" s="400">
        <f>IF(AND(B3120="",C3120=""),"",ROUND(H3120*O3120,2))</f>
        <v/>
      </c>
      <c r="Q3120" s="401" t="inlineStr">
        <is>
          <t>元件</t>
        </is>
      </c>
      <c r="R3120" s="168" t="inlineStr"/>
      <c r="S3120" s="168" t="inlineStr"/>
      <c r="T3120" s="168" t="inlineStr">
        <is>
          <t>0</t>
        </is>
      </c>
      <c r="U3120" s="168" t="inlineStr">
        <is>
          <t>0</t>
        </is>
      </c>
      <c r="V3120" s="402" t="n"/>
      <c r="W3120" s="402" t="n"/>
      <c r="X3120" s="170" t="inlineStr"/>
    </row>
    <row r="3121" customFormat="1" s="3">
      <c r="A3121" s="64">
        <f>ROW()-ROW(A$3102)</f>
        <v/>
      </c>
      <c r="B3121" s="22" t="inlineStr">
        <is>
          <t>带熔丝端子</t>
        </is>
      </c>
      <c r="C3121" s="22" t="inlineStr">
        <is>
          <t>UK 5-HESI</t>
        </is>
      </c>
      <c r="D3121" s="22" t="inlineStr">
        <is>
          <t>菲尼克斯</t>
        </is>
      </c>
      <c r="E3121" s="23" t="inlineStr">
        <is>
          <t>只</t>
        </is>
      </c>
      <c r="F3121" s="23" t="n">
        <v>4</v>
      </c>
      <c r="G3121" s="349">
        <f>IF(AND(B3121="",C3121=""),"",ROUND(M3121*L3121*N3121,2))</f>
        <v/>
      </c>
      <c r="H3121" s="349">
        <f>IF(AND(B3121="",C3121=""),"",ROUND(F3121*G3121,2))</f>
        <v/>
      </c>
      <c r="I3121" s="45" t="inlineStr"/>
      <c r="J3121" s="392">
        <f>IF(AND(B3121="",C3121=""),"",ROUND(M3121*N3121,2))</f>
        <v/>
      </c>
      <c r="K3121" s="393">
        <f>IF(AND(B3121="",C3121=""),"",ROUND(J3121*F3121,2))</f>
        <v/>
      </c>
      <c r="L3121" s="141" t="n">
        <v>1</v>
      </c>
      <c r="M3121" s="394" t="n">
        <v>7</v>
      </c>
      <c r="N3121" s="220" t="n">
        <v>1</v>
      </c>
      <c r="O3121" s="221">
        <f>IF(AND(B3121="",C3121=""),"",IF(G3121&gt;=20000,0.05,IF(G3121&gt;=10000,0.1,IF(G3121&gt;=5000,0.2,IF(G3121&gt;=1000,0.3,IF(G3121&gt;=0,0.4,{0}))))))</f>
        <v/>
      </c>
      <c r="P3121" s="419">
        <f>IF(AND(B3121="",C3121=""),"",ROUND(H3121*O3121,2))</f>
        <v/>
      </c>
      <c r="Q3121" s="420" t="inlineStr">
        <is>
          <t>元件</t>
        </is>
      </c>
      <c r="R3121" s="231" t="inlineStr"/>
      <c r="S3121" s="231" t="inlineStr"/>
      <c r="T3121" s="231" t="inlineStr">
        <is>
          <t>0</t>
        </is>
      </c>
      <c r="U3121" s="231" t="inlineStr">
        <is>
          <t>True</t>
        </is>
      </c>
      <c r="V3121" s="421" t="n"/>
      <c r="W3121" s="421" t="n"/>
      <c r="X3121" s="166" t="inlineStr"/>
    </row>
    <row r="3122" customFormat="1" s="5">
      <c r="A3122" s="64">
        <f>ROW()-ROW(A$3102)</f>
        <v/>
      </c>
      <c r="B3122" s="22" t="inlineStr">
        <is>
          <t>铜排</t>
        </is>
      </c>
      <c r="C3122" s="22" t="inlineStr">
        <is>
          <t>TMY 4*60*5</t>
        </is>
      </c>
      <c r="D3122" s="22" t="inlineStr">
        <is>
          <t>国产优质</t>
        </is>
      </c>
      <c r="E3122" s="23" t="inlineStr">
        <is>
          <t>米</t>
        </is>
      </c>
      <c r="F3122" s="23" t="n">
        <v>1.2</v>
      </c>
      <c r="G3122" s="349">
        <f>IF(AND(B3122="",C3122=""),"",ROUND(M3122*L3122*N3122,2))</f>
        <v/>
      </c>
      <c r="H3122" s="349">
        <f>IF(AND(B3122="",C3122=""),"",ROUND(F3122*G3122,2))</f>
        <v/>
      </c>
      <c r="I3122" s="45" t="inlineStr"/>
      <c r="J3122" s="422">
        <f>IF(AND(B3122="",C3122=""),"",ROUND(M3122*N3122,2))</f>
        <v/>
      </c>
      <c r="K3122" s="423">
        <f>IF(AND(B3122="",C3122=""),"",ROUND(J3122*F3122,2))</f>
        <v/>
      </c>
      <c r="L3122" s="225" t="n">
        <v>1</v>
      </c>
      <c r="M3122" s="424" t="n">
        <v>1154.5614</v>
      </c>
      <c r="N3122" s="227" t="n">
        <v>1</v>
      </c>
      <c r="O3122" s="228">
        <f>IF(AND(B3122="",C3122=""),"",IF(G3122&gt;=20000,0.05,IF(G3122&gt;=10000,0.1,IF(G3122&gt;=5000,0.2,IF(G3122&gt;=1000,0.3,IF(G3122&gt;=0,0.4,{0}))))))</f>
        <v/>
      </c>
      <c r="P3122" s="425">
        <f>IF(AND(B3122="",C3122=""),"",ROUND(H3122*O3122,2))</f>
        <v/>
      </c>
      <c r="Q3122" s="426" t="inlineStr">
        <is>
          <t>母排</t>
        </is>
      </c>
      <c r="R3122" s="234" t="inlineStr"/>
      <c r="S3122" s="234" t="inlineStr"/>
      <c r="T3122" s="235" t="inlineStr">
        <is>
          <t>0</t>
        </is>
      </c>
      <c r="U3122" s="235" t="inlineStr"/>
      <c r="V3122" s="427" t="n"/>
      <c r="W3122" s="427" t="n"/>
      <c r="X3122" s="237" t="inlineStr">
        <is>
          <t>TMY 2*30*5→TMY 30*8</t>
        </is>
      </c>
    </row>
    <row r="3123" customFormat="1" s="5">
      <c r="A3123" s="64">
        <f>ROW()-ROW(A$3102)</f>
        <v/>
      </c>
      <c r="B3123" s="22" t="inlineStr">
        <is>
          <t>电缆</t>
        </is>
      </c>
      <c r="C3123" s="22" t="inlineStr">
        <is>
          <t>25mm²</t>
        </is>
      </c>
      <c r="D3123" s="22" t="inlineStr">
        <is>
          <t>凯布斯</t>
        </is>
      </c>
      <c r="E3123" s="23" t="inlineStr">
        <is>
          <t>米</t>
        </is>
      </c>
      <c r="F3123" s="23" t="n">
        <v>50</v>
      </c>
      <c r="G3123" s="349">
        <f>IF(AND(B3123="",C3123=""),"",ROUND(M3123*L3123*N3123,2))</f>
        <v/>
      </c>
      <c r="H3123" s="349">
        <f>IF(AND(B3123="",C3123=""),"",ROUND(F3123*G3123,2))</f>
        <v/>
      </c>
      <c r="I3123" s="45" t="inlineStr"/>
      <c r="J3123" s="422">
        <f>IF(AND(B3123="",C3123=""),"",ROUND(M3123*N3123,2))</f>
        <v/>
      </c>
      <c r="K3123" s="423">
        <f>IF(AND(B3123="",C3123=""),"",ROUND(J3123*F3123,2))</f>
        <v/>
      </c>
      <c r="L3123" s="225" t="n">
        <v>1</v>
      </c>
      <c r="M3123" s="424" t="n">
        <v>23.67</v>
      </c>
      <c r="N3123" s="227" t="n">
        <v>1</v>
      </c>
      <c r="O3123" s="228">
        <f>IF(AND(B3123="",C3123=""),"",IF(G3123&gt;=20000,0.05,IF(G3123&gt;=10000,0.1,IF(G3123&gt;=5000,0.2,IF(G3123&gt;=1000,0.3,IF(G3123&gt;=0,0.4,{0}))))))</f>
        <v/>
      </c>
      <c r="P3123" s="425">
        <f>IF(AND(B3123="",C3123=""),"",ROUND(H3123*O3123,2))</f>
        <v/>
      </c>
      <c r="Q3123" s="426" t="inlineStr">
        <is>
          <t>元件</t>
        </is>
      </c>
      <c r="R3123" s="234" t="inlineStr"/>
      <c r="S3123" s="234" t="inlineStr"/>
      <c r="T3123" s="235" t="inlineStr">
        <is>
          <t>0</t>
        </is>
      </c>
      <c r="U3123" s="235" t="inlineStr"/>
      <c r="V3123" s="427" t="n"/>
      <c r="W3123" s="427" t="n"/>
      <c r="X3123" s="237" t="inlineStr">
        <is>
          <t>TMY 2*30*5→TMY 30*8</t>
        </is>
      </c>
    </row>
    <row r="3124" s="308">
      <c r="A3124" s="64">
        <f>ROW()-ROW(A$3102)</f>
        <v/>
      </c>
      <c r="B3124" s="112" t="inlineStr">
        <is>
          <t>辅料</t>
        </is>
      </c>
      <c r="C3124" s="112" t="inlineStr"/>
      <c r="D3124" s="112" t="inlineStr"/>
      <c r="E3124" s="114" t="inlineStr">
        <is>
          <t>套</t>
        </is>
      </c>
      <c r="F3124" s="114" t="n">
        <v>1</v>
      </c>
      <c r="G3124" s="396">
        <f>IF(AND(B3124="",C3124=""),"",ROUND(M3124*L3124*N3124,2))</f>
        <v/>
      </c>
      <c r="H3124" s="396">
        <f>IF(AND(B3124="",C3124=""),"",ROUND(F3124*G3124,2))</f>
        <v/>
      </c>
      <c r="I3124" s="219" t="inlineStr"/>
      <c r="J3124" s="397">
        <f>IF(AND(B3124="",C3124=""),"",ROUND(M3124*N3124,2))</f>
        <v/>
      </c>
      <c r="K3124" s="398">
        <f>IF(AND(B3124="",C3124=""),"",ROUND(J3124*F3124,2))</f>
        <v/>
      </c>
      <c r="L3124" s="200" t="n">
        <v>1</v>
      </c>
      <c r="M3124" s="399" t="n">
        <v>2500</v>
      </c>
      <c r="N3124" s="154" t="n">
        <v>1</v>
      </c>
      <c r="O3124" s="155">
        <f>IF(AND(B3124="",C3124=""),"",IF(G3124&gt;=20000,0.05,IF(G3124&gt;=10000,0.1,IF(G3124&gt;=5000,0.2,IF(G3124&gt;=1000,0.3,IF(G3124&gt;=0,0.4,{0}))))))</f>
        <v/>
      </c>
      <c r="P3124" s="400">
        <f>IF(AND(B3124="",C3124=""),"",ROUND(H3124*O3124,2))</f>
        <v/>
      </c>
      <c r="Q3124" s="401" t="inlineStr">
        <is>
          <t>辅料</t>
        </is>
      </c>
      <c r="R3124" s="168" t="inlineStr"/>
      <c r="S3124" s="168" t="inlineStr"/>
      <c r="T3124" s="168" t="inlineStr">
        <is>
          <t>0</t>
        </is>
      </c>
      <c r="U3124" s="168" t="inlineStr"/>
      <c r="V3124" s="402" t="n"/>
      <c r="W3124" s="402" t="n"/>
      <c r="X3124" s="170" t="inlineStr"/>
    </row>
    <row r="3125" s="308">
      <c r="A3125" s="64">
        <f>ROW()-ROW(A$3102)</f>
        <v/>
      </c>
      <c r="B3125" s="112" t="inlineStr">
        <is>
          <t>柜体Blokset</t>
        </is>
      </c>
      <c r="C3125" s="22" t="inlineStr">
        <is>
          <t>800W*1000D*2200H</t>
        </is>
      </c>
      <c r="D3125" s="112" t="inlineStr">
        <is>
          <t>清科</t>
        </is>
      </c>
      <c r="E3125" s="114" t="inlineStr">
        <is>
          <t>台</t>
        </is>
      </c>
      <c r="F3125" s="114" t="n">
        <v>1</v>
      </c>
      <c r="G3125" s="396">
        <f>IF(AND(B3125="",C3125=""),"",ROUND(M3125*L3125*N3125,2))</f>
        <v/>
      </c>
      <c r="H3125" s="396">
        <f>IF(AND(B3125="",C3125=""),"",ROUND(F3125*G3125,2))</f>
        <v/>
      </c>
      <c r="I3125" s="219" t="inlineStr"/>
      <c r="J3125" s="397">
        <f>IF(AND(B3125="",C3125=""),"",ROUND(M3125*N3125,2))</f>
        <v/>
      </c>
      <c r="K3125" s="398">
        <f>IF(AND(B3125="",C3125=""),"",ROUND(J3125*F3125,2))</f>
        <v/>
      </c>
      <c r="L3125" s="200" t="n">
        <v>1</v>
      </c>
      <c r="M3125" s="399" t="n">
        <v>4310</v>
      </c>
      <c r="N3125" s="154" t="n">
        <v>1</v>
      </c>
      <c r="O3125" s="155">
        <f>IF(AND(B3125="",C3125=""),"",IF(G3125&gt;=20000,0.05,IF(G3125&gt;=10000,0.1,IF(G3125&gt;=5000,0.2,IF(G3125&gt;=1000,0.3,IF(G3125&gt;=0,0.4,{0}))))))</f>
        <v/>
      </c>
      <c r="P3125" s="400">
        <f>IF(AND(B3125="",C3125=""),"",ROUND(H3125*O3125,2))</f>
        <v/>
      </c>
      <c r="Q3125" s="401" t="inlineStr">
        <is>
          <t>箱体</t>
        </is>
      </c>
      <c r="R3125" s="168" t="inlineStr"/>
      <c r="S3125" s="168" t="inlineStr"/>
      <c r="T3125" s="168" t="inlineStr">
        <is>
          <t>0</t>
        </is>
      </c>
      <c r="U3125" s="168" t="inlineStr"/>
      <c r="V3125" s="402" t="n"/>
      <c r="W3125" s="402" t="n"/>
      <c r="X3125" s="170" t="inlineStr">
        <is>
          <t>BlokSeT</t>
        </is>
      </c>
    </row>
    <row r="3126" s="308">
      <c r="A3126" s="64">
        <f>ROW()-ROW(A$3102)</f>
        <v/>
      </c>
      <c r="B3126" s="22" t="inlineStr"/>
      <c r="C3126" s="22" t="inlineStr"/>
      <c r="D3126" s="22" t="inlineStr"/>
      <c r="E3126" s="23" t="n"/>
      <c r="F3126" s="23">
        <f>IF(AND(B3126="",C3126=""),"",1)</f>
        <v/>
      </c>
      <c r="G3126" s="349">
        <f>IF(AND(B3126="",C3126=""),"",ROUND(M3126*L3126*N3126,2))</f>
        <v/>
      </c>
      <c r="H3126" s="349">
        <f>IF(AND(B3126="",C3126=""),"",ROUND(F3126*G3126,2))</f>
        <v/>
      </c>
      <c r="I3126" s="45" t="inlineStr"/>
      <c r="J3126" s="397">
        <f>IF(AND(B3126="",C3126=""),"",ROUND(M3126*N3126,2))</f>
        <v/>
      </c>
      <c r="K3126" s="398">
        <f>IF(AND(B3126="",C3126=""),"",ROUND(J3126*F3126,2))</f>
        <v/>
      </c>
      <c r="L3126" s="200">
        <f>IF(AND(B3126="",C3126=""),"",1)</f>
        <v/>
      </c>
      <c r="M3126" s="399" t="n"/>
      <c r="N3126" s="154">
        <f>IF(AND(B3126="",C3126=""),"",1)</f>
        <v/>
      </c>
      <c r="O3126" s="155">
        <f>IF(AND(B3126="",C3126=""),"",IF(J3126&gt;=20000,0.05,IF(J3126&gt;=10000,0.1,IF(J3126&gt;=5000,0.2,IF(J3126&gt;=1000,0.3,IF(J3126&gt;=0,0.4,{0}))))))</f>
        <v/>
      </c>
      <c r="P3126" s="400">
        <f>IF(AND(B3126="",C3126=""),"",ROUND(H3126*O3126,2))</f>
        <v/>
      </c>
      <c r="Q3126" s="401">
        <f>IF(AND(B3126="",C3126=""),"","元件")</f>
        <v/>
      </c>
      <c r="R3126" s="168" t="inlineStr"/>
      <c r="S3126" s="168" t="inlineStr"/>
      <c r="T3126" s="168" t="inlineStr"/>
      <c r="U3126" s="168" t="inlineStr"/>
      <c r="V3126" s="402" t="n"/>
      <c r="W3126" s="402" t="n"/>
      <c r="X3126" s="170" t="inlineStr"/>
    </row>
    <row r="3127" s="308">
      <c r="A3127" s="64">
        <f>ROW()-ROW(A$3102)</f>
        <v/>
      </c>
      <c r="B3127" s="171" t="inlineStr">
        <is>
          <t>小计</t>
        </is>
      </c>
      <c r="C3127" s="172" t="n"/>
      <c r="D3127" s="204" t="n"/>
      <c r="E3127" s="114" t="n"/>
      <c r="F3127" s="114" t="n"/>
      <c r="G3127" s="396" t="n"/>
      <c r="H3127" s="396">
        <f>ROUND(SUM(H3102:INDEX(H:H,ROW()-1)),2)</f>
        <v/>
      </c>
      <c r="I3127" s="45" t="inlineStr"/>
      <c r="J3127" s="397" t="n"/>
      <c r="K3127" s="398">
        <f>ROUND(SUM(K3102:INDEX(K:K,ROW()-1)),2)</f>
        <v/>
      </c>
      <c r="L3127" s="200" t="n"/>
      <c r="M3127" s="399" t="n"/>
      <c r="N3127" s="154" t="n"/>
      <c r="O3127" s="155" t="n"/>
      <c r="P3127" s="400" t="n"/>
      <c r="Q3127" s="401" t="n"/>
      <c r="R3127" s="168" t="inlineStr"/>
      <c r="S3127" s="168" t="inlineStr"/>
      <c r="T3127" s="168" t="inlineStr"/>
      <c r="U3127" s="168" t="inlineStr"/>
      <c r="V3127" s="402">
        <f>ROUND(SUMPRODUCT(F3102:INDEX(F:F,ROW()-1),V3102:INDEX(V:V,ROW()-1)),2)</f>
        <v/>
      </c>
      <c r="W3127" s="402">
        <f>ROUND(SUMPRODUCT(F3102:INDEX(F:F,ROW()-1),W3102:INDEX(W:W,ROW()-1)),2)</f>
        <v/>
      </c>
      <c r="X3127" s="170" t="inlineStr"/>
    </row>
    <row r="3128" s="308">
      <c r="A3128" s="64">
        <f>ROW()-ROW(A$3102)</f>
        <v/>
      </c>
      <c r="B3128" s="171" t="inlineStr">
        <is>
          <t>综合费(人工、管理、税金、利润等)</t>
        </is>
      </c>
      <c r="C3128" s="172" t="n"/>
      <c r="D3128" s="204" t="n"/>
      <c r="E3128" s="114" t="n"/>
      <c r="F3128" s="114" t="n"/>
      <c r="G3128" s="396" t="n"/>
      <c r="H3128" s="396" t="n">
        <v>1872.26</v>
      </c>
      <c r="I3128" s="45" t="inlineStr"/>
      <c r="J3128" s="397" t="n"/>
      <c r="K3128" s="398" t="n"/>
      <c r="L3128" s="200" t="n"/>
      <c r="M3128" s="399" t="n"/>
      <c r="N3128" s="154" t="n"/>
      <c r="O3128" s="155" t="n"/>
      <c r="P3128" s="400" t="n"/>
      <c r="Q3128" s="401" t="inlineStr">
        <is>
          <t>费用</t>
        </is>
      </c>
      <c r="R3128" s="168" t="inlineStr"/>
      <c r="S3128" s="168" t="inlineStr"/>
      <c r="T3128" s="168" t="inlineStr"/>
      <c r="U3128" s="168" t="inlineStr"/>
      <c r="V3128" s="402" t="n"/>
      <c r="W3128" s="402" t="n"/>
      <c r="X3128" s="170" t="inlineStr"/>
    </row>
    <row r="3129" s="308">
      <c r="A3129" s="64">
        <f>ROW()-ROW(A$3102)</f>
        <v/>
      </c>
      <c r="B3129" s="204" t="inlineStr">
        <is>
          <t>单台合计</t>
        </is>
      </c>
      <c r="C3129" s="172" t="n"/>
      <c r="D3129" s="204" t="n"/>
      <c r="E3129" s="114" t="n"/>
      <c r="F3129" s="114" t="n"/>
      <c r="G3129" s="396" t="n"/>
      <c r="H3129" s="396">
        <f>ROUND(SUM(H3127:H3128),2)</f>
        <v/>
      </c>
      <c r="I3129" s="181" t="n"/>
      <c r="J3129" s="397" t="n"/>
      <c r="K3129" s="398">
        <f>ROUND(SUM(K3127:K3128),2)</f>
        <v/>
      </c>
      <c r="L3129" s="209" t="n"/>
      <c r="M3129" s="399" t="n"/>
      <c r="N3129" s="210" t="n"/>
      <c r="O3129" s="211" t="n"/>
      <c r="P3129" s="400" t="n"/>
      <c r="Q3129" s="401" t="n"/>
      <c r="R3129" s="168" t="inlineStr"/>
      <c r="S3129" s="168" t="inlineStr"/>
      <c r="T3129" s="168" t="inlineStr"/>
      <c r="U3129" s="168" t="inlineStr"/>
      <c r="V3129" s="402" t="n"/>
      <c r="W3129" s="402" t="n"/>
      <c r="X3129" s="170" t="inlineStr"/>
    </row>
    <row r="3130" s="308">
      <c r="A3130" s="173" t="inlineStr">
        <is>
          <t>总计</t>
        </is>
      </c>
      <c r="B3130" s="205" t="n"/>
      <c r="C3130" s="175" t="n"/>
      <c r="D3130" s="206" t="n"/>
      <c r="E3130" s="206" t="inlineStr">
        <is>
          <t>台</t>
        </is>
      </c>
      <c r="F3130" s="206" t="n">
        <v>4</v>
      </c>
      <c r="G3130" s="414">
        <f>ROUND(H3129,2)</f>
        <v/>
      </c>
      <c r="H3130" s="414">
        <f>ROUND(F3130*G3130,2)</f>
        <v/>
      </c>
      <c r="I3130" s="185" t="n"/>
      <c r="J3130" s="415" t="n"/>
      <c r="K3130" s="416">
        <f>ROUND(K3129*F3130,2)</f>
        <v/>
      </c>
      <c r="L3130" s="214" t="n"/>
      <c r="M3130" s="417" t="n"/>
      <c r="N3130" s="216" t="n"/>
      <c r="O3130" s="217" t="n"/>
      <c r="P3130" s="418" t="n"/>
      <c r="Q3130" s="401" t="n"/>
      <c r="R3130" s="168" t="inlineStr"/>
      <c r="S3130" s="168" t="inlineStr"/>
      <c r="T3130" s="168" t="inlineStr"/>
      <c r="U3130" s="168" t="inlineStr"/>
      <c r="V3130" s="402" t="n"/>
      <c r="W3130" s="402" t="n"/>
      <c r="X3130" s="170" t="inlineStr"/>
    </row>
    <row r="3131" customFormat="1" s="4">
      <c r="A3131" s="6" t="n"/>
      <c r="B3131" s="195" t="inlineStr"/>
      <c r="C3131" s="195" t="inlineStr"/>
      <c r="D3131" s="195" t="inlineStr"/>
      <c r="Q3131" s="159" t="n"/>
      <c r="R3131" s="159" t="n"/>
      <c r="S3131" s="159" t="n"/>
      <c r="T3131" s="159" t="n"/>
      <c r="U3131" s="159" t="n"/>
      <c r="X3131" s="195" t="inlineStr"/>
    </row>
    <row r="3132" customFormat="1" s="4">
      <c r="A3132" s="6" t="n"/>
      <c r="B3132" s="195" t="inlineStr"/>
      <c r="C3132" s="195" t="inlineStr"/>
      <c r="D3132" s="195" t="inlineStr"/>
      <c r="Q3132" s="159" t="n"/>
      <c r="R3132" s="159" t="n"/>
      <c r="S3132" s="159" t="n"/>
      <c r="T3132" s="159" t="n"/>
      <c r="U3132" s="159" t="n"/>
      <c r="X3132" s="195" t="inlineStr"/>
    </row>
    <row r="3133" s="308">
      <c r="A3133" s="208">
        <f>CONCATENATE("报价人：",项目信息!$B$8)</f>
        <v/>
      </c>
      <c r="B3133" s="208" t="n"/>
      <c r="C3133" s="4" t="n"/>
      <c r="D3133" s="4" t="n"/>
      <c r="E3133" s="4" t="n"/>
      <c r="F3133" s="4" t="n"/>
      <c r="G3133" s="4" t="n"/>
      <c r="H3133" s="178">
        <f>项目信息!$B$9</f>
        <v/>
      </c>
      <c r="Q3133" s="159" t="n"/>
      <c r="R3133" s="159" t="n"/>
      <c r="S3133" s="159" t="n"/>
      <c r="T3133" s="159" t="n"/>
      <c r="U3133" s="159" t="n"/>
      <c r="X3133" s="203" t="inlineStr"/>
    </row>
  </sheetData>
  <mergeCells count="483">
    <mergeCell ref="A2883:I2883"/>
    <mergeCell ref="A2420:I2420"/>
    <mergeCell ref="C107:D107"/>
    <mergeCell ref="D1463:E1463"/>
    <mergeCell ref="A2357:I2357"/>
    <mergeCell ref="D2457:E2457"/>
    <mergeCell ref="A2786:I2786"/>
    <mergeCell ref="A553:I553"/>
    <mergeCell ref="A1677:I1677"/>
    <mergeCell ref="G358:H358"/>
    <mergeCell ref="A2046:I2046"/>
    <mergeCell ref="D263:E263"/>
    <mergeCell ref="A1741:I1741"/>
    <mergeCell ref="A482:I482"/>
    <mergeCell ref="A1678:I1678"/>
    <mergeCell ref="A1743:I1743"/>
    <mergeCell ref="D2886:E2886"/>
    <mergeCell ref="A1770:I1770"/>
    <mergeCell ref="A3063:I3063"/>
    <mergeCell ref="G1154:H1154"/>
    <mergeCell ref="A1549:I1549"/>
    <mergeCell ref="A3025:I3025"/>
    <mergeCell ref="D2360:E2360"/>
    <mergeCell ref="D2298:E2298"/>
    <mergeCell ref="A869:I869"/>
    <mergeCell ref="A806:I806"/>
    <mergeCell ref="A2685:I2685"/>
    <mergeCell ref="A679:I679"/>
    <mergeCell ref="A2649:I2649"/>
    <mergeCell ref="G582:H582"/>
    <mergeCell ref="G1772:H1772"/>
    <mergeCell ref="A1523:I1523"/>
    <mergeCell ref="G519:H519"/>
    <mergeCell ref="A1952:I1952"/>
    <mergeCell ref="D843:E843"/>
    <mergeCell ref="D2204:E2204"/>
    <mergeCell ref="D1986:E1986"/>
    <mergeCell ref="A3026:I3026"/>
    <mergeCell ref="A1983:I1983"/>
    <mergeCell ref="A1053:I1053"/>
    <mergeCell ref="A261:I261"/>
    <mergeCell ref="A1086:I1086"/>
    <mergeCell ref="A1742:I1742"/>
    <mergeCell ref="D2621:E2621"/>
    <mergeCell ref="A2141:I2141"/>
    <mergeCell ref="A1551:I1551"/>
    <mergeCell ref="A1180:I1180"/>
    <mergeCell ref="D613:E613"/>
    <mergeCell ref="G2457:H2457"/>
    <mergeCell ref="G2755:H2755"/>
    <mergeCell ref="A419:I419"/>
    <mergeCell ref="D1955:E1955"/>
    <mergeCell ref="A1609:I1609"/>
    <mergeCell ref="D1893:E1893"/>
    <mergeCell ref="G2423:H2423"/>
    <mergeCell ref="A2265:I2265"/>
    <mergeCell ref="D208:E208"/>
    <mergeCell ref="A418:I418"/>
    <mergeCell ref="G1524:H1524"/>
    <mergeCell ref="A356:I356"/>
    <mergeCell ref="G2821:H2821"/>
    <mergeCell ref="A1462:I1462"/>
    <mergeCell ref="A451:I451"/>
    <mergeCell ref="A901:I901"/>
    <mergeCell ref="A966:I966"/>
    <mergeCell ref="A680:I680"/>
    <mergeCell ref="A1335:I1335"/>
    <mergeCell ref="A2752:I2752"/>
    <mergeCell ref="A1493:I1493"/>
    <mergeCell ref="A965:I965"/>
    <mergeCell ref="G2142:H2142"/>
    <mergeCell ref="A148:I148"/>
    <mergeCell ref="D2517:E2517"/>
    <mergeCell ref="D236:E236"/>
    <mergeCell ref="G1552:H1552"/>
    <mergeCell ref="A1272:I1272"/>
    <mergeCell ref="A707:I707"/>
    <mergeCell ref="D2083:E2083"/>
    <mergeCell ref="A967:I967"/>
    <mergeCell ref="G1710:H1710"/>
    <mergeCell ref="A1152:I1152"/>
    <mergeCell ref="A2618:I2618"/>
    <mergeCell ref="A2422:I2422"/>
    <mergeCell ref="A1984:I1984"/>
    <mergeCell ref="A108:A109"/>
    <mergeCell ref="A2584:I2584"/>
    <mergeCell ref="A868:I868"/>
    <mergeCell ref="A2620:I2620"/>
    <mergeCell ref="A420:I420"/>
    <mergeCell ref="G3027:H3027"/>
    <mergeCell ref="A2586:I2586"/>
    <mergeCell ref="A2684:I2684"/>
    <mergeCell ref="G2587:H2587"/>
    <mergeCell ref="G1365:H1365"/>
    <mergeCell ref="D1927:E1927"/>
    <mergeCell ref="D2267:E2267"/>
    <mergeCell ref="D2332:E2332"/>
    <mergeCell ref="D1183:E1183"/>
    <mergeCell ref="A2394:I2394"/>
    <mergeCell ref="A840:I840"/>
    <mergeCell ref="D1831:E1831"/>
    <mergeCell ref="A517:I517"/>
    <mergeCell ref="G2918:H2918"/>
    <mergeCell ref="A1051:I1051"/>
    <mergeCell ref="A2297:I2297"/>
    <mergeCell ref="A1209:I1209"/>
    <mergeCell ref="A388:I388"/>
    <mergeCell ref="A1336:I1336"/>
    <mergeCell ref="A581:I581"/>
    <mergeCell ref="A1578:I1578"/>
    <mergeCell ref="G2855:H2855"/>
    <mergeCell ref="A611:I611"/>
    <mergeCell ref="G1431:H1431"/>
    <mergeCell ref="A1273:I1273"/>
    <mergeCell ref="G1496:H1496"/>
    <mergeCell ref="A1052:I1052"/>
    <mergeCell ref="A1117:I1117"/>
    <mergeCell ref="A2820:I2820"/>
    <mergeCell ref="A3062:I3062"/>
    <mergeCell ref="D2020:E2020"/>
    <mergeCell ref="G294:H294"/>
    <mergeCell ref="D2918:E2918"/>
    <mergeCell ref="A1362:I1362"/>
    <mergeCell ref="D421:E421"/>
    <mergeCell ref="G325:H325"/>
    <mergeCell ref="A1364:I1364"/>
    <mergeCell ref="G2176:H2176"/>
    <mergeCell ref="A1428:I1428"/>
    <mergeCell ref="G554:H554"/>
    <mergeCell ref="A2515:I2515"/>
    <mergeCell ref="A2686:I2686"/>
    <mergeCell ref="A2819:I2819"/>
    <mergeCell ref="D2239:E2239"/>
    <mergeCell ref="A678:I678"/>
    <mergeCell ref="A2514:I2514"/>
    <mergeCell ref="A1522:I1522"/>
    <mergeCell ref="D2048:E2048"/>
    <mergeCell ref="D2996:E2996"/>
    <mergeCell ref="A177:I177"/>
    <mergeCell ref="G151:H151"/>
    <mergeCell ref="G1679:H1679"/>
    <mergeCell ref="A2516:I2516"/>
    <mergeCell ref="A1926:I1926"/>
    <mergeCell ref="A179:I179"/>
    <mergeCell ref="D390:E390"/>
    <mergeCell ref="A322:I322"/>
    <mergeCell ref="A389:I389"/>
    <mergeCell ref="A324:I324"/>
    <mergeCell ref="A1644:I1644"/>
    <mergeCell ref="A612:I612"/>
    <mergeCell ref="A3061:I3061"/>
    <mergeCell ref="D871:E871"/>
    <mergeCell ref="A1709:I1709"/>
    <mergeCell ref="A1181:I1181"/>
    <mergeCell ref="A293:I293"/>
    <mergeCell ref="A2718:I2718"/>
    <mergeCell ref="G2687:H2687"/>
    <mergeCell ref="D1398:E1398"/>
    <mergeCell ref="D1865:E1865"/>
    <mergeCell ref="A1708:I1708"/>
    <mergeCell ref="G2395:H2395"/>
    <mergeCell ref="A1118:I1118"/>
    <mergeCell ref="D180:E180"/>
    <mergeCell ref="D2855:E2855"/>
    <mergeCell ref="A1579:I1579"/>
    <mergeCell ref="D2755:E2755"/>
    <mergeCell ref="D1496:E1496"/>
    <mergeCell ref="D1800:E1800"/>
    <mergeCell ref="A551:I551"/>
    <mergeCell ref="A5:G5"/>
    <mergeCell ref="A233:I233"/>
    <mergeCell ref="A1799:I1799"/>
    <mergeCell ref="A2237:I2237"/>
    <mergeCell ref="D2687:E2687"/>
    <mergeCell ref="A1307:I1307"/>
    <mergeCell ref="A1494:I1494"/>
    <mergeCell ref="A235:I235"/>
    <mergeCell ref="A1828:I1828"/>
    <mergeCell ref="A902:I902"/>
    <mergeCell ref="A2295:I2295"/>
    <mergeCell ref="D325:E325"/>
    <mergeCell ref="A483:I483"/>
    <mergeCell ref="G1274:H1274"/>
    <mergeCell ref="A2331:I2331"/>
    <mergeCell ref="G484:H484"/>
    <mergeCell ref="D116:E116"/>
    <mergeCell ref="D1580:E1580"/>
    <mergeCell ref="D681:E681"/>
    <mergeCell ref="A1892:I1892"/>
    <mergeCell ref="D2176:E2176"/>
    <mergeCell ref="G263:H263"/>
    <mergeCell ref="D1088:E1088"/>
    <mergeCell ref="G1211:H1211"/>
    <mergeCell ref="A1830:I1830"/>
    <mergeCell ref="D454:E454"/>
    <mergeCell ref="A2753:I2753"/>
    <mergeCell ref="A2995:I2995"/>
    <mergeCell ref="A770:I770"/>
    <mergeCell ref="D1054:E1054"/>
    <mergeCell ref="A931:I931"/>
    <mergeCell ref="A2484:I2484"/>
    <mergeCell ref="A1151:I1151"/>
    <mergeCell ref="A933:I933"/>
    <mergeCell ref="D772:E772"/>
    <mergeCell ref="A2421:I2421"/>
    <mergeCell ref="A2719:I2719"/>
    <mergeCell ref="A1460:I1460"/>
    <mergeCell ref="A2486:I2486"/>
    <mergeCell ref="G3064:H3064"/>
    <mergeCell ref="D709:E709"/>
    <mergeCell ref="A2485:I2485"/>
    <mergeCell ref="G1611:H1611"/>
    <mergeCell ref="D1243:E1243"/>
    <mergeCell ref="A2550:I2550"/>
    <mergeCell ref="G1831:H1831"/>
    <mergeCell ref="A1363:I1363"/>
    <mergeCell ref="D2652:E2652"/>
    <mergeCell ref="A2045:I2045"/>
    <mergeCell ref="G3101:H3101"/>
    <mergeCell ref="D582:E582"/>
    <mergeCell ref="A646:I646"/>
    <mergeCell ref="D2395:E2395"/>
    <mergeCell ref="A2784:I2784"/>
    <mergeCell ref="D1365:E1365"/>
    <mergeCell ref="G2721:H2721"/>
    <mergeCell ref="A114:I114"/>
    <mergeCell ref="G934:H934"/>
    <mergeCell ref="A1829:I1829"/>
    <mergeCell ref="A841:I841"/>
    <mergeCell ref="A3024:I3024"/>
    <mergeCell ref="A1608:I1608"/>
    <mergeCell ref="A178:I178"/>
    <mergeCell ref="A2955:I2955"/>
    <mergeCell ref="A870:I870"/>
    <mergeCell ref="D1154:E1154"/>
    <mergeCell ref="A1610:I1610"/>
    <mergeCell ref="G2958:H2958"/>
    <mergeCell ref="D1645:E1645"/>
    <mergeCell ref="A2175:I2175"/>
    <mergeCell ref="D997:E997"/>
    <mergeCell ref="D2423:E2423"/>
    <mergeCell ref="G647:H647"/>
    <mergeCell ref="G1054:H1054"/>
    <mergeCell ref="A2018:I2018"/>
    <mergeCell ref="A1023:I1023"/>
    <mergeCell ref="A206:I206"/>
    <mergeCell ref="A262:I262"/>
    <mergeCell ref="A2785:I2785"/>
    <mergeCell ref="A771:I771"/>
    <mergeCell ref="A2551:I2551"/>
    <mergeCell ref="D554:E554"/>
    <mergeCell ref="D519:E519"/>
    <mergeCell ref="A2330:I2330"/>
    <mergeCell ref="G2204:H2204"/>
    <mergeCell ref="A1521:I1521"/>
    <mergeCell ref="G2996:H2996"/>
    <mergeCell ref="A1890:I1890"/>
    <mergeCell ref="G738:H738"/>
    <mergeCell ref="A580:I580"/>
    <mergeCell ref="D647:E647"/>
    <mergeCell ref="D2111:E2111"/>
    <mergeCell ref="A2853:I2853"/>
    <mergeCell ref="G1025:H1025"/>
    <mergeCell ref="A3098:I3098"/>
    <mergeCell ref="A842:I842"/>
    <mergeCell ref="A2264:I2264"/>
    <mergeCell ref="A2202:I2202"/>
    <mergeCell ref="A3100:I3100"/>
    <mergeCell ref="A2956:I2956"/>
    <mergeCell ref="A2201:I2201"/>
    <mergeCell ref="B108:I109"/>
    <mergeCell ref="A2139:I2139"/>
    <mergeCell ref="G1398:H1398"/>
    <mergeCell ref="A1240:I1240"/>
    <mergeCell ref="D1524:E1524"/>
    <mergeCell ref="G808:H808"/>
    <mergeCell ref="A2266:I2266"/>
    <mergeCell ref="A1676:I1676"/>
    <mergeCell ref="D934:E934"/>
    <mergeCell ref="D738:E738"/>
    <mergeCell ref="D2721:E2721"/>
    <mergeCell ref="A2203:I2203"/>
    <mergeCell ref="D2487:E2487"/>
    <mergeCell ref="D3027:E3027"/>
    <mergeCell ref="A481:I481"/>
    <mergeCell ref="D2821:E2821"/>
    <mergeCell ref="D1025:E1025"/>
    <mergeCell ref="G2517:H2517"/>
    <mergeCell ref="D2787:E2787"/>
    <mergeCell ref="D2587:E2587"/>
    <mergeCell ref="D2958:E2958"/>
    <mergeCell ref="G1645:H1645"/>
    <mergeCell ref="A1863:I1863"/>
    <mergeCell ref="A1242:I1242"/>
    <mergeCell ref="A207:I207"/>
    <mergeCell ref="A3099:I3099"/>
    <mergeCell ref="H5:I5"/>
    <mergeCell ref="G454:H454"/>
    <mergeCell ref="A2651:I2651"/>
    <mergeCell ref="G1119:H1119"/>
    <mergeCell ref="A1306:I1306"/>
    <mergeCell ref="G236:H236"/>
    <mergeCell ref="A2884:I2884"/>
    <mergeCell ref="D2142:E2142"/>
    <mergeCell ref="A205:I205"/>
    <mergeCell ref="D1552:E1552"/>
    <mergeCell ref="A1395:I1395"/>
    <mergeCell ref="D1679:E1679"/>
    <mergeCell ref="A2392:I2392"/>
    <mergeCell ref="A805:I805"/>
    <mergeCell ref="A2957:I2957"/>
    <mergeCell ref="A2358:I2358"/>
    <mergeCell ref="D484:E484"/>
    <mergeCell ref="A807:I807"/>
    <mergeCell ref="G1986:H1986"/>
    <mergeCell ref="D1710:E1710"/>
    <mergeCell ref="G1800:H1800"/>
    <mergeCell ref="A4:I4"/>
    <mergeCell ref="A1707:I1707"/>
    <mergeCell ref="A1495:I1495"/>
    <mergeCell ref="A1924:I1924"/>
    <mergeCell ref="G2886:H2886"/>
    <mergeCell ref="A994:I994"/>
    <mergeCell ref="A1771:I1771"/>
    <mergeCell ref="G968:H968"/>
    <mergeCell ref="A736:I736"/>
    <mergeCell ref="A518:I518"/>
    <mergeCell ref="G2621:H2621"/>
    <mergeCell ref="G2360:H2360"/>
    <mergeCell ref="A2080:I2080"/>
    <mergeCell ref="G2298:H2298"/>
    <mergeCell ref="A2140:I2140"/>
    <mergeCell ref="A260:I260"/>
    <mergeCell ref="G1337:H1337"/>
    <mergeCell ref="G613:H613"/>
    <mergeCell ref="A1797:I1797"/>
    <mergeCell ref="A2916:I2916"/>
    <mergeCell ref="A1085:I1085"/>
    <mergeCell ref="A2082:I2082"/>
    <mergeCell ref="A2720:I2720"/>
    <mergeCell ref="A1429:I1429"/>
    <mergeCell ref="A149:I149"/>
    <mergeCell ref="D1308:E1308"/>
    <mergeCell ref="A2585:I2585"/>
    <mergeCell ref="G2487:H2487"/>
    <mergeCell ref="A2329:I2329"/>
    <mergeCell ref="A2456:I2456"/>
    <mergeCell ref="A1397:I1397"/>
    <mergeCell ref="D1337:E1337"/>
    <mergeCell ref="A2108:I2108"/>
    <mergeCell ref="A2885:I2885"/>
    <mergeCell ref="A150:I150"/>
    <mergeCell ref="D1431:E1431"/>
    <mergeCell ref="A2393:I2393"/>
    <mergeCell ref="A1334:I1334"/>
    <mergeCell ref="A579:I579"/>
    <mergeCell ref="G2787:H2787"/>
    <mergeCell ref="A1461:I1461"/>
    <mergeCell ref="A2110:I2110"/>
    <mergeCell ref="A323:I323"/>
    <mergeCell ref="G2553:H2553"/>
    <mergeCell ref="A735:I735"/>
    <mergeCell ref="D294:E294"/>
    <mergeCell ref="A291:I291"/>
    <mergeCell ref="D358:E358"/>
    <mergeCell ref="A355:I355"/>
    <mergeCell ref="G208:H208"/>
    <mergeCell ref="A737:I737"/>
    <mergeCell ref="A292:I292"/>
    <mergeCell ref="D1744:E1744"/>
    <mergeCell ref="G2239:H2239"/>
    <mergeCell ref="A1550:I1550"/>
    <mergeCell ref="A1022:I1022"/>
    <mergeCell ref="A2019:I2019"/>
    <mergeCell ref="A1087:I1087"/>
    <mergeCell ref="A1798:I1798"/>
    <mergeCell ref="A1925:I1925"/>
    <mergeCell ref="A1985:I1985"/>
    <mergeCell ref="A2:I2"/>
    <mergeCell ref="A1024:I1024"/>
    <mergeCell ref="D968:E968"/>
    <mergeCell ref="D151:E151"/>
    <mergeCell ref="A1862:I1862"/>
    <mergeCell ref="A1182:I1182"/>
    <mergeCell ref="G1183:H1183"/>
    <mergeCell ref="G997:H997"/>
    <mergeCell ref="A2109:I2109"/>
    <mergeCell ref="A2047:I2047"/>
    <mergeCell ref="G2083:H2083"/>
    <mergeCell ref="A2174:I2174"/>
    <mergeCell ref="D1772:E1772"/>
    <mergeCell ref="A387:I387"/>
    <mergeCell ref="A452:I452"/>
    <mergeCell ref="A1642:I1642"/>
    <mergeCell ref="A1769:I1769"/>
    <mergeCell ref="A2993:I2993"/>
    <mergeCell ref="G1308:H1308"/>
    <mergeCell ref="A2238:I2238"/>
    <mergeCell ref="D1119:E1119"/>
    <mergeCell ref="A1271:I1271"/>
    <mergeCell ref="A516:I516"/>
    <mergeCell ref="G903:H903"/>
    <mergeCell ref="A1116:I1116"/>
    <mergeCell ref="A610:I610"/>
    <mergeCell ref="A1208:I1208"/>
    <mergeCell ref="A453:I453"/>
    <mergeCell ref="D808:E808"/>
    <mergeCell ref="A1577:I1577"/>
    <mergeCell ref="G1955:H1955"/>
    <mergeCell ref="G1893:H1893"/>
    <mergeCell ref="G2020:H2020"/>
    <mergeCell ref="A2619:I2619"/>
    <mergeCell ref="A2296:I2296"/>
    <mergeCell ref="D2553:E2553"/>
    <mergeCell ref="A234:I234"/>
    <mergeCell ref="G2111:H2111"/>
    <mergeCell ref="A1241:I1241"/>
    <mergeCell ref="A2650:I2650"/>
    <mergeCell ref="A115:I115"/>
    <mergeCell ref="A1305:I1305"/>
    <mergeCell ref="G2267:H2267"/>
    <mergeCell ref="D1274:E1274"/>
    <mergeCell ref="A2454:I2454"/>
    <mergeCell ref="G2332:H2332"/>
    <mergeCell ref="A1864:I1864"/>
    <mergeCell ref="A2994:I2994"/>
    <mergeCell ref="A769:I769"/>
    <mergeCell ref="G843:H843"/>
    <mergeCell ref="A1953:I1953"/>
    <mergeCell ref="D1211:E1211"/>
    <mergeCell ref="A2754:I2754"/>
    <mergeCell ref="G2048:H2048"/>
    <mergeCell ref="A2017:I2017"/>
    <mergeCell ref="A2455:I2455"/>
    <mergeCell ref="A1396:I1396"/>
    <mergeCell ref="A2818:I2818"/>
    <mergeCell ref="A1210:I1210"/>
    <mergeCell ref="D3064:E3064"/>
    <mergeCell ref="A3:I3"/>
    <mergeCell ref="A113:I113"/>
    <mergeCell ref="G871:H871"/>
    <mergeCell ref="G116:H116"/>
    <mergeCell ref="G681:H681"/>
    <mergeCell ref="G1865:H1865"/>
    <mergeCell ref="G1463:H1463"/>
    <mergeCell ref="A995:I995"/>
    <mergeCell ref="A932:I932"/>
    <mergeCell ref="D3101:E3101"/>
    <mergeCell ref="A1643:I1643"/>
    <mergeCell ref="D903:E903"/>
    <mergeCell ref="A900:I900"/>
    <mergeCell ref="A552:I552"/>
    <mergeCell ref="A706:I706"/>
    <mergeCell ref="A644:I644"/>
    <mergeCell ref="G421:H421"/>
    <mergeCell ref="A708:I708"/>
    <mergeCell ref="A1954:I1954"/>
    <mergeCell ref="G2652:H2652"/>
    <mergeCell ref="G390:H390"/>
    <mergeCell ref="G1580:H1580"/>
    <mergeCell ref="A645:I645"/>
    <mergeCell ref="G1927:H1927"/>
    <mergeCell ref="A2236:I2236"/>
    <mergeCell ref="G1088:H1088"/>
    <mergeCell ref="A2173:I2173"/>
    <mergeCell ref="A2359:I2359"/>
    <mergeCell ref="A2552:I2552"/>
    <mergeCell ref="A1153:I1153"/>
    <mergeCell ref="A2915:I2915"/>
    <mergeCell ref="A357:I357"/>
    <mergeCell ref="G180:H180"/>
    <mergeCell ref="A2081:I2081"/>
    <mergeCell ref="A2852:I2852"/>
    <mergeCell ref="A1891:I1891"/>
    <mergeCell ref="A2917:I2917"/>
    <mergeCell ref="G772:H772"/>
    <mergeCell ref="G1744:H1744"/>
    <mergeCell ref="A2854:I2854"/>
    <mergeCell ref="G709:H709"/>
    <mergeCell ref="A996:I996"/>
    <mergeCell ref="G1243:H1243"/>
    <mergeCell ref="A1430:I1430"/>
    <mergeCell ref="D1611:E1611"/>
  </mergeCells>
  <dataValidations count="5">
    <dataValidation sqref="F107" showDropDown="0" showInputMessage="1" showErrorMessage="1" allowBlank="1" prompt="表示有几个这样的分类/段，默认为1。箱变（或多个相同分类/段需翻倍）报价时，请在此处填写箱变台数或倍数。非以上情况，此处勿动。" errorStyle="information"/>
    <dataValidation sqref="M116 M151 M180 M208 M236 M263 M294 M325 M358 M390 M421 M454 M484 M519 M554 M582 M613 M647 M681 M709 M738 M772 M808 M843 M871 M903 M934 M968 M997 M1025 M1054 M1088 M1119 M1154 M1183 M1211 M1243 M1274 M1308 M1337 M1365 M1398 M1431 M1463 M1496 M1524 M1552 M1580 M1611 M1645 M1679 M1710 M1744 M1772 M1800 M1831 M1865 M1893 M1927 M1955 M1986 M2020 M2048 M2083 M2111 M2142 M2176 M2204 M2239 M2267 M2298 M2332 M2360 M2395 M2423 M2457 M2487 M2517 M2553 M2587 M2621 M2652 M2687 M2721 M2755 M2787 M2821 M2855 M2886 M2918 M2958 M2996 M3027 M3064 M3101" showDropDown="0" showInputMessage="1" showErrorMessage="1" allowBlank="1" type="list">
      <formula1>"高压柜,低压固定柜,低压抽屉柜,动力柜,动力配电箱,控制配电箱,照明配电箱,电表箱,其它箱"</formula1>
    </dataValidation>
    <dataValidation sqref="B118 B153 B521 B711 B810 B1027 B1121 B1156 B1465 B1526 B1712 B1833 B1988 B2144 B2300 D182:E183 D184 D210:E211 D212 D238:E239 D240 D556:E557 D558 D845:E846 D847 D1185:E1186 D1187 D1498:E1499 D1500 E118:E126 E153:E156 E189 E217 E244 E273 E304 E336 E369 E401 E432 E463 E497 E521:E529 E563 E592 E625 E659 E691 E711:E714 E751 E786 E810:E818 E852 E882 E913 E946 E978 E1007 E1027:E1030 E1066 E1098 E1121:E1129 E1156:E1159 E1192 E1222 E1253 E1286 E1318 E1347 E1376 E1410 E1442 E1465:E1473 E1505 E1526:E1529 E1562 E1590 E1624 E1658 E1689 E1712:E1718 E1751 E1779 E1810 E1833:E1839 E1872 E1898:E1900 E1906 E1934 E1965 E1988:E1994 E2027 E2054:E2056 E2062 E2090 E2121 E2144:E2150 E2183 E2210:E2212 E2218 E2246 E2277 E2300:E2306 E2339 E2366:E2368 E2374 E2402 E2428:E2430 E2436 E2466 E2496 E2520 E2524:E2526 E2532 E2566 E2592:E2594 E2600 E2632 E2658:E2660 E2666 E2700 E2726:E2728 E2734 E2766 E2792:E2794 E2800 E2834 E2860:E2862 E2865 E2897 E2931:E2933 E2936 E2969:E2971 E2974 E2999 E3002:E3005 E3011 E3031 E3034:E3035 E3043:E3047 E3068 E3071:E3072 E3080:E3084 E3105 E3108:E3109 E3117:E3120" showDropDown="0" showInputMessage="1" showErrorMessage="1" allowBlank="1"/>
    <dataValidation sqref="N7:N111" showDropDown="0" showInputMessage="1" showErrorMessage="1" allowBlank="1" type="list">
      <formula1>"高压柜,低压固定柜,低压抽屉柜,低压固定分隔柜,动力柜,动力配电箱,控制配电箱,照明配电箱,电表箱,其它箱"</formula1>
    </dataValidation>
    <dataValidation sqref="Q118:Q144 Q153:Q173 Q182:Q201 Q210:Q229 Q238:Q256 Q265:Q287 Q296:Q318 Q327:Q351 Q360:Q383 Q392:Q414 Q423:Q447 Q456:Q477 Q486:Q512 Q521:Q547 Q556:Q575 Q584:Q606 Q615:Q640 Q649:Q674 Q683:Q702 Q711:Q731 Q740:Q765 Q774:Q801 Q810:Q836 Q845:Q864 Q873:Q896 Q905:Q927 Q936:Q961 Q970:Q990 Q999:Q1018 Q1027:Q1047 Q1056:Q1081 Q1090:Q1112 Q1121:Q1147 Q1156:Q1176 Q1185:Q1204 Q1213:Q1236 Q1245:Q1267 Q1276:Q1301 Q1310:Q1330 Q1339:Q1358 Q1367:Q1391 Q1400:Q1424 Q1433:Q1456 Q1465:Q1489 Q1498:Q1517 Q1526:Q1545 Q1554:Q1573 Q1582:Q1604 Q1613:Q1638 Q1647:Q1672 Q1681:Q1703 Q1712:Q1737 Q1746:Q1765 Q1774:Q1793 Q1802:Q1824 Q1833:Q1858 Q1867:Q1886 Q1895:Q1920 Q1929:Q1948 Q1957:Q1979 Q1988:Q2013 Q2022:Q2041 Q2050:Q2076 Q2085:Q2104 Q2113:Q2135 Q2144:Q2169 Q2178:Q2197 Q2206:Q2232 Q2241:Q2260 Q2269:Q2291 Q2300:Q2325 Q2334:Q2353 Q2362:Q2388 Q2397:Q2416 Q2425:Q2450 Q2459:Q2480 Q2489:Q2510 Q2519:Q2546 Q2555:Q2580 Q2589:Q2614 Q2623:Q2645 Q2654:Q2680 Q2689:Q2714 Q2723:Q2748 Q2757:Q2780 Q2789:Q2814 Q2823:Q2848 Q2857:Q2879 Q2888:Q2911 Q2920:Q2951 Q2960:Q2989 Q2998:Q3020 Q3029:Q3057 Q3066:Q3094 Q3103:Q3130" showDropDown="0" showInputMessage="1" showErrorMessage="1" allowBlank="1" type="list">
      <formula1>"元件,母排,辅料,箱体,费用"</formula1>
    </dataValidation>
  </dataValidations>
  <hyperlinks>
    <hyperlink ref="A7" location="cabinetTable826ec2021b0042f9b4392e3c3c3576c1" tooltip="点击进入本箱柜明细表" display="=ROW()-ROW(A$6)"/>
    <hyperlink ref="A8" location="cabinetTable2c0baee9fd3940c4b14b33f0e45d1c29" tooltip="点击进入本箱柜明细表" display="=ROW()-ROW(A$6)"/>
    <hyperlink ref="A9" location="cabinetTable2da37c7ea19546d4b9ced62829094096" tooltip="点击进入本箱柜明细表" display="=ROW()-ROW(A$6)"/>
    <hyperlink ref="A10" location="cabinetTable9fd24479ed9743088a9bc44384237485" tooltip="点击进入本箱柜明细表" display="=ROW()-ROW(A$6)"/>
    <hyperlink ref="A11" location="cabinetTable62c06a7d1efb4b4f8bccfda93b9f013e" tooltip="点击进入本箱柜明细表" display="=ROW()-ROW(A$6)"/>
    <hyperlink ref="A12" location="cabinetTable6b20307add1546209e38b72db8c70815" tooltip="点击进入本箱柜明细表" display="=ROW()-ROW(A$6)"/>
    <hyperlink ref="A13" location="cabinetTable342e2148df1b4485915a909e69789dca" tooltip="点击进入本箱柜明细表" display="=ROW()-ROW(A$6)"/>
    <hyperlink ref="A14" location="cabinetTablefde04fbb37fc421ea8d5e84209d8e7d7" tooltip="点击进入本箱柜明细表" display="=ROW()-ROW(A$6)"/>
    <hyperlink ref="A15" location="cabinetTabled3dfc386501f4e87a8cf2e4f3bc59173" tooltip="点击进入本箱柜明细表" display="=ROW()-ROW(A$6)"/>
    <hyperlink ref="A16" location="cabinetTable3e80e97e8e954d0fa964fb8e79490973" tooltip="点击进入本箱柜明细表" display="=ROW()-ROW(A$6)"/>
    <hyperlink ref="A17" location="cabinetTable6c534041e24d4a2d88e415d6e08f22de" tooltip="点击进入本箱柜明细表" display="=ROW()-ROW(A$6)"/>
    <hyperlink ref="A18" location="cabinetTable6a42f7b726e64e109fa6f1638de6edc7" tooltip="点击进入本箱柜明细表" display="=ROW()-ROW(A$6)"/>
    <hyperlink ref="A19" location="cabinetTable4b03b663545d479abcf0720f5693f4c9" tooltip="点击进入本箱柜明细表" display="=ROW()-ROW(A$6)"/>
    <hyperlink ref="A20" location="cabinetTable0b3afaf0863645f3aad8c44ed632111b" tooltip="点击进入本箱柜明细表" display="=ROW()-ROW(A$6)"/>
    <hyperlink ref="A21" location="cabinetTablef8739b50ce084b6aba67ae6528df630a" tooltip="点击进入本箱柜明细表" display="=ROW()-ROW(A$6)"/>
    <hyperlink ref="A22" location="cabinetTable8897d84575344bf89af1ebd341ed5bc0" tooltip="点击进入本箱柜明细表" display="=ROW()-ROW(A$6)"/>
    <hyperlink ref="A23" location="cabinetTable8702ae1e6b5c46ad8892d99fe0cb4eae" tooltip="点击进入本箱柜明细表" display="=ROW()-ROW(A$6)"/>
    <hyperlink ref="A24" location="cabinetTabled7ae4ff1778546bd8d6572e4d20ec06e" tooltip="点击进入本箱柜明细表" display="=ROW()-ROW(A$6)"/>
    <hyperlink ref="A25" location="cabinetTableab117b26d5364ee49a43a40bfdd04854" tooltip="点击进入本箱柜明细表" display="=ROW()-ROW(A$6)"/>
    <hyperlink ref="A26" location="cabinetTable040b47966fb04169831e91c85738a681" tooltip="点击进入本箱柜明细表" display="=ROW()-ROW(A$6)"/>
    <hyperlink ref="A27" location="cabinetTablefb1d5c788fc547bc98f7feb18c2abf29" tooltip="点击进入本箱柜明细表" display="=ROW()-ROW(A$6)"/>
    <hyperlink ref="A28" location="cabinetTable637a291ff4d546ac9e0528acd8b01080" tooltip="点击进入本箱柜明细表" display="=ROW()-ROW(A$6)"/>
    <hyperlink ref="A29" location="cabinetTable57b16b31ed9c4266a37666d22dae88c6" tooltip="点击进入本箱柜明细表" display="=ROW()-ROW(A$6)"/>
    <hyperlink ref="A30" location="cabinetTabled2c813edf6bd4d2e87cf784b470710d7" tooltip="点击进入本箱柜明细表" display="=ROW()-ROW(A$6)"/>
    <hyperlink ref="A31" location="cabinetTable903ddaf83fd646b983aca467e5212342" tooltip="点击进入本箱柜明细表" display="=ROW()-ROW(A$6)"/>
    <hyperlink ref="A32" location="cabinetTable5a631dc81ae746ce9575b4257a9a8397" tooltip="点击进入本箱柜明细表" display="=ROW()-ROW(A$6)"/>
    <hyperlink ref="A33" location="cabinetTablecc545705c1de46aba155b80729578010" tooltip="点击进入本箱柜明细表" display="=ROW()-ROW(A$6)"/>
    <hyperlink ref="A34" location="cabinetTable301ebf4788094bc59ed76e409cd91d16" tooltip="点击进入本箱柜明细表" display="=ROW()-ROW(A$6)"/>
    <hyperlink ref="A35" location="cabinetTable9173f496a14f4e5d80a0a5a4d2477f0e" tooltip="点击进入本箱柜明细表" display="=ROW()-ROW(A$6)"/>
    <hyperlink ref="A36" location="cabinetTablef8faa93bf9a34fca963343ac5464a5b3" tooltip="点击进入本箱柜明细表" display="=ROW()-ROW(A$6)"/>
    <hyperlink ref="A37" location="cabinetTable1b90cdd2e8884a18ba037cb57b8ba30c" tooltip="点击进入本箱柜明细表" display="=ROW()-ROW(A$6)"/>
    <hyperlink ref="A38" location="cabinetTable23b8457c48ed4a3588e6c41c7a5c58b1" tooltip="点击进入本箱柜明细表" display="=ROW()-ROW(A$6)"/>
    <hyperlink ref="A39" location="cabinetTablee506d1df0c784f28996890c1fff5f8e2" tooltip="点击进入本箱柜明细表" display="=ROW()-ROW(A$6)"/>
    <hyperlink ref="A40" location="cabinetTable61d60d19518d4e248f002098c16cd481" tooltip="点击进入本箱柜明细表" display="=ROW()-ROW(A$6)"/>
    <hyperlink ref="A41" location="cabinetTabled8a520249a6c424a829ad7fa969203dc" tooltip="点击进入本箱柜明细表" display="=ROW()-ROW(A$6)"/>
    <hyperlink ref="A42" location="cabinetTable01b40e2573d2489c89b4fa12ebeea418" tooltip="点击进入本箱柜明细表" display="=ROW()-ROW(A$6)"/>
    <hyperlink ref="A43" location="cabinetTabled5b13f792a92407fad4d441559c86e7e" tooltip="点击进入本箱柜明细表" display="=ROW()-ROW(A$6)"/>
    <hyperlink ref="A44" location="cabinetTablea090c0ac3b3744ea8a348c791f8eb0d4" tooltip="点击进入本箱柜明细表" display="=ROW()-ROW(A$6)"/>
    <hyperlink ref="A45" location="cabinetTable9c1724936fdd48328678f3423e91ea91" tooltip="点击进入本箱柜明细表" display="=ROW()-ROW(A$6)"/>
    <hyperlink ref="A46" location="cabinetTable21f2fff862ba42a2a897d8a3ced3c214" tooltip="点击进入本箱柜明细表" display="=ROW()-ROW(A$6)"/>
    <hyperlink ref="A47" location="cabinetTablef143445cb81e497b8e2cb6fa0114ad51" tooltip="点击进入本箱柜明细表" display="=ROW()-ROW(A$6)"/>
    <hyperlink ref="A48" location="cabinetTable0e168a105b344c8c90c459a71739ff02" tooltip="点击进入本箱柜明细表" display="=ROW()-ROW(A$6)"/>
    <hyperlink ref="A49" location="cabinetTable6491088894b44970a76df2d3ae74bbb6" tooltip="点击进入本箱柜明细表" display="=ROW()-ROW(A$6)"/>
    <hyperlink ref="A50" location="cabinetTable99b9c28c006e46f48b158a3825b7a9a2" tooltip="点击进入本箱柜明细表" display="=ROW()-ROW(A$6)"/>
    <hyperlink ref="A51" location="cabinetTable74032fe84bb94a7db2a563b131a7762e" tooltip="点击进入本箱柜明细表" display="=ROW()-ROW(A$6)"/>
    <hyperlink ref="A52" location="cabinetTable48fdb7a10e6a49a0a05d5d923e76b7c4" tooltip="点击进入本箱柜明细表" display="=ROW()-ROW(A$6)"/>
    <hyperlink ref="A53" location="cabinetTable9679701d50a546b495e3940bc1e83652" tooltip="点击进入本箱柜明细表" display="=ROW()-ROW(A$6)"/>
    <hyperlink ref="A54" location="cabinetTable44edd0729b974c78891ac90cdf35939d" tooltip="点击进入本箱柜明细表" display="=ROW()-ROW(A$6)"/>
    <hyperlink ref="A55" location="cabinetTable0dad45b95fbd43579fccdfbe1c901808" tooltip="点击进入本箱柜明细表" display="=ROW()-ROW(A$6)"/>
    <hyperlink ref="A56" location="cabinetTable91671449a2df4ada964769ee758d412b" tooltip="点击进入本箱柜明细表" display="=ROW()-ROW(A$6)"/>
    <hyperlink ref="A57" location="cabinetTable44c55af62375462a8dc3a79f94b91bad" tooltip="点击进入本箱柜明细表" display="=ROW()-ROW(A$6)"/>
    <hyperlink ref="A58" location="cabinetTable9bc49df894b34e46814de5656268098f" tooltip="点击进入本箱柜明细表" display="=ROW()-ROW(A$6)"/>
    <hyperlink ref="A59" location="cabinetTablecb911359a9a449c3a18892653946e0c6" tooltip="点击进入本箱柜明细表" display="=ROW()-ROW(A$6)"/>
    <hyperlink ref="A60" location="cabinetTablea07af10b6d224d128fde6e5bf2d58069" tooltip="点击进入本箱柜明细表" display="=ROW()-ROW(A$6)"/>
    <hyperlink ref="A61" location="cabinetTable8cea3a5c93c8459bb0e54b606a2ad9d3" tooltip="点击进入本箱柜明细表" display="=ROW()-ROW(A$6)"/>
    <hyperlink ref="A62" location="cabinetTablee2e590cc207f41a2bd7597675ba56b18" tooltip="点击进入本箱柜明细表" display="=ROW()-ROW(A$6)"/>
    <hyperlink ref="A63" location="cabinetTable5482250255a9426aa80790b8b9217b9e" tooltip="点击进入本箱柜明细表" display="=ROW()-ROW(A$6)"/>
    <hyperlink ref="A64" location="cabinetTable32b4db4a47854c819fe806d9aa2be05c" tooltip="点击进入本箱柜明细表" display="=ROW()-ROW(A$6)"/>
    <hyperlink ref="A65" location="cabinetTable546a96e8c7fe48389bfd4749cbf7d1b2" tooltip="点击进入本箱柜明细表" display="=ROW()-ROW(A$6)"/>
    <hyperlink ref="A66" location="cabinetTable26f33d0bbfd2476a8f7f0ed366afe4d5" tooltip="点击进入本箱柜明细表" display="=ROW()-ROW(A$6)"/>
    <hyperlink ref="A67" location="cabinetTable706219ac2ad24f2f8d822912f1c33155" tooltip="点击进入本箱柜明细表" display="=ROW()-ROW(A$6)"/>
    <hyperlink ref="A68" location="cabinetTablea7b1c55f7b5843189677acf443b5bdba" tooltip="点击进入本箱柜明细表" display="=ROW()-ROW(A$6)"/>
    <hyperlink ref="A69" location="cabinetTable2860e15a7e954c87a3756bc0932b9835" tooltip="点击进入本箱柜明细表" display="=ROW()-ROW(A$6)"/>
    <hyperlink ref="A70" location="cabinetTable94ba4b176c244853925789b9229c15b6" tooltip="点击进入本箱柜明细表" display="=ROW()-ROW(A$6)"/>
    <hyperlink ref="A71" location="cabinetTable789609bce56a427ba4d038055582405d" tooltip="点击进入本箱柜明细表" display="=ROW()-ROW(A$6)"/>
    <hyperlink ref="A72" location="cabinetTableecd499f3b6124ecdb57623c36ae06fa6" tooltip="点击进入本箱柜明细表" display="=ROW()-ROW(A$6)"/>
    <hyperlink ref="A73" location="cabinetTable7ed2b6cf611c44338eb18c587d717046" tooltip="点击进入本箱柜明细表" display="=ROW()-ROW(A$6)"/>
    <hyperlink ref="A74" location="cabinetTablec9c7d81fd2f240dcad99924ab843c150" tooltip="点击进入本箱柜明细表" display="=ROW()-ROW(A$6)"/>
    <hyperlink ref="A75" location="cabinetTable963b95d7879c4091995b55b292fccc9d" tooltip="点击进入本箱柜明细表" display="=ROW()-ROW(A$6)"/>
    <hyperlink ref="A76" location="cabinetTable31d265d7179f43318a03e4ef541f903a" tooltip="点击进入本箱柜明细表" display="=ROW()-ROW(A$6)"/>
    <hyperlink ref="A77" location="cabinetTable3f90036af53f4d3499611323b4e1be0a" tooltip="点击进入本箱柜明细表" display="=ROW()-ROW(A$6)"/>
    <hyperlink ref="A78" location="cabinetTableeb5a1b95a0524c2f8505e517f7569e0e" tooltip="点击进入本箱柜明细表" display="=ROW()-ROW(A$6)"/>
    <hyperlink ref="A79" location="cabinetTableea7b2ff2ecee4035b41834a760455e06" tooltip="点击进入本箱柜明细表" display="=ROW()-ROW(A$6)"/>
    <hyperlink ref="A80" location="cabinetTable1c80bf5bd2514170aafa6860c200da1b" tooltip="点击进入本箱柜明细表" display="=ROW()-ROW(A$6)"/>
    <hyperlink ref="A81" location="cabinetTable02f954adf12841e7ad69c0b9eb89bc69" tooltip="点击进入本箱柜明细表" display="=ROW()-ROW(A$6)"/>
    <hyperlink ref="A82" location="cabinetTable339803a5f5eb4b4e8146a5b45d7f4673" tooltip="点击进入本箱柜明细表" display="=ROW()-ROW(A$6)"/>
    <hyperlink ref="A83" location="cabinetTablefee38089dc6147f686fba1144fd75c95" tooltip="点击进入本箱柜明细表" display="=ROW()-ROW(A$6)"/>
    <hyperlink ref="A84" location="cabinetTable2333655972404404a72bbb84d1ba51e0" tooltip="点击进入本箱柜明细表" display="=ROW()-ROW(A$6)"/>
    <hyperlink ref="A85" location="cabinetTable5c042accb3d4428994eb9195eb9ce67a" tooltip="点击进入本箱柜明细表" display="=ROW()-ROW(A$6)"/>
    <hyperlink ref="A86" location="cabinetTable1f277970844f411c83304db6d0e5e946" tooltip="点击进入本箱柜明细表" display="=ROW()-ROW(A$6)"/>
    <hyperlink ref="A87" location="cabinetTablecd4f5022891141b58ad7f9f1538b9ba9" tooltip="点击进入本箱柜明细表" display="=ROW()-ROW(A$6)"/>
    <hyperlink ref="A88" location="cabinetTablefcf697f4d22c47968bf6d894ec950086" tooltip="点击进入本箱柜明细表" display="=ROW()-ROW(A$6)"/>
    <hyperlink ref="A89" location="cabinetTable9f89e69267c343e59c64d0aebcabbb0b" tooltip="点击进入本箱柜明细表" display="=ROW()-ROW(A$6)"/>
    <hyperlink ref="A90" location="cabinetTable9cf4bbdc65db41b0925e91687c4f2537" tooltip="点击进入本箱柜明细表" display="=ROW()-ROW(A$6)"/>
    <hyperlink ref="A91" location="cabinetTabledcfab05de5394e7bb4dd71fa753ec299" tooltip="点击进入本箱柜明细表" display="=ROW()-ROW(A$6)"/>
    <hyperlink ref="A92" location="cabinetTabled2e822f7d7934832b23cf2545183bbfd" tooltip="点击进入本箱柜明细表" display="=ROW()-ROW(A$6)"/>
    <hyperlink ref="A93" location="cabinetTableb89c9d3433e54cf59e66c1698bec4f1b" tooltip="点击进入本箱柜明细表" display="=ROW()-ROW(A$6)"/>
    <hyperlink ref="A94" location="cabinetTableec25910da7ed4030b3c4b574008409e6" tooltip="点击进入本箱柜明细表" display="=ROW()-ROW(A$6)"/>
    <hyperlink ref="A95" location="cabinetTable7b474c11e6694e62815337e4181f2406" tooltip="点击进入本箱柜明细表" display="=ROW()-ROW(A$6)"/>
    <hyperlink ref="A96" location="cabinetTable03dadffc995c45aa935c34fa05dd1439" tooltip="点击进入本箱柜明细表" display="=ROW()-ROW(A$6)"/>
    <hyperlink ref="A97" location="cabinetTable4834befc2610459d9951e7aab1d77fc9" tooltip="点击进入本箱柜明细表" display="=ROW()-ROW(A$6)"/>
    <hyperlink ref="A98" location="cabinetTable441bdbfb53e249c384b9a619c1dd9b25" tooltip="点击进入本箱柜明细表" display="=ROW()-ROW(A$6)"/>
    <hyperlink ref="A99" location="cabinetTable9672929469ab4bdf9d753c90cb411151" tooltip="点击进入本箱柜明细表" display="=ROW()-ROW(A$6)"/>
    <hyperlink ref="A100" location="cabinetTable49878b3f27bf456ab9fb39d0dce99d67" tooltip="点击进入本箱柜明细表" display="=ROW()-ROW(A$6)"/>
    <hyperlink ref="A101" location="cabinetTabledad712436fb441d2a989dc5a202f4626" tooltip="点击进入本箱柜明细表" display="=ROW()-ROW(A$6)"/>
  </hyperlink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anonymized</dc:creator>
  <dcterms:created xmlns:dcterms="http://purl.org/dc/terms/" xmlns:xsi="http://www.w3.org/2001/XMLSchema-instance" xsi:type="dcterms:W3CDTF">2016-07-08T03:08:00Z</dcterms:created>
  <dcterms:modified xmlns:dcterms="http://purl.org/dc/terms/" xmlns:xsi="http://www.w3.org/2001/XMLSchema-instance" xsi:type="dcterms:W3CDTF">2026-05-05T00:33:37Z</dcterms:modified>
  <cp:lastModifiedBy>anonymized</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2E9CA3D869F7436388D34B5ECA99D5ED_12</vt:lpwstr>
  </property>
  <property name="KSOProductBuildVer" fmtid="{D5CDD505-2E9C-101B-9397-08002B2CF9AE}" pid="3">
    <vt:lpwstr xmlns:vt="http://schemas.openxmlformats.org/officeDocument/2006/docPropsVTypes">2052-12.1.0.16399</vt:lpwstr>
  </property>
</Properties>
</file>