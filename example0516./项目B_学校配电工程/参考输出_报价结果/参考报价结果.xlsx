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1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标段1" sheetId="2" state="visible" r:id="rId2"/>
  </sheets>
  <definedNames>
    <definedName name="projectData" hidden="1">项目信息!$A$28:$Q$53</definedName>
    <definedName name="projectReserve" hidden="1">项目信息!$A$53:$Q$55</definedName>
    <definedName name="folderTable9d0678018b5746038ba7e7e139a5b545" hidden="1">标段1!$A$1:$Q$41</definedName>
    <definedName name="folderData9d0678018b5746038ba7e7e139a5b545" hidden="1">标段1!$A$6:$Q$32</definedName>
    <definedName name="folderReserve9d0678018b5746038ba7e7e139a5b545" hidden="1">标段1!$A$32:$Q$36</definedName>
    <definedName name="cabinetTable095186ec2df3431e9b2d91d2702253ab" hidden="1">标段1!$A$42:$AC$78</definedName>
    <definedName name="cabinetData095186ec2df3431e9b2d91d2702253ab" hidden="1">标段1!$A$46:$AC$71</definedName>
    <definedName name="cabinetReserve095186ec2df3431e9b2d91d2702253ab" hidden="1">标段1!$A$71:$AC$75</definedName>
    <definedName name="cabinetTable20320a4796e34c0787f5c0c8528d1051" hidden="1">标段1!$A$79:$AC$112</definedName>
    <definedName name="cabinetData20320a4796e34c0787f5c0c8528d1051" hidden="1">标段1!$A$83:$AC$105</definedName>
    <definedName name="cabinetReserve20320a4796e34c0787f5c0c8528d1051" hidden="1">标段1!$A$105:$AC$109</definedName>
    <definedName name="cabinetTable897696f6023141de8a820d673387cbb5" hidden="1">标段1!$A$113:$AC$154</definedName>
    <definedName name="cabinetData897696f6023141de8a820d673387cbb5" hidden="1">标段1!$A$117:$AC$147</definedName>
    <definedName name="cabinetReserve897696f6023141de8a820d673387cbb5" hidden="1">标段1!$A$147:$AC$151</definedName>
    <definedName name="cabinetTable3299bbfc05a14151a3232281e52ef53f" hidden="1">标段1!$A$155:$AC$192</definedName>
    <definedName name="cabinetData3299bbfc05a14151a3232281e52ef53f" hidden="1">标段1!$A$159:$AC$185</definedName>
    <definedName name="cabinetReserve3299bbfc05a14151a3232281e52ef53f" hidden="1">标段1!$A$185:$AC$189</definedName>
    <definedName name="cabinetTable7d725a961bbc470ab34b864ecd23e1bf" hidden="1">标段1!$A$193:$AC$231</definedName>
    <definedName name="cabinetData7d725a961bbc470ab34b864ecd23e1bf" hidden="1">标段1!$A$197:$AC$224</definedName>
    <definedName name="cabinetReserve7d725a961bbc470ab34b864ecd23e1bf" hidden="1">标段1!$A$224:$AC$228</definedName>
    <definedName name="cabinetTable281330eca41645d78f9aa7a65786ce26" hidden="1">标段1!$A$232:$AC$260</definedName>
    <definedName name="cabinetData281330eca41645d78f9aa7a65786ce26" hidden="1">标段1!$A$236:$AC$253</definedName>
    <definedName name="cabinetReserve281330eca41645d78f9aa7a65786ce26" hidden="1">标段1!$A$253:$AC$257</definedName>
    <definedName name="cabinetTable7ddf563392ca463182f479b2e4ab620f" hidden="1">标段1!$A$261:$AC$301</definedName>
    <definedName name="cabinetData7ddf563392ca463182f479b2e4ab620f" hidden="1">标段1!$A$265:$AC$294</definedName>
    <definedName name="cabinetReserve7ddf563392ca463182f479b2e4ab620f" hidden="1">标段1!$A$294:$AC$298</definedName>
    <definedName name="cabinetTable3d0d718838bd474fbe6d30a15a44cbb1" hidden="1">标段1!$A$302:$AC$340</definedName>
    <definedName name="cabinetData3d0d718838bd474fbe6d30a15a44cbb1" hidden="1">标段1!$A$306:$AC$333</definedName>
    <definedName name="cabinetReserve3d0d718838bd474fbe6d30a15a44cbb1" hidden="1">标段1!$A$333:$AC$337</definedName>
    <definedName name="cabinetTable031414d8330e4c2c9505f6d6f14929df" hidden="1">标段1!$A$341:$AC$371</definedName>
    <definedName name="cabinetData031414d8330e4c2c9505f6d6f14929df" hidden="1">标段1!$A$345:$AC$364</definedName>
    <definedName name="cabinetReserve031414d8330e4c2c9505f6d6f14929df" hidden="1">标段1!$A$364:$AC$368</definedName>
    <definedName name="cabinetTable710202f8cfe649b387a143c4204b41e3" hidden="1">标段1!$A$372:$AC$407</definedName>
    <definedName name="cabinetData710202f8cfe649b387a143c4204b41e3" hidden="1">标段1!$A$376:$AC$400</definedName>
    <definedName name="cabinetReserve710202f8cfe649b387a143c4204b41e3" hidden="1">标段1!$A$400:$AC$404</definedName>
    <definedName name="cabinetTable88c251c4394343a2a6d19060bb596baf" hidden="1">标段1!$A$408:$AC$439</definedName>
    <definedName name="cabinetData88c251c4394343a2a6d19060bb596baf" hidden="1">标段1!$A$412:$AC$432</definedName>
    <definedName name="cabinetReserve88c251c4394343a2a6d19060bb596baf" hidden="1">标段1!$A$432:$AC$436</definedName>
    <definedName name="cabinetTabled3b04be429424c3498d071c7fded8e1f" hidden="1">标段1!$A$471:$AC$511</definedName>
    <definedName name="cabinetDatad3b04be429424c3498d071c7fded8e1f" hidden="1">标段1!$A$475:$AC$504</definedName>
    <definedName name="cabinetReserved3b04be429424c3498d071c7fded8e1f" hidden="1">标段1!$A$504:$AC$508</definedName>
    <definedName name="cabinetTable5b3f1d464dd84309be2a0dede773bcf3" hidden="1">标段1!$A$512:$AC$554</definedName>
    <definedName name="cabinetData5b3f1d464dd84309be2a0dede773bcf3" hidden="1">标段1!$A$516:$AC$547</definedName>
    <definedName name="cabinetReserve5b3f1d464dd84309be2a0dede773bcf3" hidden="1">标段1!$A$547:$AC$551</definedName>
    <definedName name="cabinetTable28a5f7fec4b74bd99996ca16016bae80" hidden="1">标段1!$A$555:$AC$595</definedName>
    <definedName name="cabinetData28a5f7fec4b74bd99996ca16016bae80" hidden="1">标段1!$A$559:$AC$588</definedName>
    <definedName name="cabinetReserve28a5f7fec4b74bd99996ca16016bae80" hidden="1">标段1!$A$588:$AC$592</definedName>
    <definedName name="cabinetTable8a9be74a02f64c32aeb2e53960c988eb" hidden="1">标段1!$A$596:$AC$636</definedName>
    <definedName name="cabinetData8a9be74a02f64c32aeb2e53960c988eb" hidden="1">标段1!$A$600:$AC$629</definedName>
    <definedName name="cabinetReserve8a9be74a02f64c32aeb2e53960c988eb" hidden="1">标段1!$A$629:$AC$633</definedName>
    <definedName name="cabinetTable063ff5bf95a5412ba2c565028842ea01" hidden="1">标段1!$A$637:$AC$680</definedName>
    <definedName name="cabinetData063ff5bf95a5412ba2c565028842ea01" hidden="1">标段1!$A$641:$AC$673</definedName>
    <definedName name="cabinetReserve063ff5bf95a5412ba2c565028842ea01" hidden="1">标段1!$A$673:$AC$677</definedName>
    <definedName name="cabinetTable4c01859442e240c4bf5b3685709c1504" hidden="1">标段1!$A$681:$AC$724</definedName>
    <definedName name="cabinetData4c01859442e240c4bf5b3685709c1504" hidden="1">标段1!$A$685:$AC$717</definedName>
    <definedName name="cabinetReserve4c01859442e240c4bf5b3685709c1504" hidden="1">标段1!$A$717:$AC$721</definedName>
    <definedName name="cabinetTablec366a6674c8b4dd992e3a943d873b36f" hidden="1">标段1!$A$725:$AC$761</definedName>
    <definedName name="cabinetDatac366a6674c8b4dd992e3a943d873b36f" hidden="1">标段1!$A$729:$AC$754</definedName>
    <definedName name="cabinetReservec366a6674c8b4dd992e3a943d873b36f" hidden="1">标段1!$A$754:$AC$758</definedName>
    <definedName name="cabinetTablec6e66f7839fa4590bfc7541cf990e073" hidden="1">标段1!$A$762:$AC$795</definedName>
    <definedName name="cabinetDatac6e66f7839fa4590bfc7541cf990e073" hidden="1">标段1!$A$766:$AC$788</definedName>
    <definedName name="cabinetReservec6e66f7839fa4590bfc7541cf990e073" hidden="1">标段1!$A$788:$AC$792</definedName>
    <definedName name="cabinetTable9d42f766f1114377a7f3b06c4f5b51da" hidden="1">标段1!$A$796:$AC$827</definedName>
    <definedName name="cabinetData9d42f766f1114377a7f3b06c4f5b51da" hidden="1">标段1!$A$800:$AC$820</definedName>
    <definedName name="cabinetReserve9d42f766f1114377a7f3b06c4f5b51da" hidden="1">标段1!$A$820:$AC$824</definedName>
    <definedName name="cabinetTablec284c852ebd14700a779ae23d65662f1" hidden="1">标段1!$A$828:$AC$871</definedName>
    <definedName name="cabinetDatac284c852ebd14700a779ae23d65662f1" hidden="1">标段1!$A$832:$AC$864</definedName>
    <definedName name="cabinetReservec284c852ebd14700a779ae23d65662f1" hidden="1">标段1!$A$864:$AC$868</definedName>
    <definedName name="cabinetTable2912d598199a4bc58e94c820c44bd6e8" hidden="1">标段1!$A$872:$AC$917</definedName>
    <definedName name="cabinetData2912d598199a4bc58e94c820c44bd6e8" hidden="1">标段1!$A$876:$AC$910</definedName>
    <definedName name="cabinetReserve2912d598199a4bc58e94c820c44bd6e8" hidden="1">标段1!$A$910:$AC$914</definedName>
    <definedName name="cabinetTable843c1f8a38f6479d8115acb558503436" hidden="1">标段1!$A$918:$AC$957</definedName>
    <definedName name="cabinetData843c1f8a38f6479d8115acb558503436" hidden="1">标段1!$A$922:$AC$950</definedName>
    <definedName name="cabinetReserve843c1f8a38f6479d8115acb558503436" hidden="1">标段1!$A$950:$AC$954</definedName>
    <definedName name="cabinetTableadecf89a8782471f9c4b27648384d65e" hidden="1">标段1!$A$440:$AC$470</definedName>
    <definedName name="cabinetDataadecf89a8782471f9c4b27648384d65e" hidden="1">标段1!$A$444:$AC$463</definedName>
    <definedName name="cabinetReserveadecf89a8782471f9c4b27648384d65e" hidden="1">标段1!$A$463:$AC$467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 ;[Red]\-0.00\ "/>
    <numFmt numFmtId="165" formatCode="0.00_);"/>
    <numFmt numFmtId="166" formatCode="0.00_);[Red]\-0.00_)"/>
    <numFmt numFmtId="167" formatCode="0_);[Red]\(0\)"/>
    <numFmt numFmtId="168" formatCode="\¥#,##0;\¥\-#,##0"/>
    <numFmt numFmtId="169" formatCode="0_ ;[Red]\-0\ "/>
    <numFmt numFmtId="170" formatCode="&quot;备注:&quot;@"/>
    <numFmt numFmtId="171" formatCode="&quot;图号:&quot;@"/>
    <numFmt numFmtId="172" formatCode="0.00_);[Red]\(0.00\)"/>
  </numFmts>
  <fonts count="37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6"/>
      <scheme val="minor"/>
    </font>
    <font>
      <name val="Arial"/>
      <charset val="134"/>
      <b val="1"/>
      <color indexed="8"/>
      <sz val="12"/>
    </font>
    <font>
      <name val="宋体"/>
      <charset val="134"/>
      <color indexed="8"/>
      <sz val="12"/>
      <scheme val="minor"/>
    </font>
    <font>
      <name val="宋体"/>
      <charset val="134"/>
      <sz val="12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sz val="9"/>
      <scheme val="minor"/>
    </font>
    <font>
      <name val="宋体"/>
      <charset val="134"/>
      <b val="1"/>
      <sz val="9"/>
      <scheme val="minor"/>
    </font>
    <font>
      <name val="宋体"/>
      <charset val="134"/>
      <b val="1"/>
      <sz val="11"/>
      <scheme val="minor"/>
    </font>
    <font>
      <name val="宋体"/>
      <charset val="134"/>
      <color indexed="8"/>
      <sz val="14"/>
      <scheme val="minor"/>
    </font>
    <font>
      <name val="Arial"/>
      <charset val="134"/>
      <b val="1"/>
      <sz val="12"/>
    </font>
    <font>
      <name val="宋体"/>
      <charset val="134"/>
      <b val="1"/>
      <color theme="0" tint="-0.149998474074526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indexed="8"/>
      <sz val="9"/>
      <scheme val="minor"/>
    </font>
    <font>
      <name val="宋体"/>
      <charset val="134"/>
      <color indexed="8"/>
      <sz val="11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EAEE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8" fillId="0" borderId="0" applyAlignment="1">
      <alignment vertical="center"/>
    </xf>
    <xf numFmtId="0" fontId="0" fillId="21" borderId="34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35" applyAlignment="1">
      <alignment vertical="center"/>
    </xf>
    <xf numFmtId="0" fontId="24" fillId="0" borderId="35" applyAlignment="1">
      <alignment vertical="center"/>
    </xf>
    <xf numFmtId="0" fontId="25" fillId="0" borderId="36" applyAlignment="1">
      <alignment vertical="center"/>
    </xf>
    <xf numFmtId="0" fontId="25" fillId="0" borderId="0" applyAlignment="1">
      <alignment vertical="center"/>
    </xf>
    <xf numFmtId="0" fontId="26" fillId="22" borderId="37" applyAlignment="1">
      <alignment vertical="center"/>
    </xf>
    <xf numFmtId="0" fontId="27" fillId="23" borderId="38" applyAlignment="1">
      <alignment vertical="center"/>
    </xf>
    <xf numFmtId="0" fontId="28" fillId="23" borderId="37" applyAlignment="1">
      <alignment vertical="center"/>
    </xf>
    <xf numFmtId="0" fontId="29" fillId="24" borderId="39" applyAlignment="1">
      <alignment vertical="center"/>
    </xf>
    <xf numFmtId="0" fontId="30" fillId="0" borderId="40" applyAlignment="1">
      <alignment vertical="center"/>
    </xf>
    <xf numFmtId="0" fontId="31" fillId="0" borderId="41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5" fillId="28" borderId="0" applyAlignment="1">
      <alignment vertical="center"/>
    </xf>
    <xf numFmtId="0" fontId="36" fillId="29" borderId="0" applyAlignment="1">
      <alignment vertical="center"/>
    </xf>
    <xf numFmtId="0" fontId="36" fillId="30" borderId="0" applyAlignment="1">
      <alignment vertical="center"/>
    </xf>
    <xf numFmtId="0" fontId="35" fillId="31" borderId="0" applyAlignment="1">
      <alignment vertical="center"/>
    </xf>
    <xf numFmtId="0" fontId="35" fillId="8" borderId="0" applyAlignment="1">
      <alignment vertical="center"/>
    </xf>
    <xf numFmtId="0" fontId="36" fillId="7" borderId="0" applyAlignment="1">
      <alignment vertical="center"/>
    </xf>
    <xf numFmtId="0" fontId="36" fillId="32" borderId="0" applyAlignment="1">
      <alignment vertical="center"/>
    </xf>
    <xf numFmtId="0" fontId="35" fillId="33" borderId="0" applyAlignment="1">
      <alignment vertical="center"/>
    </xf>
    <xf numFmtId="0" fontId="35" fillId="10" borderId="0" applyAlignment="1">
      <alignment vertical="center"/>
    </xf>
    <xf numFmtId="0" fontId="36" fillId="6" borderId="0" applyAlignment="1">
      <alignment vertical="center"/>
    </xf>
    <xf numFmtId="0" fontId="36" fillId="34" borderId="0" applyAlignment="1">
      <alignment vertical="center"/>
    </xf>
    <xf numFmtId="0" fontId="35" fillId="35" borderId="0" applyAlignment="1">
      <alignment vertical="center"/>
    </xf>
    <xf numFmtId="0" fontId="35" fillId="36" borderId="0" applyAlignment="1">
      <alignment vertical="center"/>
    </xf>
    <xf numFmtId="0" fontId="36" fillId="5" borderId="0" applyAlignment="1">
      <alignment vertical="center"/>
    </xf>
    <xf numFmtId="0" fontId="36" fillId="37" borderId="0" applyAlignment="1">
      <alignment vertical="center"/>
    </xf>
    <xf numFmtId="0" fontId="35" fillId="38" borderId="0" applyAlignment="1">
      <alignment vertical="center"/>
    </xf>
    <xf numFmtId="0" fontId="35" fillId="39" borderId="0" applyAlignment="1">
      <alignment vertical="center"/>
    </xf>
    <xf numFmtId="0" fontId="36" fillId="14" borderId="0" applyAlignment="1">
      <alignment vertical="center"/>
    </xf>
    <xf numFmtId="0" fontId="36" fillId="40" borderId="0" applyAlignment="1">
      <alignment vertical="center"/>
    </xf>
    <xf numFmtId="0" fontId="35" fillId="41" borderId="0" applyAlignment="1">
      <alignment vertical="center"/>
    </xf>
    <xf numFmtId="0" fontId="35" fillId="42" borderId="0" applyAlignment="1">
      <alignment vertical="center"/>
    </xf>
    <xf numFmtId="0" fontId="36" fillId="13" borderId="0" applyAlignment="1">
      <alignment vertical="center"/>
    </xf>
    <xf numFmtId="0" fontId="36" fillId="43" borderId="0" applyAlignment="1">
      <alignment vertical="center"/>
    </xf>
    <xf numFmtId="0" fontId="35" fillId="44" borderId="0" applyAlignment="1">
      <alignment vertical="center"/>
    </xf>
  </cellStyleXfs>
  <cellXfs count="34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applyProtection="1" pivotButton="0" quotePrefix="0" xfId="0">
      <alignment horizontal="right"/>
      <protection locked="0" hidden="0"/>
    </xf>
    <xf numFmtId="0" fontId="4" fillId="0" borderId="1" applyAlignment="1" pivotButton="0" quotePrefix="0" xfId="0">
      <alignment horizontal="right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1" fontId="7" fillId="2" borderId="5" applyAlignment="1" pivotButton="0" quotePrefix="0" xfId="0">
      <alignment horizontal="center" vertical="center"/>
    </xf>
    <xf numFmtId="49" fontId="7" fillId="2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 wrapText="1"/>
    </xf>
    <xf numFmtId="164" fontId="7" fillId="2" borderId="5" applyAlignment="1" pivotButton="0" quotePrefix="0" xfId="0">
      <alignment horizontal="center" vertical="center"/>
    </xf>
    <xf numFmtId="164" fontId="7" fillId="2" borderId="5" applyAlignment="1" pivotButton="0" quotePrefix="0" xfId="0">
      <alignment horizontal="center" vertical="center" wrapText="1"/>
    </xf>
    <xf numFmtId="1" fontId="8" fillId="0" borderId="6" applyAlignment="1" pivotButton="0" quotePrefix="0" xfId="6">
      <alignment horizontal="center" vertical="center"/>
    </xf>
    <xf numFmtId="49" fontId="9" fillId="0" borderId="7" applyAlignment="1" pivotButton="0" quotePrefix="0" xfId="0">
      <alignment horizontal="left" vertical="center"/>
    </xf>
    <xf numFmtId="49" fontId="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right" vertical="center"/>
    </xf>
    <xf numFmtId="166" fontId="9" fillId="0" borderId="7" applyAlignment="1" pivotButton="0" quotePrefix="0" xfId="0">
      <alignment horizontal="right" vertical="center"/>
    </xf>
    <xf numFmtId="1" fontId="8" fillId="0" borderId="8" applyAlignment="1" pivotButton="0" quotePrefix="0" xfId="6">
      <alignment horizontal="center" vertical="center"/>
    </xf>
    <xf numFmtId="49" fontId="9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165" fontId="9" fillId="0" borderId="9" applyAlignment="1" pivotButton="0" quotePrefix="0" xfId="0">
      <alignment horizontal="right" vertical="center"/>
    </xf>
    <xf numFmtId="166" fontId="9" fillId="0" borderId="9" applyAlignment="1" pivotButton="0" quotePrefix="0" xfId="0">
      <alignment horizontal="right" vertical="center"/>
    </xf>
    <xf numFmtId="49" fontId="0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9" fillId="0" borderId="9" applyAlignment="1" applyProtection="1" pivotButton="0" quotePrefix="0" xfId="0">
      <alignment horizontal="center" vertical="center"/>
      <protection locked="0" hidden="0"/>
    </xf>
    <xf numFmtId="1" fontId="10" fillId="0" borderId="8" applyAlignment="1" pivotButton="0" quotePrefix="0" xfId="6">
      <alignment horizontal="center" vertical="center"/>
    </xf>
    <xf numFmtId="165" fontId="0" fillId="0" borderId="9" applyAlignment="1" pivotButton="0" quotePrefix="0" xfId="0">
      <alignment horizontal="right" vertical="center"/>
    </xf>
    <xf numFmtId="166" fontId="0" fillId="0" borderId="9" applyAlignment="1" pivotButton="0" quotePrefix="0" xfId="0">
      <alignment horizontal="right" vertical="center"/>
    </xf>
    <xf numFmtId="0" fontId="0" fillId="0" borderId="9" applyAlignment="1" applyProtection="1" pivotButton="0" quotePrefix="0" xfId="0">
      <alignment horizontal="center" vertical="center"/>
      <protection locked="0" hidden="0"/>
    </xf>
    <xf numFmtId="1" fontId="9" fillId="0" borderId="8" applyAlignment="1" pivotButton="0" quotePrefix="0" xfId="0">
      <alignment horizontal="center" vertical="center"/>
    </xf>
    <xf numFmtId="49" fontId="0" fillId="0" borderId="9" applyAlignment="1" pivotButton="0" quotePrefix="0" xfId="0">
      <alignment horizontal="left"/>
    </xf>
    <xf numFmtId="49" fontId="9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165" fontId="9" fillId="0" borderId="9" applyAlignment="1" pivotButton="0" quotePrefix="0" xfId="0">
      <alignment horizontal="right"/>
    </xf>
    <xf numFmtId="166" fontId="0" fillId="0" borderId="9" applyAlignment="1" pivotButton="0" quotePrefix="0" xfId="0">
      <alignment horizontal="right"/>
    </xf>
    <xf numFmtId="1" fontId="0" fillId="0" borderId="9" applyAlignment="1" pivotButton="0" quotePrefix="0" xfId="0">
      <alignment horizontal="left"/>
    </xf>
    <xf numFmtId="1" fontId="9" fillId="0" borderId="9" applyAlignment="1" pivotButton="0" quotePrefix="0" xfId="0">
      <alignment horizontal="left"/>
    </xf>
    <xf numFmtId="165" fontId="0" fillId="0" borderId="9" applyAlignment="1" pivotButton="0" quotePrefix="0" xfId="0">
      <alignment horizontal="right"/>
    </xf>
    <xf numFmtId="0" fontId="11" fillId="0" borderId="9" applyAlignment="1" pivotButton="0" quotePrefix="0" xfId="0">
      <alignment horizontal="left" shrinkToFit="1"/>
    </xf>
    <xf numFmtId="0" fontId="12" fillId="0" borderId="10" applyAlignment="1" pivotButton="0" quotePrefix="0" xfId="0">
      <alignment shrinkToFit="1"/>
    </xf>
    <xf numFmtId="0" fontId="12" fillId="0" borderId="11" applyAlignment="1" pivotButton="0" quotePrefix="0" xfId="0">
      <alignment shrinkToFit="1"/>
    </xf>
    <xf numFmtId="0" fontId="13" fillId="0" borderId="9" applyAlignment="1" pivotButton="0" quotePrefix="0" xfId="0">
      <alignment horizontal="center"/>
    </xf>
    <xf numFmtId="0" fontId="9" fillId="0" borderId="9" applyAlignment="1" pivotButton="0" quotePrefix="0" xfId="0">
      <alignment horizontal="center" shrinkToFit="1"/>
    </xf>
    <xf numFmtId="165" fontId="13" fillId="0" borderId="9" applyAlignment="1" pivotButton="0" quotePrefix="0" xfId="0">
      <alignment horizontal="right" shrinkToFit="1"/>
    </xf>
    <xf numFmtId="166" fontId="13" fillId="0" borderId="9" applyAlignment="1" pivotButton="0" quotePrefix="0" xfId="0">
      <alignment horizontal="right" shrinkToFit="1"/>
    </xf>
    <xf numFmtId="1" fontId="9" fillId="0" borderId="8" applyAlignment="1" pivotButton="0" quotePrefix="0" xfId="0">
      <alignment horizontal="center" vertical="center" textRotation="255"/>
    </xf>
    <xf numFmtId="0" fontId="13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165" fontId="0" fillId="0" borderId="9" applyAlignment="1" pivotButton="0" quotePrefix="0" xfId="0">
      <alignment horizontal="left" vertical="center"/>
    </xf>
    <xf numFmtId="166" fontId="0" fillId="0" borderId="9" applyAlignment="1" pivotButton="0" quotePrefix="0" xfId="0">
      <alignment horizontal="left" vertical="center"/>
    </xf>
    <xf numFmtId="1" fontId="9" fillId="0" borderId="12" applyAlignment="1" pivotButton="0" quotePrefix="0" xfId="0">
      <alignment horizontal="center" vertical="center" textRotation="255"/>
    </xf>
    <xf numFmtId="0" fontId="0" fillId="0" borderId="13" applyAlignment="1" pivotButton="0" quotePrefix="0" xfId="0">
      <alignment horizontal="left" vertical="center"/>
    </xf>
    <xf numFmtId="165" fontId="0" fillId="0" borderId="13" applyAlignment="1" pivotButton="0" quotePrefix="0" xfId="0">
      <alignment horizontal="left" vertical="center"/>
    </xf>
    <xf numFmtId="166" fontId="0" fillId="0" borderId="13" applyAlignment="1" pivotButton="0" quotePrefix="0" xfId="0">
      <alignment horizontal="left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1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9" fillId="0" borderId="0" applyAlignment="1" pivotButton="0" quotePrefix="0" xfId="0">
      <alignment horizontal="right" shrinkToFit="1"/>
    </xf>
    <xf numFmtId="0" fontId="14" fillId="0" borderId="0" applyAlignment="1" applyProtection="1" pivotButton="0" quotePrefix="0" xfId="0">
      <alignment horizontal="center" vertical="center"/>
      <protection locked="0" hidden="0"/>
    </xf>
    <xf numFmtId="1" fontId="5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0" fontId="7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1" fontId="9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164" fontId="7" fillId="3" borderId="5" applyAlignment="1" pivotButton="0" quotePrefix="0" xfId="0">
      <alignment horizontal="center" vertical="center" wrapText="1"/>
    </xf>
    <xf numFmtId="164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49" fontId="7" fillId="3" borderId="5" applyAlignment="1" pivotButton="0" quotePrefix="0" xfId="0">
      <alignment horizontal="center" vertical="center" wrapText="1"/>
    </xf>
    <xf numFmtId="49" fontId="16" fillId="4" borderId="5" applyAlignment="1" pivotButton="0" quotePrefix="0" xfId="0">
      <alignment horizontal="center" vertical="center" wrapText="1"/>
    </xf>
    <xf numFmtId="49" fontId="9" fillId="0" borderId="14" applyAlignment="1" pivotButton="0" quotePrefix="0" xfId="0">
      <alignment horizontal="left" vertical="center"/>
    </xf>
    <xf numFmtId="166" fontId="0" fillId="5" borderId="6" applyAlignment="1" pivotButton="0" quotePrefix="0" xfId="0">
      <alignment horizontal="right" vertical="center"/>
    </xf>
    <xf numFmtId="166" fontId="0" fillId="6" borderId="7" applyAlignment="1" pivotButton="0" quotePrefix="0" xfId="0">
      <alignment horizontal="right" vertical="center"/>
    </xf>
    <xf numFmtId="10" fontId="0" fillId="7" borderId="7" applyAlignment="1" pivotButton="0" quotePrefix="0" xfId="0">
      <alignment horizontal="right" vertical="center"/>
    </xf>
    <xf numFmtId="49" fontId="0" fillId="6" borderId="15" applyAlignment="1" pivotButton="0" quotePrefix="0" xfId="0">
      <alignment horizontal="left" vertical="center"/>
    </xf>
    <xf numFmtId="49" fontId="0" fillId="6" borderId="16" applyAlignment="1" pivotButton="0" quotePrefix="0" xfId="0">
      <alignment horizontal="left" vertical="center"/>
    </xf>
    <xf numFmtId="0" fontId="0" fillId="4" borderId="16" applyAlignment="1" pivotButton="0" quotePrefix="0" xfId="0">
      <alignment vertical="center"/>
    </xf>
    <xf numFmtId="0" fontId="0" fillId="4" borderId="17" applyAlignment="1" pivotButton="0" quotePrefix="0" xfId="0">
      <alignment vertical="center"/>
    </xf>
    <xf numFmtId="49" fontId="9" fillId="0" borderId="18" applyAlignment="1" pivotButton="0" quotePrefix="0" xfId="0">
      <alignment horizontal="left" vertical="center"/>
    </xf>
    <xf numFmtId="166" fontId="0" fillId="5" borderId="8" applyAlignment="1" pivotButton="0" quotePrefix="0" xfId="0">
      <alignment horizontal="right" vertical="center"/>
    </xf>
    <xf numFmtId="166" fontId="0" fillId="6" borderId="9" applyAlignment="1" pivotButton="0" quotePrefix="0" xfId="0">
      <alignment horizontal="right" vertical="center"/>
    </xf>
    <xf numFmtId="10" fontId="0" fillId="7" borderId="9" applyAlignment="1" pivotButton="0" quotePrefix="0" xfId="0">
      <alignment horizontal="right" vertical="center"/>
    </xf>
    <xf numFmtId="49" fontId="0" fillId="6" borderId="10" applyAlignment="1" pivotButton="0" quotePrefix="0" xfId="0">
      <alignment horizontal="left" vertical="center"/>
    </xf>
    <xf numFmtId="49" fontId="0" fillId="6" borderId="9" applyAlignment="1" pivotButton="0" quotePrefix="0" xfId="0">
      <alignment horizontal="left" vertical="center"/>
    </xf>
    <xf numFmtId="0" fontId="0" fillId="4" borderId="9" applyAlignment="1" pivotButton="0" quotePrefix="0" xfId="0">
      <alignment vertical="center"/>
    </xf>
    <xf numFmtId="0" fontId="0" fillId="4" borderId="11" applyAlignment="1" pivotButton="0" quotePrefix="0" xfId="0">
      <alignment vertical="center"/>
    </xf>
    <xf numFmtId="10" fontId="0" fillId="7" borderId="10" applyAlignment="1" pivotButton="0" quotePrefix="0" xfId="0">
      <alignment horizontal="right" vertical="center"/>
    </xf>
    <xf numFmtId="49" fontId="9" fillId="0" borderId="18" applyAlignment="1" pivotButton="0" quotePrefix="0" xfId="0">
      <alignment horizontal="left"/>
    </xf>
    <xf numFmtId="0" fontId="9" fillId="0" borderId="18" applyAlignment="1" pivotButton="0" quotePrefix="0" xfId="0">
      <alignment horizontal="left"/>
    </xf>
    <xf numFmtId="167" fontId="0" fillId="6" borderId="10" applyAlignment="1" pivotButton="0" quotePrefix="0" xfId="0">
      <alignment horizontal="left" vertical="center"/>
    </xf>
    <xf numFmtId="167" fontId="0" fillId="6" borderId="9" applyAlignment="1" pivotButton="0" quotePrefix="0" xfId="0">
      <alignment horizontal="left" vertical="center"/>
    </xf>
    <xf numFmtId="168" fontId="9" fillId="0" borderId="18" applyAlignment="1" pivotButton="0" quotePrefix="0" xfId="0">
      <alignment horizontal="left"/>
    </xf>
    <xf numFmtId="168" fontId="9" fillId="0" borderId="18" applyAlignment="1" pivotButton="0" quotePrefix="0" xfId="0">
      <alignment horizontal="left" shrinkToFit="1"/>
    </xf>
    <xf numFmtId="166" fontId="0" fillId="5" borderId="12" applyAlignment="1" pivotButton="0" quotePrefix="0" xfId="0">
      <alignment horizontal="right" vertical="center" shrinkToFit="1"/>
    </xf>
    <xf numFmtId="166" fontId="0" fillId="6" borderId="13" applyAlignment="1" pivotButton="0" quotePrefix="0" xfId="0">
      <alignment horizontal="right" vertical="center" shrinkToFit="1"/>
    </xf>
    <xf numFmtId="10" fontId="0" fillId="7" borderId="13" applyAlignment="1" pivotButton="0" quotePrefix="0" xfId="0">
      <alignment horizontal="right" vertical="center" shrinkToFit="1"/>
    </xf>
    <xf numFmtId="169" fontId="0" fillId="6" borderId="19" applyAlignment="1" pivotButton="0" quotePrefix="0" xfId="0">
      <alignment horizontal="left" vertical="center"/>
    </xf>
    <xf numFmtId="169" fontId="0" fillId="6" borderId="13" applyAlignment="1" pivotButton="0" quotePrefix="0" xfId="0">
      <alignment horizontal="left" vertical="center"/>
    </xf>
    <xf numFmtId="0" fontId="0" fillId="4" borderId="20" applyAlignment="1" pivotButton="0" quotePrefix="0" xfId="0">
      <alignment vertical="center"/>
    </xf>
    <xf numFmtId="0" fontId="0" fillId="4" borderId="21" applyAlignment="1" pivotButton="0" quotePrefix="0" xfId="0">
      <alignment vertical="center"/>
    </xf>
    <xf numFmtId="0" fontId="0" fillId="0" borderId="18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17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171" fontId="0" fillId="0" borderId="0" applyAlignment="1" pivotButton="0" quotePrefix="0" xfId="0">
      <alignment horizontal="left" vertical="center"/>
    </xf>
    <xf numFmtId="49" fontId="17" fillId="2" borderId="5" applyAlignment="1" pivotButton="0" quotePrefix="0" xfId="0">
      <alignment horizontal="center" vertical="center"/>
    </xf>
    <xf numFmtId="164" fontId="7" fillId="8" borderId="5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 shrinkToFit="1"/>
    </xf>
    <xf numFmtId="0" fontId="18" fillId="8" borderId="4" applyAlignment="1" pivotButton="0" quotePrefix="0" xfId="0">
      <alignment horizontal="center" vertical="center" wrapText="1" shrinkToFit="1"/>
    </xf>
    <xf numFmtId="49" fontId="0" fillId="0" borderId="14" applyAlignment="1" pivotButton="0" quotePrefix="0" xfId="0">
      <alignment horizontal="left" vertical="center"/>
    </xf>
    <xf numFmtId="166" fontId="0" fillId="9" borderId="6" applyAlignment="1" pivotButton="0" quotePrefix="0" xfId="0">
      <alignment horizontal="right" vertical="center"/>
    </xf>
    <xf numFmtId="166" fontId="0" fillId="10" borderId="7" applyAlignment="1" pivotButton="0" quotePrefix="0" xfId="0">
      <alignment horizontal="right" vertical="center"/>
    </xf>
    <xf numFmtId="0" fontId="0" fillId="11" borderId="7" applyAlignment="1" pivotButton="0" quotePrefix="0" xfId="0">
      <alignment horizontal="center" vertical="center"/>
    </xf>
    <xf numFmtId="166" fontId="0" fillId="12" borderId="7" applyAlignment="1" pivotButton="0" quotePrefix="0" xfId="0">
      <alignment horizontal="right" vertical="center"/>
    </xf>
    <xf numFmtId="0" fontId="0" fillId="5" borderId="14" applyAlignment="1" pivotButton="0" quotePrefix="0" xfId="0">
      <alignment horizontal="center" vertical="center"/>
    </xf>
    <xf numFmtId="0" fontId="0" fillId="13" borderId="23" applyAlignment="1" pivotButton="0" quotePrefix="0" xfId="0">
      <alignment horizontal="center" vertical="center"/>
    </xf>
    <xf numFmtId="166" fontId="0" fillId="14" borderId="14" applyAlignment="1" pivotButton="0" quotePrefix="0" xfId="0">
      <alignment horizontal="right" vertical="center"/>
    </xf>
    <xf numFmtId="166" fontId="0" fillId="9" borderId="8" applyAlignment="1" pivotButton="0" quotePrefix="0" xfId="0">
      <alignment horizontal="right" vertical="center"/>
    </xf>
    <xf numFmtId="166" fontId="0" fillId="10" borderId="9" applyAlignment="1" pivotButton="0" quotePrefix="0" xfId="0">
      <alignment horizontal="right" vertical="center"/>
    </xf>
    <xf numFmtId="166" fontId="0" fillId="12" borderId="9" applyAlignment="1" pivotButton="0" quotePrefix="0" xfId="0">
      <alignment horizontal="right" vertical="center"/>
    </xf>
    <xf numFmtId="166" fontId="0" fillId="14" borderId="18" applyAlignment="1" pivotButton="0" quotePrefix="0" xfId="0">
      <alignment horizontal="right" vertical="center"/>
    </xf>
    <xf numFmtId="49" fontId="0" fillId="0" borderId="18" applyAlignment="1" pivotButton="0" quotePrefix="0" xfId="0">
      <alignment horizontal="left" vertical="center"/>
    </xf>
    <xf numFmtId="49" fontId="0" fillId="0" borderId="18" applyAlignment="1" pivotButton="0" quotePrefix="0" xfId="0">
      <alignment horizontal="center" vertical="center"/>
    </xf>
    <xf numFmtId="0" fontId="0" fillId="15" borderId="14" applyAlignment="1" pivotButton="0" quotePrefix="0" xfId="0">
      <alignment horizontal="center" vertical="center"/>
    </xf>
    <xf numFmtId="0" fontId="0" fillId="16" borderId="23" applyAlignment="1" pivotButton="0" quotePrefix="0" xfId="0">
      <alignment horizontal="center" vertical="center"/>
    </xf>
    <xf numFmtId="166" fontId="0" fillId="17" borderId="18" applyAlignment="1" pivotButton="0" quotePrefix="0" xfId="0">
      <alignment horizontal="right" vertical="center"/>
    </xf>
    <xf numFmtId="49" fontId="0" fillId="6" borderId="14" applyAlignment="1" pivotButton="0" quotePrefix="0" xfId="0">
      <alignment horizontal="left" vertical="center"/>
    </xf>
    <xf numFmtId="49" fontId="0" fillId="6" borderId="18" applyAlignment="1" pivotButton="0" quotePrefix="0" xfId="0">
      <alignment horizontal="left" vertical="center"/>
    </xf>
    <xf numFmtId="167" fontId="0" fillId="6" borderId="18" applyAlignment="1" pivotButton="0" quotePrefix="0" xfId="0">
      <alignment horizontal="left" vertical="center"/>
    </xf>
    <xf numFmtId="169" fontId="0" fillId="6" borderId="2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7" fillId="8" borderId="5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164" fontId="0" fillId="14" borderId="14" applyAlignment="1" pivotButton="0" quotePrefix="0" xfId="0">
      <alignment horizontal="center" vertical="center"/>
    </xf>
    <xf numFmtId="49" fontId="0" fillId="14" borderId="14" applyAlignment="1" pivotButton="0" quotePrefix="0" xfId="0">
      <alignment horizontal="left" vertical="center"/>
    </xf>
    <xf numFmtId="172" fontId="0" fillId="14" borderId="14" applyAlignment="1" pivotButton="0" quotePrefix="0" xfId="0">
      <alignment horizontal="right" vertical="center"/>
    </xf>
    <xf numFmtId="49" fontId="0" fillId="0" borderId="0" applyAlignment="1" pivotButton="0" quotePrefix="0" xfId="0">
      <alignment vertical="top" wrapText="1"/>
    </xf>
    <xf numFmtId="164" fontId="0" fillId="17" borderId="14" applyAlignment="1" pivotButton="0" quotePrefix="0" xfId="0">
      <alignment horizontal="center" vertical="center"/>
    </xf>
    <xf numFmtId="49" fontId="0" fillId="17" borderId="14" applyAlignment="1" pivotButton="0" quotePrefix="0" xfId="0">
      <alignment horizontal="left" vertical="center"/>
    </xf>
    <xf numFmtId="172" fontId="0" fillId="17" borderId="14" applyAlignment="1" pivotButton="0" quotePrefix="0" xfId="0">
      <alignment horizontal="right" vertical="center"/>
    </xf>
    <xf numFmtId="0" fontId="19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1" fontId="9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9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166" fontId="0" fillId="0" borderId="13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shrinkToFit="1"/>
    </xf>
    <xf numFmtId="49" fontId="9" fillId="0" borderId="18" applyAlignment="1" pivotButton="0" quotePrefix="0" xfId="0">
      <alignment horizontal="center" vertical="center"/>
    </xf>
    <xf numFmtId="0" fontId="9" fillId="0" borderId="18" applyAlignment="1" pivotButton="0" quotePrefix="0" xfId="0">
      <alignment horizontal="left" vertical="center"/>
    </xf>
    <xf numFmtId="0" fontId="0" fillId="11" borderId="9" applyAlignment="1" pivotButton="0" quotePrefix="0" xfId="0">
      <alignment horizontal="center" vertical="center"/>
    </xf>
    <xf numFmtId="0" fontId="0" fillId="5" borderId="18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166" fontId="0" fillId="9" borderId="12" applyAlignment="1" pivotButton="0" quotePrefix="0" xfId="0">
      <alignment horizontal="right" vertical="center"/>
    </xf>
    <xf numFmtId="166" fontId="0" fillId="10" borderId="13" applyAlignment="1" pivotButton="0" quotePrefix="0" xfId="0">
      <alignment horizontal="right" vertical="center"/>
    </xf>
    <xf numFmtId="0" fontId="0" fillId="11" borderId="20" applyAlignment="1" pivotButton="0" quotePrefix="0" xfId="0">
      <alignment horizontal="center" vertical="center"/>
    </xf>
    <xf numFmtId="166" fontId="0" fillId="12" borderId="13" applyAlignment="1" pivotButton="0" quotePrefix="0" xfId="0">
      <alignment horizontal="right" vertical="center"/>
    </xf>
    <xf numFmtId="0" fontId="0" fillId="5" borderId="24" applyAlignment="1" pivotButton="0" quotePrefix="0" xfId="0">
      <alignment horizontal="center" vertical="center"/>
    </xf>
    <xf numFmtId="0" fontId="0" fillId="13" borderId="21" applyAlignment="1" pivotButton="0" quotePrefix="0" xfId="0">
      <alignment horizontal="center" vertical="center"/>
    </xf>
    <xf numFmtId="166" fontId="0" fillId="14" borderId="22" applyAlignment="1" pivotButton="0" quotePrefix="0" xfId="0">
      <alignment horizontal="right" vertical="center"/>
    </xf>
    <xf numFmtId="0" fontId="0" fillId="18" borderId="14" applyAlignment="1" pivotButton="0" quotePrefix="0" xfId="0">
      <alignment horizontal="center" vertical="center"/>
    </xf>
    <xf numFmtId="0" fontId="0" fillId="19" borderId="23" applyAlignment="1" pivotButton="0" quotePrefix="0" xfId="0">
      <alignment horizontal="center" vertical="center"/>
    </xf>
    <xf numFmtId="166" fontId="0" fillId="20" borderId="18" applyAlignment="1" pivotButton="0" quotePrefix="0" xfId="0">
      <alignment horizontal="right" vertical="center"/>
    </xf>
    <xf numFmtId="164" fontId="0" fillId="20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2" borderId="5" applyAlignment="1" applyProtection="1" pivotButton="0" quotePrefix="0" xfId="0">
      <alignment horizontal="center" vertical="center"/>
      <protection locked="0" hidden="0"/>
    </xf>
    <xf numFmtId="1" fontId="6" fillId="4" borderId="5" applyAlignment="1" pivotButton="0" quotePrefix="0" xfId="0">
      <alignment horizontal="right" vertical="center"/>
    </xf>
    <xf numFmtId="49" fontId="6" fillId="0" borderId="2" applyAlignment="1" pivotButton="0" quotePrefix="0" xfId="0">
      <alignment horizontal="left" vertical="center"/>
    </xf>
    <xf numFmtId="49" fontId="6" fillId="0" borderId="3" applyAlignment="1" pivotButton="0" quotePrefix="0" xfId="0">
      <alignment horizontal="left" vertical="center"/>
    </xf>
    <xf numFmtId="49" fontId="6" fillId="0" borderId="4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7" fillId="2" borderId="2" applyAlignment="1" applyProtection="1" pivotButton="0" quotePrefix="0" xfId="0">
      <alignment horizontal="center" vertical="center"/>
      <protection locked="0" hidden="0"/>
    </xf>
    <xf numFmtId="0" fontId="7" fillId="2" borderId="3" applyAlignment="1" applyProtection="1" pivotButton="0" quotePrefix="0" xfId="0">
      <alignment horizontal="center" vertical="center"/>
      <protection locked="0" hidden="0"/>
    </xf>
    <xf numFmtId="0" fontId="7" fillId="2" borderId="4" applyAlignment="1" applyProtection="1" pivotButton="0" quotePrefix="0" xfId="0">
      <alignment horizontal="center" vertical="center"/>
      <protection locked="0" hidden="0"/>
    </xf>
    <xf numFmtId="0" fontId="7" fillId="2" borderId="25" applyAlignment="1" applyProtection="1" pivotButton="0" quotePrefix="0" xfId="0">
      <alignment horizontal="center" vertical="center"/>
      <protection locked="0" hidden="0"/>
    </xf>
    <xf numFmtId="0" fontId="7" fillId="2" borderId="29" applyAlignment="1" applyProtection="1" pivotButton="0" quotePrefix="0" xfId="0">
      <alignment horizontal="center" vertical="center"/>
      <protection locked="0" hidden="0"/>
    </xf>
    <xf numFmtId="0" fontId="7" fillId="2" borderId="26" applyAlignment="1" applyProtection="1" pivotButton="0" quotePrefix="0" xfId="0">
      <alignment horizontal="center" vertical="center"/>
      <protection locked="0" hidden="0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1" fontId="10" fillId="0" borderId="6" applyAlignment="1" pivotButton="0" quotePrefix="0" xfId="6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166" fontId="9" fillId="0" borderId="14" applyAlignment="1" pivotButton="0" quotePrefix="0" xfId="0">
      <alignment vertical="center" wrapText="1"/>
    </xf>
    <xf numFmtId="164" fontId="0" fillId="5" borderId="6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right" vertical="center" wrapText="1"/>
    </xf>
    <xf numFmtId="10" fontId="0" fillId="7" borderId="7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166" fontId="9" fillId="0" borderId="18" applyAlignment="1" pivotButton="0" quotePrefix="0" xfId="0">
      <alignment vertical="center" wrapText="1"/>
    </xf>
    <xf numFmtId="164" fontId="0" fillId="5" borderId="8" applyAlignment="1" pivotButton="0" quotePrefix="0" xfId="0">
      <alignment horizontal="right" vertical="center" wrapText="1"/>
    </xf>
    <xf numFmtId="164" fontId="0" fillId="6" borderId="9" applyAlignment="1" pivotButton="0" quotePrefix="0" xfId="0">
      <alignment horizontal="right" vertical="center" wrapText="1"/>
    </xf>
    <xf numFmtId="10" fontId="0" fillId="7" borderId="9" applyAlignment="1" pivotButton="0" quotePrefix="0" xfId="0">
      <alignment horizontal="right"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 wrapText="1"/>
    </xf>
    <xf numFmtId="166" fontId="0" fillId="0" borderId="18" applyAlignment="1" pivotButton="0" quotePrefix="0" xfId="0">
      <alignment vertical="center" wrapText="1"/>
    </xf>
    <xf numFmtId="0" fontId="9" fillId="0" borderId="9" applyAlignment="1" pivotButton="0" quotePrefix="0" xfId="0">
      <alignment vertical="center" wrapText="1"/>
    </xf>
    <xf numFmtId="166" fontId="9" fillId="0" borderId="18" applyAlignment="1" pivotButton="0" quotePrefix="0" xfId="0">
      <alignment horizontal="right" vertical="center" wrapText="1"/>
    </xf>
    <xf numFmtId="1" fontId="0" fillId="0" borderId="9" applyAlignment="1" pivotButton="0" quotePrefix="0" xfId="0">
      <alignment horizontal="left" vertical="center" wrapText="1"/>
    </xf>
    <xf numFmtId="166" fontId="0" fillId="0" borderId="18" applyAlignment="1" pivotButton="0" quotePrefix="0" xfId="0">
      <alignment horizontal="right" vertical="center" wrapText="1"/>
    </xf>
    <xf numFmtId="164" fontId="0" fillId="6" borderId="9" applyAlignment="1" pivotButton="0" quotePrefix="0" xfId="0">
      <alignment horizontal="center" vertical="center" wrapText="1"/>
    </xf>
    <xf numFmtId="164" fontId="0" fillId="5" borderId="8" applyAlignment="1" pivotButton="0" quotePrefix="0" xfId="0">
      <alignment vertical="center" wrapText="1"/>
    </xf>
    <xf numFmtId="164" fontId="0" fillId="6" borderId="9" applyAlignment="1" pivotButton="0" quotePrefix="0" xfId="0">
      <alignment vertical="center" wrapText="1"/>
    </xf>
    <xf numFmtId="10" fontId="0" fillId="7" borderId="9" applyAlignment="1" pivotButton="0" quotePrefix="0" xfId="0">
      <alignment vertical="center" wrapText="1"/>
    </xf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/>
    </xf>
    <xf numFmtId="166" fontId="13" fillId="0" borderId="18" applyAlignment="1" pivotButton="0" quotePrefix="0" xfId="0">
      <alignment horizontal="right" vertical="center"/>
    </xf>
    <xf numFmtId="167" fontId="0" fillId="5" borderId="12" applyAlignment="1" pivotButton="0" quotePrefix="0" xfId="0">
      <alignment vertical="center"/>
    </xf>
    <xf numFmtId="167" fontId="0" fillId="6" borderId="13" applyAlignment="1" pivotButton="0" quotePrefix="0" xfId="0">
      <alignment vertical="center"/>
    </xf>
    <xf numFmtId="10" fontId="0" fillId="7" borderId="13" applyAlignment="1" pivotButton="0" quotePrefix="0" xfId="0">
      <alignment vertical="center"/>
    </xf>
    <xf numFmtId="167" fontId="0" fillId="6" borderId="13" applyAlignment="1" pivotButton="0" quotePrefix="0" xfId="0">
      <alignment horizontal="center" vertical="center"/>
    </xf>
    <xf numFmtId="0" fontId="13" fillId="0" borderId="10" applyAlignment="1" pivotButton="0" quotePrefix="0" xfId="0">
      <alignment horizontal="left" vertical="center" shrinkToFit="1"/>
    </xf>
    <xf numFmtId="0" fontId="13" fillId="0" borderId="32" applyAlignment="1" pivotButton="0" quotePrefix="0" xfId="0">
      <alignment horizontal="left" vertical="center" shrinkToFit="1"/>
    </xf>
    <xf numFmtId="1" fontId="9" fillId="0" borderId="33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18" applyAlignment="1" pivotButton="0" quotePrefix="0" xfId="0">
      <alignment horizontal="left" vertical="center"/>
    </xf>
    <xf numFmtId="1" fontId="9" fillId="0" borderId="20" applyAlignment="1" pivotButton="0" quotePrefix="0" xfId="0">
      <alignment horizontal="center" vertical="center"/>
    </xf>
    <xf numFmtId="0" fontId="13" fillId="0" borderId="13" applyAlignment="1" pivotButton="0" quotePrefix="0" xfId="0">
      <alignment horizontal="left" vertical="center"/>
    </xf>
    <xf numFmtId="0" fontId="13" fillId="0" borderId="19" applyAlignment="1" pivotButton="0" quotePrefix="0" xfId="0">
      <alignment horizontal="left" vertical="center"/>
    </xf>
    <xf numFmtId="0" fontId="13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7" fillId="2" borderId="42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4" fontId="7" fillId="2" borderId="5" applyAlignment="1" pivotButton="0" quotePrefix="0" xfId="0">
      <alignment horizontal="center" vertical="center" wrapText="1"/>
    </xf>
    <xf numFmtId="164" fontId="7" fillId="3" borderId="5" applyAlignment="1" pivotButton="0" quotePrefix="0" xfId="0">
      <alignment horizontal="center" vertical="center" wrapText="1"/>
    </xf>
    <xf numFmtId="164" fontId="7" fillId="3" borderId="5" applyAlignment="1" pivotButton="0" quotePrefix="0" xfId="0">
      <alignment horizontal="center" vertical="center"/>
    </xf>
    <xf numFmtId="166" fontId="9" fillId="0" borderId="14" applyAlignment="1" pivotButton="0" quotePrefix="0" xfId="0">
      <alignment vertical="center" wrapText="1"/>
    </xf>
    <xf numFmtId="164" fontId="0" fillId="5" borderId="6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right" vertical="center" wrapText="1"/>
    </xf>
    <xf numFmtId="164" fontId="0" fillId="6" borderId="7" applyAlignment="1" pivotButton="0" quotePrefix="0" xfId="0">
      <alignment horizontal="center" vertical="center" wrapText="1"/>
    </xf>
    <xf numFmtId="166" fontId="9" fillId="0" borderId="18" applyAlignment="1" pivotButton="0" quotePrefix="0" xfId="0">
      <alignment vertical="center" wrapText="1"/>
    </xf>
    <xf numFmtId="164" fontId="0" fillId="5" borderId="8" applyAlignment="1" pivotButton="0" quotePrefix="0" xfId="0">
      <alignment horizontal="right" vertical="center" wrapText="1"/>
    </xf>
    <xf numFmtId="164" fontId="0" fillId="6" borderId="9" applyAlignment="1" pivotButton="0" quotePrefix="0" xfId="0">
      <alignment horizontal="right" vertical="center" wrapText="1"/>
    </xf>
    <xf numFmtId="166" fontId="0" fillId="0" borderId="18" applyAlignment="1" pivotButton="0" quotePrefix="0" xfId="0">
      <alignment vertical="center" wrapText="1"/>
    </xf>
    <xf numFmtId="166" fontId="9" fillId="0" borderId="18" applyAlignment="1" pivotButton="0" quotePrefix="0" xfId="0">
      <alignment horizontal="right" vertical="center" wrapText="1"/>
    </xf>
    <xf numFmtId="166" fontId="0" fillId="0" borderId="18" applyAlignment="1" pivotButton="0" quotePrefix="0" xfId="0">
      <alignment horizontal="right" vertical="center" wrapText="1"/>
    </xf>
    <xf numFmtId="164" fontId="0" fillId="6" borderId="9" applyAlignment="1" pivotButton="0" quotePrefix="0" xfId="0">
      <alignment horizontal="center" vertical="center" wrapText="1"/>
    </xf>
    <xf numFmtId="164" fontId="0" fillId="5" borderId="8" applyAlignment="1" pivotButton="0" quotePrefix="0" xfId="0">
      <alignment vertical="center" wrapText="1"/>
    </xf>
    <xf numFmtId="164" fontId="0" fillId="6" borderId="9" applyAlignment="1" pivotButton="0" quotePrefix="0" xfId="0">
      <alignment vertical="center" wrapText="1"/>
    </xf>
    <xf numFmtId="166" fontId="13" fillId="0" borderId="18" applyAlignment="1" pivotButton="0" quotePrefix="0" xfId="0">
      <alignment horizontal="right" vertical="center"/>
    </xf>
    <xf numFmtId="167" fontId="0" fillId="5" borderId="12" applyAlignment="1" pivotButton="0" quotePrefix="0" xfId="0">
      <alignment vertical="center"/>
    </xf>
    <xf numFmtId="167" fontId="0" fillId="6" borderId="13" applyAlignment="1" pivotButton="0" quotePrefix="0" xfId="0">
      <alignment vertical="center"/>
    </xf>
    <xf numFmtId="167" fontId="0" fillId="6" borderId="13" applyAlignment="1" pivotButton="0" quotePrefix="0" xfId="0">
      <alignment horizontal="center" vertical="center"/>
    </xf>
    <xf numFmtId="0" fontId="13" fillId="0" borderId="18" applyAlignment="1" pivotButton="0" quotePrefix="0" xfId="0">
      <alignment horizontal="left" vertical="center" shrinkToFit="1"/>
    </xf>
    <xf numFmtId="0" fontId="0" fillId="0" borderId="32" pivotButton="0" quotePrefix="0" xfId="0"/>
    <xf numFmtId="1" fontId="9" fillId="0" borderId="13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7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49" pivotButton="0" quotePrefix="0" xfId="0"/>
    <xf numFmtId="0" fontId="0" fillId="0" borderId="23" pivotButton="0" quotePrefix="0" xfId="0"/>
    <xf numFmtId="0" fontId="0" fillId="0" borderId="1" applyProtection="1" pivotButton="0" quotePrefix="0" xfId="0">
      <protection locked="0" hidden="0"/>
    </xf>
    <xf numFmtId="0" fontId="5" fillId="0" borderId="5" applyAlignment="1" pivotButton="0" quotePrefix="0" xfId="0">
      <alignment horizontal="left" vertical="center"/>
    </xf>
    <xf numFmtId="164" fontId="7" fillId="2" borderId="5" applyAlignment="1" pivotButton="0" quotePrefix="0" xfId="0">
      <alignment horizontal="center" vertical="center"/>
    </xf>
    <xf numFmtId="165" fontId="9" fillId="0" borderId="7" applyAlignment="1" pivotButton="0" quotePrefix="0" xfId="0">
      <alignment horizontal="right" vertical="center"/>
    </xf>
    <xf numFmtId="166" fontId="9" fillId="0" borderId="7" applyAlignment="1" pivotButton="0" quotePrefix="0" xfId="0">
      <alignment horizontal="right" vertical="center"/>
    </xf>
    <xf numFmtId="166" fontId="0" fillId="5" borderId="6" applyAlignment="1" pivotButton="0" quotePrefix="0" xfId="0">
      <alignment horizontal="right" vertical="center"/>
    </xf>
    <xf numFmtId="166" fontId="0" fillId="6" borderId="7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166" fontId="9" fillId="0" borderId="9" applyAlignment="1" pivotButton="0" quotePrefix="0" xfId="0">
      <alignment horizontal="right" vertical="center"/>
    </xf>
    <xf numFmtId="166" fontId="0" fillId="5" borderId="8" applyAlignment="1" pivotButton="0" quotePrefix="0" xfId="0">
      <alignment horizontal="right" vertical="center"/>
    </xf>
    <xf numFmtId="166" fontId="0" fillId="6" borderId="9" applyAlignment="1" pivotButton="0" quotePrefix="0" xfId="0">
      <alignment horizontal="right" vertical="center"/>
    </xf>
    <xf numFmtId="165" fontId="0" fillId="0" borderId="9" applyAlignment="1" pivotButton="0" quotePrefix="0" xfId="0">
      <alignment horizontal="right" vertical="center"/>
    </xf>
    <xf numFmtId="166" fontId="0" fillId="0" borderId="9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/>
    </xf>
    <xf numFmtId="166" fontId="0" fillId="0" borderId="9" applyAlignment="1" pivotButton="0" quotePrefix="0" xfId="0">
      <alignment horizontal="right"/>
    </xf>
    <xf numFmtId="165" fontId="0" fillId="0" borderId="9" applyAlignment="1" pivotButton="0" quotePrefix="0" xfId="0">
      <alignment horizontal="right"/>
    </xf>
    <xf numFmtId="167" fontId="0" fillId="6" borderId="10" applyAlignment="1" pivotButton="0" quotePrefix="0" xfId="0">
      <alignment horizontal="left" vertical="center"/>
    </xf>
    <xf numFmtId="167" fontId="0" fillId="6" borderId="9" applyAlignment="1" pivotButton="0" quotePrefix="0" xfId="0">
      <alignment horizontal="left" vertical="center"/>
    </xf>
    <xf numFmtId="167" fontId="0" fillId="6" borderId="18" applyAlignment="1" pivotButton="0" quotePrefix="0" xfId="0">
      <alignment horizontal="left" vertical="center"/>
    </xf>
    <xf numFmtId="168" fontId="9" fillId="0" borderId="18" applyAlignment="1" pivotButton="0" quotePrefix="0" xfId="0">
      <alignment horizontal="left"/>
    </xf>
    <xf numFmtId="0" fontId="12" fillId="0" borderId="9" applyAlignment="1" pivotButton="0" quotePrefix="0" xfId="0">
      <alignment shrinkToFit="1"/>
    </xf>
    <xf numFmtId="0" fontId="0" fillId="0" borderId="11" pivotButton="0" quotePrefix="0" xfId="0"/>
    <xf numFmtId="165" fontId="13" fillId="0" borderId="9" applyAlignment="1" pivotButton="0" quotePrefix="0" xfId="0">
      <alignment horizontal="right" shrinkToFit="1"/>
    </xf>
    <xf numFmtId="166" fontId="13" fillId="0" borderId="9" applyAlignment="1" pivotButton="0" quotePrefix="0" xfId="0">
      <alignment horizontal="right" shrinkToFit="1"/>
    </xf>
    <xf numFmtId="168" fontId="9" fillId="0" borderId="18" applyAlignment="1" pivotButton="0" quotePrefix="0" xfId="0">
      <alignment horizontal="left" shrinkToFit="1"/>
    </xf>
    <xf numFmtId="166" fontId="0" fillId="5" borderId="12" applyAlignment="1" pivotButton="0" quotePrefix="0" xfId="0">
      <alignment horizontal="right" vertical="center" shrinkToFit="1"/>
    </xf>
    <xf numFmtId="166" fontId="0" fillId="6" borderId="13" applyAlignment="1" pivotButton="0" quotePrefix="0" xfId="0">
      <alignment horizontal="right" vertical="center" shrinkToFit="1"/>
    </xf>
    <xf numFmtId="169" fontId="0" fillId="6" borderId="19" applyAlignment="1" pivotButton="0" quotePrefix="0" xfId="0">
      <alignment horizontal="left" vertical="center"/>
    </xf>
    <xf numFmtId="169" fontId="0" fillId="6" borderId="13" applyAlignment="1" pivotButton="0" quotePrefix="0" xfId="0">
      <alignment horizontal="left" vertical="center"/>
    </xf>
    <xf numFmtId="169" fontId="0" fillId="6" borderId="22" applyAlignment="1" pivotButton="0" quotePrefix="0" xfId="0">
      <alignment horizontal="left" vertical="center"/>
    </xf>
    <xf numFmtId="166" fontId="0" fillId="0" borderId="0" applyAlignment="1" pivotButton="0" quotePrefix="0" xfId="0">
      <alignment vertical="center"/>
    </xf>
    <xf numFmtId="0" fontId="0" fillId="0" borderId="6" pivotButton="0" quotePrefix="0" xfId="0"/>
    <xf numFmtId="165" fontId="0" fillId="0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170" fontId="0" fillId="0" borderId="0" applyAlignment="1" pivotButton="0" quotePrefix="0" xfId="0">
      <alignment horizontal="left" vertical="center"/>
    </xf>
    <xf numFmtId="171" fontId="0" fillId="0" borderId="0" applyAlignment="1" pivotButton="0" quotePrefix="0" xfId="0">
      <alignment horizontal="left" vertical="center"/>
    </xf>
    <xf numFmtId="164" fontId="7" fillId="8" borderId="5" applyAlignment="1" pivotButton="0" quotePrefix="0" xfId="0">
      <alignment horizontal="center" vertical="center" wrapText="1"/>
    </xf>
    <xf numFmtId="166" fontId="0" fillId="9" borderId="6" applyAlignment="1" pivotButton="0" quotePrefix="0" xfId="0">
      <alignment horizontal="right" vertical="center"/>
    </xf>
    <xf numFmtId="166" fontId="0" fillId="10" borderId="7" applyAlignment="1" pivotButton="0" quotePrefix="0" xfId="0">
      <alignment horizontal="right" vertical="center"/>
    </xf>
    <xf numFmtId="166" fontId="0" fillId="12" borderId="7" applyAlignment="1" pivotButton="0" quotePrefix="0" xfId="0">
      <alignment horizontal="right" vertical="center"/>
    </xf>
    <xf numFmtId="166" fontId="0" fillId="14" borderId="14" applyAlignment="1" pivotButton="0" quotePrefix="0" xfId="0">
      <alignment horizontal="right" vertical="center"/>
    </xf>
    <xf numFmtId="164" fontId="0" fillId="14" borderId="14" applyAlignment="1" pivotButton="0" quotePrefix="0" xfId="0">
      <alignment horizontal="center" vertical="center"/>
    </xf>
    <xf numFmtId="172" fontId="0" fillId="14" borderId="14" applyAlignment="1" pivotButton="0" quotePrefix="0" xfId="0">
      <alignment horizontal="right" vertical="center"/>
    </xf>
    <xf numFmtId="166" fontId="0" fillId="9" borderId="8" applyAlignment="1" pivotButton="0" quotePrefix="0" xfId="0">
      <alignment horizontal="right" vertical="center"/>
    </xf>
    <xf numFmtId="166" fontId="0" fillId="10" borderId="9" applyAlignment="1" pivotButton="0" quotePrefix="0" xfId="0">
      <alignment horizontal="right" vertical="center"/>
    </xf>
    <xf numFmtId="166" fontId="0" fillId="12" borderId="9" applyAlignment="1" pivotButton="0" quotePrefix="0" xfId="0">
      <alignment horizontal="right" vertical="center"/>
    </xf>
    <xf numFmtId="166" fontId="0" fillId="14" borderId="18" applyAlignment="1" pivotButton="0" quotePrefix="0" xfId="0">
      <alignment horizontal="right" vertical="center"/>
    </xf>
    <xf numFmtId="166" fontId="0" fillId="17" borderId="18" applyAlignment="1" pivotButton="0" quotePrefix="0" xfId="0">
      <alignment horizontal="right" vertical="center"/>
    </xf>
    <xf numFmtId="164" fontId="0" fillId="17" borderId="14" applyAlignment="1" pivotButton="0" quotePrefix="0" xfId="0">
      <alignment horizontal="center" vertical="center"/>
    </xf>
    <xf numFmtId="172" fontId="0" fillId="17" borderId="14" applyAlignment="1" pivotButton="0" quotePrefix="0" xfId="0">
      <alignment horizontal="right" vertical="center"/>
    </xf>
    <xf numFmtId="166" fontId="0" fillId="0" borderId="13" applyAlignment="1" pivotButton="0" quotePrefix="0" xfId="0">
      <alignment horizontal="right" vertical="center"/>
    </xf>
    <xf numFmtId="166" fontId="0" fillId="9" borderId="12" applyAlignment="1" pivotButton="0" quotePrefix="0" xfId="0">
      <alignment horizontal="right" vertical="center"/>
    </xf>
    <xf numFmtId="166" fontId="0" fillId="10" borderId="13" applyAlignment="1" pivotButton="0" quotePrefix="0" xfId="0">
      <alignment horizontal="right" vertical="center"/>
    </xf>
    <xf numFmtId="166" fontId="0" fillId="12" borderId="13" applyAlignment="1" pivotButton="0" quotePrefix="0" xfId="0">
      <alignment horizontal="right" vertical="center"/>
    </xf>
    <xf numFmtId="166" fontId="0" fillId="14" borderId="22" applyAlignment="1" pivotButton="0" quotePrefix="0" xfId="0">
      <alignment horizontal="right" vertical="center"/>
    </xf>
    <xf numFmtId="166" fontId="0" fillId="20" borderId="18" applyAlignment="1" pivotButton="0" quotePrefix="0" xfId="0">
      <alignment horizontal="right" vertical="center"/>
    </xf>
    <xf numFmtId="164" fontId="0" fillId="20" borderId="1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30480</colOff>
      <row>2</row>
      <rowOff>76200</rowOff>
    </to>
    <pic>
      <nvPicPr>
        <cNvPr id="2" name="图片 1" descr="logo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96340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853440</colOff>
      <row>2</row>
      <rowOff>76200</rowOff>
    </to>
    <pic>
      <nvPicPr>
        <cNvPr id="2" name="图片 1" descr="logo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96340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29" sqref="A29"/>
    </sheetView>
  </sheetViews>
  <sheetFormatPr baseColWidth="8" defaultColWidth="9" defaultRowHeight="18" customHeight="1"/>
  <cols>
    <col width="17" customWidth="1" style="66" min="1" max="1"/>
    <col width="36" customWidth="1" style="66" min="2" max="2"/>
    <col width="9.75" customWidth="1" style="66" min="3" max="3"/>
    <col width="20.3796296296296" customWidth="1" style="66" min="4" max="4"/>
    <col width="15" customWidth="1" style="66" min="5" max="5"/>
    <col width="16.1296296296296" customWidth="1" style="66" min="6" max="6"/>
    <col width="13.3796296296296" customWidth="1" style="66" min="7" max="8"/>
  </cols>
  <sheetData>
    <row r="1" s="66">
      <c r="A1" s="181">
        <f>T(B22)</f>
        <v/>
      </c>
      <c r="E1" s="145" t="n"/>
      <c r="F1" s="145" t="n"/>
      <c r="G1" s="145" t="n"/>
      <c r="H1" s="144" t="n"/>
    </row>
    <row r="2" s="66">
      <c r="A2" s="182">
        <f>T(B23)</f>
        <v/>
      </c>
      <c r="E2" s="145" t="n"/>
      <c r="F2" s="145" t="n"/>
      <c r="G2" s="145" t="n"/>
      <c r="H2" s="144" t="n"/>
    </row>
    <row r="3" s="66">
      <c r="A3" s="183" t="n"/>
      <c r="B3" s="184" t="n"/>
      <c r="C3" s="184" t="n"/>
      <c r="D3" s="184" t="n"/>
      <c r="E3" s="145" t="n"/>
      <c r="F3" s="145" t="n"/>
      <c r="G3" s="145" t="n"/>
      <c r="H3" s="144" t="n"/>
    </row>
    <row r="4" s="66">
      <c r="A4" s="185" t="inlineStr">
        <is>
          <t>工程信息</t>
        </is>
      </c>
      <c r="B4" s="249" t="n"/>
      <c r="C4" s="249" t="n"/>
      <c r="D4" s="250" t="n"/>
      <c r="E4" s="185" t="n"/>
      <c r="F4" s="250" t="n"/>
      <c r="G4" s="145" t="n"/>
      <c r="H4" s="144" t="n"/>
    </row>
    <row r="5" s="66">
      <c r="A5" s="186" t="inlineStr">
        <is>
          <t>项目名称</t>
        </is>
      </c>
      <c r="B5" s="190" t="inlineStr">
        <is>
          <t>项目C-项目询价：202507-017</t>
        </is>
      </c>
      <c r="C5" s="251" t="n"/>
      <c r="D5" s="252" t="n"/>
      <c r="E5" s="186" t="inlineStr">
        <is>
          <t>项目编号</t>
        </is>
      </c>
      <c r="F5" s="190" t="n"/>
      <c r="G5" s="145" t="n"/>
      <c r="H5" s="144" t="n"/>
    </row>
    <row r="6" s="66">
      <c r="A6" s="186" t="inlineStr">
        <is>
          <t>描述</t>
        </is>
      </c>
      <c r="B6" s="192" t="n"/>
      <c r="C6" s="251" t="n"/>
      <c r="D6" s="252" t="n"/>
      <c r="E6" s="186" t="inlineStr">
        <is>
          <t>报价交期</t>
        </is>
      </c>
      <c r="F6" s="192" t="n"/>
      <c r="G6" s="145" t="n"/>
      <c r="H6" s="144" t="n"/>
    </row>
    <row r="7" s="66">
      <c r="A7" s="186" t="inlineStr">
        <is>
          <t>报价单号</t>
        </is>
      </c>
      <c r="B7" s="190" t="inlineStr">
        <is>
          <t>DEMO-QUOTE</t>
        </is>
      </c>
      <c r="C7" s="251" t="n"/>
      <c r="D7" s="252" t="n"/>
      <c r="E7" s="193" t="n"/>
      <c r="F7" s="194" t="n"/>
      <c r="G7" s="145" t="n"/>
      <c r="H7" s="144" t="n"/>
    </row>
    <row r="8" s="66">
      <c r="A8" s="186" t="inlineStr">
        <is>
          <t>报价人</t>
        </is>
      </c>
      <c r="B8" s="192" t="inlineStr">
        <is>
          <t>报价员B</t>
        </is>
      </c>
      <c r="C8" s="251" t="n"/>
      <c r="D8" s="252" t="n"/>
      <c r="E8" s="195" t="n"/>
      <c r="F8" s="196" t="n"/>
      <c r="G8" s="145" t="n"/>
      <c r="H8" s="144" t="n"/>
    </row>
    <row r="9" s="66">
      <c r="A9" s="186" t="inlineStr">
        <is>
          <t>创建日期</t>
        </is>
      </c>
      <c r="B9" s="192" t="inlineStr">
        <is>
          <t>2025.09.10</t>
        </is>
      </c>
      <c r="C9" s="251" t="n"/>
      <c r="D9" s="252" t="n"/>
      <c r="E9" s="195" t="n"/>
      <c r="F9" s="196" t="n"/>
      <c r="G9" s="145" t="n"/>
      <c r="H9" s="144" t="n"/>
    </row>
    <row r="10" s="66">
      <c r="A10" s="186" t="inlineStr">
        <is>
          <t>报价审核人</t>
        </is>
      </c>
      <c r="B10" s="192" t="n"/>
      <c r="C10" s="251" t="n"/>
      <c r="D10" s="252" t="n"/>
      <c r="E10" s="195" t="n"/>
      <c r="F10" s="196" t="n"/>
      <c r="G10" s="145" t="n"/>
      <c r="H10" s="144" t="n"/>
    </row>
    <row r="11" s="66">
      <c r="A11" s="186" t="inlineStr">
        <is>
          <t>项目负责人</t>
        </is>
      </c>
      <c r="B11" s="192" t="n"/>
      <c r="C11" s="251" t="n"/>
      <c r="D11" s="252" t="n"/>
      <c r="E11" s="195" t="n"/>
      <c r="F11" s="196" t="n"/>
      <c r="G11" s="145" t="n"/>
      <c r="H11" s="144" t="n"/>
    </row>
    <row r="12" s="66">
      <c r="A12" s="186" t="inlineStr">
        <is>
          <t>项目备注</t>
        </is>
      </c>
      <c r="B12" s="192" t="n"/>
      <c r="C12" s="251" t="n"/>
      <c r="D12" s="252" t="n"/>
      <c r="E12" s="195" t="n"/>
      <c r="F12" s="196" t="n"/>
      <c r="G12" s="145" t="n"/>
      <c r="H12" s="144" t="n"/>
    </row>
    <row r="13" s="66">
      <c r="A13" s="185" t="inlineStr">
        <is>
          <t>客户信息</t>
        </is>
      </c>
      <c r="B13" s="249" t="n"/>
      <c r="C13" s="249" t="n"/>
      <c r="D13" s="250" t="n"/>
      <c r="E13" s="195" t="n"/>
      <c r="F13" s="196" t="n"/>
      <c r="G13" s="145" t="n"/>
      <c r="H13" s="144" t="n"/>
    </row>
    <row r="14" s="66">
      <c r="A14" s="186" t="inlineStr">
        <is>
          <t>客户名称</t>
        </is>
      </c>
      <c r="B14" s="192" t="n"/>
      <c r="C14" s="251" t="n"/>
      <c r="D14" s="252" t="n"/>
      <c r="E14" s="195" t="n"/>
      <c r="F14" s="196" t="n"/>
      <c r="G14" s="145" t="n"/>
      <c r="H14" s="144" t="n"/>
    </row>
    <row r="15" s="66">
      <c r="A15" s="186" t="inlineStr">
        <is>
          <t>联系人</t>
        </is>
      </c>
      <c r="B15" s="192" t="n"/>
      <c r="C15" s="251" t="n"/>
      <c r="D15" s="252" t="n"/>
      <c r="E15" s="195" t="n"/>
      <c r="F15" s="196" t="n"/>
      <c r="G15" s="145" t="n"/>
      <c r="H15" s="144" t="n"/>
    </row>
    <row r="16" s="66">
      <c r="A16" s="186" t="inlineStr">
        <is>
          <t>联系电话</t>
        </is>
      </c>
      <c r="B16" s="192" t="n"/>
      <c r="C16" s="251" t="n"/>
      <c r="D16" s="252" t="n"/>
      <c r="E16" s="195" t="n"/>
      <c r="F16" s="196" t="n"/>
      <c r="G16" s="145" t="n"/>
      <c r="H16" s="144" t="n"/>
    </row>
    <row r="17" s="66">
      <c r="A17" s="186" t="inlineStr">
        <is>
          <t>客户地址</t>
        </is>
      </c>
      <c r="B17" s="192" t="n"/>
      <c r="C17" s="251" t="n"/>
      <c r="D17" s="252" t="n"/>
      <c r="E17" s="195" t="n"/>
      <c r="F17" s="196" t="n"/>
      <c r="G17" s="145" t="n"/>
      <c r="H17" s="144" t="n"/>
    </row>
    <row r="18" s="66">
      <c r="A18" s="186" t="inlineStr">
        <is>
          <t>客户邮编</t>
        </is>
      </c>
      <c r="B18" s="192" t="n"/>
      <c r="C18" s="251" t="n"/>
      <c r="D18" s="252" t="n"/>
      <c r="E18" s="195" t="n"/>
      <c r="F18" s="196" t="n"/>
      <c r="G18" s="145" t="n"/>
      <c r="H18" s="144" t="n"/>
    </row>
    <row r="19" s="66">
      <c r="A19" s="186" t="inlineStr">
        <is>
          <t>客户网址</t>
        </is>
      </c>
      <c r="B19" s="192" t="n"/>
      <c r="C19" s="251" t="n"/>
      <c r="D19" s="252" t="n"/>
      <c r="E19" s="195" t="n"/>
      <c r="F19" s="196" t="n"/>
      <c r="G19" s="145" t="n"/>
      <c r="H19" s="144" t="n"/>
    </row>
    <row r="20" s="66">
      <c r="A20" s="186" t="inlineStr">
        <is>
          <t>客户email</t>
        </is>
      </c>
      <c r="B20" s="192" t="n"/>
      <c r="C20" s="251" t="n"/>
      <c r="D20" s="252" t="n"/>
      <c r="E20" s="195" t="n"/>
      <c r="F20" s="196" t="n"/>
      <c r="G20" s="145" t="n"/>
      <c r="H20" s="144" t="n"/>
    </row>
    <row r="21" s="66">
      <c r="A21" s="185" t="inlineStr">
        <is>
          <t>本企业信息</t>
        </is>
      </c>
      <c r="B21" s="249" t="n"/>
      <c r="C21" s="249" t="n"/>
      <c r="D21" s="250" t="n"/>
      <c r="E21" s="195" t="n"/>
      <c r="F21" s="196" t="n"/>
      <c r="G21" s="145" t="n"/>
      <c r="H21" s="144" t="n"/>
    </row>
    <row r="22" s="66">
      <c r="A22" s="186" t="inlineStr">
        <is>
          <t>单位名称</t>
        </is>
      </c>
      <c r="B22" s="192" t="inlineStr">
        <is>
          <t>某成套设备有限公司</t>
        </is>
      </c>
      <c r="C22" s="251" t="n"/>
      <c r="D22" s="252" t="n"/>
      <c r="E22" s="195" t="n"/>
      <c r="F22" s="196" t="n"/>
      <c r="G22" s="145" t="n"/>
      <c r="H22" s="144" t="n"/>
    </row>
    <row r="23" s="66">
      <c r="A23" s="186" t="inlineStr">
        <is>
          <t>英文名称</t>
        </is>
      </c>
      <c r="B23" s="192" t="n"/>
      <c r="C23" s="251" t="n"/>
      <c r="D23" s="252" t="n"/>
      <c r="E23" s="195" t="n"/>
      <c r="F23" s="196" t="n"/>
      <c r="G23" s="145" t="n"/>
      <c r="H23" s="144" t="n"/>
    </row>
    <row r="24" s="66">
      <c r="A24" s="186" t="inlineStr">
        <is>
          <t>联系人</t>
        </is>
      </c>
      <c r="B24" s="192" t="inlineStr">
        <is>
          <t>宋楠 陆洪标</t>
        </is>
      </c>
      <c r="C24" s="251" t="n"/>
      <c r="D24" s="252" t="n"/>
      <c r="E24" s="195" t="n"/>
      <c r="F24" s="196" t="n"/>
      <c r="G24" s="145" t="n"/>
      <c r="H24" s="144" t="n"/>
    </row>
    <row r="25" s="66">
      <c r="A25" s="186" t="inlineStr">
        <is>
          <t>联系电话</t>
        </is>
      </c>
      <c r="B25" s="192" t="inlineStr">
        <is>
          <t>13800000000 13800000000</t>
        </is>
      </c>
      <c r="C25" s="251" t="n"/>
      <c r="D25" s="252" t="n"/>
      <c r="E25" s="195" t="n"/>
      <c r="F25" s="196" t="n"/>
      <c r="G25" s="145" t="n"/>
      <c r="H25" s="144" t="n"/>
    </row>
    <row r="26" s="66">
      <c r="A26" s="186" t="inlineStr">
        <is>
          <t>销售地区</t>
        </is>
      </c>
      <c r="B26" s="192" t="n"/>
      <c r="C26" s="251" t="n"/>
      <c r="D26" s="252" t="n"/>
      <c r="E26" s="195" t="n"/>
      <c r="F26" s="196" t="n"/>
      <c r="G26" s="145" t="n"/>
      <c r="H26" s="144" t="n"/>
    </row>
    <row r="27" s="66">
      <c r="A27" s="253" t="inlineStr">
        <is>
          <t xml:space="preserve">                          分类汇总                       金额单位：人民币元</t>
        </is>
      </c>
      <c r="B27" s="254" t="n"/>
      <c r="C27" s="254" t="n"/>
      <c r="D27" s="255" t="n"/>
      <c r="E27" s="203" t="n"/>
      <c r="F27" s="204" t="n"/>
      <c r="G27" s="145" t="n"/>
      <c r="H27" s="144" t="n"/>
    </row>
    <row r="28" s="66">
      <c r="A28" s="13" t="inlineStr">
        <is>
          <t>序号</t>
        </is>
      </c>
      <c r="B28" s="73" t="inlineStr">
        <is>
          <t>分类名称</t>
        </is>
      </c>
      <c r="C28" s="73" t="inlineStr">
        <is>
          <t>箱柜数量</t>
        </is>
      </c>
      <c r="D28" s="256" t="inlineStr">
        <is>
          <t>总   价</t>
        </is>
      </c>
      <c r="E28" s="257" t="inlineStr">
        <is>
          <t>成本</t>
        </is>
      </c>
      <c r="F28" s="258" t="inlineStr">
        <is>
          <t>毛利</t>
        </is>
      </c>
      <c r="G28" s="80" t="inlineStr">
        <is>
          <t>毛利率</t>
        </is>
      </c>
      <c r="H28" s="258" t="inlineStr">
        <is>
          <t>分类属性</t>
        </is>
      </c>
    </row>
    <row r="29" s="66">
      <c r="A29" s="205">
        <f>ROW()-ROW(A$28)</f>
        <v/>
      </c>
      <c r="B29" s="206">
        <f>MID(CELL("filename",folderTable9d0678018b5746038ba7e7e139a5b545),SEARCH({"xlsx]",".xls]"},CELL("filename",folderTable9d0678018b5746038ba7e7e139a5b545))+5,31)</f>
        <v/>
      </c>
      <c r="C29" s="207">
        <f>IF(H29="箱变",标段1!F36,标段1!F32*IF(标段1!F36="",1,标段1!F36))</f>
        <v/>
      </c>
      <c r="D29" s="259">
        <f>ROUND(标段1!H36,2)</f>
        <v/>
      </c>
      <c r="E29" s="260">
        <f>ROUND(标段1!J36,2)</f>
        <v/>
      </c>
      <c r="F29" s="261">
        <f>ROUND((D29-E29),2)</f>
        <v/>
      </c>
      <c r="G29" s="211">
        <f>IF(D29=0,0,F29/D29)</f>
        <v/>
      </c>
      <c r="H29" s="262">
        <f>IF(OR(ISNUMBER(FIND("箱变",B29))=TRUE,ISNUMBER(FIND("欧变",B29))=TRUE,ISNUMBER(FIND("美变",B29))=TRUE,ISNUMBER(FIND("KVA",UPPER(B29)))=TRUE,ISNUMBER(FIND("箱式变电",B29))=TRUE),"箱变","常规")</f>
        <v/>
      </c>
    </row>
    <row r="30" s="66">
      <c r="A30" s="213">
        <f>ROW()-ROW(A$28)</f>
        <v/>
      </c>
      <c r="B30" s="214" t="n"/>
      <c r="C30" s="215" t="n"/>
      <c r="D30" s="263" t="n"/>
      <c r="E30" s="264" t="n"/>
      <c r="F30" s="265" t="n"/>
      <c r="G30" s="219" t="n"/>
      <c r="H30" s="262" t="n"/>
    </row>
    <row r="31" s="66">
      <c r="A31" s="213">
        <f>ROW()-ROW(A$28)</f>
        <v/>
      </c>
      <c r="B31" s="214" t="n"/>
      <c r="C31" s="215" t="n"/>
      <c r="D31" s="263" t="n"/>
      <c r="E31" s="264" t="n"/>
      <c r="F31" s="265" t="n"/>
      <c r="G31" s="219" t="n"/>
      <c r="H31" s="262" t="n"/>
    </row>
    <row r="32" s="66">
      <c r="A32" s="213">
        <f>ROW()-ROW(A$28)</f>
        <v/>
      </c>
      <c r="B32" s="220" t="n"/>
      <c r="C32" s="221" t="n"/>
      <c r="D32" s="263" t="n"/>
      <c r="E32" s="264" t="n"/>
      <c r="F32" s="265" t="n"/>
      <c r="G32" s="219" t="n"/>
      <c r="H32" s="262" t="n"/>
    </row>
    <row r="33" s="66">
      <c r="A33" s="213">
        <f>ROW()-ROW(A$28)</f>
        <v/>
      </c>
      <c r="B33" s="214" t="n"/>
      <c r="C33" s="215" t="n"/>
      <c r="D33" s="263" t="n"/>
      <c r="E33" s="264" t="n"/>
      <c r="F33" s="265" t="n"/>
      <c r="G33" s="219" t="n"/>
      <c r="H33" s="262" t="n"/>
    </row>
    <row r="34" s="66">
      <c r="A34" s="213">
        <f>ROW()-ROW(A$28)</f>
        <v/>
      </c>
      <c r="B34" s="214" t="n"/>
      <c r="C34" s="215" t="n"/>
      <c r="D34" s="263" t="n"/>
      <c r="E34" s="264" t="n"/>
      <c r="F34" s="265" t="n"/>
      <c r="G34" s="219" t="n"/>
      <c r="H34" s="262" t="n"/>
    </row>
    <row r="35" s="66">
      <c r="A35" s="213">
        <f>ROW()-ROW(A$28)</f>
        <v/>
      </c>
      <c r="B35" s="214" t="n"/>
      <c r="C35" s="215" t="n"/>
      <c r="D35" s="263" t="n"/>
      <c r="E35" s="264" t="n"/>
      <c r="F35" s="265" t="n"/>
      <c r="G35" s="219" t="n"/>
      <c r="H35" s="262" t="n"/>
    </row>
    <row r="36" s="66">
      <c r="A36" s="213">
        <f>ROW()-ROW(A$28)</f>
        <v/>
      </c>
      <c r="B36" s="214" t="n"/>
      <c r="C36" s="215" t="n"/>
      <c r="D36" s="263" t="n"/>
      <c r="E36" s="264" t="n"/>
      <c r="F36" s="265" t="n"/>
      <c r="G36" s="219" t="n"/>
      <c r="H36" s="262" t="n"/>
    </row>
    <row r="37" s="66">
      <c r="A37" s="213">
        <f>ROW()-ROW(A$28)</f>
        <v/>
      </c>
      <c r="B37" s="214" t="n"/>
      <c r="C37" s="215" t="n"/>
      <c r="D37" s="263" t="n"/>
      <c r="E37" s="264" t="n"/>
      <c r="F37" s="265" t="n"/>
      <c r="G37" s="219" t="n"/>
      <c r="H37" s="262" t="n"/>
    </row>
    <row r="38" s="66">
      <c r="A38" s="213">
        <f>ROW()-ROW(A$28)</f>
        <v/>
      </c>
      <c r="B38" s="214" t="n"/>
      <c r="C38" s="215" t="n"/>
      <c r="D38" s="263" t="n"/>
      <c r="E38" s="264" t="n"/>
      <c r="F38" s="265" t="n"/>
      <c r="G38" s="219" t="n"/>
      <c r="H38" s="262" t="n"/>
    </row>
    <row r="39" s="66">
      <c r="A39" s="213">
        <f>ROW()-ROW(A$28)</f>
        <v/>
      </c>
      <c r="B39" s="214" t="n"/>
      <c r="C39" s="215" t="n"/>
      <c r="D39" s="263" t="n"/>
      <c r="E39" s="264" t="n"/>
      <c r="F39" s="265" t="n"/>
      <c r="G39" s="219" t="n"/>
      <c r="H39" s="262" t="n"/>
    </row>
    <row r="40" s="66">
      <c r="A40" s="213">
        <f>ROW()-ROW(A$28)</f>
        <v/>
      </c>
      <c r="B40" s="214" t="n"/>
      <c r="C40" s="215" t="n"/>
      <c r="D40" s="263" t="n"/>
      <c r="E40" s="264" t="n"/>
      <c r="F40" s="265" t="n"/>
      <c r="G40" s="219" t="n"/>
      <c r="H40" s="262" t="n"/>
    </row>
    <row r="41" s="66">
      <c r="A41" s="213">
        <f>ROW()-ROW(A$28)</f>
        <v/>
      </c>
      <c r="B41" s="214" t="n"/>
      <c r="C41" s="215" t="n"/>
      <c r="D41" s="263" t="n"/>
      <c r="E41" s="264" t="n"/>
      <c r="F41" s="265" t="n"/>
      <c r="G41" s="219" t="n"/>
      <c r="H41" s="262" t="n"/>
    </row>
    <row r="42" s="66">
      <c r="A42" s="213">
        <f>ROW()-ROW(A$28)</f>
        <v/>
      </c>
      <c r="B42" s="214" t="n"/>
      <c r="C42" s="215" t="n"/>
      <c r="D42" s="263" t="n"/>
      <c r="E42" s="264" t="n"/>
      <c r="F42" s="265" t="n"/>
      <c r="G42" s="219" t="n"/>
      <c r="H42" s="262" t="n"/>
    </row>
    <row r="43" s="66">
      <c r="A43" s="213">
        <f>ROW()-ROW(A$28)</f>
        <v/>
      </c>
      <c r="B43" s="214" t="n"/>
      <c r="C43" s="215" t="n"/>
      <c r="D43" s="263" t="n"/>
      <c r="E43" s="264" t="n"/>
      <c r="F43" s="265" t="n"/>
      <c r="G43" s="219" t="n"/>
      <c r="H43" s="262" t="n"/>
    </row>
    <row r="44" s="66">
      <c r="A44" s="213">
        <f>ROW()-ROW(A$28)</f>
        <v/>
      </c>
      <c r="B44" s="214" t="n"/>
      <c r="C44" s="215" t="n"/>
      <c r="D44" s="263" t="n"/>
      <c r="E44" s="264" t="n"/>
      <c r="F44" s="265" t="n"/>
      <c r="G44" s="219" t="n"/>
      <c r="H44" s="262" t="n"/>
    </row>
    <row r="45" s="66">
      <c r="A45" s="213">
        <f>ROW()-ROW(A$28)</f>
        <v/>
      </c>
      <c r="B45" s="214" t="n"/>
      <c r="C45" s="215" t="n"/>
      <c r="D45" s="263" t="n"/>
      <c r="E45" s="264" t="n"/>
      <c r="F45" s="265" t="n"/>
      <c r="G45" s="219" t="n"/>
      <c r="H45" s="262" t="n"/>
    </row>
    <row r="46" s="66">
      <c r="A46" s="213">
        <f>ROW()-ROW(A$28)</f>
        <v/>
      </c>
      <c r="B46" s="220" t="n"/>
      <c r="C46" s="221" t="n"/>
      <c r="D46" s="266" t="n"/>
      <c r="E46" s="264" t="n"/>
      <c r="F46" s="265" t="n"/>
      <c r="G46" s="219" t="n"/>
      <c r="H46" s="262" t="n"/>
    </row>
    <row r="47" s="66">
      <c r="A47" s="213">
        <f>ROW()-ROW(A$28)</f>
        <v/>
      </c>
      <c r="B47" s="214" t="n"/>
      <c r="C47" s="215" t="n"/>
      <c r="D47" s="266" t="n"/>
      <c r="E47" s="264" t="n"/>
      <c r="F47" s="265" t="n"/>
      <c r="G47" s="219" t="n"/>
      <c r="H47" s="262" t="n"/>
    </row>
    <row r="48" s="66">
      <c r="A48" s="213">
        <f>ROW()-ROW(A$28)</f>
        <v/>
      </c>
      <c r="B48" s="214" t="n"/>
      <c r="C48" s="215" t="n"/>
      <c r="D48" s="266" t="n"/>
      <c r="E48" s="264" t="n"/>
      <c r="F48" s="265" t="n"/>
      <c r="G48" s="219" t="n"/>
      <c r="H48" s="262" t="n"/>
    </row>
    <row r="49" s="66">
      <c r="A49" s="213">
        <f>ROW()-ROW(A$28)</f>
        <v/>
      </c>
      <c r="B49" s="223" t="n"/>
      <c r="C49" s="215" t="n"/>
      <c r="D49" s="266" t="n"/>
      <c r="E49" s="264" t="n"/>
      <c r="F49" s="265" t="n"/>
      <c r="G49" s="219" t="n"/>
      <c r="H49" s="262" t="n"/>
    </row>
    <row r="50" s="66">
      <c r="A50" s="213">
        <f>ROW()-ROW(A$28)</f>
        <v/>
      </c>
      <c r="B50" s="223" t="n"/>
      <c r="C50" s="215" t="n"/>
      <c r="D50" s="267" t="n"/>
      <c r="E50" s="264" t="n"/>
      <c r="F50" s="265" t="n"/>
      <c r="G50" s="219" t="n"/>
      <c r="H50" s="262" t="n"/>
    </row>
    <row r="51" s="66">
      <c r="A51" s="213">
        <f>ROW()-ROW(A$28)</f>
        <v/>
      </c>
      <c r="B51" s="223" t="n"/>
      <c r="C51" s="215" t="n"/>
      <c r="D51" s="263" t="n"/>
      <c r="E51" s="264" t="n"/>
      <c r="F51" s="265" t="n"/>
      <c r="G51" s="219" t="n"/>
      <c r="H51" s="262" t="n"/>
    </row>
    <row r="52" s="66">
      <c r="A52" s="213">
        <f>ROW()-ROW(A$28)</f>
        <v/>
      </c>
      <c r="B52" s="223" t="n"/>
      <c r="C52" s="215" t="n"/>
      <c r="D52" s="263" t="n"/>
      <c r="E52" s="264" t="n"/>
      <c r="F52" s="265" t="n"/>
      <c r="G52" s="219" t="n"/>
      <c r="H52" s="262" t="n"/>
    </row>
    <row r="53" s="66">
      <c r="A53" s="213">
        <f>ROW()-ROW(A$28)</f>
        <v/>
      </c>
      <c r="B53" s="225" t="inlineStr">
        <is>
          <t>小计</t>
        </is>
      </c>
      <c r="C53" s="221">
        <f>ROUND(SUM(C28:INDEX(C:C,ROW()-1)),2)</f>
        <v/>
      </c>
      <c r="D53" s="268">
        <f>ROUND(SUM(D28:INDEX(D:D,ROW()-1)),2)</f>
        <v/>
      </c>
      <c r="E53" s="264">
        <f>ROUND(SUM(E28:INDEX(E:E,ROW()-1)),2)</f>
        <v/>
      </c>
      <c r="F53" s="265">
        <f>SUM(F28:INDEX(F:F,ROW()-1))</f>
        <v/>
      </c>
      <c r="G53" s="219">
        <f>IF(D53=0,0,F53/D53)</f>
        <v/>
      </c>
      <c r="H53" s="269">
        <f>SUM(H28:INDEX(H:H,ROW()-1))</f>
        <v/>
      </c>
    </row>
    <row r="54" s="66">
      <c r="A54" s="213">
        <f>ROW()-ROW(A$28)</f>
        <v/>
      </c>
      <c r="B54" s="225" t="inlineStr">
        <is>
          <t>运费</t>
        </is>
      </c>
      <c r="C54" s="221" t="n"/>
      <c r="D54" s="266" t="n">
        <v>0</v>
      </c>
      <c r="E54" s="270" t="n"/>
      <c r="F54" s="271" t="n"/>
      <c r="G54" s="230" t="n"/>
      <c r="H54" s="269" t="n"/>
    </row>
    <row r="55" s="66">
      <c r="A55" s="36">
        <f>ROW()-ROW(A$28)</f>
        <v/>
      </c>
      <c r="B55" s="231" t="inlineStr">
        <is>
          <t>合计</t>
        </is>
      </c>
      <c r="C55" s="232" t="n"/>
      <c r="D55" s="272">
        <f>ROUND(SUM(D53:D54),2)</f>
        <v/>
      </c>
      <c r="E55" s="273" t="n"/>
      <c r="F55" s="274" t="n"/>
      <c r="G55" s="236" t="n"/>
      <c r="H55" s="275" t="n"/>
    </row>
    <row r="56" s="66">
      <c r="A56" s="36">
        <f>ROW()-ROW(A$28)</f>
        <v/>
      </c>
      <c r="B56" s="231" t="inlineStr">
        <is>
          <t>人民币大写</t>
        </is>
      </c>
      <c r="C56" s="276">
        <f>TEXT(SUBSTITUTE(IF(D55="","",IF(MOD(D55,1)=0,TEXT(INT(D55),"[DBNum2][$-804]G/通用格式元整"),(TEXT(INT(D55),"[DBNum2][$-804]G/通用格式元")&amp;TEXT((INT(D55*10)-INT(D55)*10),"[DBNum2][$-804]G/通用格式角")&amp;TEXT((INT(D55*100)-INT(D55*10)*10),"[DBNum2][$-804]G/通用格式分")))),"零角","零"),)</f>
        <v/>
      </c>
      <c r="D56" s="277" t="n"/>
      <c r="E56" s="145" t="n"/>
      <c r="F56" s="145" t="n"/>
      <c r="G56" s="145" t="n"/>
      <c r="H56" s="144" t="n"/>
    </row>
    <row r="57" ht="15" customHeight="1" s="66">
      <c r="A57" s="278" t="inlineStr">
        <is>
          <t>报表说明</t>
        </is>
      </c>
      <c r="B57" s="241" t="inlineStr">
        <is>
          <t>1、包含13%增值税。
2、报价有效期30天。</t>
        </is>
      </c>
      <c r="C57" s="279" t="n"/>
      <c r="D57" s="280" t="n"/>
      <c r="E57" s="145" t="n"/>
      <c r="F57" s="145" t="n"/>
      <c r="G57" s="145" t="n"/>
      <c r="H57" s="144" t="n"/>
    </row>
    <row r="58" ht="15" customHeight="1" s="66">
      <c r="A58" s="281" t="n"/>
      <c r="B58" s="282" t="n"/>
      <c r="C58" s="283" t="n"/>
      <c r="D58" s="284" t="n"/>
      <c r="E58" s="145" t="n"/>
      <c r="F58" s="145" t="n"/>
      <c r="G58" s="145" t="n"/>
      <c r="H58" s="144" t="n"/>
    </row>
    <row r="59" s="66">
      <c r="A59" s="64" t="n"/>
      <c r="B59" s="64" t="n"/>
      <c r="C59" s="64" t="n"/>
      <c r="D59" s="248" t="n"/>
      <c r="E59" s="145" t="n"/>
      <c r="F59" s="145" t="n"/>
      <c r="G59" s="145" t="n"/>
      <c r="H59" s="144" t="n"/>
    </row>
  </sheetData>
  <mergeCells count="30">
    <mergeCell ref="B11:D11"/>
    <mergeCell ref="B14:D14"/>
    <mergeCell ref="B23:D23"/>
    <mergeCell ref="A4:D4"/>
    <mergeCell ref="B8:D8"/>
    <mergeCell ref="B17:D17"/>
    <mergeCell ref="A13:D13"/>
    <mergeCell ref="B10:D10"/>
    <mergeCell ref="E4:F4"/>
    <mergeCell ref="B19:D19"/>
    <mergeCell ref="B9:D9"/>
    <mergeCell ref="B15:D15"/>
    <mergeCell ref="C56:D56"/>
    <mergeCell ref="B6:D6"/>
    <mergeCell ref="B24:D24"/>
    <mergeCell ref="B20:D20"/>
    <mergeCell ref="A1:D1"/>
    <mergeCell ref="B5:D5"/>
    <mergeCell ref="A57:A58"/>
    <mergeCell ref="B57:D58"/>
    <mergeCell ref="B26:D26"/>
    <mergeCell ref="B7:D7"/>
    <mergeCell ref="B25:D25"/>
    <mergeCell ref="B16:D16"/>
    <mergeCell ref="A27:D27"/>
    <mergeCell ref="B22:D22"/>
    <mergeCell ref="A21:D21"/>
    <mergeCell ref="B18:D18"/>
    <mergeCell ref="A2:D2"/>
    <mergeCell ref="B12:D12"/>
  </mergeCells>
  <dataValidations count="1">
    <dataValidation sqref="H29:H52" showDropDown="0" showInputMessage="1" showErrorMessage="1" allowBlank="1" type="list">
      <formula1>"常规,箱变"</formula1>
    </dataValidation>
  </dataValidations>
  <hyperlinks>
    <hyperlink ref="A29" location="folderTable9d0678018b5746038ba7e7e139a5b545" tooltip="点击进入本标段报价清单" display="=ROW()-ROW(A$28)"/>
  </hyperlink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57"/>
  <sheetViews>
    <sheetView showGridLines="0" tabSelected="1" zoomScale="85" zoomScaleNormal="85" workbookViewId="0">
      <selection activeCell="C11" sqref="C11"/>
    </sheetView>
  </sheetViews>
  <sheetFormatPr baseColWidth="8" defaultColWidth="8.888888888888889" defaultRowHeight="18" customHeight="1"/>
  <cols>
    <col width="5" customWidth="1" style="66" min="1" max="1"/>
    <col width="15.6666666666667" customWidth="1" style="66" min="2" max="2"/>
    <col width="30.0648148148148" customWidth="1" style="66" min="3" max="3"/>
    <col width="13.5" customWidth="1" style="66" min="4" max="4"/>
    <col width="5.25" customWidth="1" style="66" min="5" max="6"/>
    <col width="12.6296296296296" customWidth="1" style="66" min="7" max="11"/>
    <col width="7.5" customWidth="1" style="66" min="12" max="12"/>
    <col width="12.6296296296296" customWidth="1" style="66" min="13" max="13"/>
    <col width="9.75" customWidth="1" style="66" min="14" max="14"/>
    <col hidden="1" width="7.5" customWidth="1" style="66" min="15" max="15"/>
    <col hidden="1" width="12.6296296296296" customWidth="1" style="66" min="16" max="16"/>
    <col width="6" customWidth="1" style="66" min="17" max="17"/>
    <col width="9.75" customWidth="1" style="66" min="18" max="19"/>
    <col hidden="1" width="8.888888888888889" customWidth="1" style="66" min="20" max="21"/>
    <col hidden="1" width="8.75" customWidth="1" style="66" min="22" max="23"/>
    <col hidden="1" width="8.888888888888889" customWidth="1" style="66" min="25" max="25"/>
    <col hidden="1" width="8.888888888888889" customWidth="1" style="66" min="28" max="28"/>
  </cols>
  <sheetData>
    <row r="1" s="66">
      <c r="A1" s="3" t="n"/>
      <c r="B1" s="145" t="n"/>
      <c r="C1" s="145" t="n"/>
      <c r="D1" s="145" t="n"/>
      <c r="E1" s="145" t="n"/>
      <c r="F1" s="4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</row>
    <row r="2" s="66">
      <c r="A2" s="5">
        <f>T(项目信息!B22)</f>
        <v/>
      </c>
      <c r="J2" s="145" t="n"/>
      <c r="K2" s="145" t="n"/>
      <c r="L2" s="145" t="n"/>
      <c r="M2" s="145" t="n"/>
      <c r="N2" s="145" t="n"/>
      <c r="O2" s="145" t="n"/>
      <c r="P2" s="145" t="n"/>
      <c r="Q2" s="145" t="n"/>
    </row>
    <row r="3" s="66">
      <c r="A3" s="6">
        <f>T(项目信息!B23)</f>
        <v/>
      </c>
      <c r="J3" s="145" t="n"/>
      <c r="K3" s="145" t="n"/>
      <c r="L3" s="145" t="n"/>
      <c r="M3" s="145" t="n"/>
      <c r="N3" s="145" t="n"/>
      <c r="O3" s="145" t="n"/>
      <c r="P3" s="145" t="n"/>
      <c r="Q3" s="145" t="n"/>
    </row>
    <row r="4" s="66">
      <c r="A4" s="7" t="inlineStr">
        <is>
          <t xml:space="preserve">     成套产品报价清单                          金额单位：人民币元</t>
        </is>
      </c>
      <c r="B4" s="285" t="n"/>
      <c r="C4" s="285" t="n"/>
      <c r="D4" s="285" t="n"/>
      <c r="E4" s="285" t="n"/>
      <c r="F4" s="285" t="n"/>
      <c r="G4" s="285" t="n"/>
      <c r="H4" s="285" t="n"/>
      <c r="I4" s="285" t="n"/>
      <c r="J4" s="145" t="n"/>
      <c r="K4" s="145" t="n"/>
      <c r="L4" s="145" t="n"/>
      <c r="M4" s="145" t="n"/>
      <c r="N4" s="145" t="n"/>
      <c r="O4" s="145" t="n"/>
      <c r="P4" s="145" t="n"/>
      <c r="Q4" s="145" t="n"/>
    </row>
    <row r="5" s="66">
      <c r="A5" s="286">
        <f>CONCATENATE("项目名称:",项目信息!B5)</f>
        <v/>
      </c>
      <c r="B5" s="251" t="n"/>
      <c r="C5" s="251" t="n"/>
      <c r="D5" s="251" t="n"/>
      <c r="E5" s="251" t="n"/>
      <c r="F5" s="251" t="n"/>
      <c r="G5" s="252" t="n"/>
      <c r="H5" s="192">
        <f>CONCATENATE("报价序号:",项目信息!B7)</f>
        <v/>
      </c>
      <c r="I5" s="252" t="n"/>
      <c r="J5" s="145" t="n"/>
      <c r="K5" s="145" t="n"/>
      <c r="L5" s="145" t="n"/>
      <c r="M5" s="145" t="n"/>
      <c r="N5" s="145" t="n"/>
      <c r="O5" s="145" t="n"/>
      <c r="P5" s="145" t="n"/>
      <c r="Q5" s="145" t="n"/>
    </row>
    <row r="6" s="66">
      <c r="A6" s="13" t="inlineStr">
        <is>
          <t>序号</t>
        </is>
      </c>
      <c r="B6" s="14" t="inlineStr">
        <is>
          <t>柜号</t>
        </is>
      </c>
      <c r="C6" s="14" t="inlineStr">
        <is>
          <t>箱柜名称</t>
        </is>
      </c>
      <c r="D6" s="14" t="inlineStr">
        <is>
          <t>箱柜型号</t>
        </is>
      </c>
      <c r="E6" s="15" t="inlineStr">
        <is>
          <t>单位</t>
        </is>
      </c>
      <c r="F6" s="15" t="inlineStr">
        <is>
          <t>数量</t>
        </is>
      </c>
      <c r="G6" s="287" t="inlineStr">
        <is>
          <t>单  价</t>
        </is>
      </c>
      <c r="H6" s="256" t="inlineStr">
        <is>
          <t>总   价</t>
        </is>
      </c>
      <c r="I6" s="14" t="inlineStr">
        <is>
          <t>备注</t>
        </is>
      </c>
      <c r="J6" s="257" t="inlineStr">
        <is>
          <t>成本总价</t>
        </is>
      </c>
      <c r="K6" s="258" t="inlineStr">
        <is>
          <t>毛利</t>
        </is>
      </c>
      <c r="L6" s="80" t="inlineStr">
        <is>
          <t>毛利率</t>
        </is>
      </c>
      <c r="M6" s="81" t="inlineStr">
        <is>
          <t>箱柜尺寸</t>
        </is>
      </c>
      <c r="N6" s="81" t="inlineStr">
        <is>
          <t>类别</t>
        </is>
      </c>
      <c r="O6" s="82" t="inlineStr">
        <is>
          <t>预留</t>
        </is>
      </c>
      <c r="P6" s="82" t="inlineStr">
        <is>
          <t>预留</t>
        </is>
      </c>
      <c r="Q6" s="81" t="inlineStr">
        <is>
          <t>图号</t>
        </is>
      </c>
    </row>
    <row r="7" s="66">
      <c r="A7" s="18">
        <f>ROW()-ROW(A$6)</f>
        <v/>
      </c>
      <c r="B7" s="20" t="inlineStr">
        <is>
          <t>1D1</t>
        </is>
      </c>
      <c r="C7" s="20" t="inlineStr">
        <is>
          <t>进线柜</t>
        </is>
      </c>
      <c r="D7" s="20" t="inlineStr">
        <is>
          <t>Blokset</t>
        </is>
      </c>
      <c r="E7" s="21" t="inlineStr">
        <is>
          <t>台</t>
        </is>
      </c>
      <c r="F7" s="21" t="n">
        <v>1</v>
      </c>
      <c r="G7" s="288">
        <f>ROUND(H74,2)</f>
        <v/>
      </c>
      <c r="H7" s="289">
        <f>ROUND(F7*G7,2)</f>
        <v/>
      </c>
      <c r="I7" s="83" t="n"/>
      <c r="J7" s="290">
        <f>ROUND(K75,2)</f>
        <v/>
      </c>
      <c r="K7" s="291">
        <f>ROUND(H7-J7,2)</f>
        <v/>
      </c>
      <c r="L7" s="86">
        <f>IF(H7=0,0,K7/H7)</f>
        <v/>
      </c>
      <c r="M7" s="87" t="inlineStr">
        <is>
          <t>1100W*1000D*2200H</t>
        </is>
      </c>
      <c r="N7" s="88" t="n"/>
      <c r="O7" s="89" t="n"/>
      <c r="P7" s="90" t="n"/>
      <c r="Q7" s="140" t="n"/>
    </row>
    <row r="8" s="66">
      <c r="A8" s="24">
        <f>ROW()-ROW(A$6)</f>
        <v/>
      </c>
      <c r="B8" s="25" t="inlineStr">
        <is>
          <t>1D2 1D3 2D2 2D3</t>
        </is>
      </c>
      <c r="C8" s="25" t="inlineStr">
        <is>
          <t>电容柜</t>
        </is>
      </c>
      <c r="D8" s="20" t="inlineStr">
        <is>
          <t>Blokset</t>
        </is>
      </c>
      <c r="E8" s="26" t="inlineStr">
        <is>
          <t>台</t>
        </is>
      </c>
      <c r="F8" s="26" t="n">
        <v>4</v>
      </c>
      <c r="G8" s="292">
        <f>ROUND(H108,2)</f>
        <v/>
      </c>
      <c r="H8" s="293">
        <f>ROUND(F8*G8,2)</f>
        <v/>
      </c>
      <c r="I8" s="91" t="n"/>
      <c r="J8" s="294">
        <f>ROUND(K109,2)</f>
        <v/>
      </c>
      <c r="K8" s="295">
        <f>ROUND(H8-J8,2)</f>
        <v/>
      </c>
      <c r="L8" s="94">
        <f>IF(H8=0,0,K8/H8)</f>
        <v/>
      </c>
      <c r="M8" s="95" t="inlineStr">
        <is>
          <t>1000W*1000D*2200H</t>
        </is>
      </c>
      <c r="N8" s="96" t="n"/>
      <c r="O8" s="97" t="n"/>
      <c r="P8" s="98" t="n"/>
      <c r="Q8" s="141" t="n"/>
    </row>
    <row r="9" s="66">
      <c r="A9" s="24">
        <f>ROW()-ROW(A$6)</f>
        <v/>
      </c>
      <c r="B9" s="25" t="inlineStr">
        <is>
          <t>1D4 2D4</t>
        </is>
      </c>
      <c r="C9" s="25" t="inlineStr">
        <is>
          <t>出线柜</t>
        </is>
      </c>
      <c r="D9" s="20" t="inlineStr">
        <is>
          <t>Blokset</t>
        </is>
      </c>
      <c r="E9" s="26" t="inlineStr">
        <is>
          <t>台</t>
        </is>
      </c>
      <c r="F9" s="26" t="n">
        <v>2</v>
      </c>
      <c r="G9" s="292">
        <f>ROUND(H150,2)</f>
        <v/>
      </c>
      <c r="H9" s="293">
        <f>ROUND(F9*G9,2)</f>
        <v/>
      </c>
      <c r="I9" s="91" t="n"/>
      <c r="J9" s="294">
        <f>ROUND(K151,2)</f>
        <v/>
      </c>
      <c r="K9" s="295">
        <f>ROUND(H9-J9,2)</f>
        <v/>
      </c>
      <c r="L9" s="94">
        <f>IF(H9=0,0,K9/H9)</f>
        <v/>
      </c>
      <c r="M9" s="95" t="inlineStr">
        <is>
          <t>600W*1000D*2200H</t>
        </is>
      </c>
      <c r="N9" s="96" t="n"/>
      <c r="O9" s="97" t="n"/>
      <c r="P9" s="98" t="n"/>
      <c r="Q9" s="141" t="n"/>
    </row>
    <row r="10" s="66">
      <c r="A10" s="24">
        <f>ROW()-ROW(A$6)</f>
        <v/>
      </c>
      <c r="B10" s="29" t="inlineStr">
        <is>
          <t>1D5</t>
        </is>
      </c>
      <c r="C10" s="25" t="inlineStr">
        <is>
          <t>出线柜</t>
        </is>
      </c>
      <c r="D10" s="20" t="inlineStr">
        <is>
          <t>Blokset</t>
        </is>
      </c>
      <c r="E10" s="30" t="inlineStr">
        <is>
          <t>台</t>
        </is>
      </c>
      <c r="F10" s="26" t="n">
        <v>1</v>
      </c>
      <c r="G10" s="292">
        <f>ROUND(H188,2)</f>
        <v/>
      </c>
      <c r="H10" s="293">
        <f>ROUND(F10*G10,2)</f>
        <v/>
      </c>
      <c r="I10" s="91" t="n"/>
      <c r="J10" s="294">
        <f>ROUND(K189,2)</f>
        <v/>
      </c>
      <c r="K10" s="295">
        <f>ROUND(H10-J10,2)</f>
        <v/>
      </c>
      <c r="L10" s="99">
        <f>IF(H10=0,0,K10/H10)</f>
        <v/>
      </c>
      <c r="M10" s="95" t="inlineStr">
        <is>
          <t>600W*1000D*2200H</t>
        </is>
      </c>
      <c r="N10" s="96" t="n"/>
      <c r="O10" s="97" t="n"/>
      <c r="P10" s="98" t="n"/>
      <c r="Q10" s="141" t="n"/>
    </row>
    <row r="11" s="66">
      <c r="A11" s="24">
        <f>ROW()-ROW(A$6)</f>
        <v/>
      </c>
      <c r="B11" s="29" t="inlineStr">
        <is>
          <t>1D6</t>
        </is>
      </c>
      <c r="C11" s="25" t="inlineStr">
        <is>
          <t>出线柜</t>
        </is>
      </c>
      <c r="D11" s="25" t="inlineStr">
        <is>
          <t>Blokset</t>
        </is>
      </c>
      <c r="E11" s="26" t="inlineStr">
        <is>
          <t>台</t>
        </is>
      </c>
      <c r="F11" s="26" t="n">
        <v>1</v>
      </c>
      <c r="G11" s="292">
        <f>ROUND(H227,2)</f>
        <v/>
      </c>
      <c r="H11" s="293">
        <f>ROUND(F11*G11,2)</f>
        <v/>
      </c>
      <c r="I11" s="91" t="n"/>
      <c r="J11" s="294">
        <f>ROUND(K228,2)</f>
        <v/>
      </c>
      <c r="K11" s="295">
        <f>ROUND(H11-J11,2)</f>
        <v/>
      </c>
      <c r="L11" s="94">
        <f>IF(H11=0,0,K11/H11)</f>
        <v/>
      </c>
      <c r="M11" s="95" t="inlineStr">
        <is>
          <t>600W*1000D*2200H</t>
        </is>
      </c>
      <c r="N11" s="96" t="n"/>
      <c r="O11" s="97" t="n"/>
      <c r="P11" s="98" t="n"/>
      <c r="Q11" s="141" t="n"/>
    </row>
    <row r="12" s="66">
      <c r="A12" s="24">
        <f>ROW()-ROW(A$6)</f>
        <v/>
      </c>
      <c r="B12" s="29" t="inlineStr">
        <is>
          <t>1D7</t>
        </is>
      </c>
      <c r="C12" s="25" t="inlineStr">
        <is>
          <t>母联柜</t>
        </is>
      </c>
      <c r="D12" s="25" t="inlineStr">
        <is>
          <t>Blokset</t>
        </is>
      </c>
      <c r="E12" s="26" t="inlineStr">
        <is>
          <t>台</t>
        </is>
      </c>
      <c r="F12" s="26" t="n">
        <v>1</v>
      </c>
      <c r="G12" s="292">
        <f>ROUND(H256,2)</f>
        <v/>
      </c>
      <c r="H12" s="293">
        <f>ROUND(F12*G12,2)</f>
        <v/>
      </c>
      <c r="I12" s="91" t="n"/>
      <c r="J12" s="294">
        <f>ROUND(K257,2)</f>
        <v/>
      </c>
      <c r="K12" s="295">
        <f>ROUND(H12-J12,2)</f>
        <v/>
      </c>
      <c r="L12" s="94">
        <f>IF(H12=0,0,K12/H12)</f>
        <v/>
      </c>
      <c r="M12" s="95" t="inlineStr">
        <is>
          <t>900W*1000D*2200H</t>
        </is>
      </c>
      <c r="N12" s="96" t="n"/>
      <c r="O12" s="97" t="n"/>
      <c r="P12" s="98" t="n"/>
      <c r="Q12" s="141" t="n"/>
    </row>
    <row r="13" s="66">
      <c r="A13" s="24">
        <f>ROW()-ROW(A$6)</f>
        <v/>
      </c>
      <c r="B13" s="25" t="inlineStr">
        <is>
          <t>2D6</t>
        </is>
      </c>
      <c r="C13" s="25" t="inlineStr">
        <is>
          <t>出线柜</t>
        </is>
      </c>
      <c r="D13" s="25" t="inlineStr">
        <is>
          <t>Blokset</t>
        </is>
      </c>
      <c r="E13" s="26" t="inlineStr">
        <is>
          <t>台</t>
        </is>
      </c>
      <c r="F13" s="26" t="n">
        <v>1</v>
      </c>
      <c r="G13" s="292">
        <f>ROUND(H297,2)</f>
        <v/>
      </c>
      <c r="H13" s="293">
        <f>ROUND(F13*G13,2)</f>
        <v/>
      </c>
      <c r="I13" s="91" t="n"/>
      <c r="J13" s="294">
        <f>ROUND(K298,2)</f>
        <v/>
      </c>
      <c r="K13" s="295">
        <f>ROUND(H13-J13,2)</f>
        <v/>
      </c>
      <c r="L13" s="94">
        <f>IF(H13=0,0,K13/H13)</f>
        <v/>
      </c>
      <c r="M13" s="95" t="inlineStr">
        <is>
          <t>600W*1000D*2200H</t>
        </is>
      </c>
      <c r="N13" s="96" t="n"/>
      <c r="O13" s="97" t="n"/>
      <c r="P13" s="98" t="n"/>
      <c r="Q13" s="141" t="n"/>
    </row>
    <row r="14" s="66">
      <c r="A14" s="24">
        <f>ROW()-ROW(A$6)</f>
        <v/>
      </c>
      <c r="B14" s="25" t="inlineStr">
        <is>
          <t>2D5</t>
        </is>
      </c>
      <c r="C14" s="25" t="inlineStr">
        <is>
          <t>出线柜</t>
        </is>
      </c>
      <c r="D14" s="25" t="inlineStr">
        <is>
          <t>Blokset</t>
        </is>
      </c>
      <c r="E14" s="26" t="inlineStr">
        <is>
          <t>台</t>
        </is>
      </c>
      <c r="F14" s="26" t="n">
        <v>1</v>
      </c>
      <c r="G14" s="292">
        <f>ROUND(H336,2)</f>
        <v/>
      </c>
      <c r="H14" s="293">
        <f>ROUND(F14*G14,2)</f>
        <v/>
      </c>
      <c r="I14" s="91" t="n"/>
      <c r="J14" s="294">
        <f>ROUND(K337,2)</f>
        <v/>
      </c>
      <c r="K14" s="295">
        <f>ROUND(H14-J14,2)</f>
        <v/>
      </c>
      <c r="L14" s="94">
        <f>IF(H14=0,0,K14/H14)</f>
        <v/>
      </c>
      <c r="M14" s="95" t="inlineStr">
        <is>
          <t>600W*1000D*2200H</t>
        </is>
      </c>
      <c r="N14" s="96" t="n"/>
      <c r="O14" s="97" t="n"/>
      <c r="P14" s="98" t="n"/>
      <c r="Q14" s="141" t="n"/>
    </row>
    <row r="15" s="66">
      <c r="A15" s="24">
        <f>ROW()-ROW(A$6)</f>
        <v/>
      </c>
      <c r="B15" s="25" t="inlineStr">
        <is>
          <t>2D1</t>
        </is>
      </c>
      <c r="C15" s="25" t="inlineStr">
        <is>
          <t>进线柜</t>
        </is>
      </c>
      <c r="D15" s="25" t="inlineStr">
        <is>
          <t>Blokset</t>
        </is>
      </c>
      <c r="E15" s="26" t="inlineStr">
        <is>
          <t>台</t>
        </is>
      </c>
      <c r="F15" s="26" t="n">
        <v>1</v>
      </c>
      <c r="G15" s="292">
        <f>ROUND(H367,2)</f>
        <v/>
      </c>
      <c r="H15" s="293">
        <f>ROUND(F15*G15,2)</f>
        <v/>
      </c>
      <c r="I15" s="91" t="n"/>
      <c r="J15" s="294">
        <f>ROUND(K368,2)</f>
        <v/>
      </c>
      <c r="K15" s="295">
        <f>ROUND(H15-J15,2)</f>
        <v/>
      </c>
      <c r="L15" s="94">
        <f>IF(H15=0,0,K15/H15)</f>
        <v/>
      </c>
      <c r="M15" s="95" t="inlineStr">
        <is>
          <t>900W*1000D*2200H</t>
        </is>
      </c>
      <c r="N15" s="96" t="n"/>
      <c r="O15" s="97" t="n"/>
      <c r="P15" s="98" t="n"/>
      <c r="Q15" s="141" t="n"/>
    </row>
    <row r="16" s="66">
      <c r="A16" s="24">
        <f>ROW()-ROW(A$6)</f>
        <v/>
      </c>
      <c r="B16" s="25" t="inlineStr">
        <is>
          <t>3D1</t>
        </is>
      </c>
      <c r="C16" s="25" t="inlineStr">
        <is>
          <t>进线柜</t>
        </is>
      </c>
      <c r="D16" s="25" t="inlineStr">
        <is>
          <t>Blokset</t>
        </is>
      </c>
      <c r="E16" s="26" t="inlineStr">
        <is>
          <t>台</t>
        </is>
      </c>
      <c r="F16" s="26" t="n">
        <v>1</v>
      </c>
      <c r="G16" s="292">
        <f>ROUND(H403,2)</f>
        <v/>
      </c>
      <c r="H16" s="293">
        <f>ROUND(F16*G16,2)</f>
        <v/>
      </c>
      <c r="I16" s="91" t="n"/>
      <c r="J16" s="294">
        <f>ROUND(K404,2)</f>
        <v/>
      </c>
      <c r="K16" s="295">
        <f>ROUND(H16-J16,2)</f>
        <v/>
      </c>
      <c r="L16" s="94">
        <f>IF(H16=0,0,K16/H16)</f>
        <v/>
      </c>
      <c r="M16" s="95" t="inlineStr">
        <is>
          <t>700W*1000D*2200H</t>
        </is>
      </c>
      <c r="N16" s="96" t="n"/>
      <c r="O16" s="97" t="n"/>
      <c r="P16" s="98" t="n"/>
      <c r="Q16" s="141" t="n"/>
    </row>
    <row r="17" s="66">
      <c r="A17" s="24">
        <f>ROW()-ROW(A$6)</f>
        <v/>
      </c>
      <c r="B17" s="25" t="inlineStr">
        <is>
          <t>3D2</t>
        </is>
      </c>
      <c r="C17" s="25" t="inlineStr">
        <is>
          <t>电容柜</t>
        </is>
      </c>
      <c r="D17" s="25" t="inlineStr">
        <is>
          <t>Blokset</t>
        </is>
      </c>
      <c r="E17" s="26" t="inlineStr">
        <is>
          <t>台</t>
        </is>
      </c>
      <c r="F17" s="31" t="n">
        <v>1</v>
      </c>
      <c r="G17" s="292">
        <f>ROUND(H435,2)</f>
        <v/>
      </c>
      <c r="H17" s="293">
        <f>ROUND(F17*G17,2)</f>
        <v/>
      </c>
      <c r="I17" s="91" t="n"/>
      <c r="J17" s="294">
        <f>ROUND(K436,2)</f>
        <v/>
      </c>
      <c r="K17" s="295">
        <f>ROUND(H17-J17,2)</f>
        <v/>
      </c>
      <c r="L17" s="94">
        <f>IF(H17=0,0,K17/H17)</f>
        <v/>
      </c>
      <c r="M17" s="95" t="inlineStr">
        <is>
          <t>1000W*1000D*2200H</t>
        </is>
      </c>
      <c r="N17" s="96" t="n"/>
      <c r="O17" s="97" t="n"/>
      <c r="P17" s="98" t="n"/>
      <c r="Q17" s="141" t="n"/>
    </row>
    <row r="18" s="66">
      <c r="A18" s="32">
        <f>ROW()-ROW(A$6)</f>
        <v/>
      </c>
      <c r="B18" s="25" t="inlineStr">
        <is>
          <t>3D3 4D3 4D4</t>
        </is>
      </c>
      <c r="C18" s="25" t="inlineStr">
        <is>
          <t>电容柜</t>
        </is>
      </c>
      <c r="D18" s="25" t="inlineStr">
        <is>
          <t>Blokset</t>
        </is>
      </c>
      <c r="E18" s="26" t="inlineStr">
        <is>
          <t>台</t>
        </is>
      </c>
      <c r="F18" s="31" t="n">
        <v>3</v>
      </c>
      <c r="G18" s="292">
        <f>ROUND(H466,2)</f>
        <v/>
      </c>
      <c r="H18" s="293">
        <f>ROUND(F18*G18,2)</f>
        <v/>
      </c>
      <c r="I18" s="91" t="n"/>
      <c r="J18" s="294">
        <f>ROUND(K467,2)</f>
        <v/>
      </c>
      <c r="K18" s="295">
        <f>ROUND(H18-J18,2)</f>
        <v/>
      </c>
      <c r="L18" s="94">
        <f>IF(H18=0,0,K18/H18)</f>
        <v/>
      </c>
      <c r="M18" s="95" t="inlineStr">
        <is>
          <t>1000W*1000D*2200H</t>
        </is>
      </c>
      <c r="N18" s="96" t="n"/>
      <c r="O18" s="97" t="n"/>
      <c r="P18" s="98" t="n"/>
      <c r="Q18" s="141" t="n"/>
    </row>
    <row r="19" s="66">
      <c r="A19" s="24">
        <f>ROW()-ROW(A$6)</f>
        <v/>
      </c>
      <c r="B19" s="25" t="inlineStr">
        <is>
          <t>3D4 4D5</t>
        </is>
      </c>
      <c r="C19" s="25" t="inlineStr">
        <is>
          <t>出线柜</t>
        </is>
      </c>
      <c r="D19" s="25" t="inlineStr">
        <is>
          <t>Blokset</t>
        </is>
      </c>
      <c r="E19" s="26" t="inlineStr">
        <is>
          <t>台</t>
        </is>
      </c>
      <c r="F19" s="31" t="n">
        <v>2</v>
      </c>
      <c r="G19" s="292">
        <f>ROUND(H507,2)</f>
        <v/>
      </c>
      <c r="H19" s="293">
        <f>ROUND(F19*G19,2)</f>
        <v/>
      </c>
      <c r="I19" s="91" t="n"/>
      <c r="J19" s="294">
        <f>ROUND(K508,2)</f>
        <v/>
      </c>
      <c r="K19" s="295">
        <f>ROUND(H19-J19,2)</f>
        <v/>
      </c>
      <c r="L19" s="94">
        <f>IF(H19=0,0,K19/H19)</f>
        <v/>
      </c>
      <c r="M19" s="95" t="inlineStr">
        <is>
          <t>600W*1000D*2200H</t>
        </is>
      </c>
      <c r="N19" s="96" t="n"/>
      <c r="O19" s="97" t="n"/>
      <c r="P19" s="98" t="n"/>
      <c r="Q19" s="141" t="n"/>
    </row>
    <row r="20" s="66">
      <c r="A20" s="24">
        <f>ROW()-ROW(A$6)</f>
        <v/>
      </c>
      <c r="B20" s="25" t="inlineStr">
        <is>
          <t>3D5 4D6</t>
        </is>
      </c>
      <c r="C20" s="25" t="inlineStr">
        <is>
          <t>出线柜</t>
        </is>
      </c>
      <c r="D20" s="25" t="inlineStr">
        <is>
          <t>Blokset</t>
        </is>
      </c>
      <c r="E20" s="26" t="inlineStr">
        <is>
          <t>台</t>
        </is>
      </c>
      <c r="F20" s="31" t="n">
        <v>2</v>
      </c>
      <c r="G20" s="292">
        <f>ROUND(H550,2)</f>
        <v/>
      </c>
      <c r="H20" s="293">
        <f>ROUND(F20*G20,2)</f>
        <v/>
      </c>
      <c r="I20" s="91" t="n"/>
      <c r="J20" s="294">
        <f>ROUND(K551,2)</f>
        <v/>
      </c>
      <c r="K20" s="295">
        <f>ROUND(H20-J20,2)</f>
        <v/>
      </c>
      <c r="L20" s="94">
        <f>IF(H20=0,0,K20/H20)</f>
        <v/>
      </c>
      <c r="M20" s="95" t="inlineStr">
        <is>
          <t>600W*1000D*2200H</t>
        </is>
      </c>
      <c r="N20" s="96" t="n"/>
      <c r="O20" s="97" t="n"/>
      <c r="P20" s="98" t="n"/>
      <c r="Q20" s="141" t="n"/>
    </row>
    <row r="21" s="66">
      <c r="A21" s="24">
        <f>ROW()-ROW(A$6)</f>
        <v/>
      </c>
      <c r="B21" s="25" t="inlineStr">
        <is>
          <t>3D6 4D7</t>
        </is>
      </c>
      <c r="C21" s="25" t="inlineStr">
        <is>
          <t>出线柜</t>
        </is>
      </c>
      <c r="D21" s="25" t="inlineStr">
        <is>
          <t>Blokset</t>
        </is>
      </c>
      <c r="E21" s="26" t="inlineStr">
        <is>
          <t>台</t>
        </is>
      </c>
      <c r="F21" s="31" t="n">
        <v>2</v>
      </c>
      <c r="G21" s="292">
        <f>ROUND(H591,2)</f>
        <v/>
      </c>
      <c r="H21" s="293">
        <f>ROUND(F21*G21,2)</f>
        <v/>
      </c>
      <c r="I21" s="91" t="n"/>
      <c r="J21" s="294">
        <f>ROUND(K592,2)</f>
        <v/>
      </c>
      <c r="K21" s="295">
        <f>ROUND(H21-J21,2)</f>
        <v/>
      </c>
      <c r="L21" s="94">
        <f>IF(H21=0,0,K21/H21)</f>
        <v/>
      </c>
      <c r="M21" s="95" t="inlineStr">
        <is>
          <t>600W*1000D*2200H</t>
        </is>
      </c>
      <c r="N21" s="96" t="n"/>
      <c r="O21" s="97" t="n"/>
      <c r="P21" s="98" t="n"/>
      <c r="Q21" s="141" t="n"/>
    </row>
    <row r="22" s="66">
      <c r="A22" s="24">
        <f>ROW()-ROW(A$6)</f>
        <v/>
      </c>
      <c r="B22" s="25" t="inlineStr">
        <is>
          <t>3D7</t>
        </is>
      </c>
      <c r="C22" s="25" t="inlineStr">
        <is>
          <t>出线柜</t>
        </is>
      </c>
      <c r="D22" s="25" t="inlineStr">
        <is>
          <t>Blokset</t>
        </is>
      </c>
      <c r="E22" s="26" t="inlineStr">
        <is>
          <t>台</t>
        </is>
      </c>
      <c r="F22" s="26" t="n">
        <v>1</v>
      </c>
      <c r="G22" s="292">
        <f>ROUND(H632,2)</f>
        <v/>
      </c>
      <c r="H22" s="293">
        <f>ROUND(F22*G22,2)</f>
        <v/>
      </c>
      <c r="I22" s="91" t="n"/>
      <c r="J22" s="294">
        <f>ROUND(K633,2)</f>
        <v/>
      </c>
      <c r="K22" s="295">
        <f>ROUND(H22-J22,2)</f>
        <v/>
      </c>
      <c r="L22" s="94">
        <f>IF(H22=0,0,K22/H22)</f>
        <v/>
      </c>
      <c r="M22" s="95" t="inlineStr">
        <is>
          <t>600W*1000D*2200H</t>
        </is>
      </c>
      <c r="N22" s="96" t="n"/>
      <c r="O22" s="97" t="n"/>
      <c r="P22" s="98" t="n"/>
      <c r="Q22" s="141" t="n"/>
    </row>
    <row r="23" s="66">
      <c r="A23" s="24">
        <f>ROW()-ROW(A$6)</f>
        <v/>
      </c>
      <c r="B23" s="25" t="inlineStr">
        <is>
          <t>3D8</t>
        </is>
      </c>
      <c r="C23" s="25" t="inlineStr">
        <is>
          <t>出线柜</t>
        </is>
      </c>
      <c r="D23" s="25" t="inlineStr">
        <is>
          <t>Blokset</t>
        </is>
      </c>
      <c r="E23" s="26" t="inlineStr">
        <is>
          <t>台</t>
        </is>
      </c>
      <c r="F23" s="26" t="n">
        <v>1</v>
      </c>
      <c r="G23" s="292">
        <f>ROUND(H676,2)</f>
        <v/>
      </c>
      <c r="H23" s="293">
        <f>ROUND(F23*G23,2)</f>
        <v/>
      </c>
      <c r="I23" s="91" t="n"/>
      <c r="J23" s="294">
        <f>ROUND(K677,2)</f>
        <v/>
      </c>
      <c r="K23" s="295">
        <f>ROUND(H23-J23,2)</f>
        <v/>
      </c>
      <c r="L23" s="94">
        <f>IF(H23=0,0,K23/H23)</f>
        <v/>
      </c>
      <c r="M23" s="95" t="inlineStr">
        <is>
          <t>800W*1000D*2200H</t>
        </is>
      </c>
      <c r="N23" s="96" t="n"/>
      <c r="O23" s="97" t="n"/>
      <c r="P23" s="98" t="n"/>
      <c r="Q23" s="141" t="n"/>
    </row>
    <row r="24" s="66">
      <c r="A24" s="24">
        <f>ROW()-ROW(A$6)</f>
        <v/>
      </c>
      <c r="B24" s="25" t="inlineStr">
        <is>
          <t>3D9 4D10</t>
        </is>
      </c>
      <c r="C24" s="29" t="inlineStr">
        <is>
          <t>出线柜</t>
        </is>
      </c>
      <c r="D24" s="25" t="inlineStr">
        <is>
          <t>Blokset</t>
        </is>
      </c>
      <c r="E24" s="30" t="inlineStr">
        <is>
          <t>台</t>
        </is>
      </c>
      <c r="F24" s="30" t="n">
        <v>2</v>
      </c>
      <c r="G24" s="296">
        <f>ROUND(H720,2)</f>
        <v/>
      </c>
      <c r="H24" s="297">
        <f>ROUND(F24*G24,2)</f>
        <v/>
      </c>
      <c r="I24" s="91" t="n"/>
      <c r="J24" s="294">
        <f>ROUND(K721,2)</f>
        <v/>
      </c>
      <c r="K24" s="295">
        <f>ROUND(H24-J24,2)</f>
        <v/>
      </c>
      <c r="L24" s="94">
        <f>IF(H24=0,0,K24/H24)</f>
        <v/>
      </c>
      <c r="M24" s="95" t="inlineStr">
        <is>
          <t>800W*1000D*2200H</t>
        </is>
      </c>
      <c r="N24" s="96" t="n"/>
      <c r="O24" s="97" t="n"/>
      <c r="P24" s="98" t="n"/>
      <c r="Q24" s="141" t="n"/>
    </row>
    <row r="25" s="66">
      <c r="A25" s="24">
        <f>ROW()-ROW(A$6)</f>
        <v/>
      </c>
      <c r="B25" s="25" t="inlineStr">
        <is>
          <t>3D10</t>
        </is>
      </c>
      <c r="C25" s="25" t="inlineStr">
        <is>
          <t>出线柜</t>
        </is>
      </c>
      <c r="D25" s="25" t="inlineStr">
        <is>
          <t>Blokset</t>
        </is>
      </c>
      <c r="E25" s="30" t="inlineStr">
        <is>
          <t>台</t>
        </is>
      </c>
      <c r="F25" s="35" t="n">
        <v>1</v>
      </c>
      <c r="G25" s="296">
        <f>ROUND(H757,2)</f>
        <v/>
      </c>
      <c r="H25" s="297">
        <f>ROUND(F25*G25,2)</f>
        <v/>
      </c>
      <c r="I25" s="91" t="n"/>
      <c r="J25" s="294">
        <f>ROUND(K758,2)</f>
        <v/>
      </c>
      <c r="K25" s="295">
        <f>ROUND(H25-J25,2)</f>
        <v/>
      </c>
      <c r="L25" s="94">
        <f>IF(H25=0,0,K25/H25)</f>
        <v/>
      </c>
      <c r="M25" s="95" t="inlineStr">
        <is>
          <t>600W*1000D*2200H</t>
        </is>
      </c>
      <c r="N25" s="96" t="n"/>
      <c r="O25" s="97" t="n"/>
      <c r="P25" s="98" t="n"/>
      <c r="Q25" s="141" t="n"/>
    </row>
    <row r="26" s="66">
      <c r="A26" s="24">
        <f>ROW()-ROW(A$6)</f>
        <v/>
      </c>
      <c r="B26" s="25" t="inlineStr">
        <is>
          <t>4D1</t>
        </is>
      </c>
      <c r="C26" s="25" t="inlineStr">
        <is>
          <t>进线柜</t>
        </is>
      </c>
      <c r="D26" s="25" t="inlineStr">
        <is>
          <t>Blokset</t>
        </is>
      </c>
      <c r="E26" s="30" t="inlineStr">
        <is>
          <t>台</t>
        </is>
      </c>
      <c r="F26" s="35" t="n">
        <v>1</v>
      </c>
      <c r="G26" s="296">
        <f>ROUND(H791,2)</f>
        <v/>
      </c>
      <c r="H26" s="297">
        <f>ROUND(F26*G26,2)</f>
        <v/>
      </c>
      <c r="I26" s="91" t="n"/>
      <c r="J26" s="294">
        <f>ROUND(K792,2)</f>
        <v/>
      </c>
      <c r="K26" s="295">
        <f>ROUND(H26-J26,2)</f>
        <v/>
      </c>
      <c r="L26" s="94">
        <f>IF(H26=0,0,K26/H26)</f>
        <v/>
      </c>
      <c r="M26" s="95" t="inlineStr">
        <is>
          <t>700W*1000D*2200H</t>
        </is>
      </c>
      <c r="N26" s="96" t="n"/>
      <c r="O26" s="97" t="n"/>
      <c r="P26" s="98" t="n"/>
      <c r="Q26" s="141" t="n"/>
    </row>
    <row r="27" s="66">
      <c r="A27" s="24">
        <f>ROW()-ROW(A$6)</f>
        <v/>
      </c>
      <c r="B27" s="25" t="inlineStr">
        <is>
          <t>4D2</t>
        </is>
      </c>
      <c r="C27" s="25" t="inlineStr">
        <is>
          <t>母联柜</t>
        </is>
      </c>
      <c r="D27" s="25" t="inlineStr">
        <is>
          <t>Blokset</t>
        </is>
      </c>
      <c r="E27" s="26" t="inlineStr">
        <is>
          <t>台</t>
        </is>
      </c>
      <c r="F27" s="26" t="n">
        <v>1</v>
      </c>
      <c r="G27" s="292">
        <f>ROUND(H823,2)</f>
        <v/>
      </c>
      <c r="H27" s="293">
        <f>ROUND(F27*G27,2)</f>
        <v/>
      </c>
      <c r="I27" s="91" t="n"/>
      <c r="J27" s="294">
        <f>ROUND(K824,2)</f>
        <v/>
      </c>
      <c r="K27" s="295">
        <f>ROUND(H27-J27,2)</f>
        <v/>
      </c>
      <c r="L27" s="94">
        <f>IF(H27=0,0,K27/H27)</f>
        <v/>
      </c>
      <c r="M27" s="95" t="inlineStr">
        <is>
          <t>700W*1000D*2200H</t>
        </is>
      </c>
      <c r="N27" s="96" t="n"/>
      <c r="O27" s="97" t="n"/>
      <c r="P27" s="98" t="n"/>
      <c r="Q27" s="141" t="n"/>
    </row>
    <row r="28" s="66">
      <c r="A28" s="24">
        <f>ROW()-ROW(A$6)</f>
        <v/>
      </c>
      <c r="B28" s="25" t="inlineStr">
        <is>
          <t>4D8</t>
        </is>
      </c>
      <c r="C28" s="25" t="inlineStr">
        <is>
          <t>出线柜</t>
        </is>
      </c>
      <c r="D28" s="25" t="inlineStr">
        <is>
          <t>Blokset</t>
        </is>
      </c>
      <c r="E28" s="26" t="inlineStr">
        <is>
          <t>台</t>
        </is>
      </c>
      <c r="F28" s="26" t="n">
        <v>1</v>
      </c>
      <c r="G28" s="292">
        <f>ROUND(H867,2)</f>
        <v/>
      </c>
      <c r="H28" s="293">
        <f>ROUND(F28*G28,2)</f>
        <v/>
      </c>
      <c r="I28" s="91" t="n"/>
      <c r="J28" s="294">
        <f>ROUND(K868,2)</f>
        <v/>
      </c>
      <c r="K28" s="295">
        <f>ROUND(H28-J28,2)</f>
        <v/>
      </c>
      <c r="L28" s="94">
        <f>IF(H28=0,0,K28/H28)</f>
        <v/>
      </c>
      <c r="M28" s="95" t="inlineStr">
        <is>
          <t>600W*1000D*2200H</t>
        </is>
      </c>
      <c r="N28" s="96" t="n"/>
      <c r="O28" s="97" t="n"/>
      <c r="P28" s="98" t="n"/>
      <c r="Q28" s="141" t="n"/>
    </row>
    <row r="29" s="66">
      <c r="A29" s="24">
        <f>ROW()-ROW(A$6)</f>
        <v/>
      </c>
      <c r="B29" s="25" t="inlineStr">
        <is>
          <t>4D9</t>
        </is>
      </c>
      <c r="C29" s="25" t="inlineStr">
        <is>
          <t>出线柜</t>
        </is>
      </c>
      <c r="D29" s="25" t="inlineStr">
        <is>
          <t>Blokset</t>
        </is>
      </c>
      <c r="E29" s="26" t="inlineStr">
        <is>
          <t>台</t>
        </is>
      </c>
      <c r="F29" s="26" t="n">
        <v>1</v>
      </c>
      <c r="G29" s="292">
        <f>ROUND(H913,2)</f>
        <v/>
      </c>
      <c r="H29" s="293">
        <f>ROUND(F29*G29,2)</f>
        <v/>
      </c>
      <c r="I29" s="91" t="n"/>
      <c r="J29" s="294">
        <f>ROUND(K914,2)</f>
        <v/>
      </c>
      <c r="K29" s="295">
        <f>ROUND(H29-J29,2)</f>
        <v/>
      </c>
      <c r="L29" s="94">
        <f>IF(H29=0,0,K29/H29)</f>
        <v/>
      </c>
      <c r="M29" s="95" t="inlineStr">
        <is>
          <t>800W*1000D*2200H</t>
        </is>
      </c>
      <c r="N29" s="96" t="n"/>
      <c r="O29" s="97" t="n"/>
      <c r="P29" s="98" t="n"/>
      <c r="Q29" s="141" t="n"/>
    </row>
    <row r="30" s="66">
      <c r="A30" s="24">
        <f>ROW()-ROW(A$6)</f>
        <v/>
      </c>
      <c r="B30" s="25" t="inlineStr">
        <is>
          <t>4D11</t>
        </is>
      </c>
      <c r="C30" s="25" t="inlineStr">
        <is>
          <t>出线柜</t>
        </is>
      </c>
      <c r="D30" s="25" t="inlineStr">
        <is>
          <t>Blokset</t>
        </is>
      </c>
      <c r="E30" s="26" t="inlineStr">
        <is>
          <t>台</t>
        </is>
      </c>
      <c r="F30" s="26" t="n">
        <v>1</v>
      </c>
      <c r="G30" s="292">
        <f>ROUND(H953,2)</f>
        <v/>
      </c>
      <c r="H30" s="293">
        <f>ROUND(F30*G30,2)</f>
        <v/>
      </c>
      <c r="I30" s="91" t="n"/>
      <c r="J30" s="294">
        <f>ROUND(K954,2)</f>
        <v/>
      </c>
      <c r="K30" s="295">
        <f>ROUND(H30-J30,2)</f>
        <v/>
      </c>
      <c r="L30" s="94">
        <f>IF(H30=0,0,K30/H30)</f>
        <v/>
      </c>
      <c r="M30" s="95" t="inlineStr">
        <is>
          <t>600W*1000D*2200H</t>
        </is>
      </c>
      <c r="N30" s="96" t="n"/>
      <c r="O30" s="97" t="n"/>
      <c r="P30" s="98" t="n"/>
      <c r="Q30" s="141" t="n"/>
    </row>
    <row r="31" s="66">
      <c r="A31" s="36">
        <f>ROW()-ROW(A$6)</f>
        <v/>
      </c>
      <c r="B31" s="25" t="n"/>
      <c r="C31" s="25" t="n"/>
      <c r="D31" s="25" t="n"/>
      <c r="E31" s="26" t="n"/>
      <c r="F31" s="26" t="n"/>
      <c r="G31" s="292" t="n"/>
      <c r="H31" s="293" t="n"/>
      <c r="I31" s="91" t="n"/>
      <c r="J31" s="294" t="n"/>
      <c r="K31" s="295" t="n"/>
      <c r="L31" s="94" t="n"/>
      <c r="M31" s="95" t="n"/>
      <c r="N31" s="96" t="n"/>
      <c r="O31" s="97" t="n"/>
      <c r="P31" s="98" t="n"/>
      <c r="Q31" s="141" t="n"/>
    </row>
    <row r="32" s="66">
      <c r="A32" s="36">
        <f>ROW()-ROW(A$6)</f>
        <v/>
      </c>
      <c r="B32" s="37" t="inlineStr">
        <is>
          <t>小计</t>
        </is>
      </c>
      <c r="C32" s="37" t="n"/>
      <c r="D32" s="38" t="n"/>
      <c r="E32" s="39" t="inlineStr">
        <is>
          <t>台</t>
        </is>
      </c>
      <c r="F32" s="39">
        <f>SUM(F6:INDEX(F:F,ROW()-1))</f>
        <v/>
      </c>
      <c r="G32" s="298" t="n"/>
      <c r="H32" s="299">
        <f>ROUND(SUM(H6:INDEX(H:H,ROW()-1)),2)</f>
        <v/>
      </c>
      <c r="I32" s="100" t="n"/>
      <c r="J32" s="294">
        <f>ROUND(SUM(J6:INDEX(J:J,ROW()-1)),2)</f>
        <v/>
      </c>
      <c r="K32" s="295">
        <f>ROUND(SUM(K6:INDEX(K:K,ROW()-1)),2)</f>
        <v/>
      </c>
      <c r="L32" s="94" t="n"/>
      <c r="M32" s="95" t="n"/>
      <c r="N32" s="96" t="n"/>
      <c r="O32" s="97" t="n"/>
      <c r="P32" s="98" t="n"/>
      <c r="Q32" s="141" t="n"/>
    </row>
    <row r="33" s="66">
      <c r="A33" s="36">
        <f>ROW()-ROW(A$6)</f>
        <v/>
      </c>
      <c r="B33" s="42" t="inlineStr">
        <is>
          <t>包装费</t>
        </is>
      </c>
      <c r="C33" s="42" t="n"/>
      <c r="D33" s="43" t="n"/>
      <c r="E33" s="39" t="inlineStr">
        <is>
          <t>台</t>
        </is>
      </c>
      <c r="F33" s="39" t="n">
        <v>34</v>
      </c>
      <c r="G33" s="300" t="n">
        <v>100</v>
      </c>
      <c r="H33" s="299">
        <f>ROUND(F33*G33,2)</f>
        <v/>
      </c>
      <c r="I33" s="101" t="n"/>
      <c r="J33" s="294">
        <f>ROUND(H33,2)</f>
        <v/>
      </c>
      <c r="K33" s="295" t="n"/>
      <c r="L33" s="94" t="n"/>
      <c r="M33" s="301" t="n"/>
      <c r="N33" s="302" t="n"/>
      <c r="O33" s="97" t="n"/>
      <c r="P33" s="98" t="n"/>
      <c r="Q33" s="303" t="n"/>
    </row>
    <row r="34" s="66">
      <c r="A34" s="36">
        <f>ROW()-ROW(A$6)</f>
        <v/>
      </c>
      <c r="B34" s="42" t="inlineStr">
        <is>
          <t>运输费</t>
        </is>
      </c>
      <c r="C34" s="42" t="n"/>
      <c r="D34" s="43" t="n"/>
      <c r="E34" s="39" t="inlineStr">
        <is>
          <t>套</t>
        </is>
      </c>
      <c r="F34" s="39" t="n">
        <v>1</v>
      </c>
      <c r="G34" s="300" t="n">
        <v>5800</v>
      </c>
      <c r="H34" s="299">
        <f>ROUND(F34*G34,2)</f>
        <v/>
      </c>
      <c r="I34" s="101" t="n"/>
      <c r="J34" s="294">
        <f>ROUND(H34,2)</f>
        <v/>
      </c>
      <c r="K34" s="295" t="n"/>
      <c r="L34" s="94" t="n"/>
      <c r="M34" s="301" t="n"/>
      <c r="N34" s="302" t="n"/>
      <c r="O34" s="97" t="n"/>
      <c r="P34" s="98" t="n"/>
      <c r="Q34" s="303" t="n"/>
    </row>
    <row r="35" s="66">
      <c r="A35" s="36">
        <f>ROW()-ROW(A$6)</f>
        <v/>
      </c>
      <c r="B35" s="42" t="inlineStr">
        <is>
          <t>运载工具车</t>
        </is>
      </c>
      <c r="C35" s="42" t="n"/>
      <c r="D35" s="43" t="n"/>
      <c r="E35" s="39" t="inlineStr">
        <is>
          <t>台</t>
        </is>
      </c>
      <c r="F35" s="39" t="n">
        <v>1</v>
      </c>
      <c r="G35" s="300" t="n">
        <v>0</v>
      </c>
      <c r="H35" s="299">
        <f>ROUND(F35*G35,2)</f>
        <v/>
      </c>
      <c r="I35" s="304" t="n"/>
      <c r="J35" s="294">
        <f>ROUND(H35,2)</f>
        <v/>
      </c>
      <c r="K35" s="295" t="n"/>
      <c r="L35" s="94" t="n"/>
      <c r="M35" s="301" t="n"/>
      <c r="N35" s="302" t="n"/>
      <c r="O35" s="97" t="n"/>
      <c r="P35" s="98" t="n"/>
      <c r="Q35" s="303" t="n"/>
    </row>
    <row r="36" s="66">
      <c r="A36" s="36">
        <f>ROW()-ROW(A$6)</f>
        <v/>
      </c>
      <c r="B36" s="45" t="inlineStr">
        <is>
          <t>合计(人民币大写)</t>
        </is>
      </c>
      <c r="C36" s="305">
        <f>TEXT(SUBSTITUTE(IF(H36="","",IF(MOD(H36,1)=0,TEXT(INT(H36),"[DBNum2][$-804]G/通用格式元整"),(TEXT(INT(H36),"[DBNum2][$-804]G/通用格式元")&amp;TEXT((INT(H36*10)-INT(H36)*10),"[DBNum2][$-804]G/通用格式角")&amp;TEXT((INT(H36*100)-INT(H36*10)*10),"[DBNum2][$-804]G/通用格式分")))),"零角","零"),)</f>
        <v/>
      </c>
      <c r="D36" s="306" t="n"/>
      <c r="E36" s="48" t="n"/>
      <c r="F36" s="49">
        <f>IF(项目信息!H29="箱变",1,"")</f>
        <v/>
      </c>
      <c r="G36" s="307">
        <f>ROUND(SUM(H32:H35),2)</f>
        <v/>
      </c>
      <c r="H36" s="308">
        <f>ROUND(IF(F36="",1,F36)*G36,2)</f>
        <v/>
      </c>
      <c r="I36" s="309" t="n"/>
      <c r="J36" s="310">
        <f>ROUND(IF(F36="",1,F36)*SUM(J32:J35),2)</f>
        <v/>
      </c>
      <c r="K36" s="311">
        <f>ROUND(IF(F36="",1,F36)*SUM(K32:K35),2)</f>
        <v/>
      </c>
      <c r="L36" s="108">
        <f>IF(H36=0,0,K36/H36)</f>
        <v/>
      </c>
      <c r="M36" s="312" t="n"/>
      <c r="N36" s="313" t="n"/>
      <c r="O36" s="111" t="n"/>
      <c r="P36" s="112" t="n"/>
      <c r="Q36" s="314" t="n"/>
      <c r="R36" s="145" t="n">
        <v>17.71</v>
      </c>
      <c r="S36" s="145">
        <f>ROUND(R36*H36,0)</f>
        <v/>
      </c>
    </row>
    <row r="37" s="66">
      <c r="A37" s="52" t="inlineStr">
        <is>
          <t>说明</t>
        </is>
      </c>
      <c r="B37" s="53" t="n"/>
      <c r="C37" s="279" t="n"/>
      <c r="D37" s="279" t="n"/>
      <c r="E37" s="279" t="n"/>
      <c r="F37" s="279" t="n"/>
      <c r="G37" s="279" t="n"/>
      <c r="H37" s="279" t="n"/>
      <c r="I37" s="280" t="n"/>
      <c r="J37" s="315" t="n"/>
      <c r="K37" s="315" t="n"/>
      <c r="L37" s="145" t="n"/>
      <c r="M37" s="145" t="n"/>
      <c r="N37" s="145" t="n"/>
      <c r="O37" s="145" t="n"/>
      <c r="P37" s="145" t="n"/>
      <c r="Q37" s="145" t="n"/>
    </row>
    <row r="38" s="66">
      <c r="A38" s="316" t="n"/>
      <c r="B38" s="282" t="n"/>
      <c r="C38" s="283" t="n"/>
      <c r="D38" s="283" t="n"/>
      <c r="E38" s="283" t="n"/>
      <c r="F38" s="283" t="n"/>
      <c r="G38" s="283" t="n"/>
      <c r="H38" s="283" t="n"/>
      <c r="I38" s="284" t="n"/>
      <c r="J38" s="315" t="n"/>
      <c r="K38" s="315" t="n"/>
      <c r="L38" s="145" t="n"/>
      <c r="M38" s="145" t="n"/>
      <c r="N38" s="145" t="n"/>
      <c r="O38" s="145" t="n"/>
      <c r="P38" s="145" t="n"/>
      <c r="Q38" s="145" t="n"/>
    </row>
    <row r="39" s="66">
      <c r="A39" s="3" t="n"/>
      <c r="B39" s="145" t="n"/>
      <c r="C39" s="145" t="n"/>
      <c r="D39" s="145" t="n"/>
      <c r="E39" s="145" t="n"/>
      <c r="F39" s="145" t="n"/>
      <c r="G39" s="317" t="n"/>
      <c r="H39" s="315" t="n"/>
      <c r="J39" s="315" t="n"/>
      <c r="K39" s="315" t="n"/>
      <c r="L39" s="145" t="n"/>
      <c r="M39" s="145" t="n"/>
      <c r="N39" s="145" t="n"/>
      <c r="O39" s="145" t="n"/>
      <c r="P39" s="145" t="n"/>
      <c r="Q39" s="145" t="n"/>
    </row>
    <row r="40" s="66">
      <c r="A40" s="3" t="n"/>
      <c r="B40" s="145" t="n"/>
      <c r="C40" s="145" t="n"/>
      <c r="D40" s="145" t="n"/>
      <c r="E40" s="145" t="n"/>
      <c r="F40" s="145" t="n"/>
      <c r="G40" s="317" t="n"/>
      <c r="H40" s="315" t="n"/>
      <c r="I40" s="145" t="n"/>
      <c r="J40" s="315" t="n"/>
      <c r="K40" s="315" t="n"/>
      <c r="L40" s="145" t="n"/>
      <c r="M40" s="145" t="n"/>
      <c r="N40" s="145" t="n"/>
      <c r="O40" s="145" t="n"/>
      <c r="P40" s="145" t="n"/>
      <c r="Q40" s="145" t="n"/>
    </row>
    <row r="41" s="66">
      <c r="A41" s="63">
        <f>CONCATENATE("报价人：",项目信息!B8)</f>
        <v/>
      </c>
      <c r="B41" s="64" t="n"/>
      <c r="C41" s="64" t="n"/>
      <c r="D41" s="65" t="n"/>
      <c r="E41" s="65" t="n"/>
      <c r="F41" s="65" t="n"/>
      <c r="H41" s="67">
        <f>项目信息!B9</f>
        <v/>
      </c>
      <c r="I41" s="145" t="n"/>
      <c r="J41" s="145" t="n"/>
      <c r="K41" s="145" t="n"/>
      <c r="L41" s="145" t="n"/>
      <c r="M41" s="145" t="n"/>
      <c r="N41" s="145" t="n"/>
      <c r="O41" s="145" t="n"/>
      <c r="P41" s="145" t="n"/>
      <c r="Q41" s="145" t="n"/>
    </row>
    <row r="42" customFormat="1" s="145">
      <c r="A42" s="5">
        <f>T(项目信息!$B$22)</f>
        <v/>
      </c>
      <c r="J42" s="145" t="n"/>
      <c r="K42" s="145" t="n"/>
      <c r="L42" s="145" t="n"/>
      <c r="M42" s="145" t="n"/>
      <c r="N42" s="145" t="n"/>
      <c r="O42" s="145" t="n"/>
      <c r="P42" s="145" t="n"/>
      <c r="Q42" s="144" t="n"/>
      <c r="R42" s="144" t="n"/>
      <c r="S42" s="144" t="n"/>
      <c r="T42" s="144" t="n"/>
      <c r="U42" s="144" t="n"/>
      <c r="X42" s="145" t="n"/>
    </row>
    <row r="43" customFormat="1" s="145">
      <c r="A43" s="6">
        <f>T(项目信息!$B$23)</f>
        <v/>
      </c>
      <c r="J43" s="145" t="n"/>
      <c r="K43" s="145" t="n"/>
      <c r="L43" s="145" t="n"/>
      <c r="M43" s="145" t="n"/>
      <c r="N43" s="145" t="n"/>
      <c r="O43" s="145" t="n"/>
      <c r="P43" s="145" t="n"/>
      <c r="Q43" s="144" t="n"/>
      <c r="R43" s="144" t="n"/>
      <c r="S43" s="144" t="n"/>
      <c r="T43" s="144" t="n"/>
      <c r="U43" s="144" t="n"/>
      <c r="X43" s="145" t="n"/>
    </row>
    <row r="44" customFormat="1" s="145">
      <c r="A44" s="68" t="inlineStr">
        <is>
          <t>成套产品报价明细表</t>
        </is>
      </c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145" t="n"/>
      <c r="K44" s="145" t="n"/>
      <c r="L44" s="145" t="n"/>
      <c r="M44" s="145" t="n"/>
      <c r="N44" s="145" t="n"/>
      <c r="O44" s="145" t="n"/>
      <c r="P44" s="145" t="n"/>
      <c r="Q44" s="144" t="n"/>
      <c r="R44" s="144" t="n"/>
      <c r="S44" s="144" t="n"/>
      <c r="T44" s="144" t="n"/>
      <c r="U44" s="144" t="n"/>
      <c r="X44" s="145" t="n"/>
    </row>
    <row r="45" customFormat="1" s="146">
      <c r="A45" s="69" t="inlineStr">
        <is>
          <t>柜号:</t>
        </is>
      </c>
      <c r="B45" s="70" t="inlineStr">
        <is>
          <t>1D1</t>
        </is>
      </c>
      <c r="C45" s="71" t="inlineStr">
        <is>
          <t>型号:</t>
        </is>
      </c>
      <c r="D45" s="70" t="inlineStr">
        <is>
          <t>Blokset</t>
        </is>
      </c>
      <c r="E45" s="319" t="n"/>
      <c r="F45" s="72" t="inlineStr">
        <is>
          <t>名称:</t>
        </is>
      </c>
      <c r="G45" s="70" t="inlineStr">
        <is>
          <t>进线柜</t>
        </is>
      </c>
      <c r="H45" s="319" t="n"/>
      <c r="I45" s="320" t="n"/>
      <c r="J45" s="116" t="inlineStr">
        <is>
          <t>箱柜尺寸:</t>
        </is>
      </c>
      <c r="K45" s="117" t="inlineStr">
        <is>
          <t>1100W*1000D*2200H</t>
        </is>
      </c>
      <c r="L45" s="116" t="inlineStr">
        <is>
          <t>类别:</t>
        </is>
      </c>
      <c r="M45" s="117" t="n"/>
      <c r="N45" s="321" t="n"/>
      <c r="O45" s="146" t="n"/>
      <c r="P45" s="146" t="n"/>
      <c r="Q45" s="144" t="n"/>
      <c r="R45" s="144" t="n"/>
      <c r="S45" s="144" t="n"/>
      <c r="T45" s="144" t="n"/>
      <c r="U45" s="144" t="n"/>
      <c r="X45" s="146" t="n"/>
    </row>
    <row r="46" ht="20.1" customFormat="1" customHeight="1" s="145">
      <c r="A46" s="13" t="inlineStr">
        <is>
          <t>序号</t>
        </is>
      </c>
      <c r="B46" s="73" t="inlineStr">
        <is>
          <t>元件名称</t>
        </is>
      </c>
      <c r="C46" s="73" t="inlineStr">
        <is>
          <t>型号规格</t>
        </is>
      </c>
      <c r="D46" s="74" t="inlineStr">
        <is>
          <t>生产厂家</t>
        </is>
      </c>
      <c r="E46" s="15" t="inlineStr">
        <is>
          <t>单位</t>
        </is>
      </c>
      <c r="F46" s="15" t="inlineStr">
        <is>
          <t>数量</t>
        </is>
      </c>
      <c r="G46" s="287" t="inlineStr">
        <is>
          <t>单   价</t>
        </is>
      </c>
      <c r="H46" s="256" t="inlineStr">
        <is>
          <t>总   价</t>
        </is>
      </c>
      <c r="I46" s="119" t="inlineStr">
        <is>
          <t>备注</t>
        </is>
      </c>
      <c r="J46" s="322" t="inlineStr">
        <is>
          <t>成本单价</t>
        </is>
      </c>
      <c r="K46" s="322" t="inlineStr">
        <is>
          <t>成本总价</t>
        </is>
      </c>
      <c r="L46" s="121" t="inlineStr">
        <is>
          <t>报出
系数</t>
        </is>
      </c>
      <c r="M46" s="322" t="inlineStr">
        <is>
          <t>表价</t>
        </is>
      </c>
      <c r="N46" s="121" t="inlineStr">
        <is>
          <t>折扣
系数</t>
        </is>
      </c>
      <c r="O46" s="122" t="inlineStr">
        <is>
          <t>取费
系数</t>
        </is>
      </c>
      <c r="P46" s="322" t="inlineStr">
        <is>
          <t>成套费</t>
        </is>
      </c>
      <c r="Q46" s="147" t="inlineStr">
        <is>
          <t>类别</t>
        </is>
      </c>
      <c r="R46" s="147" t="inlineStr">
        <is>
          <t>物料编码</t>
        </is>
      </c>
      <c r="S46" s="147" t="inlineStr">
        <is>
          <t>产地</t>
        </is>
      </c>
      <c r="T46" s="147" t="inlineStr">
        <is>
          <t>加工费</t>
        </is>
      </c>
      <c r="U46" s="147" t="inlineStr">
        <is>
          <t>订货号</t>
        </is>
      </c>
      <c r="V46" s="147" t="inlineStr">
        <is>
          <t>人工</t>
        </is>
      </c>
      <c r="W46" s="147" t="inlineStr">
        <is>
          <t>辅料</t>
        </is>
      </c>
      <c r="X46" s="148" t="n"/>
    </row>
    <row r="47" customFormat="1" s="145">
      <c r="A47" s="75">
        <f>ROW()-ROW(A$46)</f>
        <v/>
      </c>
      <c r="B47" s="20" t="inlineStr">
        <is>
          <t>双电源自动转换开关</t>
        </is>
      </c>
      <c r="C47" s="20" t="inlineStr">
        <is>
          <t>WTS-4000/2500/4DL</t>
        </is>
      </c>
      <c r="D47" s="29" t="inlineStr">
        <is>
          <t>甲供/施耐德万高</t>
        </is>
      </c>
      <c r="E47" s="21" t="inlineStr">
        <is>
          <t>只</t>
        </is>
      </c>
      <c r="F47" s="21" t="n">
        <v>1</v>
      </c>
      <c r="G47" s="289">
        <f>IF(AND(B47="",C47=""),"",ROUND(M47*L47*N47,2))</f>
        <v/>
      </c>
      <c r="H47" s="289">
        <f>IF(AND(B47="",C47=""),"",ROUND(F47*G47,2))</f>
        <v/>
      </c>
      <c r="I47" s="123" t="n"/>
      <c r="J47" s="323">
        <f>IF(AND(B47="",C47=""),"",ROUND(M47*N47,2))</f>
        <v/>
      </c>
      <c r="K47" s="324">
        <f>IF(AND(B47="",C47=""),"",ROUND(J47*F47,2))</f>
        <v/>
      </c>
      <c r="L47" s="126" t="n">
        <v>1</v>
      </c>
      <c r="M47" s="325" t="n">
        <v>117651</v>
      </c>
      <c r="N47" s="128" t="n">
        <v>0</v>
      </c>
      <c r="O47" s="129">
        <f t="array" ref="O47">IF(AND(B47="",C47=""),"",IF(G47&gt;=20000,0.05,IF(G47&gt;=10000,0.1,IF(G47&gt;=5000,0.2,IF(G47&gt;=1000,0.3,IF(G47&gt;=0,0.4,{0}))))))</f>
        <v/>
      </c>
      <c r="P47" s="326">
        <f>IF(AND(B47="",C47=""),"",ROUND(H47*O47,2))</f>
        <v/>
      </c>
      <c r="Q47" s="327" t="inlineStr">
        <is>
          <t>元件</t>
        </is>
      </c>
      <c r="R47" s="150" t="n"/>
      <c r="S47" s="150" t="n"/>
      <c r="T47" s="150" t="inlineStr">
        <is>
          <t>0</t>
        </is>
      </c>
      <c r="U47" s="150" t="inlineStr">
        <is>
          <t>TW4AD4L25H4TPG</t>
        </is>
      </c>
      <c r="V47" s="328" t="n"/>
      <c r="W47" s="328" t="n"/>
      <c r="X47" s="152" t="n"/>
    </row>
    <row r="48" customFormat="1" s="145">
      <c r="A48" s="36">
        <f>ROW()-ROW(A$46)</f>
        <v/>
      </c>
      <c r="B48" s="25" t="inlineStr">
        <is>
          <t>双电源开关ATMT</t>
        </is>
      </c>
      <c r="C48" s="25" t="inlineStr">
        <is>
          <t>ATMT25 H1 4P MIC5.0E 带通讯</t>
        </is>
      </c>
      <c r="D48" s="29" t="inlineStr">
        <is>
          <t>甲供/施耐德万高</t>
        </is>
      </c>
      <c r="E48" s="30" t="inlineStr">
        <is>
          <t>套</t>
        </is>
      </c>
      <c r="F48" s="26" t="n">
        <v>0.33</v>
      </c>
      <c r="G48" s="297">
        <f>IF(AND(B48="",C48=""),"",ROUND(M48*L48*N48,2))</f>
        <v/>
      </c>
      <c r="H48" s="293">
        <f>IF(AND(B48="",C48=""),"",ROUND(F48*G48,2))</f>
        <v/>
      </c>
      <c r="I48" s="91" t="n"/>
      <c r="J48" s="329">
        <f>IF(AND(B48="",C48=""),"",ROUND(M48*N48,2))</f>
        <v/>
      </c>
      <c r="K48" s="330">
        <f>IF(AND(B48="",C48=""),"",ROUND(J48*F48,2))</f>
        <v/>
      </c>
      <c r="L48" s="126" t="n">
        <v>1</v>
      </c>
      <c r="M48" s="331" t="n">
        <v>1e-07</v>
      </c>
      <c r="N48" s="128" t="n">
        <v>0</v>
      </c>
      <c r="O48" s="129">
        <f t="array" ref="O48">IF(AND(B48="",C48=""),"",IF(G48&gt;=20000,0.05,IF(G48&gt;=10000,0.1,IF(G48&gt;=5000,0.2,IF(G48&gt;=1000,0.3,IF(G48&gt;=0,0.4,{0}))))))</f>
        <v/>
      </c>
      <c r="P48" s="332">
        <f>IF(AND(B48="",C48=""),"",ROUND(H48*O48,2))</f>
        <v/>
      </c>
      <c r="Q48" s="327" t="inlineStr">
        <is>
          <t>元件</t>
        </is>
      </c>
      <c r="R48" s="150" t="n"/>
      <c r="S48" s="150" t="n"/>
      <c r="T48" s="150" t="inlineStr">
        <is>
          <t>0</t>
        </is>
      </c>
      <c r="U48" s="150" t="n"/>
      <c r="V48" s="328" t="n"/>
      <c r="W48" s="328" t="n"/>
      <c r="X48" s="152" t="n"/>
    </row>
    <row r="49" customFormat="1" s="145">
      <c r="A49" s="36">
        <f>ROW()-ROW(A$46)</f>
        <v/>
      </c>
      <c r="B49" s="29" t="inlineStr">
        <is>
          <t>测量电流互感器</t>
        </is>
      </c>
      <c r="C49" s="25" t="inlineStr">
        <is>
          <t>SD-0.66-100II-C 2500/5</t>
        </is>
      </c>
      <c r="D49" s="29" t="inlineStr">
        <is>
          <t>杭州桑迪</t>
        </is>
      </c>
      <c r="E49" s="30" t="inlineStr">
        <is>
          <t>只</t>
        </is>
      </c>
      <c r="F49" s="26" t="n">
        <v>6</v>
      </c>
      <c r="G49" s="293">
        <f>IF(AND(B49="",C49=""),"",ROUND(M49*L49*N49,2))</f>
        <v/>
      </c>
      <c r="H49" s="293">
        <f>IF(AND(B49="",C49=""),"",ROUND(F49*G49,2))</f>
        <v/>
      </c>
      <c r="I49" s="91" t="n"/>
      <c r="J49" s="329">
        <f>IF(AND(B49="",C49=""),"",ROUND(M49*N49,2))</f>
        <v/>
      </c>
      <c r="K49" s="330">
        <f>IF(AND(B49="",C49=""),"",ROUND(J49*F49,2))</f>
        <v/>
      </c>
      <c r="L49" s="126" t="n">
        <v>1</v>
      </c>
      <c r="M49" s="331" t="n">
        <v>161.85</v>
      </c>
      <c r="N49" s="128" t="n">
        <v>1</v>
      </c>
      <c r="O49" s="129">
        <f t="array" ref="O49">IF(AND(B49="",C49=""),"",IF(G49&gt;=20000,0.05,IF(G49&gt;=10000,0.1,IF(G49&gt;=5000,0.2,IF(G49&gt;=1000,0.3,IF(G49&gt;=0,0.4,{0}))))))</f>
        <v/>
      </c>
      <c r="P49" s="332">
        <f>IF(AND(B49="",C49=""),"",ROUND(H49*O49,2))</f>
        <v/>
      </c>
      <c r="Q49" s="327" t="inlineStr">
        <is>
          <t>元件</t>
        </is>
      </c>
      <c r="R49" s="150" t="n"/>
      <c r="S49" s="150" t="n"/>
      <c r="T49" s="150" t="inlineStr">
        <is>
          <t>0</t>
        </is>
      </c>
      <c r="U49" s="150" t="n"/>
      <c r="V49" s="328" t="n"/>
      <c r="W49" s="328" t="n"/>
      <c r="X49" s="152" t="n"/>
    </row>
    <row r="50" customFormat="1" s="145">
      <c r="A50" s="36">
        <f>ROW()-ROW(A$46)</f>
        <v/>
      </c>
      <c r="B50" s="25" t="inlineStr">
        <is>
          <t>多功能表</t>
        </is>
      </c>
      <c r="C50" s="25" t="inlineStr">
        <is>
          <t>PM4633</t>
        </is>
      </c>
      <c r="D50" s="25" t="inlineStr">
        <is>
          <t>甲供/施耐德电气</t>
        </is>
      </c>
      <c r="E50" s="30" t="inlineStr">
        <is>
          <t>只</t>
        </is>
      </c>
      <c r="F50" s="26">
        <f>IF(AND(B50="",C50=""),"",1)</f>
        <v/>
      </c>
      <c r="G50" s="293">
        <f>IF(AND(B50="",C50=""),"",ROUND(M50*L50*N50,2))</f>
        <v/>
      </c>
      <c r="H50" s="293">
        <f>IF(AND(B50="",C50=""),"",ROUND(F50*G50,2))</f>
        <v/>
      </c>
      <c r="I50" s="91" t="n"/>
      <c r="J50" s="329">
        <f>IF(AND(B50="",C50=""),"",ROUND(M50*N50,2))</f>
        <v/>
      </c>
      <c r="K50" s="330">
        <f>IF(AND(B50="",C50=""),"",ROUND(J50*F50,2))</f>
        <v/>
      </c>
      <c r="L50" s="126" t="n">
        <v>1</v>
      </c>
      <c r="M50" s="331" t="n">
        <v>1e-07</v>
      </c>
      <c r="N50" s="128" t="n">
        <v>0</v>
      </c>
      <c r="O50" s="129">
        <f t="array" ref="O50">IF(AND(B50="",C50=""),"",IF(G50&gt;=20000,0.05,IF(G50&gt;=10000,0.1,IF(G50&gt;=5000,0.2,IF(G50&gt;=1000,0.3,IF(G50&gt;=0,0.4,{0}))))))</f>
        <v/>
      </c>
      <c r="P50" s="332">
        <f>IF(AND(B50="",C50=""),"",ROUND(H50*O50,2))</f>
        <v/>
      </c>
      <c r="Q50" s="327" t="inlineStr">
        <is>
          <t>元件</t>
        </is>
      </c>
      <c r="R50" s="150" t="n"/>
      <c r="S50" s="150" t="n"/>
      <c r="T50" s="150" t="inlineStr">
        <is>
          <t>0</t>
        </is>
      </c>
      <c r="U50" s="150" t="n"/>
      <c r="V50" s="328" t="n"/>
      <c r="W50" s="328" t="n"/>
      <c r="X50" s="152" t="n"/>
    </row>
    <row r="51" customFormat="1" s="145">
      <c r="A51" s="36">
        <f>ROW()-ROW(A$46)</f>
        <v/>
      </c>
      <c r="B51" s="29" t="inlineStr">
        <is>
          <t>SPD断路器</t>
        </is>
      </c>
      <c r="C51" s="25" t="inlineStr">
        <is>
          <t>iSCB1 25L1 4P</t>
        </is>
      </c>
      <c r="D51" s="29" t="inlineStr">
        <is>
          <t>甲供/施耐德万高</t>
        </is>
      </c>
      <c r="E51" s="30" t="inlineStr">
        <is>
          <t>只</t>
        </is>
      </c>
      <c r="F51" s="30">
        <f>IF(AND(B51="",C51=""),"",1)</f>
        <v/>
      </c>
      <c r="G51" s="297">
        <f>IF(AND(B51="",C51=""),"",ROUND(M51*L51*N51,2))</f>
        <v/>
      </c>
      <c r="H51" s="293">
        <f>IF(AND(B51="",C51=""),"",ROUND(F51*G51,2))</f>
        <v/>
      </c>
      <c r="I51" s="91" t="n"/>
      <c r="J51" s="329">
        <f>IF(AND(B51="",C51=""),"",ROUND(M51*N51,2))</f>
        <v/>
      </c>
      <c r="K51" s="330">
        <f>IF(AND(B51="",C51=""),"",ROUND(J51*F51,2))</f>
        <v/>
      </c>
      <c r="L51" s="126" t="n">
        <v>1</v>
      </c>
      <c r="M51" s="331" t="n">
        <v>1e-07</v>
      </c>
      <c r="N51" s="128" t="n">
        <v>0</v>
      </c>
      <c r="O51" s="129">
        <f t="array" ref="O51">IF(AND(B51="",C51=""),"",IF(G51&gt;=20000,0.05,IF(G51&gt;=10000,0.1,IF(G51&gt;=5000,0.2,IF(G51&gt;=1000,0.3,IF(G51&gt;=0,0.4,{0}))))))</f>
        <v/>
      </c>
      <c r="P51" s="332">
        <f>IF(AND(B51="",C51=""),"",ROUND(H51*O51,2))</f>
        <v/>
      </c>
      <c r="Q51" s="327" t="inlineStr">
        <is>
          <t>元件</t>
        </is>
      </c>
      <c r="R51" s="150" t="n"/>
      <c r="S51" s="150" t="n"/>
      <c r="T51" s="150" t="inlineStr">
        <is>
          <t>0</t>
        </is>
      </c>
      <c r="U51" s="150" t="n"/>
      <c r="V51" s="328" t="n"/>
      <c r="W51" s="328" t="n"/>
      <c r="X51" s="152" t="n"/>
    </row>
    <row r="52" customFormat="1" s="145">
      <c r="A52" s="36">
        <f>ROW()-ROW(A$46)</f>
        <v/>
      </c>
      <c r="B52" s="29" t="inlineStr">
        <is>
          <t>浪涌保护器</t>
        </is>
      </c>
      <c r="C52" s="25" t="inlineStr">
        <is>
          <t>iPRF1 12.5r 3P+N</t>
        </is>
      </c>
      <c r="D52" s="29" t="inlineStr">
        <is>
          <t>甲供/施耐德万高</t>
        </is>
      </c>
      <c r="E52" s="30" t="inlineStr">
        <is>
          <t>只</t>
        </is>
      </c>
      <c r="F52" s="30">
        <f>IF(AND(B52="",C52=""),"",1)</f>
        <v/>
      </c>
      <c r="G52" s="297">
        <f>IF(AND(B52="",C52=""),"",ROUND(M52*L52*N52,2))</f>
        <v/>
      </c>
      <c r="H52" s="293">
        <f>IF(AND(B52="",C52=""),"",ROUND(F52*G52,2))</f>
        <v/>
      </c>
      <c r="I52" s="91" t="n"/>
      <c r="J52" s="329">
        <f>IF(AND(B52="",C52=""),"",ROUND(M52*N52,2))</f>
        <v/>
      </c>
      <c r="K52" s="330">
        <f>IF(AND(B52="",C52=""),"",ROUND(J52*F52,2))</f>
        <v/>
      </c>
      <c r="L52" s="126" t="n">
        <v>1</v>
      </c>
      <c r="M52" s="331" t="n">
        <v>1e-07</v>
      </c>
      <c r="N52" s="128" t="n">
        <v>0</v>
      </c>
      <c r="O52" s="129">
        <f t="array" ref="O52">IF(AND(B52="",C52=""),"",IF(G52&gt;=20000,0.05,IF(G52&gt;=10000,0.1,IF(G52&gt;=5000,0.2,IF(G52&gt;=1000,0.3,IF(G52&gt;=0,0.4,{0}))))))</f>
        <v/>
      </c>
      <c r="P52" s="332">
        <f>IF(AND(B52="",C52=""),"",ROUND(H52*O52,2))</f>
        <v/>
      </c>
      <c r="Q52" s="327" t="inlineStr">
        <is>
          <t>元件</t>
        </is>
      </c>
      <c r="R52" s="150" t="n"/>
      <c r="S52" s="150" t="n"/>
      <c r="T52" s="150" t="inlineStr">
        <is>
          <t>0</t>
        </is>
      </c>
      <c r="U52" s="150" t="n"/>
      <c r="V52" s="328" t="n"/>
      <c r="W52" s="328" t="n"/>
      <c r="X52" s="152" t="n"/>
    </row>
    <row r="53" customFormat="1" s="145">
      <c r="A53" s="36">
        <f>ROW()-ROW(A$46)</f>
        <v/>
      </c>
      <c r="B53" s="29" t="inlineStr">
        <is>
          <t>SP元件</t>
        </is>
      </c>
      <c r="C53" s="25" t="inlineStr">
        <is>
          <t>智能网关 PAS700</t>
        </is>
      </c>
      <c r="D53" s="25" t="inlineStr">
        <is>
          <t>甲供/施耐德电气</t>
        </is>
      </c>
      <c r="E53" s="30" t="inlineStr">
        <is>
          <t>只</t>
        </is>
      </c>
      <c r="F53" s="30">
        <f>IF(AND(B53="",C53=""),"",1)</f>
        <v/>
      </c>
      <c r="G53" s="297">
        <f>IF(AND(B53="",C53=""),"",ROUND(M53*L53*N53,2))</f>
        <v/>
      </c>
      <c r="H53" s="297">
        <f>IF(AND(B53="",C53=""),"",ROUND(F53*G53,2))</f>
        <v/>
      </c>
      <c r="I53" s="135" t="n"/>
      <c r="J53" s="329">
        <f>IF(AND(B53="",C53=""),"",ROUND(M53*N53,2))</f>
        <v/>
      </c>
      <c r="K53" s="330">
        <f>IF(AND(B53="",C53=""),"",ROUND(J53*F53,2))</f>
        <v/>
      </c>
      <c r="L53" s="126" t="n">
        <v>1</v>
      </c>
      <c r="M53" s="331" t="n">
        <v>1e-07</v>
      </c>
      <c r="N53" s="128" t="n">
        <v>0</v>
      </c>
      <c r="O53" s="129">
        <f t="array" ref="O53">IF(AND(B53="",C53=""),"",IF(G53&gt;=20000,0.05,IF(G53&gt;=10000,0.1,IF(G53&gt;=5000,0.2,IF(G53&gt;=1000,0.3,IF(G53&gt;=0,0.4,{0}))))))</f>
        <v/>
      </c>
      <c r="P53" s="332">
        <f>IF(AND(B53="",C53=""),"",ROUND(H53*O53,2))</f>
        <v/>
      </c>
      <c r="Q53" s="327" t="inlineStr">
        <is>
          <t>元件</t>
        </is>
      </c>
      <c r="R53" s="150" t="n"/>
      <c r="S53" s="150" t="n"/>
      <c r="T53" s="150" t="inlineStr">
        <is>
          <t>0</t>
        </is>
      </c>
      <c r="U53" s="150" t="n"/>
      <c r="V53" s="328" t="n"/>
      <c r="W53" s="328" t="n"/>
      <c r="X53" s="152" t="n"/>
    </row>
    <row r="54" customFormat="1" s="145">
      <c r="A54" s="36">
        <f>ROW()-ROW(A$46)</f>
        <v/>
      </c>
      <c r="B54" s="29" t="inlineStr">
        <is>
          <t>SP元件</t>
        </is>
      </c>
      <c r="C54" s="25" t="inlineStr">
        <is>
          <t>POI 站控专家 软件</t>
        </is>
      </c>
      <c r="D54" s="25" t="inlineStr">
        <is>
          <t>甲供/施耐德电气</t>
        </is>
      </c>
      <c r="E54" s="30" t="inlineStr">
        <is>
          <t>只</t>
        </is>
      </c>
      <c r="F54" s="30">
        <f>IF(AND(B54="",C54=""),"",1)</f>
        <v/>
      </c>
      <c r="G54" s="297">
        <f>IF(AND(B54="",C54=""),"",ROUND(M54*L54*N54,2))</f>
        <v/>
      </c>
      <c r="H54" s="297">
        <f>IF(AND(B54="",C54=""),"",ROUND(F54*G54,2))</f>
        <v/>
      </c>
      <c r="I54" s="135" t="n"/>
      <c r="J54" s="329">
        <f>IF(AND(B54="",C54=""),"",ROUND(M54*N54,2))</f>
        <v/>
      </c>
      <c r="K54" s="330">
        <f>IF(AND(B54="",C54=""),"",ROUND(J54*F54,2))</f>
        <v/>
      </c>
      <c r="L54" s="126" t="n">
        <v>1</v>
      </c>
      <c r="M54" s="331" t="n">
        <v>1e-07</v>
      </c>
      <c r="N54" s="128" t="n">
        <v>0</v>
      </c>
      <c r="O54" s="129">
        <f t="array" ref="O54">IF(AND(B54="",C54=""),"",IF(G54&gt;=20000,0.05,IF(G54&gt;=10000,0.1,IF(G54&gt;=5000,0.2,IF(G54&gt;=1000,0.3,IF(G54&gt;=0,0.4,{0}))))))</f>
        <v/>
      </c>
      <c r="P54" s="332">
        <f>IF(AND(B54="",C54=""),"",ROUND(H54*O54,2))</f>
        <v/>
      </c>
      <c r="Q54" s="327" t="inlineStr">
        <is>
          <t>元件</t>
        </is>
      </c>
      <c r="R54" s="150" t="n"/>
      <c r="S54" s="150" t="n"/>
      <c r="T54" s="150" t="inlineStr">
        <is>
          <t>0</t>
        </is>
      </c>
      <c r="U54" s="150" t="n"/>
      <c r="V54" s="328" t="n"/>
      <c r="W54" s="328" t="n"/>
      <c r="X54" s="152" t="n"/>
    </row>
    <row r="55" customFormat="1" s="145">
      <c r="A55" s="36">
        <f>ROW()-ROW(A$46)</f>
        <v/>
      </c>
      <c r="B55" s="29" t="inlineStr">
        <is>
          <t>SP元件</t>
        </is>
      </c>
      <c r="C55" s="25" t="inlineStr">
        <is>
          <t>POI 站控专家 硬件</t>
        </is>
      </c>
      <c r="D55" s="25" t="inlineStr">
        <is>
          <t>甲供/施耐德电气</t>
        </is>
      </c>
      <c r="E55" s="30" t="inlineStr">
        <is>
          <t>只</t>
        </is>
      </c>
      <c r="F55" s="30">
        <f>IF(AND(B55="",C55=""),"",1)</f>
        <v/>
      </c>
      <c r="G55" s="297">
        <f>IF(AND(B55="",C55=""),"",ROUND(M55*L55*N55,2))</f>
        <v/>
      </c>
      <c r="H55" s="297">
        <f>IF(AND(B55="",C55=""),"",ROUND(F55*G55,2))</f>
        <v/>
      </c>
      <c r="I55" s="135" t="n"/>
      <c r="J55" s="329">
        <f>IF(AND(B55="",C55=""),"",ROUND(M55*N55,2))</f>
        <v/>
      </c>
      <c r="K55" s="330">
        <f>IF(AND(B55="",C55=""),"",ROUND(J55*F55,2))</f>
        <v/>
      </c>
      <c r="L55" s="126" t="n">
        <v>1</v>
      </c>
      <c r="M55" s="331" t="n">
        <v>1e-07</v>
      </c>
      <c r="N55" s="128" t="n">
        <v>0</v>
      </c>
      <c r="O55" s="129">
        <f t="array" ref="O55">IF(AND(B55="",C55=""),"",IF(G55&gt;=20000,0.05,IF(G55&gt;=10000,0.1,IF(G55&gt;=5000,0.2,IF(G55&gt;=1000,0.3,IF(G55&gt;=0,0.4,{0}))))))</f>
        <v/>
      </c>
      <c r="P55" s="332">
        <f>IF(AND(B55="",C55=""),"",ROUND(H55*O55,2))</f>
        <v/>
      </c>
      <c r="Q55" s="327" t="inlineStr">
        <is>
          <t>元件</t>
        </is>
      </c>
      <c r="R55" s="150" t="n"/>
      <c r="S55" s="150" t="n"/>
      <c r="T55" s="150" t="inlineStr">
        <is>
          <t>0</t>
        </is>
      </c>
      <c r="U55" s="150" t="n"/>
      <c r="V55" s="328" t="n"/>
      <c r="W55" s="328" t="n"/>
      <c r="X55" s="152" t="n"/>
    </row>
    <row r="56" customFormat="1" s="145">
      <c r="A56" s="36">
        <f>ROW()-ROW(A$46)</f>
        <v/>
      </c>
      <c r="B56" s="29" t="inlineStr">
        <is>
          <t>指示灯</t>
        </is>
      </c>
      <c r="C56" s="29" t="inlineStr">
        <is>
          <t>XA2EVM3LC</t>
        </is>
      </c>
      <c r="D56" s="29" t="inlineStr">
        <is>
          <t>施耐德电气</t>
        </is>
      </c>
      <c r="E56" s="30" t="inlineStr">
        <is>
          <t>只</t>
        </is>
      </c>
      <c r="F56" s="30" t="n">
        <v>1</v>
      </c>
      <c r="G56" s="297">
        <f>IF(AND(B56="",C56=""),"",ROUND(M56*L56*N56,2))</f>
        <v/>
      </c>
      <c r="H56" s="297">
        <f>IF(AND(B56="",C56=""),"",ROUND(F56*G56,2))</f>
        <v/>
      </c>
      <c r="I56" s="136" t="n"/>
      <c r="J56" s="329">
        <f>IF(AND(B56="",C56=""),"",ROUND(M56*N56,2))</f>
        <v/>
      </c>
      <c r="K56" s="330">
        <f>IF(AND(B56="",C56=""),"",ROUND(J56*F56,2))</f>
        <v/>
      </c>
      <c r="L56" s="126" t="n">
        <v>1</v>
      </c>
      <c r="M56" s="331" t="n">
        <v>16.43</v>
      </c>
      <c r="N56" s="137" t="n">
        <v>0.5</v>
      </c>
      <c r="O56" s="138">
        <f t="array" ref="O56">IF(AND(B56="",C56=""),"",IF(G56&gt;=20000,0.05,IF(G56&gt;=10000,0.1,IF(G56&gt;=5000,0.2,IF(G56&gt;=1000,0.3,IF(G56&gt;=0,0.4,{0}))))))</f>
        <v/>
      </c>
      <c r="P56" s="333">
        <f>IF(AND(B56="",C56=""),"",ROUND(H56*O56,2))</f>
        <v/>
      </c>
      <c r="Q56" s="334" t="inlineStr">
        <is>
          <t>元件</t>
        </is>
      </c>
      <c r="R56" s="154" t="n"/>
      <c r="S56" s="154" t="n"/>
      <c r="T56" s="154" t="inlineStr">
        <is>
          <t>0</t>
        </is>
      </c>
      <c r="U56" s="154" t="inlineStr">
        <is>
          <t>XA2EVM3LC</t>
        </is>
      </c>
      <c r="V56" s="335" t="n"/>
      <c r="W56" s="335" t="n"/>
      <c r="X56" s="152" t="n"/>
    </row>
    <row r="57" customFormat="1" s="145">
      <c r="A57" s="36">
        <f>ROW()-ROW(A$46)</f>
        <v/>
      </c>
      <c r="B57" s="29" t="inlineStr">
        <is>
          <t>指示灯</t>
        </is>
      </c>
      <c r="C57" s="25" t="inlineStr">
        <is>
          <t>XA2EVM4LC</t>
        </is>
      </c>
      <c r="D57" s="29" t="inlineStr">
        <is>
          <t>施耐德电气</t>
        </is>
      </c>
      <c r="E57" s="30" t="inlineStr">
        <is>
          <t>只</t>
        </is>
      </c>
      <c r="F57" s="30" t="n">
        <v>1</v>
      </c>
      <c r="G57" s="297">
        <f>IF(AND(B57="",C57=""),"",ROUND(M57*L57*N57,2))</f>
        <v/>
      </c>
      <c r="H57" s="297">
        <f>IF(AND(B57="",C57=""),"",ROUND(F57*G57,2))</f>
        <v/>
      </c>
      <c r="I57" s="136" t="n"/>
      <c r="J57" s="329">
        <f>IF(AND(B57="",C57=""),"",ROUND(M57*N57,2))</f>
        <v/>
      </c>
      <c r="K57" s="330">
        <f>IF(AND(B57="",C57=""),"",ROUND(J57*F57,2))</f>
        <v/>
      </c>
      <c r="L57" s="126" t="n">
        <v>1</v>
      </c>
      <c r="M57" s="331" t="n">
        <v>16.43</v>
      </c>
      <c r="N57" s="137" t="n">
        <v>0.5</v>
      </c>
      <c r="O57" s="138">
        <f t="array" ref="O57">IF(AND(B57="",C57=""),"",IF(G57&gt;=20000,0.05,IF(G57&gt;=10000,0.1,IF(G57&gt;=5000,0.2,IF(G57&gt;=1000,0.3,IF(G57&gt;=0,0.4,{0}))))))</f>
        <v/>
      </c>
      <c r="P57" s="333">
        <f>IF(AND(B57="",C57=""),"",ROUND(H57*O57,2))</f>
        <v/>
      </c>
      <c r="Q57" s="334" t="inlineStr">
        <is>
          <t>元件</t>
        </is>
      </c>
      <c r="R57" s="154" t="n"/>
      <c r="S57" s="154" t="n"/>
      <c r="T57" s="154" t="inlineStr">
        <is>
          <t>0</t>
        </is>
      </c>
      <c r="U57" s="154" t="inlineStr">
        <is>
          <t>XA2EVM4LC</t>
        </is>
      </c>
      <c r="V57" s="335" t="n"/>
      <c r="W57" s="335" t="n"/>
      <c r="X57" s="152" t="n"/>
    </row>
    <row r="58" customFormat="1" s="145">
      <c r="A58" s="36">
        <f>ROW()-ROW(A$46)</f>
        <v/>
      </c>
      <c r="B58" s="29" t="inlineStr">
        <is>
          <t>指示灯</t>
        </is>
      </c>
      <c r="C58" s="29" t="inlineStr">
        <is>
          <t>XA2EVM5LC</t>
        </is>
      </c>
      <c r="D58" s="29" t="inlineStr">
        <is>
          <t>施耐德电气</t>
        </is>
      </c>
      <c r="E58" s="30" t="inlineStr">
        <is>
          <t>只</t>
        </is>
      </c>
      <c r="F58" s="30" t="n">
        <v>1</v>
      </c>
      <c r="G58" s="297">
        <f>IF(AND(B58="",C58=""),"",ROUND(M58*L58*N58,2))</f>
        <v/>
      </c>
      <c r="H58" s="297">
        <f>IF(AND(B58="",C58=""),"",ROUND(F58*G58,2))</f>
        <v/>
      </c>
      <c r="I58" s="136" t="n"/>
      <c r="J58" s="329">
        <f>IF(AND(B58="",C58=""),"",ROUND(M58*N58,2))</f>
        <v/>
      </c>
      <c r="K58" s="330">
        <f>IF(AND(B58="",C58=""),"",ROUND(J58*F58,2))</f>
        <v/>
      </c>
      <c r="L58" s="126" t="n">
        <v>1</v>
      </c>
      <c r="M58" s="331" t="n">
        <v>16.43</v>
      </c>
      <c r="N58" s="137" t="n">
        <v>0.5</v>
      </c>
      <c r="O58" s="138">
        <f t="array" ref="O58">IF(AND(B58="",C58=""),"",IF(G58&gt;=20000,0.05,IF(G58&gt;=10000,0.1,IF(G58&gt;=5000,0.2,IF(G58&gt;=1000,0.3,IF(G58&gt;=0,0.4,{0}))))))</f>
        <v/>
      </c>
      <c r="P58" s="333">
        <f>IF(AND(B58="",C58=""),"",ROUND(H58*O58,2))</f>
        <v/>
      </c>
      <c r="Q58" s="334" t="inlineStr">
        <is>
          <t>元件</t>
        </is>
      </c>
      <c r="R58" s="154" t="n"/>
      <c r="S58" s="154" t="n"/>
      <c r="T58" s="154" t="inlineStr">
        <is>
          <t>0</t>
        </is>
      </c>
      <c r="U58" s="154" t="inlineStr">
        <is>
          <t>XA2EVM5LC</t>
        </is>
      </c>
      <c r="V58" s="335" t="n"/>
      <c r="W58" s="335" t="n"/>
      <c r="X58" s="152" t="n"/>
    </row>
    <row r="59" customFormat="1" s="145">
      <c r="A59" s="36">
        <f>ROW()-ROW(A$46)</f>
        <v/>
      </c>
      <c r="B59" s="29" t="inlineStr">
        <is>
          <t>按钮</t>
        </is>
      </c>
      <c r="C59" s="29" t="inlineStr">
        <is>
          <t>XA2EA31</t>
        </is>
      </c>
      <c r="D59" s="29" t="inlineStr">
        <is>
          <t>施耐德电气</t>
        </is>
      </c>
      <c r="E59" s="30" t="inlineStr">
        <is>
          <t>只</t>
        </is>
      </c>
      <c r="F59" s="30" t="n">
        <v>1</v>
      </c>
      <c r="G59" s="297">
        <f>IF(AND(B59="",C59=""),"",ROUND(M59*L59*N59,2))</f>
        <v/>
      </c>
      <c r="H59" s="297">
        <f>IF(AND(B59="",C59=""),"",ROUND(F59*G59,2))</f>
        <v/>
      </c>
      <c r="I59" s="136" t="n"/>
      <c r="J59" s="329">
        <f>IF(AND(B59="",C59=""),"",ROUND(M59*N59,2))</f>
        <v/>
      </c>
      <c r="K59" s="330">
        <f>IF(AND(B59="",C59=""),"",ROUND(J59*F59,2))</f>
        <v/>
      </c>
      <c r="L59" s="126" t="n">
        <v>1</v>
      </c>
      <c r="M59" s="331" t="n">
        <v>15.55</v>
      </c>
      <c r="N59" s="137" t="n">
        <v>0.5</v>
      </c>
      <c r="O59" s="138">
        <f t="array" ref="O59">IF(AND(B59="",C59=""),"",IF(G59&gt;=20000,0.05,IF(G59&gt;=10000,0.1,IF(G59&gt;=5000,0.2,IF(G59&gt;=1000,0.3,IF(G59&gt;=0,0.4,{0}))))))</f>
        <v/>
      </c>
      <c r="P59" s="333">
        <f>IF(AND(B59="",C59=""),"",ROUND(H59*O59,2))</f>
        <v/>
      </c>
      <c r="Q59" s="334" t="inlineStr">
        <is>
          <t>元件</t>
        </is>
      </c>
      <c r="R59" s="154" t="n"/>
      <c r="S59" s="154" t="n"/>
      <c r="T59" s="154" t="inlineStr">
        <is>
          <t>0</t>
        </is>
      </c>
      <c r="U59" s="154" t="inlineStr">
        <is>
          <t>XA2EA31</t>
        </is>
      </c>
      <c r="V59" s="335" t="n"/>
      <c r="W59" s="335" t="n"/>
      <c r="X59" s="152" t="n"/>
    </row>
    <row r="60" customFormat="1" s="145">
      <c r="A60" s="36">
        <f>ROW()-ROW(A$46)</f>
        <v/>
      </c>
      <c r="B60" s="25" t="inlineStr">
        <is>
          <t>按钮</t>
        </is>
      </c>
      <c r="C60" s="25" t="inlineStr">
        <is>
          <t>XA2EA41</t>
        </is>
      </c>
      <c r="D60" s="25" t="inlineStr">
        <is>
          <t>施耐德电气</t>
        </is>
      </c>
      <c r="E60" s="26" t="inlineStr">
        <is>
          <t>只</t>
        </is>
      </c>
      <c r="F60" s="26" t="n">
        <v>1</v>
      </c>
      <c r="G60" s="293">
        <f>IF(AND(B60="",C60=""),"",ROUND(M60*L60*N60,2))</f>
        <v/>
      </c>
      <c r="H60" s="297">
        <f>IF(AND(B60="",C60=""),"",ROUND(F60*G60,2))</f>
        <v/>
      </c>
      <c r="I60" s="136" t="n"/>
      <c r="J60" s="329">
        <f>IF(AND(B60="",C60=""),"",ROUND(M60*N60,2))</f>
        <v/>
      </c>
      <c r="K60" s="330">
        <f>IF(AND(B60="",C60=""),"",ROUND(J60*F60,2))</f>
        <v/>
      </c>
      <c r="L60" s="126" t="n">
        <v>1</v>
      </c>
      <c r="M60" s="331" t="n">
        <v>15.55</v>
      </c>
      <c r="N60" s="137" t="n">
        <v>0.5</v>
      </c>
      <c r="O60" s="138">
        <f t="array" ref="O60">IF(AND(B60="",C60=""),"",IF(G60&gt;=20000,0.05,IF(G60&gt;=10000,0.1,IF(G60&gt;=5000,0.2,IF(G60&gt;=1000,0.3,IF(G60&gt;=0,0.4,{0}))))))</f>
        <v/>
      </c>
      <c r="P60" s="333">
        <f>IF(AND(B60="",C60=""),"",ROUND(H60*O60,2))</f>
        <v/>
      </c>
      <c r="Q60" s="334" t="inlineStr">
        <is>
          <t>元件</t>
        </is>
      </c>
      <c r="R60" s="154" t="n"/>
      <c r="S60" s="154" t="n"/>
      <c r="T60" s="154" t="inlineStr">
        <is>
          <t>0</t>
        </is>
      </c>
      <c r="U60" s="154" t="inlineStr">
        <is>
          <t>XA2EA41</t>
        </is>
      </c>
      <c r="V60" s="335" t="n"/>
      <c r="W60" s="335" t="n"/>
      <c r="X60" s="152" t="n"/>
    </row>
    <row r="61" customFormat="1" s="145">
      <c r="A61" s="36">
        <f>ROW()-ROW(A$46)</f>
        <v/>
      </c>
      <c r="B61" s="25" t="inlineStr">
        <is>
          <t>熔断器</t>
        </is>
      </c>
      <c r="C61" s="25" t="inlineStr">
        <is>
          <t>UK5-HESI</t>
        </is>
      </c>
      <c r="D61" s="25" t="inlineStr">
        <is>
          <t>菲尼克斯</t>
        </is>
      </c>
      <c r="E61" s="26" t="inlineStr">
        <is>
          <t>只</t>
        </is>
      </c>
      <c r="F61" s="26" t="n">
        <v>4</v>
      </c>
      <c r="G61" s="293">
        <f>IF(AND(B61="",C61=""),"",ROUND(M61*L61*N61,2))</f>
        <v/>
      </c>
      <c r="H61" s="297">
        <f>IF(AND(B61="",C61=""),"",ROUND(F61*G61,2))</f>
        <v/>
      </c>
      <c r="I61" s="136" t="n"/>
      <c r="J61" s="329">
        <f>IF(AND(B61="",C61=""),"",ROUND(M61*N61,2))</f>
        <v/>
      </c>
      <c r="K61" s="330">
        <f>IF(AND(B61="",C61=""),"",ROUND(J61*F61,2))</f>
        <v/>
      </c>
      <c r="L61" s="126" t="n">
        <v>1</v>
      </c>
      <c r="M61" s="331" t="n">
        <v>7</v>
      </c>
      <c r="N61" s="137" t="n">
        <v>1</v>
      </c>
      <c r="O61" s="138">
        <f t="array" ref="O61">IF(AND(B61="",C61=""),"",IF(G61&gt;=20000,0.05,IF(G61&gt;=10000,0.1,IF(G61&gt;=5000,0.2,IF(G61&gt;=1000,0.3,IF(G61&gt;=0,0.4,{0}))))))</f>
        <v/>
      </c>
      <c r="P61" s="333">
        <f>IF(AND(B61="",C61=""),"",ROUND(H61*O61,2))</f>
        <v/>
      </c>
      <c r="Q61" s="334" t="inlineStr">
        <is>
          <t>元件</t>
        </is>
      </c>
      <c r="R61" s="154" t="n"/>
      <c r="S61" s="154" t="n"/>
      <c r="T61" s="154" t="inlineStr">
        <is>
          <t>0</t>
        </is>
      </c>
      <c r="U61" s="154" t="n"/>
      <c r="V61" s="335" t="n"/>
      <c r="W61" s="335" t="n"/>
      <c r="X61" s="152" t="n"/>
    </row>
    <row r="62" customFormat="1" s="145">
      <c r="A62" s="36">
        <f>ROW()-ROW(A$46)</f>
        <v/>
      </c>
      <c r="B62" s="25" t="inlineStr">
        <is>
          <t>水平排2500A</t>
        </is>
      </c>
      <c r="C62" s="25" t="inlineStr">
        <is>
          <t>TMY 3*(2*125*5)+1*125*5+2*50*5</t>
        </is>
      </c>
      <c r="D62" s="25" t="inlineStr">
        <is>
          <t>国产优质</t>
        </is>
      </c>
      <c r="E62" s="26" t="inlineStr">
        <is>
          <t>米</t>
        </is>
      </c>
      <c r="F62" s="30" t="n">
        <v>1.1</v>
      </c>
      <c r="G62" s="297">
        <f>IF(AND(B62="",C62=""),"",ROUND(M62*L62*N62,2))</f>
        <v/>
      </c>
      <c r="H62" s="297">
        <f>IF(AND(B62="",C62=""),"",ROUND(F62*G62,2))</f>
        <v/>
      </c>
      <c r="I62" s="135" t="n"/>
      <c r="J62" s="329">
        <f>IF(AND(B62="",C62=""),"",ROUND(M62*N62,2))</f>
        <v/>
      </c>
      <c r="K62" s="330">
        <f>IF(AND(B62="",C62=""),"",ROUND(J62*F62,2))</f>
        <v/>
      </c>
      <c r="L62" s="126" t="n">
        <v>1</v>
      </c>
      <c r="M62" s="331" t="n">
        <v>3633.9200625</v>
      </c>
      <c r="N62" s="128" t="n">
        <v>1</v>
      </c>
      <c r="O62" s="129">
        <f t="array" ref="O62">IF(AND(B62="",C62=""),"",IF(G62&gt;=20000,0.05,IF(G62&gt;=10000,0.1,IF(G62&gt;=5000,0.2,IF(G62&gt;=1000,0.3,IF(G62&gt;=0,0.4,{0}))))))</f>
        <v/>
      </c>
      <c r="P62" s="332">
        <f>IF(AND(B62="",C62=""),"",ROUND(H62*O62,2))</f>
        <v/>
      </c>
      <c r="Q62" s="327" t="inlineStr">
        <is>
          <t>母排</t>
        </is>
      </c>
      <c r="R62" s="150" t="n"/>
      <c r="S62" s="150" t="n"/>
      <c r="T62" s="150" t="inlineStr">
        <is>
          <t>0</t>
        </is>
      </c>
      <c r="U62" s="150" t="n"/>
      <c r="V62" s="328" t="n"/>
      <c r="W62" s="328" t="n"/>
      <c r="X62" s="152" t="n"/>
    </row>
    <row r="63" customFormat="1" s="145">
      <c r="A63" s="36">
        <f>ROW()-ROW(A$46)</f>
        <v/>
      </c>
      <c r="B63" s="29" t="inlineStr">
        <is>
          <t>WTS电源侧</t>
        </is>
      </c>
      <c r="C63" s="29" t="inlineStr">
        <is>
          <t>TMY 4*（4*100*5）</t>
        </is>
      </c>
      <c r="D63" s="25" t="inlineStr">
        <is>
          <t>国产优质</t>
        </is>
      </c>
      <c r="E63" s="26" t="inlineStr">
        <is>
          <t>米</t>
        </is>
      </c>
      <c r="F63" s="30">
        <f>0.8+1.8</f>
        <v/>
      </c>
      <c r="G63" s="297">
        <f>IF(AND(B63="",C63=""),"",ROUND(M63*L63*N63,2))</f>
        <v/>
      </c>
      <c r="H63" s="297">
        <f>IF(AND(B63="",C63=""),"",ROUND(F63*G63,2))</f>
        <v/>
      </c>
      <c r="I63" s="135" t="n"/>
      <c r="J63" s="329">
        <f>IF(AND(B63="",C63=""),"",ROUND(M63*N63,2))</f>
        <v/>
      </c>
      <c r="K63" s="330">
        <f>IF(AND(B63="",C63=""),"",ROUND(J63*F63,2))</f>
        <v/>
      </c>
      <c r="L63" s="126" t="n">
        <v>1</v>
      </c>
      <c r="M63" s="331" t="n">
        <v>5963.356</v>
      </c>
      <c r="N63" s="128" t="n">
        <v>1</v>
      </c>
      <c r="O63" s="129">
        <f t="array" ref="O63">IF(AND(B63="",C63=""),"",IF(G63&gt;=20000,0.05,IF(G63&gt;=10000,0.1,IF(G63&gt;=5000,0.2,IF(G63&gt;=1000,0.3,IF(G63&gt;=0,0.4,{0}))))))</f>
        <v/>
      </c>
      <c r="P63" s="332">
        <f>IF(AND(B63="",C63=""),"",ROUND(H63*O63,2))</f>
        <v/>
      </c>
      <c r="Q63" s="327" t="inlineStr">
        <is>
          <t>母排</t>
        </is>
      </c>
      <c r="R63" s="150" t="n"/>
      <c r="S63" s="150" t="n"/>
      <c r="T63" s="150" t="inlineStr">
        <is>
          <t>0</t>
        </is>
      </c>
      <c r="U63" s="150" t="n"/>
      <c r="V63" s="328" t="n"/>
      <c r="W63" s="328" t="n"/>
      <c r="X63" s="152" t="n"/>
    </row>
    <row r="64" customFormat="1" s="145">
      <c r="A64" s="36">
        <f>ROW()-ROW(A$46)</f>
        <v/>
      </c>
      <c r="B64" s="29" t="inlineStr">
        <is>
          <t>WTS负载侧</t>
        </is>
      </c>
      <c r="C64" s="29" t="inlineStr">
        <is>
          <t>TMY 4*（4*100*5）</t>
        </is>
      </c>
      <c r="D64" s="25" t="inlineStr">
        <is>
          <t>国产优质</t>
        </is>
      </c>
      <c r="E64" s="26" t="inlineStr">
        <is>
          <t>米</t>
        </is>
      </c>
      <c r="F64" s="30" t="n">
        <v>1.8</v>
      </c>
      <c r="G64" s="297">
        <f>IF(AND(B64="",C64=""),"",ROUND(M64*L64*N64,2))</f>
        <v/>
      </c>
      <c r="H64" s="297">
        <f>IF(AND(B64="",C64=""),"",ROUND(F64*G64,2))</f>
        <v/>
      </c>
      <c r="I64" s="135" t="n"/>
      <c r="J64" s="329">
        <f>IF(AND(B64="",C64=""),"",ROUND(M64*N64,2))</f>
        <v/>
      </c>
      <c r="K64" s="330">
        <f>IF(AND(B64="",C64=""),"",ROUND(J64*F64,2))</f>
        <v/>
      </c>
      <c r="L64" s="126" t="n">
        <v>1</v>
      </c>
      <c r="M64" s="331" t="n">
        <v>5963.356</v>
      </c>
      <c r="N64" s="128" t="n">
        <v>1</v>
      </c>
      <c r="O64" s="129">
        <f t="array" ref="O64">IF(AND(B64="",C64=""),"",IF(G64&gt;=20000,0.05,IF(G64&gt;=10000,0.1,IF(G64&gt;=5000,0.2,IF(G64&gt;=1000,0.3,IF(G64&gt;=0,0.4,{0}))))))</f>
        <v/>
      </c>
      <c r="P64" s="332">
        <f>IF(AND(B64="",C64=""),"",ROUND(H64*O64,2))</f>
        <v/>
      </c>
      <c r="Q64" s="327" t="inlineStr">
        <is>
          <t>母排</t>
        </is>
      </c>
      <c r="R64" s="150" t="n"/>
      <c r="S64" s="150" t="n"/>
      <c r="T64" s="150" t="inlineStr">
        <is>
          <t>0</t>
        </is>
      </c>
      <c r="U64" s="150" t="n"/>
      <c r="V64" s="328" t="n"/>
      <c r="W64" s="328" t="n"/>
      <c r="X64" s="152" t="n"/>
    </row>
    <row r="65" customFormat="1" s="145">
      <c r="A65" s="36">
        <f>ROW()-ROW(A$46)</f>
        <v/>
      </c>
      <c r="B65" s="29" t="inlineStr">
        <is>
          <t>MT25上桩头</t>
        </is>
      </c>
      <c r="C65" s="29" t="inlineStr">
        <is>
          <t>TMY 4*（4*80*5）</t>
        </is>
      </c>
      <c r="D65" s="25" t="inlineStr">
        <is>
          <t>国产优质</t>
        </is>
      </c>
      <c r="E65" s="26" t="inlineStr">
        <is>
          <t>米</t>
        </is>
      </c>
      <c r="F65" s="30" t="n">
        <v>0.65</v>
      </c>
      <c r="G65" s="297">
        <f>IF(AND(B65="",C65=""),"",ROUND(M65*L65*N65,2))</f>
        <v/>
      </c>
      <c r="H65" s="297">
        <f>IF(AND(B65="",C65=""),"",ROUND(F65*G65,2))</f>
        <v/>
      </c>
      <c r="I65" s="135" t="n"/>
      <c r="J65" s="329">
        <f>IF(AND(B65="",C65=""),"",ROUND(M65*N65,2))</f>
        <v/>
      </c>
      <c r="K65" s="330">
        <f>IF(AND(B65="",C65=""),"",ROUND(J65*F65,2))</f>
        <v/>
      </c>
      <c r="L65" s="126" t="n">
        <v>1</v>
      </c>
      <c r="M65" s="331" t="n">
        <v>4770.6848</v>
      </c>
      <c r="N65" s="128" t="n">
        <v>1</v>
      </c>
      <c r="O65" s="129">
        <f t="array" ref="O65">IF(AND(B65="",C65=""),"",IF(G65&gt;=20000,0.05,IF(G65&gt;=10000,0.1,IF(G65&gt;=5000,0.2,IF(G65&gt;=1000,0.3,IF(G65&gt;=0,0.4,{0}))))))</f>
        <v/>
      </c>
      <c r="P65" s="332">
        <f>IF(AND(B65="",C65=""),"",ROUND(H65*O65,2))</f>
        <v/>
      </c>
      <c r="Q65" s="327" t="inlineStr">
        <is>
          <t>母排</t>
        </is>
      </c>
      <c r="R65" s="150" t="n"/>
      <c r="S65" s="150" t="n"/>
      <c r="T65" s="150" t="inlineStr">
        <is>
          <t>0</t>
        </is>
      </c>
      <c r="U65" s="150" t="n"/>
      <c r="V65" s="328" t="n"/>
      <c r="W65" s="328" t="n"/>
      <c r="X65" s="152" t="n"/>
    </row>
    <row r="66" customFormat="1" s="145">
      <c r="A66" s="36">
        <f>ROW()-ROW(A$46)</f>
        <v/>
      </c>
      <c r="B66" s="29" t="inlineStr">
        <is>
          <t>MT25下桩头</t>
        </is>
      </c>
      <c r="C66" s="29" t="inlineStr">
        <is>
          <t>TMY 4*（4*80*5）</t>
        </is>
      </c>
      <c r="D66" s="25" t="inlineStr">
        <is>
          <t>国产优质</t>
        </is>
      </c>
      <c r="E66" s="26" t="inlineStr">
        <is>
          <t>米</t>
        </is>
      </c>
      <c r="F66" s="30" t="n">
        <v>4</v>
      </c>
      <c r="G66" s="297">
        <f>IF(AND(B66="",C66=""),"",ROUND(M66*L66*N66,2))</f>
        <v/>
      </c>
      <c r="H66" s="297">
        <f>IF(AND(B66="",C66=""),"",ROUND(F66*G66,2))</f>
        <v/>
      </c>
      <c r="I66" s="135" t="n"/>
      <c r="J66" s="329">
        <f>IF(AND(B66="",C66=""),"",ROUND(M66*N66,2))</f>
        <v/>
      </c>
      <c r="K66" s="330">
        <f>IF(AND(B66="",C66=""),"",ROUND(J66*F66,2))</f>
        <v/>
      </c>
      <c r="L66" s="126" t="n">
        <v>1</v>
      </c>
      <c r="M66" s="331" t="n">
        <v>4770.6848</v>
      </c>
      <c r="N66" s="128" t="n">
        <v>1</v>
      </c>
      <c r="O66" s="129">
        <f t="array" ref="O66">IF(AND(B66="",C66=""),"",IF(G66&gt;=20000,0.05,IF(G66&gt;=10000,0.1,IF(G66&gt;=5000,0.2,IF(G66&gt;=1000,0.3,IF(G66&gt;=0,0.4,{0}))))))</f>
        <v/>
      </c>
      <c r="P66" s="332">
        <f>IF(AND(B66="",C66=""),"",ROUND(H66*O66,2))</f>
        <v/>
      </c>
      <c r="Q66" s="327" t="inlineStr">
        <is>
          <t>母排</t>
        </is>
      </c>
      <c r="R66" s="150" t="n"/>
      <c r="S66" s="150" t="n"/>
      <c r="T66" s="150" t="inlineStr">
        <is>
          <t>0</t>
        </is>
      </c>
      <c r="U66" s="150" t="n"/>
      <c r="V66" s="328" t="n"/>
      <c r="W66" s="328" t="n"/>
      <c r="X66" s="152" t="n"/>
    </row>
    <row r="67" customFormat="1" s="145">
      <c r="A67" s="36">
        <f>ROW()-ROW(A$46)</f>
        <v/>
      </c>
      <c r="B67" s="25" t="inlineStr">
        <is>
          <t>导线及辅料</t>
        </is>
      </c>
      <c r="C67" s="25" t="n"/>
      <c r="D67" s="25" t="inlineStr">
        <is>
          <t>国产优质</t>
        </is>
      </c>
      <c r="E67" s="26" t="inlineStr">
        <is>
          <t>套</t>
        </is>
      </c>
      <c r="F67" s="26" t="n">
        <v>1</v>
      </c>
      <c r="G67" s="293">
        <f>IF(AND(B67="",C67=""),"",ROUND(M67*L67*N67,2))</f>
        <v/>
      </c>
      <c r="H67" s="293">
        <f>IF(AND(B67="",C67=""),"",ROUND(F67*G67,2))</f>
        <v/>
      </c>
      <c r="I67" s="164" t="n"/>
      <c r="J67" s="329">
        <f>IF(AND(B67="",C67=""),"",ROUND(M67*N67,2))</f>
        <v/>
      </c>
      <c r="K67" s="330">
        <f>IF(AND(B67="",C67=""),"",ROUND(J67*F67,2))</f>
        <v/>
      </c>
      <c r="L67" s="126" t="n">
        <v>1</v>
      </c>
      <c r="M67" s="331" t="n">
        <v>1000</v>
      </c>
      <c r="N67" s="137" t="n">
        <v>1</v>
      </c>
      <c r="O67" s="138">
        <f t="array" ref="O67">IF(AND(B67="",C67=""),"",IF(G67&gt;=20000,0.05,IF(G67&gt;=10000,0.1,IF(G67&gt;=5000,0.2,IF(G67&gt;=1000,0.3,IF(G67&gt;=0,0.4,{0}))))))</f>
        <v/>
      </c>
      <c r="P67" s="333">
        <f>IF(AND(B67="",C67=""),"",ROUND(H67*O67,2))</f>
        <v/>
      </c>
      <c r="Q67" s="334" t="inlineStr">
        <is>
          <t>辅料</t>
        </is>
      </c>
      <c r="R67" s="154" t="n"/>
      <c r="S67" s="154" t="n"/>
      <c r="T67" s="154" t="inlineStr">
        <is>
          <t>0</t>
        </is>
      </c>
      <c r="U67" s="154" t="n"/>
      <c r="V67" s="335" t="n"/>
      <c r="W67" s="335" t="n"/>
      <c r="X67" s="152" t="n"/>
    </row>
    <row r="68" customFormat="1" s="145">
      <c r="A68" s="36">
        <f>ROW()-ROW(A$46)</f>
        <v/>
      </c>
      <c r="B68" s="29" t="inlineStr">
        <is>
          <t>Blokset柜</t>
        </is>
      </c>
      <c r="C68" s="25" t="inlineStr">
        <is>
          <t>1100W*1000D*2200H</t>
        </is>
      </c>
      <c r="D68" s="25" t="inlineStr">
        <is>
          <t>清科</t>
        </is>
      </c>
      <c r="E68" s="30" t="inlineStr">
        <is>
          <t>台</t>
        </is>
      </c>
      <c r="F68" s="30" t="n">
        <v>1</v>
      </c>
      <c r="G68" s="297">
        <f>IF(AND(B68="",C68=""),"",ROUND(M68*L68*N68,2))</f>
        <v/>
      </c>
      <c r="H68" s="297">
        <f>IF(AND(B68="",C68=""),"",ROUND(F68*G68,2))</f>
        <v/>
      </c>
      <c r="I68" s="135" t="n"/>
      <c r="J68" s="329">
        <f>IF(AND(B68="",C68=""),"",ROUND(M68*N68,2))</f>
        <v/>
      </c>
      <c r="K68" s="330">
        <f>IF(AND(B68="",C68=""),"",ROUND(J68*F68,2))</f>
        <v/>
      </c>
      <c r="L68" s="126" t="n">
        <v>1</v>
      </c>
      <c r="M68" s="331" t="n">
        <v>5609</v>
      </c>
      <c r="N68" s="137" t="n">
        <v>1</v>
      </c>
      <c r="O68" s="138">
        <f t="array" ref="O68">IF(AND(B68="",C68=""),"",IF(G68&gt;=20000,0.05,IF(G68&gt;=10000,0.1,IF(G68&gt;=5000,0.2,IF(G68&gt;=1000,0.3,IF(G68&gt;=0,0.4,{0}))))))</f>
        <v/>
      </c>
      <c r="P68" s="333">
        <f>IF(AND(B68="",C68=""),"",ROUND(H68*O68,2))</f>
        <v/>
      </c>
      <c r="Q68" s="334" t="inlineStr">
        <is>
          <t>箱体</t>
        </is>
      </c>
      <c r="R68" s="154" t="n"/>
      <c r="S68" s="154" t="n"/>
      <c r="T68" s="154" t="inlineStr">
        <is>
          <t>0</t>
        </is>
      </c>
      <c r="U68" s="154" t="n"/>
      <c r="V68" s="335" t="n"/>
      <c r="W68" s="335" t="n"/>
      <c r="X68" s="152" t="n"/>
    </row>
    <row r="69" customFormat="1" s="145">
      <c r="A69" s="36">
        <f>ROW()-ROW(A$46)</f>
        <v/>
      </c>
      <c r="B69" s="29" t="n"/>
      <c r="C69" s="29" t="n"/>
      <c r="D69" s="29" t="n"/>
      <c r="E69" s="30" t="n"/>
      <c r="F69" s="30">
        <f>IF(AND(B69="",C69=""),"",1)</f>
        <v/>
      </c>
      <c r="G69" s="297">
        <f>IF(AND(B69="",C69=""),"",ROUND(M69*L69*N69,2))</f>
        <v/>
      </c>
      <c r="H69" s="297">
        <f>IF(AND(B69="",C69=""),"",ROUND(F69*G69,2))</f>
        <v/>
      </c>
      <c r="I69" s="135" t="n"/>
      <c r="J69" s="329">
        <f>IF(AND(B69="",C69=""),"",ROUND(M69*N69,2))</f>
        <v/>
      </c>
      <c r="K69" s="330">
        <f>IF(AND(B69="",C69=""),"",ROUND(J69*F69,2))</f>
        <v/>
      </c>
      <c r="L69" s="126">
        <f>IF(AND(B69="",C69=""),"",1)</f>
        <v/>
      </c>
      <c r="M69" s="331" t="n"/>
      <c r="N69" s="128">
        <f>IF(AND(B69="",C69=""),"",1)</f>
        <v/>
      </c>
      <c r="O69" s="129">
        <f t="array" ref="O69">IF(AND(B69="",C69=""),"",IF(G69&gt;=20000,0.05,IF(G69&gt;=10000,0.1,IF(G69&gt;=5000,0.2,IF(G69&gt;=1000,0.3,IF(G69&gt;=0,0.4,{0}))))))</f>
        <v/>
      </c>
      <c r="P69" s="332">
        <f>IF(AND(B69="",C69=""),"",ROUND(H69*O69,2))</f>
        <v/>
      </c>
      <c r="Q69" s="327">
        <f>IF(AND(B69="",C69=""),"","元件")</f>
        <v/>
      </c>
      <c r="R69" s="150" t="n"/>
      <c r="S69" s="150" t="n"/>
      <c r="T69" s="150" t="n"/>
      <c r="U69" s="150" t="n"/>
      <c r="V69" s="328" t="n"/>
      <c r="W69" s="328" t="n"/>
      <c r="X69" s="152" t="n"/>
    </row>
    <row r="70" customFormat="1" s="145">
      <c r="A70" s="36">
        <f>ROW()-ROW(A$46)</f>
        <v/>
      </c>
      <c r="B70" s="29" t="n"/>
      <c r="C70" s="29" t="n"/>
      <c r="D70" s="29" t="n"/>
      <c r="E70" s="30" t="n"/>
      <c r="F70" s="30">
        <f>IF(AND(B70="",C70=""),"",1)</f>
        <v/>
      </c>
      <c r="G70" s="297">
        <f>IF(AND(B70="",C70=""),"",ROUND(M70*L70*N70,2))</f>
        <v/>
      </c>
      <c r="H70" s="297">
        <f>IF(AND(B70="",C70=""),"",ROUND(F70*G70,2))</f>
        <v/>
      </c>
      <c r="I70" s="135" t="n"/>
      <c r="J70" s="329">
        <f>IF(AND(B70="",C70=""),"",ROUND(M70*N70,2))</f>
        <v/>
      </c>
      <c r="K70" s="330">
        <f>IF(AND(B70="",C70=""),"",ROUND(J70*F70,2))</f>
        <v/>
      </c>
      <c r="L70" s="126">
        <f>IF(AND(B70="",C70=""),"",1)</f>
        <v/>
      </c>
      <c r="M70" s="331" t="n"/>
      <c r="N70" s="128">
        <f>IF(AND(B70="",C70=""),"",1)</f>
        <v/>
      </c>
      <c r="O70" s="129">
        <f t="array" ref="O70">IF(AND(B70="",C70=""),"",IF(G70&gt;=20000,0.05,IF(G70&gt;=10000,0.1,IF(G70&gt;=5000,0.2,IF(G70&gt;=1000,0.3,IF(G70&gt;=0,0.4,{0}))))))</f>
        <v/>
      </c>
      <c r="P70" s="332">
        <f>IF(AND(B70="",C70=""),"",ROUND(H70*O70,2))</f>
        <v/>
      </c>
      <c r="Q70" s="327">
        <f>IF(AND(B70="",C70=""),"","元件")</f>
        <v/>
      </c>
      <c r="R70" s="150" t="n"/>
      <c r="S70" s="150" t="n"/>
      <c r="T70" s="150" t="n"/>
      <c r="U70" s="150" t="n"/>
      <c r="V70" s="328" t="n"/>
      <c r="W70" s="328" t="n"/>
      <c r="X70" s="152" t="n"/>
    </row>
    <row r="71" customFormat="1" s="145">
      <c r="A71" s="36">
        <f>ROW()-ROW(A$46)</f>
        <v/>
      </c>
      <c r="B71" s="156" t="inlineStr">
        <is>
          <t>小计</t>
        </is>
      </c>
      <c r="C71" s="157" t="n"/>
      <c r="D71" s="54" t="n"/>
      <c r="E71" s="30" t="n"/>
      <c r="F71" s="30" t="n"/>
      <c r="G71" s="297" t="n"/>
      <c r="H71" s="297">
        <f>ROUND(SUM(H46:INDEX(H:H,ROW()-1)),2)</f>
        <v/>
      </c>
      <c r="I71" s="91" t="n"/>
      <c r="J71" s="329" t="n"/>
      <c r="K71" s="330">
        <f>ROUND(SUM(K46:INDEX(K:K,ROW()-1)),2)</f>
        <v/>
      </c>
      <c r="L71" s="126" t="n"/>
      <c r="M71" s="331" t="n"/>
      <c r="N71" s="128" t="n"/>
      <c r="O71" s="129" t="n"/>
      <c r="P71" s="332" t="n"/>
      <c r="Q71" s="327" t="n"/>
      <c r="R71" s="150" t="n"/>
      <c r="S71" s="150" t="n"/>
      <c r="T71" s="150" t="n"/>
      <c r="U71" s="150" t="n"/>
      <c r="V71" s="328">
        <f t="array" ref="V71">ROUND(SUMPRODUCT(F46:INDEX(F:F,ROW()-1),V46:INDEX(V:V,ROW()-1)),2)</f>
        <v/>
      </c>
      <c r="W71" s="328">
        <f t="array" ref="W71">ROUND(SUMPRODUCT(F46:INDEX(F:F,ROW()-1),W46:INDEX(W:W,ROW()-1)),2)</f>
        <v/>
      </c>
      <c r="X71" s="152" t="n"/>
    </row>
    <row r="72" customFormat="1" s="145">
      <c r="A72" s="36">
        <f>ROW()-ROW(A$46)</f>
        <v/>
      </c>
      <c r="B72" s="156" t="inlineStr">
        <is>
          <t>成套费</t>
        </is>
      </c>
      <c r="C72" s="157" t="n"/>
      <c r="D72" s="54" t="n"/>
      <c r="E72" s="30" t="n"/>
      <c r="F72" s="30" t="n"/>
      <c r="G72" s="297" t="n"/>
      <c r="H72" s="297" t="n">
        <v>944.76</v>
      </c>
      <c r="I72" s="91" t="n"/>
      <c r="J72" s="329" t="n"/>
      <c r="K72" s="330" t="n">
        <v>944.76</v>
      </c>
      <c r="L72" s="126" t="n"/>
      <c r="M72" s="331" t="n"/>
      <c r="N72" s="128" t="n"/>
      <c r="O72" s="129" t="n"/>
      <c r="P72" s="332" t="n"/>
      <c r="Q72" s="327" t="n"/>
      <c r="R72" s="150" t="n"/>
      <c r="S72" s="150" t="n"/>
      <c r="T72" s="150" t="n"/>
      <c r="U72" s="150" t="n"/>
      <c r="V72" s="328" t="n"/>
      <c r="W72" s="328" t="n"/>
      <c r="X72" s="152" t="n"/>
    </row>
    <row r="73" customFormat="1" s="145">
      <c r="A73" s="36">
        <f>ROW()-ROW(A$46)</f>
        <v/>
      </c>
      <c r="B73" s="156" t="n"/>
      <c r="C73" s="157" t="n"/>
      <c r="D73" s="54" t="n"/>
      <c r="E73" s="30" t="n"/>
      <c r="F73" s="30" t="n"/>
      <c r="G73" s="297" t="n"/>
      <c r="H73" s="297" t="n">
        <v>17.26</v>
      </c>
      <c r="I73" s="91" t="n"/>
      <c r="J73" s="329" t="n"/>
      <c r="K73" s="330" t="n"/>
      <c r="L73" s="126" t="n"/>
      <c r="M73" s="331" t="n"/>
      <c r="N73" s="128" t="n"/>
      <c r="O73" s="129" t="n"/>
      <c r="P73" s="332" t="n"/>
      <c r="Q73" s="327" t="n"/>
      <c r="R73" s="150" t="n"/>
      <c r="S73" s="150" t="n"/>
      <c r="T73" s="150" t="n"/>
      <c r="U73" s="150" t="n"/>
      <c r="V73" s="328" t="n"/>
      <c r="W73" s="328" t="n"/>
      <c r="X73" s="152" t="n"/>
    </row>
    <row r="74" customFormat="1" s="145">
      <c r="A74" s="36">
        <f>ROW()-ROW(A$46)</f>
        <v/>
      </c>
      <c r="B74" s="54" t="inlineStr">
        <is>
          <t>单台合计</t>
        </is>
      </c>
      <c r="C74" s="157" t="n"/>
      <c r="D74" s="54" t="n"/>
      <c r="E74" s="30" t="n"/>
      <c r="F74" s="30" t="n"/>
      <c r="G74" s="297" t="n"/>
      <c r="H74" s="297">
        <f>ROUND(SUM(H71:H72),2)</f>
        <v/>
      </c>
      <c r="I74" s="165" t="n"/>
      <c r="J74" s="329" t="n"/>
      <c r="K74" s="330">
        <f>ROUND(SUM(K71:K72),2)</f>
        <v/>
      </c>
      <c r="L74" s="166" t="n"/>
      <c r="M74" s="331" t="n"/>
      <c r="N74" s="167" t="n"/>
      <c r="O74" s="168" t="n"/>
      <c r="P74" s="332" t="n"/>
      <c r="Q74" s="327" t="n"/>
      <c r="R74" s="150" t="n"/>
      <c r="S74" s="150" t="n"/>
      <c r="T74" s="150" t="n"/>
      <c r="U74" s="150" t="n"/>
      <c r="V74" s="328" t="n"/>
      <c r="W74" s="328" t="n"/>
      <c r="X74" s="152" t="n"/>
    </row>
    <row r="75" customFormat="1" s="145">
      <c r="A75" s="158" t="inlineStr">
        <is>
          <t>总计</t>
        </is>
      </c>
      <c r="B75" s="159" t="n"/>
      <c r="C75" s="160" t="n"/>
      <c r="D75" s="161" t="n"/>
      <c r="E75" s="161" t="inlineStr">
        <is>
          <t>台</t>
        </is>
      </c>
      <c r="F75" s="161" t="n">
        <v>1</v>
      </c>
      <c r="G75" s="336">
        <f>ROUND(H74,2)</f>
        <v/>
      </c>
      <c r="H75" s="336">
        <f>ROUND(F75*G75,2)</f>
        <v/>
      </c>
      <c r="I75" s="169" t="n"/>
      <c r="J75" s="337" t="n"/>
      <c r="K75" s="338">
        <f>ROUND(K74*F75,2)</f>
        <v/>
      </c>
      <c r="L75" s="172" t="n"/>
      <c r="M75" s="339" t="n"/>
      <c r="N75" s="174" t="n"/>
      <c r="O75" s="175" t="n"/>
      <c r="P75" s="340" t="n"/>
      <c r="Q75" s="327" t="n"/>
      <c r="R75" s="150" t="n"/>
      <c r="S75" s="150" t="n"/>
      <c r="T75" s="150" t="n"/>
      <c r="U75" s="150" t="n"/>
      <c r="V75" s="328" t="n"/>
      <c r="W75" s="328" t="n"/>
      <c r="X75" s="152" t="n"/>
    </row>
    <row r="76" customFormat="1" s="146">
      <c r="A76" s="3" t="n"/>
      <c r="B76" s="117" t="n"/>
      <c r="C76" s="117" t="n"/>
      <c r="D76" s="117" t="n"/>
      <c r="E76" s="146" t="n"/>
      <c r="F76" s="146" t="n"/>
      <c r="G76" s="146" t="n"/>
      <c r="H76" s="146" t="n"/>
      <c r="I76" s="146" t="n"/>
      <c r="J76" s="146" t="n"/>
      <c r="K76" s="146" t="n"/>
      <c r="L76" s="146" t="n"/>
      <c r="M76" s="146" t="n"/>
      <c r="N76" s="146" t="n"/>
      <c r="O76" s="146" t="n"/>
      <c r="P76" s="146" t="n"/>
      <c r="Q76" s="144" t="n"/>
      <c r="R76" s="144" t="n"/>
      <c r="S76" s="144" t="n"/>
      <c r="T76" s="144" t="n"/>
      <c r="U76" s="144" t="n"/>
      <c r="X76" s="117" t="n"/>
    </row>
    <row r="77" customFormat="1" s="146">
      <c r="A77" s="3" t="n"/>
      <c r="B77" s="117" t="n"/>
      <c r="C77" s="117" t="n"/>
      <c r="D77" s="117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146" t="n"/>
      <c r="P77" s="146" t="n"/>
      <c r="Q77" s="144" t="n"/>
      <c r="R77" s="144" t="n"/>
      <c r="S77" s="144" t="n"/>
      <c r="T77" s="144" t="n"/>
      <c r="U77" s="144" t="n"/>
      <c r="X77" s="117" t="n"/>
    </row>
    <row r="78" customFormat="1" s="145">
      <c r="A78" s="63">
        <f>CONCATENATE("报价人：",项目信息!$B$8)</f>
        <v/>
      </c>
      <c r="B78" s="63" t="n"/>
      <c r="C78" s="146" t="n"/>
      <c r="D78" s="146" t="n"/>
      <c r="E78" s="146" t="n"/>
      <c r="F78" s="146" t="n"/>
      <c r="G78" s="146" t="n"/>
      <c r="H78" s="163">
        <f>项目信息!$B$9</f>
        <v/>
      </c>
      <c r="Q78" s="144" t="n"/>
      <c r="R78" s="144" t="n"/>
      <c r="S78" s="144" t="n"/>
      <c r="T78" s="144" t="n"/>
      <c r="U78" s="144" t="n"/>
      <c r="X78" s="148" t="n"/>
    </row>
    <row r="79" customFormat="1" s="145">
      <c r="A79" s="5">
        <f>T(项目信息!$B$22)</f>
        <v/>
      </c>
      <c r="Q79" s="144" t="n"/>
      <c r="R79" s="144" t="n"/>
      <c r="S79" s="144" t="n"/>
      <c r="T79" s="144" t="n"/>
      <c r="U79" s="144" t="n"/>
      <c r="X79" s="145" t="n"/>
    </row>
    <row r="80" customFormat="1" s="145">
      <c r="A80" s="6">
        <f>T(项目信息!$B$23)</f>
        <v/>
      </c>
      <c r="Q80" s="144" t="n"/>
      <c r="R80" s="144" t="n"/>
      <c r="S80" s="144" t="n"/>
      <c r="T80" s="144" t="n"/>
      <c r="U80" s="144" t="n"/>
      <c r="X80" s="145" t="n"/>
    </row>
    <row r="81" customFormat="1" s="145">
      <c r="A81" s="68" t="inlineStr">
        <is>
          <t>成套产品报价明细表</t>
        </is>
      </c>
      <c r="B81" s="318" t="n"/>
      <c r="C81" s="318" t="n"/>
      <c r="D81" s="318" t="n"/>
      <c r="E81" s="318" t="n"/>
      <c r="F81" s="318" t="n"/>
      <c r="G81" s="318" t="n"/>
      <c r="H81" s="318" t="n"/>
      <c r="I81" s="318" t="n"/>
      <c r="Q81" s="144" t="n"/>
      <c r="R81" s="144" t="n"/>
      <c r="S81" s="144" t="n"/>
      <c r="T81" s="144" t="n"/>
      <c r="U81" s="144" t="n"/>
      <c r="X81" s="145" t="n"/>
    </row>
    <row r="82" customFormat="1" s="146">
      <c r="A82" s="69" t="inlineStr">
        <is>
          <t>柜号:</t>
        </is>
      </c>
      <c r="B82" s="70" t="inlineStr">
        <is>
          <t>1D2 1D3 2D2 2D3</t>
        </is>
      </c>
      <c r="C82" s="71" t="inlineStr">
        <is>
          <t>型号:</t>
        </is>
      </c>
      <c r="D82" s="70" t="inlineStr">
        <is>
          <t>Blokset</t>
        </is>
      </c>
      <c r="E82" s="319" t="n"/>
      <c r="F82" s="72" t="inlineStr">
        <is>
          <t>名称:</t>
        </is>
      </c>
      <c r="G82" s="70" t="inlineStr">
        <is>
          <t>电容柜</t>
        </is>
      </c>
      <c r="H82" s="319" t="n"/>
      <c r="I82" s="320" t="n"/>
      <c r="J82" s="116" t="inlineStr">
        <is>
          <t>箱柜尺寸:</t>
        </is>
      </c>
      <c r="K82" s="117" t="inlineStr">
        <is>
          <t>1000W*1000D*2200H</t>
        </is>
      </c>
      <c r="L82" s="116" t="inlineStr">
        <is>
          <t>类别:</t>
        </is>
      </c>
      <c r="M82" s="117" t="n"/>
      <c r="N82" s="321" t="n"/>
      <c r="Q82" s="144" t="n"/>
      <c r="R82" s="144" t="n"/>
      <c r="S82" s="144" t="n"/>
      <c r="T82" s="144" t="n"/>
      <c r="U82" s="144" t="n"/>
      <c r="X82" s="146" t="n"/>
    </row>
    <row r="83" ht="20.1" customFormat="1" customHeight="1" s="145">
      <c r="A83" s="13" t="inlineStr">
        <is>
          <t>序号</t>
        </is>
      </c>
      <c r="B83" s="73" t="inlineStr">
        <is>
          <t>元件名称</t>
        </is>
      </c>
      <c r="C83" s="73" t="inlineStr">
        <is>
          <t>型号规格</t>
        </is>
      </c>
      <c r="D83" s="74" t="inlineStr">
        <is>
          <t>生产厂家</t>
        </is>
      </c>
      <c r="E83" s="15" t="inlineStr">
        <is>
          <t>单位</t>
        </is>
      </c>
      <c r="F83" s="15" t="inlineStr">
        <is>
          <t>数量</t>
        </is>
      </c>
      <c r="G83" s="287" t="inlineStr">
        <is>
          <t>单   价</t>
        </is>
      </c>
      <c r="H83" s="256" t="inlineStr">
        <is>
          <t>总   价</t>
        </is>
      </c>
      <c r="I83" s="119" t="inlineStr">
        <is>
          <t>备注</t>
        </is>
      </c>
      <c r="J83" s="322" t="inlineStr">
        <is>
          <t>成本单价</t>
        </is>
      </c>
      <c r="K83" s="322" t="inlineStr">
        <is>
          <t>成本总价</t>
        </is>
      </c>
      <c r="L83" s="121" t="inlineStr">
        <is>
          <t>报出
系数</t>
        </is>
      </c>
      <c r="M83" s="322" t="inlineStr">
        <is>
          <t>表价</t>
        </is>
      </c>
      <c r="N83" s="121" t="inlineStr">
        <is>
          <t>折扣
系数</t>
        </is>
      </c>
      <c r="O83" s="122" t="inlineStr">
        <is>
          <t>取费
系数</t>
        </is>
      </c>
      <c r="P83" s="322" t="inlineStr">
        <is>
          <t>成套费</t>
        </is>
      </c>
      <c r="Q83" s="147" t="inlineStr">
        <is>
          <t>类别</t>
        </is>
      </c>
      <c r="R83" s="147" t="inlineStr">
        <is>
          <t>物料编码</t>
        </is>
      </c>
      <c r="S83" s="147" t="inlineStr">
        <is>
          <t>产地</t>
        </is>
      </c>
      <c r="T83" s="147" t="inlineStr">
        <is>
          <t>加工费</t>
        </is>
      </c>
      <c r="U83" s="147" t="inlineStr">
        <is>
          <t>订货号</t>
        </is>
      </c>
      <c r="V83" s="147" t="inlineStr">
        <is>
          <t>人工</t>
        </is>
      </c>
      <c r="W83" s="147" t="inlineStr">
        <is>
          <t>辅料</t>
        </is>
      </c>
      <c r="X83" s="148" t="n"/>
    </row>
    <row r="84" customFormat="1" s="145">
      <c r="A84" s="75">
        <f>ROW()-ROW(A$83)</f>
        <v/>
      </c>
      <c r="B84" s="20" t="inlineStr">
        <is>
          <t>交流塑壳断路器</t>
        </is>
      </c>
      <c r="C84" s="20" t="inlineStr">
        <is>
          <t>NSX630N MIC 2.3 630 3P P</t>
        </is>
      </c>
      <c r="D84" s="25" t="inlineStr">
        <is>
          <t>甲供/施耐德电气</t>
        </is>
      </c>
      <c r="E84" s="21" t="inlineStr">
        <is>
          <t>只</t>
        </is>
      </c>
      <c r="F84" s="21" t="n">
        <v>1</v>
      </c>
      <c r="G84" s="289">
        <f>IF(AND(B84="",C84=""),"",ROUND(M84*L84*N84,2))</f>
        <v/>
      </c>
      <c r="H84" s="289">
        <f>IF(AND(B84="",C84=""),"",ROUND(F84*G84,2))</f>
        <v/>
      </c>
      <c r="I84" s="123" t="n"/>
      <c r="J84" s="323">
        <f>IF(AND(B84="",C84=""),"",ROUND(M84*N84,2))</f>
        <v/>
      </c>
      <c r="K84" s="324">
        <f>IF(AND(B84="",C84=""),"",ROUND(J84*F84,2))</f>
        <v/>
      </c>
      <c r="L84" s="126" t="n">
        <v>1</v>
      </c>
      <c r="M84" s="325" t="n">
        <v>7668.45</v>
      </c>
      <c r="N84" s="128" t="n">
        <v>0</v>
      </c>
      <c r="O84" s="129">
        <f t="array" ref="O84">IF(AND(B84="",C84=""),"",IF(G84&gt;=20000,0.05,IF(G84&gt;=10000,0.1,IF(G84&gt;=5000,0.2,IF(G84&gt;=1000,0.3,IF(G84&gt;=0,0.4,{0}))))))</f>
        <v/>
      </c>
      <c r="P84" s="326">
        <f>IF(AND(B84="",C84=""),"",ROUND(H84*O84,2))</f>
        <v/>
      </c>
      <c r="Q84" s="327" t="inlineStr">
        <is>
          <t>元件</t>
        </is>
      </c>
      <c r="R84" s="150" t="n"/>
      <c r="S84" s="150" t="n"/>
      <c r="T84" s="150" t="inlineStr">
        <is>
          <t>0</t>
        </is>
      </c>
      <c r="U84" s="150" t="inlineStr">
        <is>
          <t>C63N32D630P</t>
        </is>
      </c>
      <c r="V84" s="328" t="n"/>
      <c r="W84" s="328" t="n"/>
      <c r="X84" s="152" t="inlineStr">
        <is>
          <t>NSX630N MIC 5.3B 630 3P P</t>
        </is>
      </c>
    </row>
    <row r="85" customFormat="1" s="145">
      <c r="A85" s="75">
        <f>ROW()-ROW(A$83)</f>
        <v/>
      </c>
      <c r="B85" s="20" t="inlineStr">
        <is>
          <t>新外观延伸旋转手柄</t>
        </is>
      </c>
      <c r="C85" s="20" t="inlineStr">
        <is>
          <t>标准延伸旋转手柄/新外观延伸旋转手柄 400/630A</t>
        </is>
      </c>
      <c r="D85" s="25" t="inlineStr">
        <is>
          <t>甲供/施耐德电气</t>
        </is>
      </c>
      <c r="E85" s="21" t="inlineStr">
        <is>
          <t>只</t>
        </is>
      </c>
      <c r="F85" s="21" t="n">
        <v>1</v>
      </c>
      <c r="G85" s="289">
        <f>IF(AND(B85="",C85=""),"",ROUND(M85*L85*N85,2))</f>
        <v/>
      </c>
      <c r="H85" s="289">
        <f>IF(AND(B85="",C85=""),"",ROUND(F85*G85,2))</f>
        <v/>
      </c>
      <c r="I85" s="123" t="n"/>
      <c r="J85" s="323">
        <f>IF(AND(B85="",C85=""),"",ROUND(M85*N85,2))</f>
        <v/>
      </c>
      <c r="K85" s="324">
        <f>IF(AND(B85="",C85=""),"",ROUND(J85*F85,2))</f>
        <v/>
      </c>
      <c r="L85" s="126" t="n">
        <v>1</v>
      </c>
      <c r="M85" s="325" t="n">
        <v>270.62</v>
      </c>
      <c r="N85" s="128" t="n">
        <v>0</v>
      </c>
      <c r="O85" s="129">
        <f t="array" ref="O85">IF(AND(B85="",C85=""),"",IF(G85&gt;=20000,0.05,IF(G85&gt;=10000,0.1,IF(G85&gt;=5000,0.2,IF(G85&gt;=1000,0.3,IF(G85&gt;=0,0.4,{0}))))))</f>
        <v/>
      </c>
      <c r="P85" s="326">
        <f>IF(AND(B85="",C85=""),"",ROUND(H85*O85,2))</f>
        <v/>
      </c>
      <c r="Q85" s="327" t="inlineStr">
        <is>
          <t>元件</t>
        </is>
      </c>
      <c r="R85" s="150" t="n"/>
      <c r="S85" s="150" t="n"/>
      <c r="T85" s="150" t="inlineStr">
        <is>
          <t>0</t>
        </is>
      </c>
      <c r="U85" s="150" t="inlineStr">
        <is>
          <t>LV432598T</t>
        </is>
      </c>
      <c r="V85" s="328" t="n"/>
      <c r="W85" s="328" t="n"/>
      <c r="X85" s="152" t="n"/>
    </row>
    <row r="86" customFormat="1" s="145">
      <c r="A86" s="75">
        <f>ROW()-ROW(A$83)</f>
        <v/>
      </c>
      <c r="B86" s="20" t="inlineStr">
        <is>
          <t>测量电流互感器</t>
        </is>
      </c>
      <c r="C86" s="20" t="inlineStr">
        <is>
          <t>SD-0.66-60II-C 600/5A</t>
        </is>
      </c>
      <c r="D86" s="20" t="inlineStr">
        <is>
          <t>杭州桑迪</t>
        </is>
      </c>
      <c r="E86" s="21" t="inlineStr">
        <is>
          <t>只</t>
        </is>
      </c>
      <c r="F86" s="21" t="n">
        <v>3</v>
      </c>
      <c r="G86" s="289">
        <f>IF(AND(B86="",C86=""),"",ROUND(M86*L86*N86,2))</f>
        <v/>
      </c>
      <c r="H86" s="289">
        <f>IF(AND(B86="",C86=""),"",ROUND(F86*G86,2))</f>
        <v/>
      </c>
      <c r="I86" s="123" t="n"/>
      <c r="J86" s="323">
        <f>IF(AND(B86="",C86=""),"",ROUND(M86*N86,2))</f>
        <v/>
      </c>
      <c r="K86" s="324">
        <f>IF(AND(B86="",C86=""),"",ROUND(J86*F86,2))</f>
        <v/>
      </c>
      <c r="L86" s="126" t="n">
        <v>1</v>
      </c>
      <c r="M86" s="325" t="n">
        <v>76.7</v>
      </c>
      <c r="N86" s="128" t="n">
        <v>1</v>
      </c>
      <c r="O86" s="129">
        <f t="array" ref="O86">IF(AND(B86="",C86=""),"",IF(G86&gt;=20000,0.05,IF(G86&gt;=10000,0.1,IF(G86&gt;=5000,0.2,IF(G86&gt;=1000,0.3,IF(G86&gt;=0,0.4,{0}))))))</f>
        <v/>
      </c>
      <c r="P86" s="326">
        <f>IF(AND(B86="",C86=""),"",ROUND(H86*O86,2))</f>
        <v/>
      </c>
      <c r="Q86" s="327" t="inlineStr">
        <is>
          <t>元件</t>
        </is>
      </c>
      <c r="R86" s="150" t="n"/>
      <c r="S86" s="150" t="n"/>
      <c r="T86" s="150" t="inlineStr">
        <is>
          <t>0</t>
        </is>
      </c>
      <c r="U86" s="150" t="n"/>
      <c r="V86" s="328" t="n"/>
      <c r="W86" s="328" t="n"/>
      <c r="X86" s="152" t="n"/>
    </row>
    <row r="87" customFormat="1" s="145">
      <c r="A87" s="36">
        <f>ROW()-ROW(A$83)</f>
        <v/>
      </c>
      <c r="B87" s="25" t="inlineStr">
        <is>
          <t>多功能表</t>
        </is>
      </c>
      <c r="C87" s="25" t="inlineStr">
        <is>
          <t>PM4101</t>
        </is>
      </c>
      <c r="D87" s="25" t="inlineStr">
        <is>
          <t>甲供/施耐德电气</t>
        </is>
      </c>
      <c r="E87" s="30" t="inlineStr">
        <is>
          <t>只</t>
        </is>
      </c>
      <c r="F87" s="26">
        <f>IF(AND(B87="",C87=""),"",1)</f>
        <v/>
      </c>
      <c r="G87" s="293">
        <f>IF(AND(B87="",C87=""),"",ROUND(M87*L87*N87,2))</f>
        <v/>
      </c>
      <c r="H87" s="293">
        <f>IF(AND(B87="",C87=""),"",ROUND(F87*G87,2))</f>
        <v/>
      </c>
      <c r="I87" s="91" t="n"/>
      <c r="J87" s="329">
        <f>IF(AND(B87="",C87=""),"",ROUND(M87*N87,2))</f>
        <v/>
      </c>
      <c r="K87" s="330">
        <f>IF(AND(B87="",C87=""),"",ROUND(J87*F87,2))</f>
        <v/>
      </c>
      <c r="L87" s="126" t="n">
        <v>1</v>
      </c>
      <c r="M87" s="331" t="n">
        <v>1e-07</v>
      </c>
      <c r="N87" s="128" t="n">
        <v>0</v>
      </c>
      <c r="O87" s="129">
        <f t="array" ref="O87">IF(AND(B87="",C87=""),"",IF(G87&gt;=20000,0.05,IF(G87&gt;=10000,0.1,IF(G87&gt;=5000,0.2,IF(G87&gt;=1000,0.3,IF(G87&gt;=0,0.4,{0}))))))</f>
        <v/>
      </c>
      <c r="P87" s="332">
        <f>IF(AND(B87="",C87=""),"",ROUND(H87*O87,2))</f>
        <v/>
      </c>
      <c r="Q87" s="327" t="inlineStr">
        <is>
          <t>元件</t>
        </is>
      </c>
      <c r="R87" s="150" t="n"/>
      <c r="S87" s="150" t="n"/>
      <c r="T87" s="150" t="inlineStr">
        <is>
          <t>0</t>
        </is>
      </c>
      <c r="U87" s="150" t="n"/>
      <c r="V87" s="328" t="n"/>
      <c r="W87" s="328" t="n"/>
      <c r="X87" s="152" t="n"/>
    </row>
    <row r="88" customFormat="1" s="145">
      <c r="A88" s="36">
        <f>ROW()-ROW(A$83)</f>
        <v/>
      </c>
      <c r="B88" s="20" t="inlineStr">
        <is>
          <t>晶闸管投切开关</t>
        </is>
      </c>
      <c r="C88" s="20" t="inlineStr">
        <is>
          <t>NTHY30A40 30kvar 3P 50Hz 400V</t>
        </is>
      </c>
      <c r="D88" s="25" t="inlineStr">
        <is>
          <t>甲供/施耐德电气</t>
        </is>
      </c>
      <c r="E88" s="30" t="inlineStr">
        <is>
          <t>只</t>
        </is>
      </c>
      <c r="F88" s="26" t="n">
        <v>2</v>
      </c>
      <c r="G88" s="297">
        <f>IF(AND(B88="",C88=""),"",ROUND(M88*L88*N88,2))</f>
        <v/>
      </c>
      <c r="H88" s="293">
        <f>IF(AND(B88="",C88=""),"",ROUND(F88*G88,2))</f>
        <v/>
      </c>
      <c r="I88" s="91" t="n"/>
      <c r="J88" s="329">
        <f>IF(AND(B88="",C88=""),"",ROUND(M88*N88,2))</f>
        <v/>
      </c>
      <c r="K88" s="330">
        <f>IF(AND(B88="",C88=""),"",ROUND(J88*F88,2))</f>
        <v/>
      </c>
      <c r="L88" s="126" t="n">
        <v>1</v>
      </c>
      <c r="M88" s="331" t="n">
        <v>1e-07</v>
      </c>
      <c r="N88" s="128" t="n">
        <v>0</v>
      </c>
      <c r="O88" s="129">
        <f t="array" ref="O88">IF(AND(B88="",C88=""),"",IF(G88&gt;=20000,0.05,IF(G88&gt;=10000,0.1,IF(G88&gt;=5000,0.2,IF(G88&gt;=1000,0.3,IF(G88&gt;=0,0.4,{0}))))))</f>
        <v/>
      </c>
      <c r="P88" s="332">
        <f>IF(AND(B88="",C88=""),"",ROUND(H88*O88,2))</f>
        <v/>
      </c>
      <c r="Q88" s="327" t="inlineStr">
        <is>
          <t>元件</t>
        </is>
      </c>
      <c r="R88" s="150" t="n"/>
      <c r="S88" s="150" t="n"/>
      <c r="T88" s="150" t="inlineStr">
        <is>
          <t>0</t>
        </is>
      </c>
      <c r="U88" s="150" t="n"/>
      <c r="V88" s="328" t="n"/>
      <c r="W88" s="328" t="n"/>
      <c r="X88" s="152" t="n"/>
    </row>
    <row r="89" customFormat="1" s="145">
      <c r="A89" s="36">
        <f>ROW()-ROW(A$83)</f>
        <v/>
      </c>
      <c r="B89" s="20" t="inlineStr">
        <is>
          <t>晶闸管投切开关</t>
        </is>
      </c>
      <c r="C89" s="20" t="inlineStr">
        <is>
          <t>NTHY50A40 50kvar 3P 50Hz 400V</t>
        </is>
      </c>
      <c r="D89" s="25" t="inlineStr">
        <is>
          <t>甲供/施耐德电气</t>
        </is>
      </c>
      <c r="E89" s="30" t="inlineStr">
        <is>
          <t>只</t>
        </is>
      </c>
      <c r="F89" s="26" t="n">
        <v>3</v>
      </c>
      <c r="G89" s="293">
        <f>IF(AND(B89="",C89=""),"",ROUND(M89*L89*N89,2))</f>
        <v/>
      </c>
      <c r="H89" s="293">
        <f>IF(AND(B89="",C89=""),"",ROUND(F89*G89,2))</f>
        <v/>
      </c>
      <c r="I89" s="91" t="n"/>
      <c r="J89" s="329">
        <f>IF(AND(B89="",C89=""),"",ROUND(M89*N89,2))</f>
        <v/>
      </c>
      <c r="K89" s="330">
        <f>IF(AND(B89="",C89=""),"",ROUND(J89*F89,2))</f>
        <v/>
      </c>
      <c r="L89" s="126" t="n">
        <v>1</v>
      </c>
      <c r="M89" s="331" t="n">
        <v>1e-07</v>
      </c>
      <c r="N89" s="128" t="n">
        <v>0</v>
      </c>
      <c r="O89" s="129">
        <f t="array" ref="O89">IF(AND(B89="",C89=""),"",IF(G89&gt;=20000,0.05,IF(G89&gt;=10000,0.1,IF(G89&gt;=5000,0.2,IF(G89&gt;=1000,0.3,IF(G89&gt;=0,0.4,{0}))))))</f>
        <v/>
      </c>
      <c r="P89" s="332">
        <f>IF(AND(B89="",C89=""),"",ROUND(H89*O89,2))</f>
        <v/>
      </c>
      <c r="Q89" s="327" t="inlineStr">
        <is>
          <t>元件</t>
        </is>
      </c>
      <c r="R89" s="150" t="n"/>
      <c r="S89" s="150" t="n"/>
      <c r="T89" s="150" t="inlineStr">
        <is>
          <t>0</t>
        </is>
      </c>
      <c r="U89" s="150" t="n"/>
      <c r="V89" s="328" t="n"/>
      <c r="W89" s="328" t="n"/>
      <c r="X89" s="152" t="n"/>
    </row>
    <row r="90" customFormat="1" s="145">
      <c r="A90" s="36">
        <f>ROW()-ROW(A$83)</f>
        <v/>
      </c>
      <c r="B90" s="20" t="inlineStr">
        <is>
          <t>电容器</t>
        </is>
      </c>
      <c r="C90" s="20" t="inlineStr">
        <is>
          <t>Can SDY 25 kvar  -7%</t>
        </is>
      </c>
      <c r="D90" s="25" t="inlineStr">
        <is>
          <t>甲供/施耐德电气</t>
        </is>
      </c>
      <c r="E90" s="30" t="inlineStr">
        <is>
          <t>只</t>
        </is>
      </c>
      <c r="F90" s="26" t="n">
        <v>8</v>
      </c>
      <c r="G90" s="293">
        <f>IF(AND(B90="",C90=""),"",ROUND(M90*L90*N90,2))</f>
        <v/>
      </c>
      <c r="H90" s="293">
        <f>IF(AND(B90="",C90=""),"",ROUND(F90*G90,2))</f>
        <v/>
      </c>
      <c r="I90" s="91" t="n"/>
      <c r="J90" s="329">
        <f>IF(AND(B90="",C90=""),"",ROUND(M90*N90,2))</f>
        <v/>
      </c>
      <c r="K90" s="330">
        <f>IF(AND(B90="",C90=""),"",ROUND(J90*F90,2))</f>
        <v/>
      </c>
      <c r="L90" s="126" t="n">
        <v>1</v>
      </c>
      <c r="M90" s="331" t="n">
        <v>1e-07</v>
      </c>
      <c r="N90" s="128" t="n">
        <v>0</v>
      </c>
      <c r="O90" s="129">
        <f t="array" ref="O90">IF(AND(B90="",C90=""),"",IF(G90&gt;=20000,0.05,IF(G90&gt;=10000,0.1,IF(G90&gt;=5000,0.2,IF(G90&gt;=1000,0.3,IF(G90&gt;=0,0.4,{0}))))))</f>
        <v/>
      </c>
      <c r="P90" s="332">
        <f>IF(AND(B90="",C90=""),"",ROUND(H90*O90,2))</f>
        <v/>
      </c>
      <c r="Q90" s="327" t="inlineStr">
        <is>
          <t>元件</t>
        </is>
      </c>
      <c r="R90" s="150" t="n"/>
      <c r="S90" s="150" t="n"/>
      <c r="T90" s="150" t="inlineStr">
        <is>
          <t>0</t>
        </is>
      </c>
      <c r="U90" s="150" t="n"/>
      <c r="V90" s="328" t="n"/>
      <c r="W90" s="328" t="n"/>
      <c r="X90" s="152" t="n"/>
    </row>
    <row r="91" customFormat="1" s="145">
      <c r="A91" s="36">
        <f>ROW()-ROW(A$83)</f>
        <v/>
      </c>
      <c r="B91" s="20" t="inlineStr">
        <is>
          <t>电抗器</t>
        </is>
      </c>
      <c r="C91" s="20" t="inlineStr">
        <is>
          <t>LVR 7% 25Kvar 400V/50Hz</t>
        </is>
      </c>
      <c r="D91" s="25" t="inlineStr">
        <is>
          <t>甲供/施耐德电气</t>
        </is>
      </c>
      <c r="E91" s="30" t="inlineStr">
        <is>
          <t>只</t>
        </is>
      </c>
      <c r="F91" s="30" t="n">
        <v>2</v>
      </c>
      <c r="G91" s="297">
        <f>IF(AND(B91="",C91=""),"",ROUND(M91*L91*N91,2))</f>
        <v/>
      </c>
      <c r="H91" s="293">
        <f>IF(AND(B91="",C91=""),"",ROUND(F91*G91,2))</f>
        <v/>
      </c>
      <c r="I91" s="91" t="n"/>
      <c r="J91" s="329">
        <f>IF(AND(B91="",C91=""),"",ROUND(M91*N91,2))</f>
        <v/>
      </c>
      <c r="K91" s="330">
        <f>IF(AND(B91="",C91=""),"",ROUND(J91*F91,2))</f>
        <v/>
      </c>
      <c r="L91" s="126" t="n">
        <v>1</v>
      </c>
      <c r="M91" s="331" t="n">
        <v>1e-07</v>
      </c>
      <c r="N91" s="128" t="n">
        <v>0</v>
      </c>
      <c r="O91" s="129">
        <f t="array" ref="O91">IF(AND(B91="",C91=""),"",IF(G91&gt;=20000,0.05,IF(G91&gt;=10000,0.1,IF(G91&gt;=5000,0.2,IF(G91&gt;=1000,0.3,IF(G91&gt;=0,0.4,{0}))))))</f>
        <v/>
      </c>
      <c r="P91" s="332">
        <f>IF(AND(B91="",C91=""),"",ROUND(H91*O91,2))</f>
        <v/>
      </c>
      <c r="Q91" s="327" t="inlineStr">
        <is>
          <t>元件</t>
        </is>
      </c>
      <c r="R91" s="150" t="n"/>
      <c r="S91" s="150" t="n"/>
      <c r="T91" s="150" t="inlineStr">
        <is>
          <t>0</t>
        </is>
      </c>
      <c r="U91" s="150" t="n"/>
      <c r="V91" s="328" t="n"/>
      <c r="W91" s="328" t="n"/>
      <c r="X91" s="152" t="n"/>
    </row>
    <row r="92" customFormat="1" s="145">
      <c r="A92" s="36">
        <f>ROW()-ROW(A$83)</f>
        <v/>
      </c>
      <c r="B92" s="20" t="inlineStr">
        <is>
          <t>电抗器</t>
        </is>
      </c>
      <c r="C92" s="20" t="inlineStr">
        <is>
          <t>LVR 7% 50Kvar 400V/50Hz</t>
        </is>
      </c>
      <c r="D92" s="25" t="inlineStr">
        <is>
          <t>甲供/施耐德电气</t>
        </is>
      </c>
      <c r="E92" s="30" t="inlineStr">
        <is>
          <t>只</t>
        </is>
      </c>
      <c r="F92" s="30" t="n">
        <v>3</v>
      </c>
      <c r="G92" s="297">
        <f>IF(AND(B92="",C92=""),"",ROUND(M92*L92*N92,2))</f>
        <v/>
      </c>
      <c r="H92" s="293">
        <f>IF(AND(B92="",C92=""),"",ROUND(F92*G92,2))</f>
        <v/>
      </c>
      <c r="I92" s="91" t="n"/>
      <c r="J92" s="329">
        <f>IF(AND(B92="",C92=""),"",ROUND(M92*N92,2))</f>
        <v/>
      </c>
      <c r="K92" s="330">
        <f>IF(AND(B92="",C92=""),"",ROUND(J92*F92,2))</f>
        <v/>
      </c>
      <c r="L92" s="126" t="n">
        <v>1</v>
      </c>
      <c r="M92" s="331" t="n">
        <v>1e-07</v>
      </c>
      <c r="N92" s="128" t="n">
        <v>0</v>
      </c>
      <c r="O92" s="129">
        <f t="array" ref="O92">IF(AND(B92="",C92=""),"",IF(G92&gt;=20000,0.05,IF(G92&gt;=10000,0.1,IF(G92&gt;=5000,0.2,IF(G92&gt;=1000,0.3,IF(G92&gt;=0,0.4,{0}))))))</f>
        <v/>
      </c>
      <c r="P92" s="332">
        <f>IF(AND(B92="",C92=""),"",ROUND(H92*O92,2))</f>
        <v/>
      </c>
      <c r="Q92" s="327" t="inlineStr">
        <is>
          <t>元件</t>
        </is>
      </c>
      <c r="R92" s="150" t="n"/>
      <c r="S92" s="150" t="n"/>
      <c r="T92" s="150" t="inlineStr">
        <is>
          <t>0</t>
        </is>
      </c>
      <c r="U92" s="150" t="n"/>
      <c r="V92" s="328" t="n"/>
      <c r="W92" s="328" t="n"/>
      <c r="X92" s="152" t="n"/>
    </row>
    <row r="93" customFormat="1" s="145">
      <c r="A93" s="36">
        <f>ROW()-ROW(A$83)</f>
        <v/>
      </c>
      <c r="B93" s="20" t="inlineStr">
        <is>
          <t>SVG</t>
        </is>
      </c>
      <c r="C93" s="20" t="inlineStr">
        <is>
          <t>AccuSine PQU 50kvar 机架式产品组合</t>
        </is>
      </c>
      <c r="D93" s="25" t="inlineStr">
        <is>
          <t>甲供/施耐德电气</t>
        </is>
      </c>
      <c r="E93" s="30" t="inlineStr">
        <is>
          <t>只</t>
        </is>
      </c>
      <c r="F93" s="30">
        <f>IF(AND(B93="",C93=""),"",1)</f>
        <v/>
      </c>
      <c r="G93" s="297">
        <f>IF(AND(B93="",C93=""),"",ROUND(M93*L93*N93,2))</f>
        <v/>
      </c>
      <c r="H93" s="297">
        <f>IF(AND(B93="",C93=""),"",ROUND(F93*G93,2))</f>
        <v/>
      </c>
      <c r="I93" s="135" t="n"/>
      <c r="J93" s="329">
        <f>IF(AND(B93="",C93=""),"",ROUND(M93*N93,2))</f>
        <v/>
      </c>
      <c r="K93" s="330">
        <f>IF(AND(B93="",C93=""),"",ROUND(J93*F93,2))</f>
        <v/>
      </c>
      <c r="L93" s="126" t="n">
        <v>1</v>
      </c>
      <c r="M93" s="331" t="n">
        <v>1e-07</v>
      </c>
      <c r="N93" s="128" t="n">
        <v>0</v>
      </c>
      <c r="O93" s="129">
        <f t="array" ref="O93">IF(AND(B93="",C93=""),"",IF(G93&gt;=20000,0.05,IF(G93&gt;=10000,0.1,IF(G93&gt;=5000,0.2,IF(G93&gt;=1000,0.3,IF(G93&gt;=0,0.4,{0}))))))</f>
        <v/>
      </c>
      <c r="P93" s="332">
        <f>IF(AND(B93="",C93=""),"",ROUND(H93*O93,2))</f>
        <v/>
      </c>
      <c r="Q93" s="327" t="inlineStr">
        <is>
          <t>元件</t>
        </is>
      </c>
      <c r="R93" s="150" t="n"/>
      <c r="S93" s="150" t="n"/>
      <c r="T93" s="150" t="inlineStr">
        <is>
          <t>0</t>
        </is>
      </c>
      <c r="U93" s="150" t="n"/>
      <c r="V93" s="328" t="n"/>
      <c r="W93" s="328" t="n"/>
      <c r="X93" s="152" t="n"/>
    </row>
    <row r="94" customFormat="1" s="145">
      <c r="A94" s="36">
        <f>ROW()-ROW(A$83)</f>
        <v/>
      </c>
      <c r="B94" s="20" t="inlineStr">
        <is>
          <t>熔断器</t>
        </is>
      </c>
      <c r="C94" s="20" t="inlineStr">
        <is>
          <t>NT00 gG 690V/160A+NT00（新底座）</t>
        </is>
      </c>
      <c r="D94" s="29" t="inlineStr">
        <is>
          <t>铭熔</t>
        </is>
      </c>
      <c r="E94" s="30" t="inlineStr">
        <is>
          <t>只</t>
        </is>
      </c>
      <c r="F94" s="30" t="n">
        <v>15</v>
      </c>
      <c r="G94" s="297">
        <f>IF(AND(B94="",C94=""),"",ROUND(M94*L94*N94,2))</f>
        <v/>
      </c>
      <c r="H94" s="297">
        <f>IF(AND(B94="",C94=""),"",ROUND(F94*G94,2))</f>
        <v/>
      </c>
      <c r="I94" s="135" t="n"/>
      <c r="J94" s="329">
        <f>IF(AND(B94="",C94=""),"",ROUND(M94*N94,2))</f>
        <v/>
      </c>
      <c r="K94" s="330">
        <f>IF(AND(B94="",C94=""),"",ROUND(J94*F94,2))</f>
        <v/>
      </c>
      <c r="L94" s="126" t="n">
        <v>1</v>
      </c>
      <c r="M94" s="331" t="n">
        <v>23.8</v>
      </c>
      <c r="N94" s="128" t="n">
        <v>1</v>
      </c>
      <c r="O94" s="129">
        <f t="array" ref="O94">IF(AND(B94="",C94=""),"",IF(G94&gt;=20000,0.05,IF(G94&gt;=10000,0.1,IF(G94&gt;=5000,0.2,IF(G94&gt;=1000,0.3,IF(G94&gt;=0,0.4,{0}))))))</f>
        <v/>
      </c>
      <c r="P94" s="332">
        <f>IF(AND(B94="",C94=""),"",ROUND(H94*O94,2))</f>
        <v/>
      </c>
      <c r="Q94" s="327" t="inlineStr">
        <is>
          <t>元件</t>
        </is>
      </c>
      <c r="R94" s="150" t="n"/>
      <c r="S94" s="150" t="n"/>
      <c r="T94" s="150" t="inlineStr">
        <is>
          <t>0</t>
        </is>
      </c>
      <c r="U94" s="150" t="n"/>
      <c r="V94" s="328" t="n"/>
      <c r="W94" s="328" t="n"/>
      <c r="X94" s="152" t="n"/>
    </row>
    <row r="95" customFormat="1" s="145">
      <c r="A95" s="36">
        <f>ROW()-ROW(A$83)</f>
        <v/>
      </c>
      <c r="B95" s="25" t="inlineStr">
        <is>
          <t>避雷器</t>
        </is>
      </c>
      <c r="C95" s="25" t="inlineStr">
        <is>
          <t>HY1.5W-0.28/1.3 硅胶</t>
        </is>
      </c>
      <c r="D95" s="25" t="inlineStr">
        <is>
          <t>苏州中联</t>
        </is>
      </c>
      <c r="E95" s="26" t="inlineStr">
        <is>
          <t>只</t>
        </is>
      </c>
      <c r="F95" s="26" t="n">
        <v>3</v>
      </c>
      <c r="G95" s="293">
        <f>IF(AND(B95="",C95=""),"",ROUND(M95*L95*N95,2))</f>
        <v/>
      </c>
      <c r="H95" s="297">
        <f>IF(AND(B95="",C95=""),"",ROUND(F95*G95,2))</f>
        <v/>
      </c>
      <c r="I95" s="136" t="n"/>
      <c r="J95" s="329">
        <f>IF(AND(B95="",C95=""),"",ROUND(M95*N95,2))</f>
        <v/>
      </c>
      <c r="K95" s="330">
        <f>IF(AND(B95="",C95=""),"",ROUND(J95*F95,2))</f>
        <v/>
      </c>
      <c r="L95" s="126" t="n">
        <v>1</v>
      </c>
      <c r="M95" s="331" t="n">
        <v>15</v>
      </c>
      <c r="N95" s="137" t="n">
        <v>1</v>
      </c>
      <c r="O95" s="138">
        <f t="array" ref="O95">IF(AND(B95="",C95=""),"",IF(G95&gt;=20000,0.05,IF(G95&gt;=10000,0.1,IF(G95&gt;=5000,0.2,IF(G95&gt;=1000,0.3,IF(G95&gt;=0,0.4,{0}))))))</f>
        <v/>
      </c>
      <c r="P95" s="333">
        <f>IF(AND(B95="",C95=""),"",ROUND(H95*O95,2))</f>
        <v/>
      </c>
      <c r="Q95" s="334" t="inlineStr">
        <is>
          <t>元件</t>
        </is>
      </c>
      <c r="R95" s="154" t="n"/>
      <c r="S95" s="154" t="n"/>
      <c r="T95" s="154" t="inlineStr">
        <is>
          <t>0</t>
        </is>
      </c>
      <c r="U95" s="154" t="n"/>
      <c r="V95" s="335" t="n"/>
      <c r="W95" s="335" t="n"/>
      <c r="X95" s="152" t="n"/>
    </row>
    <row r="96" customFormat="1" s="145">
      <c r="A96" s="36">
        <f>ROW()-ROW(A$83)</f>
        <v/>
      </c>
      <c r="B96" s="25" t="inlineStr">
        <is>
          <t>熔断器</t>
        </is>
      </c>
      <c r="C96" s="25" t="inlineStr">
        <is>
          <t>UK5-HESI</t>
        </is>
      </c>
      <c r="D96" s="25" t="inlineStr">
        <is>
          <t>菲尼克斯</t>
        </is>
      </c>
      <c r="E96" s="26" t="inlineStr">
        <is>
          <t>只</t>
        </is>
      </c>
      <c r="F96" s="26" t="n">
        <v>4</v>
      </c>
      <c r="G96" s="293">
        <f>IF(AND(B96="",C96=""),"",ROUND(M96*L96*N96,2))</f>
        <v/>
      </c>
      <c r="H96" s="297">
        <f>IF(AND(B96="",C96=""),"",ROUND(F96*G96,2))</f>
        <v/>
      </c>
      <c r="I96" s="136" t="n"/>
      <c r="J96" s="329">
        <f>IF(AND(B96="",C96=""),"",ROUND(M96*N96,2))</f>
        <v/>
      </c>
      <c r="K96" s="330">
        <f>IF(AND(B96="",C96=""),"",ROUND(J96*F96,2))</f>
        <v/>
      </c>
      <c r="L96" s="126" t="n">
        <v>1</v>
      </c>
      <c r="M96" s="331" t="n">
        <v>7</v>
      </c>
      <c r="N96" s="137" t="n">
        <v>1</v>
      </c>
      <c r="O96" s="138">
        <f t="array" ref="O96">IF(AND(B96="",C96=""),"",IF(G96&gt;=20000,0.05,IF(G96&gt;=10000,0.1,IF(G96&gt;=5000,0.2,IF(G96&gt;=1000,0.3,IF(G96&gt;=0,0.4,{0}))))))</f>
        <v/>
      </c>
      <c r="P96" s="333">
        <f>IF(AND(B96="",C96=""),"",ROUND(H96*O96,2))</f>
        <v/>
      </c>
      <c r="Q96" s="334" t="inlineStr">
        <is>
          <t>元件</t>
        </is>
      </c>
      <c r="R96" s="154" t="n"/>
      <c r="S96" s="154" t="n"/>
      <c r="T96" s="154" t="inlineStr">
        <is>
          <t>0</t>
        </is>
      </c>
      <c r="U96" s="154" t="n"/>
      <c r="V96" s="335" t="n"/>
      <c r="W96" s="335" t="n"/>
      <c r="X96" s="152" t="n"/>
    </row>
    <row r="97" customFormat="1" s="145">
      <c r="A97" s="36">
        <f>ROW()-ROW(A$83)</f>
        <v/>
      </c>
      <c r="B97" s="25" t="inlineStr">
        <is>
          <t>温控器</t>
        </is>
      </c>
      <c r="C97" s="25" t="inlineStr">
        <is>
          <t>JWT6011F</t>
        </is>
      </c>
      <c r="D97" s="25" t="inlineStr">
        <is>
          <t>上海雷普</t>
        </is>
      </c>
      <c r="E97" s="26" t="inlineStr">
        <is>
          <t>只</t>
        </is>
      </c>
      <c r="F97" s="26">
        <f>IF(AND(B97="",C97=""),"",1)</f>
        <v/>
      </c>
      <c r="G97" s="293">
        <f>IF(AND(B97="",C97=""),"",ROUND(M97*L97*N97,2))</f>
        <v/>
      </c>
      <c r="H97" s="297">
        <f>IF(AND(B97="",C97=""),"",ROUND(F97*G97,2))</f>
        <v/>
      </c>
      <c r="I97" s="136" t="n"/>
      <c r="J97" s="329">
        <f>IF(AND(B97="",C97=""),"",ROUND(M97*N97,2))</f>
        <v/>
      </c>
      <c r="K97" s="330">
        <f>IF(AND(B97="",C97=""),"",ROUND(J97*F97,2))</f>
        <v/>
      </c>
      <c r="L97" s="126">
        <f>IF(AND(B97="",C97=""),"",1)</f>
        <v/>
      </c>
      <c r="M97" s="331" t="n">
        <v>25</v>
      </c>
      <c r="N97" s="137">
        <f>IF(AND(B97="",C97=""),"",1)</f>
        <v/>
      </c>
      <c r="O97" s="138">
        <f t="array" ref="O97">IF(AND(B97="",C97=""),"",IF(G97&gt;=20000,0.05,IF(G97&gt;=10000,0.1,IF(G97&gt;=5000,0.2,IF(G97&gt;=1000,0.3,IF(G97&gt;=0,0.4,{0}))))))</f>
        <v/>
      </c>
      <c r="P97" s="333">
        <f>IF(AND(B97="",C97=""),"",ROUND(H97*O97,2))</f>
        <v/>
      </c>
      <c r="Q97" s="334">
        <f>IF(AND(B97="",C97=""),"","元件")</f>
        <v/>
      </c>
      <c r="R97" s="154" t="n"/>
      <c r="S97" s="154" t="n"/>
      <c r="T97" s="154" t="n"/>
      <c r="U97" s="154" t="n"/>
      <c r="V97" s="335" t="n"/>
      <c r="W97" s="335" t="n"/>
      <c r="X97" s="152" t="n"/>
    </row>
    <row r="98" customFormat="1" s="145">
      <c r="A98" s="36">
        <f>ROW()-ROW(A$83)</f>
        <v/>
      </c>
      <c r="B98" s="25" t="inlineStr">
        <is>
          <t>散热风扇</t>
        </is>
      </c>
      <c r="C98" s="25" t="n"/>
      <c r="D98" s="25" t="inlineStr">
        <is>
          <t>KAKU</t>
        </is>
      </c>
      <c r="E98" s="26" t="inlineStr">
        <is>
          <t>只</t>
        </is>
      </c>
      <c r="F98" s="26" t="n">
        <v>3</v>
      </c>
      <c r="G98" s="293">
        <f>IF(AND(B98="",C98=""),"",ROUND(M98*L98*N98,2))</f>
        <v/>
      </c>
      <c r="H98" s="293">
        <f>IF(AND(B98="",C98=""),"",ROUND(F98*G98,2))</f>
        <v/>
      </c>
      <c r="I98" s="164" t="n"/>
      <c r="J98" s="329">
        <f>IF(AND(B98="",C98=""),"",ROUND(M98*N98,2))</f>
        <v/>
      </c>
      <c r="K98" s="330">
        <f>IF(AND(B98="",C98=""),"",ROUND(J98*F98,2))</f>
        <v/>
      </c>
      <c r="L98" s="126" t="n">
        <v>1</v>
      </c>
      <c r="M98" s="331" t="n">
        <v>175</v>
      </c>
      <c r="N98" s="177" t="n">
        <v>1</v>
      </c>
      <c r="O98" s="178">
        <f t="array" ref="O98">IF(AND(B98="",C98=""),"",IF(G98&gt;=20000,0.05,IF(G98&gt;=10000,0.1,IF(G98&gt;=5000,0.2,IF(G98&gt;=1000,0.3,IF(G98&gt;=0,0.4,{0}))))))</f>
        <v/>
      </c>
      <c r="P98" s="341">
        <f>IF(AND(B98="",C98=""),"",ROUND(H98*O98,2))</f>
        <v/>
      </c>
      <c r="Q98" s="342" t="inlineStr">
        <is>
          <t>元件</t>
        </is>
      </c>
      <c r="R98" s="154" t="n"/>
      <c r="S98" s="154" t="n"/>
      <c r="T98" s="154" t="inlineStr">
        <is>
          <t>0</t>
        </is>
      </c>
      <c r="U98" s="154" t="n"/>
      <c r="V98" s="335" t="n"/>
      <c r="W98" s="335" t="n"/>
      <c r="X98" s="152" t="n"/>
    </row>
    <row r="99" customFormat="1" s="145">
      <c r="A99" s="36">
        <f>ROW()-ROW(A$83)</f>
        <v/>
      </c>
      <c r="B99" s="25" t="inlineStr">
        <is>
          <t>水平排2500A</t>
        </is>
      </c>
      <c r="C99" s="25" t="inlineStr">
        <is>
          <t>TMY 3*(2*125*5)+1*125*5+2*50*5</t>
        </is>
      </c>
      <c r="D99" s="25" t="inlineStr">
        <is>
          <t>国产优质</t>
        </is>
      </c>
      <c r="E99" s="26" t="inlineStr">
        <is>
          <t>米</t>
        </is>
      </c>
      <c r="F99" s="30" t="n">
        <v>1</v>
      </c>
      <c r="G99" s="297">
        <f>IF(AND(B99="",C99=""),"",ROUND(M99*L99*N99,2))</f>
        <v/>
      </c>
      <c r="H99" s="297">
        <f>IF(AND(B99="",C99=""),"",ROUND(F99*G99,2))</f>
        <v/>
      </c>
      <c r="I99" s="135" t="n"/>
      <c r="J99" s="329">
        <f>IF(AND(B99="",C99=""),"",ROUND(M99*N99,2))</f>
        <v/>
      </c>
      <c r="K99" s="330">
        <f>IF(AND(B99="",C99=""),"",ROUND(J99*F99,2))</f>
        <v/>
      </c>
      <c r="L99" s="126" t="n">
        <v>1</v>
      </c>
      <c r="M99" s="331" t="n">
        <v>3633.9200625</v>
      </c>
      <c r="N99" s="128" t="n">
        <v>1</v>
      </c>
      <c r="O99" s="129">
        <f t="array" ref="O99">IF(AND(B99="",C99=""),"",IF(G99&gt;=20000,0.05,IF(G99&gt;=10000,0.1,IF(G99&gt;=5000,0.2,IF(G99&gt;=1000,0.3,IF(G99&gt;=0,0.4,{0}))))))</f>
        <v/>
      </c>
      <c r="P99" s="332">
        <f>IF(AND(B99="",C99=""),"",ROUND(H99*O99,2))</f>
        <v/>
      </c>
      <c r="Q99" s="327" t="inlineStr">
        <is>
          <t>母排</t>
        </is>
      </c>
      <c r="R99" s="150" t="n"/>
      <c r="S99" s="150" t="n"/>
      <c r="T99" s="150" t="inlineStr">
        <is>
          <t>0</t>
        </is>
      </c>
      <c r="U99" s="150" t="n"/>
      <c r="V99" s="328" t="n"/>
      <c r="W99" s="328" t="n"/>
      <c r="X99" s="152" t="n"/>
    </row>
    <row r="100" customFormat="1" s="145">
      <c r="A100" s="36">
        <f>ROW()-ROW(A$83)</f>
        <v/>
      </c>
      <c r="B100" s="25" t="inlineStr">
        <is>
          <t>连接铜排</t>
        </is>
      </c>
      <c r="C100" s="25" t="inlineStr">
        <is>
          <t>TMY 1*60*5</t>
        </is>
      </c>
      <c r="D100" s="25" t="inlineStr">
        <is>
          <t>国产优质</t>
        </is>
      </c>
      <c r="E100" s="26" t="inlineStr">
        <is>
          <t>米</t>
        </is>
      </c>
      <c r="F100" s="26" t="n">
        <v>3</v>
      </c>
      <c r="G100" s="293">
        <f>IF(AND(B100="",C100=""),"",ROUND(M100*L100*N100,2))</f>
        <v/>
      </c>
      <c r="H100" s="293">
        <f>IF(AND(B100="",C100=""),"",ROUND(F100*G100,2))</f>
        <v/>
      </c>
      <c r="I100" s="164" t="n"/>
      <c r="J100" s="329">
        <f>IF(AND(B100="",C100=""),"",ROUND(M100*N100,2))</f>
        <v/>
      </c>
      <c r="K100" s="330">
        <f>IF(AND(B100="",C100=""),"",ROUND(J100*F100,2))</f>
        <v/>
      </c>
      <c r="L100" s="126" t="n">
        <v>1</v>
      </c>
      <c r="M100" s="331" t="n">
        <v>223.62585</v>
      </c>
      <c r="N100" s="137" t="n">
        <v>1</v>
      </c>
      <c r="O100" s="138">
        <f t="array" ref="O100">IF(AND(B100="",C100=""),"",IF(G100&gt;=20000,0.05,IF(G100&gt;=10000,0.1,IF(G100&gt;=5000,0.2,IF(G100&gt;=1000,0.3,IF(G100&gt;=0,0.4,{0}))))))</f>
        <v/>
      </c>
      <c r="P100" s="333">
        <f>IF(AND(B100="",C100=""),"",ROUND(H100*O100,2))</f>
        <v/>
      </c>
      <c r="Q100" s="334" t="inlineStr">
        <is>
          <t>母排</t>
        </is>
      </c>
      <c r="R100" s="154" t="n"/>
      <c r="S100" s="154" t="n"/>
      <c r="T100" s="154" t="inlineStr">
        <is>
          <t>0</t>
        </is>
      </c>
      <c r="U100" s="154" t="n"/>
      <c r="V100" s="335" t="n"/>
      <c r="W100" s="335" t="n"/>
      <c r="X100" s="152" t="n"/>
    </row>
    <row r="101" customFormat="1" s="145">
      <c r="A101" s="36">
        <f>ROW()-ROW(A$83)</f>
        <v/>
      </c>
      <c r="B101" s="25" t="inlineStr">
        <is>
          <t>导线及辅料</t>
        </is>
      </c>
      <c r="C101" s="25" t="n"/>
      <c r="D101" s="25" t="inlineStr">
        <is>
          <t>国产优质</t>
        </is>
      </c>
      <c r="E101" s="26" t="inlineStr">
        <is>
          <t>套</t>
        </is>
      </c>
      <c r="F101" s="26" t="n">
        <v>1</v>
      </c>
      <c r="G101" s="293">
        <f>IF(AND(B101="",C101=""),"",ROUND(M101*L101*N101,2))</f>
        <v/>
      </c>
      <c r="H101" s="293">
        <f>IF(AND(B101="",C101=""),"",ROUND(F101*G101,2))</f>
        <v/>
      </c>
      <c r="I101" s="164" t="n"/>
      <c r="J101" s="329">
        <f>IF(AND(B101="",C101=""),"",ROUND(M101*N101,2))</f>
        <v/>
      </c>
      <c r="K101" s="330">
        <f>IF(AND(B101="",C101=""),"",ROUND(J101*F101,2))</f>
        <v/>
      </c>
      <c r="L101" s="126" t="n">
        <v>1</v>
      </c>
      <c r="M101" s="331" t="n">
        <v>1500</v>
      </c>
      <c r="N101" s="137" t="n">
        <v>1</v>
      </c>
      <c r="O101" s="138">
        <f t="array" ref="O101">IF(AND(B101="",C101=""),"",IF(G101&gt;=20000,0.05,IF(G101&gt;=10000,0.1,IF(G101&gt;=5000,0.2,IF(G101&gt;=1000,0.3,IF(G101&gt;=0,0.4,{0}))))))</f>
        <v/>
      </c>
      <c r="P101" s="333">
        <f>IF(AND(B101="",C101=""),"",ROUND(H101*O101,2))</f>
        <v/>
      </c>
      <c r="Q101" s="334" t="inlineStr">
        <is>
          <t>辅料</t>
        </is>
      </c>
      <c r="R101" s="154" t="n"/>
      <c r="S101" s="154" t="n"/>
      <c r="T101" s="154" t="inlineStr">
        <is>
          <t>0</t>
        </is>
      </c>
      <c r="U101" s="154" t="n"/>
      <c r="V101" s="335" t="n"/>
      <c r="W101" s="335" t="n"/>
      <c r="X101" s="152" t="n"/>
    </row>
    <row r="102" customFormat="1" s="145">
      <c r="A102" s="36">
        <f>ROW()-ROW(A$83)</f>
        <v/>
      </c>
      <c r="B102" s="25" t="inlineStr">
        <is>
          <t>Blokset柜</t>
        </is>
      </c>
      <c r="C102" s="25" t="inlineStr">
        <is>
          <t>1000W*1000D*2200H</t>
        </is>
      </c>
      <c r="D102" s="25" t="inlineStr">
        <is>
          <t>清科</t>
        </is>
      </c>
      <c r="E102" s="26" t="inlineStr">
        <is>
          <t>台</t>
        </is>
      </c>
      <c r="F102" s="26" t="n">
        <v>1</v>
      </c>
      <c r="G102" s="293">
        <f>IF(AND(B102="",C102=""),"",ROUND(M102*L102*N102,2))</f>
        <v/>
      </c>
      <c r="H102" s="293">
        <f>IF(AND(B102="",C102=""),"",ROUND(F102*G102,2))</f>
        <v/>
      </c>
      <c r="I102" s="164" t="n"/>
      <c r="J102" s="329">
        <f>IF(AND(B102="",C102=""),"",ROUND(M102*N102,2))</f>
        <v/>
      </c>
      <c r="K102" s="330">
        <f>IF(AND(B102="",C102=""),"",ROUND(J102*F102,2))</f>
        <v/>
      </c>
      <c r="L102" s="126" t="n">
        <v>1</v>
      </c>
      <c r="M102" s="331" t="n">
        <v>4346</v>
      </c>
      <c r="N102" s="137" t="n">
        <v>1</v>
      </c>
      <c r="O102" s="138">
        <f t="array" ref="O102">IF(AND(B102="",C102=""),"",IF(G102&gt;=20000,0.05,IF(G102&gt;=10000,0.1,IF(G102&gt;=5000,0.2,IF(G102&gt;=1000,0.3,IF(G102&gt;=0,0.4,{0}))))))</f>
        <v/>
      </c>
      <c r="P102" s="333">
        <f>IF(AND(B102="",C102=""),"",ROUND(H102*O102,2))</f>
        <v/>
      </c>
      <c r="Q102" s="334" t="inlineStr">
        <is>
          <t>箱体</t>
        </is>
      </c>
      <c r="R102" s="154" t="n"/>
      <c r="S102" s="154" t="n"/>
      <c r="T102" s="154" t="inlineStr">
        <is>
          <t>0</t>
        </is>
      </c>
      <c r="U102" s="154" t="n"/>
      <c r="V102" s="335" t="n"/>
      <c r="W102" s="335" t="n"/>
      <c r="X102" s="152" t="n"/>
    </row>
    <row r="103" customFormat="1" s="145">
      <c r="A103" s="36">
        <f>ROW()-ROW(A$83)</f>
        <v/>
      </c>
      <c r="B103" s="29" t="n"/>
      <c r="C103" s="25" t="n"/>
      <c r="D103" s="29" t="n"/>
      <c r="E103" s="30" t="n"/>
      <c r="F103" s="30">
        <f>IF(AND(B103="",C103=""),"",1)</f>
        <v/>
      </c>
      <c r="G103" s="297">
        <f>IF(AND(B103="",C103=""),"",ROUND(M103*L103*N103,2))</f>
        <v/>
      </c>
      <c r="H103" s="297">
        <f>IF(AND(B103="",C103=""),"",ROUND(F103*G103,2))</f>
        <v/>
      </c>
      <c r="I103" s="135" t="n"/>
      <c r="J103" s="329">
        <f>IF(AND(B103="",C103=""),"",ROUND(M103*N103,2))</f>
        <v/>
      </c>
      <c r="K103" s="330">
        <f>IF(AND(B103="",C103=""),"",ROUND(J103*F103,2))</f>
        <v/>
      </c>
      <c r="L103" s="126">
        <f>IF(AND(B103="",C103=""),"",1)</f>
        <v/>
      </c>
      <c r="M103" s="331" t="n"/>
      <c r="N103" s="128">
        <f>IF(AND(B103="",C103=""),"",1)</f>
        <v/>
      </c>
      <c r="O103" s="129">
        <f t="array" ref="O103">IF(AND(B103="",C103=""),"",IF(G103&gt;=20000,0.05,IF(G103&gt;=10000,0.1,IF(G103&gt;=5000,0.2,IF(G103&gt;=1000,0.3,IF(G103&gt;=0,0.4,{0}))))))</f>
        <v/>
      </c>
      <c r="P103" s="332">
        <f>IF(AND(B103="",C103=""),"",ROUND(H103*O103,2))</f>
        <v/>
      </c>
      <c r="Q103" s="327">
        <f>IF(AND(B103="",C103=""),"","元件")</f>
        <v/>
      </c>
      <c r="R103" s="150" t="n"/>
      <c r="S103" s="150" t="n"/>
      <c r="T103" s="150" t="n"/>
      <c r="U103" s="150" t="n"/>
      <c r="V103" s="328" t="n"/>
      <c r="W103" s="328" t="n"/>
      <c r="X103" s="152" t="n"/>
    </row>
    <row r="104" customFormat="1" s="145">
      <c r="A104" s="36">
        <f>ROW()-ROW(A$83)</f>
        <v/>
      </c>
      <c r="B104" s="29" t="n"/>
      <c r="C104" s="29" t="n"/>
      <c r="D104" s="29" t="n"/>
      <c r="E104" s="30" t="n"/>
      <c r="F104" s="30">
        <f>IF(AND(B104="",C104=""),"",1)</f>
        <v/>
      </c>
      <c r="G104" s="297">
        <f>IF(AND(B104="",C104=""),"",ROUND(M104*L104*N104,2))</f>
        <v/>
      </c>
      <c r="H104" s="297">
        <f>IF(AND(B104="",C104=""),"",ROUND(F104*G104,2))</f>
        <v/>
      </c>
      <c r="I104" s="135" t="n"/>
      <c r="J104" s="329">
        <f>IF(AND(B104="",C104=""),"",ROUND(M104*N104,2))</f>
        <v/>
      </c>
      <c r="K104" s="330">
        <f>IF(AND(B104="",C104=""),"",ROUND(J104*F104,2))</f>
        <v/>
      </c>
      <c r="L104" s="126">
        <f>IF(AND(B104="",C104=""),"",1)</f>
        <v/>
      </c>
      <c r="M104" s="331" t="n"/>
      <c r="N104" s="128">
        <f>IF(AND(B104="",C104=""),"",1)</f>
        <v/>
      </c>
      <c r="O104" s="129">
        <f t="array" ref="O104">IF(AND(B104="",C104=""),"",IF(G104&gt;=20000,0.05,IF(G104&gt;=10000,0.1,IF(G104&gt;=5000,0.2,IF(G104&gt;=1000,0.3,IF(G104&gt;=0,0.4,{0}))))))</f>
        <v/>
      </c>
      <c r="P104" s="332">
        <f>IF(AND(B104="",C104=""),"",ROUND(H104*O104,2))</f>
        <v/>
      </c>
      <c r="Q104" s="327">
        <f>IF(AND(B104="",C104=""),"","元件")</f>
        <v/>
      </c>
      <c r="R104" s="150" t="n"/>
      <c r="S104" s="150" t="n"/>
      <c r="T104" s="150" t="n"/>
      <c r="U104" s="150" t="n"/>
      <c r="V104" s="328" t="n"/>
      <c r="W104" s="328" t="n"/>
      <c r="X104" s="152" t="n"/>
    </row>
    <row r="105" customFormat="1" s="145">
      <c r="A105" s="36">
        <f>ROW()-ROW(A$83)</f>
        <v/>
      </c>
      <c r="B105" s="156" t="inlineStr">
        <is>
          <t>小计</t>
        </is>
      </c>
      <c r="C105" s="157" t="n"/>
      <c r="D105" s="54" t="n"/>
      <c r="E105" s="30" t="n"/>
      <c r="F105" s="30" t="n"/>
      <c r="G105" s="297" t="n"/>
      <c r="H105" s="297">
        <f>ROUND(SUM(H83:INDEX(H:H,ROW()-1)),2)</f>
        <v/>
      </c>
      <c r="I105" s="91" t="n"/>
      <c r="J105" s="329" t="n"/>
      <c r="K105" s="330">
        <f>ROUND(SUM(K83:INDEX(K:K,ROW()-1)),2)</f>
        <v/>
      </c>
      <c r="L105" s="126" t="n"/>
      <c r="M105" s="331" t="n"/>
      <c r="N105" s="128" t="n"/>
      <c r="O105" s="129" t="n"/>
      <c r="P105" s="332" t="n"/>
      <c r="Q105" s="327" t="n"/>
      <c r="R105" s="150" t="n"/>
      <c r="S105" s="150" t="n"/>
      <c r="T105" s="150" t="n"/>
      <c r="U105" s="150" t="n"/>
      <c r="V105" s="328">
        <f t="array" ref="V105">ROUND(SUMPRODUCT(F83:INDEX(F:F,ROW()-1),V83:INDEX(V:V,ROW()-1)),2)</f>
        <v/>
      </c>
      <c r="W105" s="328">
        <f t="array" ref="W105">ROUND(SUMPRODUCT(F83:INDEX(F:F,ROW()-1),W83:INDEX(W:W,ROW()-1)),2)</f>
        <v/>
      </c>
      <c r="X105" s="152" t="n"/>
    </row>
    <row r="106" customFormat="1" s="145">
      <c r="A106" s="36">
        <f>ROW()-ROW(A$83)</f>
        <v/>
      </c>
      <c r="B106" s="156" t="inlineStr">
        <is>
          <t>成套费</t>
        </is>
      </c>
      <c r="C106" s="157" t="n"/>
      <c r="D106" s="54" t="n"/>
      <c r="E106" s="30" t="n"/>
      <c r="F106" s="30" t="n"/>
      <c r="G106" s="297" t="n"/>
      <c r="H106" s="297" t="n">
        <v>944.76</v>
      </c>
      <c r="I106" s="91" t="n"/>
      <c r="J106" s="329" t="n"/>
      <c r="K106" s="330" t="n">
        <v>944.76</v>
      </c>
      <c r="L106" s="126" t="n"/>
      <c r="M106" s="331" t="n"/>
      <c r="N106" s="128" t="n"/>
      <c r="O106" s="129" t="n"/>
      <c r="P106" s="332" t="n"/>
      <c r="Q106" s="327" t="n"/>
      <c r="R106" s="150" t="n"/>
      <c r="S106" s="150" t="n"/>
      <c r="T106" s="150" t="n"/>
      <c r="U106" s="150" t="n"/>
      <c r="V106" s="328" t="n"/>
      <c r="W106" s="328" t="n"/>
      <c r="X106" s="152" t="n"/>
    </row>
    <row r="107" customFormat="1" s="145">
      <c r="A107" s="36">
        <f>ROW()-ROW(A$83)</f>
        <v/>
      </c>
      <c r="B107" s="156" t="n"/>
      <c r="C107" s="157" t="n"/>
      <c r="D107" s="54" t="n"/>
      <c r="E107" s="30" t="n"/>
      <c r="F107" s="30" t="n"/>
      <c r="G107" s="297" t="n"/>
      <c r="H107" s="297" t="n">
        <v>17.26</v>
      </c>
      <c r="I107" s="91" t="n"/>
      <c r="J107" s="329" t="n"/>
      <c r="K107" s="330" t="n"/>
      <c r="L107" s="126" t="n"/>
      <c r="M107" s="331" t="n"/>
      <c r="N107" s="128" t="n"/>
      <c r="O107" s="129" t="n"/>
      <c r="P107" s="332" t="n"/>
      <c r="Q107" s="327" t="n"/>
      <c r="R107" s="150" t="n"/>
      <c r="S107" s="150" t="n"/>
      <c r="T107" s="150" t="n"/>
      <c r="U107" s="150" t="n"/>
      <c r="V107" s="328" t="n"/>
      <c r="W107" s="328" t="n"/>
      <c r="X107" s="152" t="n"/>
    </row>
    <row r="108" customFormat="1" s="145">
      <c r="A108" s="36">
        <f>ROW()-ROW(A$83)</f>
        <v/>
      </c>
      <c r="B108" s="54" t="inlineStr">
        <is>
          <t>单台合计</t>
        </is>
      </c>
      <c r="C108" s="157" t="n"/>
      <c r="D108" s="54" t="n"/>
      <c r="E108" s="30" t="n"/>
      <c r="F108" s="30" t="n"/>
      <c r="G108" s="297" t="n"/>
      <c r="H108" s="297">
        <f>ROUND(SUM(H105:H106),2)</f>
        <v/>
      </c>
      <c r="I108" s="165" t="n"/>
      <c r="J108" s="329" t="n"/>
      <c r="K108" s="330">
        <f>ROUND(SUM(K105:K106),2)</f>
        <v/>
      </c>
      <c r="L108" s="166" t="n"/>
      <c r="M108" s="331" t="n"/>
      <c r="N108" s="167" t="n"/>
      <c r="O108" s="168" t="n"/>
      <c r="P108" s="332" t="n"/>
      <c r="Q108" s="327" t="n"/>
      <c r="R108" s="150" t="n"/>
      <c r="S108" s="150" t="n"/>
      <c r="T108" s="150" t="n"/>
      <c r="U108" s="150" t="n"/>
      <c r="V108" s="328" t="n"/>
      <c r="W108" s="328" t="n"/>
      <c r="X108" s="152" t="n"/>
    </row>
    <row r="109" customFormat="1" s="145">
      <c r="A109" s="158" t="inlineStr">
        <is>
          <t>总计</t>
        </is>
      </c>
      <c r="B109" s="159" t="n"/>
      <c r="C109" s="160" t="n"/>
      <c r="D109" s="161" t="n"/>
      <c r="E109" s="161" t="inlineStr">
        <is>
          <t>台</t>
        </is>
      </c>
      <c r="F109" s="161" t="n">
        <v>4</v>
      </c>
      <c r="G109" s="336">
        <f>ROUND(H108,2)</f>
        <v/>
      </c>
      <c r="H109" s="336">
        <f>ROUND(F109*G109,2)</f>
        <v/>
      </c>
      <c r="I109" s="169" t="n"/>
      <c r="J109" s="337" t="n"/>
      <c r="K109" s="338">
        <f>ROUND(K108*F109,2)</f>
        <v/>
      </c>
      <c r="L109" s="172" t="n"/>
      <c r="M109" s="339" t="n"/>
      <c r="N109" s="174" t="n"/>
      <c r="O109" s="175" t="n"/>
      <c r="P109" s="340" t="n"/>
      <c r="Q109" s="327" t="n"/>
      <c r="R109" s="150" t="n"/>
      <c r="S109" s="150" t="n"/>
      <c r="T109" s="150" t="n"/>
      <c r="U109" s="150" t="n"/>
      <c r="V109" s="328" t="n"/>
      <c r="W109" s="328" t="n"/>
      <c r="X109" s="152" t="n"/>
    </row>
    <row r="110" customFormat="1" s="146">
      <c r="A110" s="3" t="n"/>
      <c r="B110" s="117" t="n"/>
      <c r="C110" s="117" t="n"/>
      <c r="D110" s="117" t="n"/>
      <c r="E110" s="146" t="n"/>
      <c r="F110" s="146" t="n"/>
      <c r="G110" s="146" t="n"/>
      <c r="H110" s="146" t="n"/>
      <c r="Q110" s="144" t="n"/>
      <c r="R110" s="144" t="n"/>
      <c r="S110" s="144" t="n"/>
      <c r="T110" s="144" t="n"/>
      <c r="U110" s="144" t="n"/>
      <c r="X110" s="117" t="n"/>
    </row>
    <row r="111" customFormat="1" s="146">
      <c r="A111" s="3" t="n"/>
      <c r="B111" s="117" t="n"/>
      <c r="C111" s="117" t="n"/>
      <c r="D111" s="117" t="n"/>
      <c r="E111" s="146" t="n"/>
      <c r="F111" s="146" t="n"/>
      <c r="G111" s="146" t="n"/>
      <c r="H111" s="146" t="n"/>
      <c r="Q111" s="144" t="n"/>
      <c r="R111" s="144" t="n"/>
      <c r="S111" s="144" t="n"/>
      <c r="T111" s="144" t="n"/>
      <c r="U111" s="144" t="n"/>
      <c r="X111" s="117" t="n"/>
    </row>
    <row r="112" customFormat="1" s="145">
      <c r="A112" s="63">
        <f>CONCATENATE("报价人：",项目信息!$B$8)</f>
        <v/>
      </c>
      <c r="B112" s="63" t="n"/>
      <c r="C112" s="146" t="n"/>
      <c r="D112" s="146" t="n"/>
      <c r="E112" s="146" t="n"/>
      <c r="F112" s="146" t="n"/>
      <c r="G112" s="146" t="n"/>
      <c r="H112" s="163">
        <f>项目信息!$B$9</f>
        <v/>
      </c>
      <c r="Q112" s="144" t="n"/>
      <c r="R112" s="144" t="n"/>
      <c r="S112" s="144" t="n"/>
      <c r="T112" s="144" t="n"/>
      <c r="U112" s="144" t="n"/>
      <c r="X112" s="148" t="n"/>
    </row>
    <row r="113" customFormat="1" s="145">
      <c r="A113" s="5">
        <f>T(项目信息!$B$22)</f>
        <v/>
      </c>
      <c r="Q113" s="144" t="n"/>
      <c r="R113" s="144" t="n"/>
      <c r="S113" s="144" t="n"/>
      <c r="T113" s="144" t="n"/>
      <c r="U113" s="144" t="n"/>
      <c r="X113" s="145" t="n"/>
    </row>
    <row r="114" customFormat="1" s="145">
      <c r="A114" s="6">
        <f>T(项目信息!$B$23)</f>
        <v/>
      </c>
      <c r="Q114" s="144" t="n"/>
      <c r="R114" s="144" t="n"/>
      <c r="S114" s="144" t="n"/>
      <c r="T114" s="144" t="n"/>
      <c r="U114" s="144" t="n"/>
      <c r="X114" s="145" t="n"/>
    </row>
    <row r="115" customFormat="1" s="145">
      <c r="A115" s="68" t="inlineStr">
        <is>
          <t>成套产品报价明细表</t>
        </is>
      </c>
      <c r="B115" s="318" t="n"/>
      <c r="C115" s="318" t="n"/>
      <c r="D115" s="318" t="n"/>
      <c r="E115" s="318" t="n"/>
      <c r="F115" s="318" t="n"/>
      <c r="G115" s="318" t="n"/>
      <c r="H115" s="318" t="n"/>
      <c r="I115" s="318" t="n"/>
      <c r="Q115" s="144" t="n"/>
      <c r="R115" s="144" t="n"/>
      <c r="S115" s="144" t="n"/>
      <c r="T115" s="144" t="n"/>
      <c r="U115" s="144" t="n"/>
      <c r="X115" s="145" t="n"/>
    </row>
    <row r="116" customFormat="1" s="146">
      <c r="A116" s="69" t="inlineStr">
        <is>
          <t>柜号:</t>
        </is>
      </c>
      <c r="B116" s="70" t="inlineStr">
        <is>
          <t>1D4 2D4</t>
        </is>
      </c>
      <c r="C116" s="71" t="inlineStr">
        <is>
          <t>型号:</t>
        </is>
      </c>
      <c r="D116" s="70" t="inlineStr">
        <is>
          <t>Blokset</t>
        </is>
      </c>
      <c r="E116" s="319" t="n"/>
      <c r="F116" s="72" t="inlineStr">
        <is>
          <t>名称:</t>
        </is>
      </c>
      <c r="G116" s="70" t="inlineStr">
        <is>
          <t>出线柜</t>
        </is>
      </c>
      <c r="H116" s="319" t="n"/>
      <c r="I116" s="320" t="n"/>
      <c r="J116" s="116" t="inlineStr">
        <is>
          <t>箱柜尺寸:</t>
        </is>
      </c>
      <c r="K116" s="117" t="inlineStr">
        <is>
          <t>600W*1000D*2200H</t>
        </is>
      </c>
      <c r="L116" s="116" t="inlineStr">
        <is>
          <t>类别:</t>
        </is>
      </c>
      <c r="M116" s="117" t="n"/>
      <c r="N116" s="321" t="n"/>
      <c r="Q116" s="144" t="n"/>
      <c r="R116" s="144" t="n"/>
      <c r="S116" s="144" t="n"/>
      <c r="T116" s="144" t="n"/>
      <c r="U116" s="144" t="n"/>
      <c r="X116" s="146" t="n"/>
    </row>
    <row r="117" ht="20.1" customFormat="1" customHeight="1" s="145">
      <c r="A117" s="13" t="inlineStr">
        <is>
          <t>序号</t>
        </is>
      </c>
      <c r="B117" s="73" t="inlineStr">
        <is>
          <t>元件名称</t>
        </is>
      </c>
      <c r="C117" s="73" t="inlineStr">
        <is>
          <t>型号规格</t>
        </is>
      </c>
      <c r="D117" s="74" t="inlineStr">
        <is>
          <t>生产厂家</t>
        </is>
      </c>
      <c r="E117" s="15" t="inlineStr">
        <is>
          <t>单位</t>
        </is>
      </c>
      <c r="F117" s="15" t="inlineStr">
        <is>
          <t>数量</t>
        </is>
      </c>
      <c r="G117" s="287" t="inlineStr">
        <is>
          <t>单   价</t>
        </is>
      </c>
      <c r="H117" s="256" t="inlineStr">
        <is>
          <t>总   价</t>
        </is>
      </c>
      <c r="I117" s="119" t="inlineStr">
        <is>
          <t>备注</t>
        </is>
      </c>
      <c r="J117" s="322" t="inlineStr">
        <is>
          <t>成本单价</t>
        </is>
      </c>
      <c r="K117" s="322" t="inlineStr">
        <is>
          <t>成本总价</t>
        </is>
      </c>
      <c r="L117" s="121" t="inlineStr">
        <is>
          <t>报出
系数</t>
        </is>
      </c>
      <c r="M117" s="322" t="inlineStr">
        <is>
          <t>表价</t>
        </is>
      </c>
      <c r="N117" s="121" t="inlineStr">
        <is>
          <t>折扣
系数</t>
        </is>
      </c>
      <c r="O117" s="122" t="inlineStr">
        <is>
          <t>取费
系数</t>
        </is>
      </c>
      <c r="P117" s="322" t="inlineStr">
        <is>
          <t>成套费</t>
        </is>
      </c>
      <c r="Q117" s="147" t="inlineStr">
        <is>
          <t>类别</t>
        </is>
      </c>
      <c r="R117" s="147" t="inlineStr">
        <is>
          <t>物料编码</t>
        </is>
      </c>
      <c r="S117" s="147" t="inlineStr">
        <is>
          <t>产地</t>
        </is>
      </c>
      <c r="T117" s="147" t="inlineStr">
        <is>
          <t>加工费</t>
        </is>
      </c>
      <c r="U117" s="147" t="inlineStr">
        <is>
          <t>订货号</t>
        </is>
      </c>
      <c r="V117" s="147" t="inlineStr">
        <is>
          <t>人工</t>
        </is>
      </c>
      <c r="W117" s="147" t="inlineStr">
        <is>
          <t>辅料</t>
        </is>
      </c>
      <c r="X117" s="148" t="n"/>
    </row>
    <row r="118" customFormat="1" s="145">
      <c r="A118" s="75">
        <f>ROW()-ROW(A$117)</f>
        <v/>
      </c>
      <c r="B118" s="20" t="inlineStr">
        <is>
          <t>交流塑壳断路器</t>
        </is>
      </c>
      <c r="C118" s="20" t="inlineStr">
        <is>
          <t>NSX100N MA 100 3P3D F</t>
        </is>
      </c>
      <c r="D118" s="20" t="inlineStr">
        <is>
          <t>甲供/施耐德电气</t>
        </is>
      </c>
      <c r="E118" s="21" t="inlineStr">
        <is>
          <t>只</t>
        </is>
      </c>
      <c r="F118" s="21" t="n">
        <v>4</v>
      </c>
      <c r="G118" s="289">
        <f>IF(AND(B118="",C118=""),"",ROUND(M118*L118*N118,2))</f>
        <v/>
      </c>
      <c r="H118" s="289">
        <f>IF(AND(B118="",C118=""),"",ROUND(F118*G118,2))</f>
        <v/>
      </c>
      <c r="I118" s="123" t="n"/>
      <c r="J118" s="323">
        <f>IF(AND(B118="",C118=""),"",ROUND(M118*N118,2))</f>
        <v/>
      </c>
      <c r="K118" s="324">
        <f>IF(AND(B118="",C118=""),"",ROUND(J118*F118,2))</f>
        <v/>
      </c>
      <c r="L118" s="126" t="n">
        <v>1</v>
      </c>
      <c r="M118" s="325" t="n">
        <v>856.21</v>
      </c>
      <c r="N118" s="128" t="n">
        <v>0</v>
      </c>
      <c r="O118" s="129">
        <f t="array" ref="O118">IF(AND(B118="",C118=""),"",IF(G118&gt;=20000,0.05,IF(G118&gt;=10000,0.1,IF(G118&gt;=5000,0.2,IF(G118&gt;=1000,0.3,IF(G118&gt;=0,0.4,{0}))))))</f>
        <v/>
      </c>
      <c r="P118" s="326">
        <f>IF(AND(B118="",C118=""),"",ROUND(H118*O118,2))</f>
        <v/>
      </c>
      <c r="Q118" s="327" t="inlineStr">
        <is>
          <t>元件</t>
        </is>
      </c>
      <c r="R118" s="150" t="n"/>
      <c r="S118" s="150" t="n"/>
      <c r="T118" s="150" t="inlineStr">
        <is>
          <t>0</t>
        </is>
      </c>
      <c r="U118" s="150" t="inlineStr">
        <is>
          <t>C10N3MA100</t>
        </is>
      </c>
      <c r="V118" s="328" t="n"/>
      <c r="W118" s="328" t="n"/>
      <c r="X118" s="152" t="n"/>
    </row>
    <row r="119" customFormat="1" s="145">
      <c r="A119" s="36">
        <f>ROW()-ROW(A$117)</f>
        <v/>
      </c>
      <c r="B119" s="29" t="inlineStr">
        <is>
          <t>交流塑壳断路器</t>
        </is>
      </c>
      <c r="C119" s="25" t="inlineStr">
        <is>
          <t>NSX100N TMD 100 3P3D F</t>
        </is>
      </c>
      <c r="D119" s="29" t="inlineStr">
        <is>
          <t>甲供/施耐德电气</t>
        </is>
      </c>
      <c r="E119" s="30" t="inlineStr">
        <is>
          <t>只</t>
        </is>
      </c>
      <c r="F119" s="26" t="n">
        <v>3</v>
      </c>
      <c r="G119" s="297">
        <f>IF(AND(B119="",C119=""),"",ROUND(M119*L119*N119,2))</f>
        <v/>
      </c>
      <c r="H119" s="293">
        <f>IF(AND(B119="",C119=""),"",ROUND(F119*G119,2))</f>
        <v/>
      </c>
      <c r="I119" s="91" t="n"/>
      <c r="J119" s="329">
        <f>IF(AND(B119="",C119=""),"",ROUND(M119*N119,2))</f>
        <v/>
      </c>
      <c r="K119" s="330">
        <f>IF(AND(B119="",C119=""),"",ROUND(J119*F119,2))</f>
        <v/>
      </c>
      <c r="L119" s="126" t="n">
        <v>1</v>
      </c>
      <c r="M119" s="331" t="n">
        <v>1024.28</v>
      </c>
      <c r="N119" s="128" t="n">
        <v>0</v>
      </c>
      <c r="O119" s="129">
        <f t="array" ref="O119">IF(AND(B119="",C119=""),"",IF(G119&gt;=20000,0.05,IF(G119&gt;=10000,0.1,IF(G119&gt;=5000,0.2,IF(G119&gt;=1000,0.3,IF(G119&gt;=0,0.4,{0}))))))</f>
        <v/>
      </c>
      <c r="P119" s="332">
        <f>IF(AND(B119="",C119=""),"",ROUND(H119*O119,2))</f>
        <v/>
      </c>
      <c r="Q119" s="327" t="inlineStr">
        <is>
          <t>元件</t>
        </is>
      </c>
      <c r="R119" s="150" t="n"/>
      <c r="S119" s="150" t="n"/>
      <c r="T119" s="150" t="inlineStr">
        <is>
          <t>0</t>
        </is>
      </c>
      <c r="U119" s="150" t="inlineStr">
        <is>
          <t>C10N3TM100</t>
        </is>
      </c>
      <c r="V119" s="328" t="n"/>
      <c r="W119" s="328" t="n"/>
      <c r="X119" s="152" t="n"/>
    </row>
    <row r="120" customFormat="1" s="145">
      <c r="A120" s="36">
        <f>ROW()-ROW(A$117)</f>
        <v/>
      </c>
      <c r="B120" s="29" t="inlineStr">
        <is>
          <t>交流塑壳断路器</t>
        </is>
      </c>
      <c r="C120" s="25" t="inlineStr">
        <is>
          <t>NSX160N TMD 125 3P3D F</t>
        </is>
      </c>
      <c r="D120" s="29" t="inlineStr">
        <is>
          <t>甲供/施耐德电气</t>
        </is>
      </c>
      <c r="E120" s="30" t="inlineStr">
        <is>
          <t>只</t>
        </is>
      </c>
      <c r="F120" s="26" t="n">
        <v>1</v>
      </c>
      <c r="G120" s="293">
        <f>IF(AND(B120="",C120=""),"",ROUND(M120*L120*N120,2))</f>
        <v/>
      </c>
      <c r="H120" s="293">
        <f>IF(AND(B120="",C120=""),"",ROUND(F120*G120,2))</f>
        <v/>
      </c>
      <c r="I120" s="91" t="n"/>
      <c r="J120" s="329">
        <f>IF(AND(B120="",C120=""),"",ROUND(M120*N120,2))</f>
        <v/>
      </c>
      <c r="K120" s="330">
        <f>IF(AND(B120="",C120=""),"",ROUND(J120*F120,2))</f>
        <v/>
      </c>
      <c r="L120" s="126" t="n">
        <v>1</v>
      </c>
      <c r="M120" s="331" t="n">
        <v>1360.06</v>
      </c>
      <c r="N120" s="128" t="n">
        <v>0</v>
      </c>
      <c r="O120" s="129">
        <f t="array" ref="O120">IF(AND(B120="",C120=""),"",IF(G120&gt;=20000,0.05,IF(G120&gt;=10000,0.1,IF(G120&gt;=5000,0.2,IF(G120&gt;=1000,0.3,IF(G120&gt;=0,0.4,{0}))))))</f>
        <v/>
      </c>
      <c r="P120" s="332">
        <f>IF(AND(B120="",C120=""),"",ROUND(H120*O120,2))</f>
        <v/>
      </c>
      <c r="Q120" s="327" t="inlineStr">
        <is>
          <t>元件</t>
        </is>
      </c>
      <c r="R120" s="150" t="n"/>
      <c r="S120" s="150" t="n"/>
      <c r="T120" s="150" t="inlineStr">
        <is>
          <t>0</t>
        </is>
      </c>
      <c r="U120" s="150" t="inlineStr">
        <is>
          <t>C16N3TM125</t>
        </is>
      </c>
      <c r="V120" s="328" t="n"/>
      <c r="W120" s="328" t="n"/>
      <c r="X120" s="152" t="n"/>
    </row>
    <row r="121" customFormat="1" s="145">
      <c r="A121" s="36">
        <f>ROW()-ROW(A$117)</f>
        <v/>
      </c>
      <c r="B121" s="25" t="inlineStr">
        <is>
          <t>交流塑壳断路器</t>
        </is>
      </c>
      <c r="C121" s="25" t="inlineStr">
        <is>
          <t>NSX250N TMD 250 3P3D F</t>
        </is>
      </c>
      <c r="D121" s="25" t="inlineStr">
        <is>
          <t>甲供/施耐德电气</t>
        </is>
      </c>
      <c r="E121" s="26" t="inlineStr">
        <is>
          <t>只</t>
        </is>
      </c>
      <c r="F121" s="26" t="n">
        <v>2</v>
      </c>
      <c r="G121" s="293">
        <f>IF(AND(B121="",C121=""),"",ROUND(M121*L121*N121,2))</f>
        <v/>
      </c>
      <c r="H121" s="293">
        <f>IF(AND(B121="",C121=""),"",ROUND(F121*G121,2))</f>
        <v/>
      </c>
      <c r="I121" s="91" t="n"/>
      <c r="J121" s="329">
        <f>IF(AND(B121="",C121=""),"",ROUND(M121*N121,2))</f>
        <v/>
      </c>
      <c r="K121" s="330">
        <f>IF(AND(B121="",C121=""),"",ROUND(J121*F121,2))</f>
        <v/>
      </c>
      <c r="L121" s="126" t="n">
        <v>1</v>
      </c>
      <c r="M121" s="331" t="n">
        <v>2315.28</v>
      </c>
      <c r="N121" s="128" t="n">
        <v>0</v>
      </c>
      <c r="O121" s="129">
        <f t="array" ref="O121">IF(AND(B121="",C121=""),"",IF(G121&gt;=20000,0.05,IF(G121&gt;=10000,0.1,IF(G121&gt;=5000,0.2,IF(G121&gt;=1000,0.3,IF(G121&gt;=0,0.4,{0}))))))</f>
        <v/>
      </c>
      <c r="P121" s="332">
        <f>IF(AND(B121="",C121=""),"",ROUND(H121*O121,2))</f>
        <v/>
      </c>
      <c r="Q121" s="327" t="inlineStr">
        <is>
          <t>元件</t>
        </is>
      </c>
      <c r="R121" s="150" t="n"/>
      <c r="S121" s="150" t="n"/>
      <c r="T121" s="150" t="inlineStr">
        <is>
          <t>0</t>
        </is>
      </c>
      <c r="U121" s="150" t="inlineStr">
        <is>
          <t>C25N3TM250</t>
        </is>
      </c>
      <c r="V121" s="328" t="n"/>
      <c r="W121" s="328" t="n"/>
      <c r="X121" s="152" t="n"/>
    </row>
    <row r="122" customFormat="1" s="145">
      <c r="A122" s="36">
        <f>ROW()-ROW(A$117)</f>
        <v/>
      </c>
      <c r="B122" s="29" t="inlineStr">
        <is>
          <t>交流塑壳断路器</t>
        </is>
      </c>
      <c r="C122" s="29" t="inlineStr">
        <is>
          <t>NSX400N MIC 1.3M 320 3P F</t>
        </is>
      </c>
      <c r="D122" s="29" t="inlineStr">
        <is>
          <t>甲供/施耐德电气</t>
        </is>
      </c>
      <c r="E122" s="30" t="inlineStr">
        <is>
          <t>只</t>
        </is>
      </c>
      <c r="F122" s="30" t="n">
        <v>1</v>
      </c>
      <c r="G122" s="297">
        <f>IF(AND(B122="",C122=""),"",ROUND(M122*L122*N122,2))</f>
        <v/>
      </c>
      <c r="H122" s="293">
        <f>IF(AND(B122="",C122=""),"",ROUND(F122*G122,2))</f>
        <v/>
      </c>
      <c r="I122" s="91" t="n"/>
      <c r="J122" s="329">
        <f>IF(AND(B122="",C122=""),"",ROUND(M122*N122,2))</f>
        <v/>
      </c>
      <c r="K122" s="330">
        <f>IF(AND(B122="",C122=""),"",ROUND(J122*F122,2))</f>
        <v/>
      </c>
      <c r="L122" s="126" t="n">
        <v>1</v>
      </c>
      <c r="M122" s="331" t="n">
        <v>2965.56</v>
      </c>
      <c r="N122" s="128" t="n">
        <v>0</v>
      </c>
      <c r="O122" s="129">
        <f t="array" ref="O122">IF(AND(B122="",C122=""),"",IF(G122&gt;=20000,0.05,IF(G122&gt;=10000,0.1,IF(G122&gt;=5000,0.2,IF(G122&gt;=1000,0.3,IF(G122&gt;=0,0.4,{0}))))))</f>
        <v/>
      </c>
      <c r="P122" s="332">
        <f>IF(AND(B122="",C122=""),"",ROUND(H122*O122,2))</f>
        <v/>
      </c>
      <c r="Q122" s="327" t="inlineStr">
        <is>
          <t>元件</t>
        </is>
      </c>
      <c r="R122" s="150" t="n"/>
      <c r="S122" s="150" t="n"/>
      <c r="T122" s="150" t="inlineStr">
        <is>
          <t>0</t>
        </is>
      </c>
      <c r="U122" s="150" t="inlineStr">
        <is>
          <t>C40N31M320</t>
        </is>
      </c>
      <c r="V122" s="328" t="n"/>
      <c r="W122" s="328" t="n"/>
      <c r="X122" s="152" t="n"/>
    </row>
    <row r="123" customFormat="1" s="145">
      <c r="A123" s="36">
        <f>ROW()-ROW(A$117)</f>
        <v/>
      </c>
      <c r="B123" s="29" t="inlineStr">
        <is>
          <t>新外观延伸旋转手柄</t>
        </is>
      </c>
      <c r="C123" s="29" t="inlineStr">
        <is>
          <t>标准延伸旋转手柄/新外观延伸旋转手柄 100/160/250A</t>
        </is>
      </c>
      <c r="D123" s="29" t="inlineStr">
        <is>
          <t>甲供/施耐德电气</t>
        </is>
      </c>
      <c r="E123" s="30" t="inlineStr">
        <is>
          <t>只</t>
        </is>
      </c>
      <c r="F123" s="30" t="n">
        <v>10</v>
      </c>
      <c r="G123" s="297">
        <f>IF(AND(B123="",C123=""),"",ROUND(M123*L123*N123,2))</f>
        <v/>
      </c>
      <c r="H123" s="293">
        <f>IF(AND(B123="",C123=""),"",ROUND(F123*G123,2))</f>
        <v/>
      </c>
      <c r="I123" s="91" t="n"/>
      <c r="J123" s="329">
        <f>IF(AND(B123="",C123=""),"",ROUND(M123*N123,2))</f>
        <v/>
      </c>
      <c r="K123" s="330">
        <f>IF(AND(B123="",C123=""),"",ROUND(J123*F123,2))</f>
        <v/>
      </c>
      <c r="L123" s="126" t="n">
        <v>1</v>
      </c>
      <c r="M123" s="331" t="n">
        <v>189.75</v>
      </c>
      <c r="N123" s="128" t="n">
        <v>0</v>
      </c>
      <c r="O123" s="129">
        <f t="array" ref="O123">IF(AND(B123="",C123=""),"",IF(G123&gt;=20000,0.05,IF(G123&gt;=10000,0.1,IF(G123&gt;=5000,0.2,IF(G123&gt;=1000,0.3,IF(G123&gt;=0,0.4,{0}))))))</f>
        <v/>
      </c>
      <c r="P123" s="332">
        <f>IF(AND(B123="",C123=""),"",ROUND(H123*O123,2))</f>
        <v/>
      </c>
      <c r="Q123" s="327" t="inlineStr">
        <is>
          <t>元件</t>
        </is>
      </c>
      <c r="R123" s="150" t="n"/>
      <c r="S123" s="150" t="n"/>
      <c r="T123" s="150" t="inlineStr">
        <is>
          <t>0</t>
        </is>
      </c>
      <c r="U123" s="150" t="inlineStr">
        <is>
          <t>LV429338T</t>
        </is>
      </c>
      <c r="V123" s="328" t="n"/>
      <c r="W123" s="328" t="n"/>
      <c r="X123" s="152" t="n"/>
    </row>
    <row r="124" customFormat="1" s="145">
      <c r="A124" s="36">
        <f>ROW()-ROW(A$117)</f>
        <v/>
      </c>
      <c r="B124" s="29" t="inlineStr">
        <is>
          <t>新外观延伸旋转手柄</t>
        </is>
      </c>
      <c r="C124" s="29" t="inlineStr">
        <is>
          <t>标准延伸旋转手柄/新外观延伸旋转手柄 400/630A</t>
        </is>
      </c>
      <c r="D124" s="29" t="inlineStr">
        <is>
          <t>甲供/施耐德电气</t>
        </is>
      </c>
      <c r="E124" s="30" t="inlineStr">
        <is>
          <t>只</t>
        </is>
      </c>
      <c r="F124" s="30" t="n">
        <v>1</v>
      </c>
      <c r="G124" s="297">
        <f>IF(AND(B124="",C124=""),"",ROUND(M124*L124*N124,2))</f>
        <v/>
      </c>
      <c r="H124" s="297">
        <f>IF(AND(B124="",C124=""),"",ROUND(F124*G124,2))</f>
        <v/>
      </c>
      <c r="I124" s="135" t="n"/>
      <c r="J124" s="329">
        <f>IF(AND(B124="",C124=""),"",ROUND(M124*N124,2))</f>
        <v/>
      </c>
      <c r="K124" s="330">
        <f>IF(AND(B124="",C124=""),"",ROUND(J124*F124,2))</f>
        <v/>
      </c>
      <c r="L124" s="126" t="n">
        <v>1</v>
      </c>
      <c r="M124" s="331" t="n">
        <v>270.62</v>
      </c>
      <c r="N124" s="128" t="n">
        <v>0</v>
      </c>
      <c r="O124" s="129">
        <f t="array" ref="O124">IF(AND(B124="",C124=""),"",IF(G124&gt;=20000,0.05,IF(G124&gt;=10000,0.1,IF(G124&gt;=5000,0.2,IF(G124&gt;=1000,0.3,IF(G124&gt;=0,0.4,{0}))))))</f>
        <v/>
      </c>
      <c r="P124" s="332">
        <f>IF(AND(B124="",C124=""),"",ROUND(H124*O124,2))</f>
        <v/>
      </c>
      <c r="Q124" s="327" t="inlineStr">
        <is>
          <t>元件</t>
        </is>
      </c>
      <c r="R124" s="150" t="n"/>
      <c r="S124" s="150" t="n"/>
      <c r="T124" s="150" t="inlineStr">
        <is>
          <t>0</t>
        </is>
      </c>
      <c r="U124" s="150" t="inlineStr">
        <is>
          <t>LV432598T</t>
        </is>
      </c>
      <c r="V124" s="328" t="n"/>
      <c r="W124" s="328" t="n"/>
      <c r="X124" s="152" t="n"/>
    </row>
    <row r="125" customFormat="1" s="145">
      <c r="A125" s="36">
        <f>ROW()-ROW(A$117)</f>
        <v/>
      </c>
      <c r="B125" s="29" t="inlineStr">
        <is>
          <t>MX分励脱扣器</t>
        </is>
      </c>
      <c r="C125" s="29" t="inlineStr">
        <is>
          <t>MX分励AC220-240V/208-277V/100-630A</t>
        </is>
      </c>
      <c r="D125" s="29" t="inlineStr">
        <is>
          <t>甲供/施耐德电气</t>
        </is>
      </c>
      <c r="E125" s="30" t="inlineStr">
        <is>
          <t>只</t>
        </is>
      </c>
      <c r="F125" s="30" t="n">
        <v>11</v>
      </c>
      <c r="G125" s="297">
        <f>IF(AND(B125="",C125=""),"",ROUND(M125*L125*N125,2))</f>
        <v/>
      </c>
      <c r="H125" s="297">
        <f>IF(AND(B125="",C125=""),"",ROUND(F125*G125,2))</f>
        <v/>
      </c>
      <c r="I125" s="135" t="n"/>
      <c r="J125" s="329">
        <f>IF(AND(B125="",C125=""),"",ROUND(M125*N125,2))</f>
        <v/>
      </c>
      <c r="K125" s="330">
        <f>IF(AND(B125="",C125=""),"",ROUND(J125*F125,2))</f>
        <v/>
      </c>
      <c r="L125" s="126" t="n">
        <v>1</v>
      </c>
      <c r="M125" s="331" t="n">
        <v>314.03</v>
      </c>
      <c r="N125" s="128" t="n">
        <v>0</v>
      </c>
      <c r="O125" s="129">
        <f t="array" ref="O125">IF(AND(B125="",C125=""),"",IF(G125&gt;=20000,0.05,IF(G125&gt;=10000,0.1,IF(G125&gt;=5000,0.2,IF(G125&gt;=1000,0.3,IF(G125&gt;=0,0.4,{0}))))))</f>
        <v/>
      </c>
      <c r="P125" s="332">
        <f>IF(AND(B125="",C125=""),"",ROUND(H125*O125,2))</f>
        <v/>
      </c>
      <c r="Q125" s="327" t="inlineStr">
        <is>
          <t>元件</t>
        </is>
      </c>
      <c r="R125" s="150" t="n"/>
      <c r="S125" s="150" t="n"/>
      <c r="T125" s="150" t="inlineStr">
        <is>
          <t>0</t>
        </is>
      </c>
      <c r="U125" s="150" t="inlineStr">
        <is>
          <t>LV429387</t>
        </is>
      </c>
      <c r="V125" s="328" t="n"/>
      <c r="W125" s="328" t="n"/>
      <c r="X125" s="152" t="n"/>
    </row>
    <row r="126" customFormat="1" s="145">
      <c r="A126" s="36">
        <f>ROW()-ROW(A$117)</f>
        <v/>
      </c>
      <c r="B126" s="29" t="inlineStr">
        <is>
          <t>辅助触点OF</t>
        </is>
      </c>
      <c r="C126" s="25" t="inlineStr">
        <is>
          <t>OF</t>
        </is>
      </c>
      <c r="D126" s="29" t="inlineStr">
        <is>
          <t>甲供/施耐德电气</t>
        </is>
      </c>
      <c r="E126" s="30" t="inlineStr">
        <is>
          <t>只</t>
        </is>
      </c>
      <c r="F126" s="30" t="n">
        <v>22</v>
      </c>
      <c r="G126" s="297">
        <f>IF(AND(B126="",C126=""),"",ROUND(M126*L126*N126,2))</f>
        <v/>
      </c>
      <c r="H126" s="297">
        <f>IF(AND(B126="",C126=""),"",ROUND(F126*G126,2))</f>
        <v/>
      </c>
      <c r="I126" s="135" t="n"/>
      <c r="J126" s="329">
        <f>IF(AND(B126="",C126=""),"",ROUND(M126*N126,2))</f>
        <v/>
      </c>
      <c r="K126" s="330">
        <f>IF(AND(B126="",C126=""),"",ROUND(J126*F126,2))</f>
        <v/>
      </c>
      <c r="L126" s="126" t="n">
        <v>1</v>
      </c>
      <c r="M126" s="331" t="n">
        <v>174.01</v>
      </c>
      <c r="N126" s="128" t="n">
        <v>0</v>
      </c>
      <c r="O126" s="129">
        <f t="array" ref="O126">IF(AND(B126="",C126=""),"",IF(G126&gt;=20000,0.05,IF(G126&gt;=10000,0.1,IF(G126&gt;=5000,0.2,IF(G126&gt;=1000,0.3,IF(G126&gt;=0,0.4,{0}))))))</f>
        <v/>
      </c>
      <c r="P126" s="332">
        <f>IF(AND(B126="",C126=""),"",ROUND(H126*O126,2))</f>
        <v/>
      </c>
      <c r="Q126" s="327" t="inlineStr">
        <is>
          <t>元件</t>
        </is>
      </c>
      <c r="R126" s="150" t="n"/>
      <c r="S126" s="150" t="n"/>
      <c r="T126" s="150" t="inlineStr">
        <is>
          <t>0</t>
        </is>
      </c>
      <c r="U126" s="150" t="inlineStr">
        <is>
          <t>29450</t>
        </is>
      </c>
      <c r="V126" s="328" t="n"/>
      <c r="W126" s="328" t="n"/>
      <c r="X126" s="152" t="n"/>
    </row>
    <row r="127" customFormat="1" s="145">
      <c r="A127" s="36">
        <f>ROW()-ROW(A$117)</f>
        <v/>
      </c>
      <c r="B127" s="29" t="inlineStr">
        <is>
          <t>热过载继电器</t>
        </is>
      </c>
      <c r="C127" s="29" t="inlineStr">
        <is>
          <t>LRD05C+LAD7B106C</t>
        </is>
      </c>
      <c r="D127" s="29" t="inlineStr">
        <is>
          <t>甲供/施耐德电气</t>
        </is>
      </c>
      <c r="E127" s="30" t="inlineStr">
        <is>
          <t>只</t>
        </is>
      </c>
      <c r="F127" s="30" t="n">
        <v>5</v>
      </c>
      <c r="G127" s="297">
        <f>IF(AND(B127="",C127=""),"",ROUND(M127*L127*N127,2))</f>
        <v/>
      </c>
      <c r="H127" s="297">
        <f>IF(AND(B127="",C127=""),"",ROUND(F127*G127,2))</f>
        <v/>
      </c>
      <c r="I127" s="135" t="n"/>
      <c r="J127" s="329">
        <f>IF(AND(B127="",C127=""),"",ROUND(M127*N127,2))</f>
        <v/>
      </c>
      <c r="K127" s="330">
        <f>IF(AND(B127="",C127=""),"",ROUND(J127*F127,2))</f>
        <v/>
      </c>
      <c r="L127" s="126" t="n">
        <v>1</v>
      </c>
      <c r="M127" s="331" t="n">
        <v>161.66</v>
      </c>
      <c r="N127" s="128" t="n">
        <v>0</v>
      </c>
      <c r="O127" s="129">
        <f t="array" ref="O127">IF(AND(B127="",C127=""),"",IF(G127&gt;=20000,0.05,IF(G127&gt;=10000,0.1,IF(G127&gt;=5000,0.2,IF(G127&gt;=1000,0.3,IF(G127&gt;=0,0.4,{0}))))))</f>
        <v/>
      </c>
      <c r="P127" s="332">
        <f>IF(AND(B127="",C127=""),"",ROUND(H127*O127,2))</f>
        <v/>
      </c>
      <c r="Q127" s="327" t="inlineStr">
        <is>
          <t>元件</t>
        </is>
      </c>
      <c r="R127" s="150" t="n"/>
      <c r="S127" s="150" t="n"/>
      <c r="T127" s="150" t="inlineStr">
        <is>
          <t>0</t>
        </is>
      </c>
      <c r="U127" s="150" t="inlineStr">
        <is>
          <t>LRD05C+LAD7B106C</t>
        </is>
      </c>
      <c r="V127" s="328" t="n"/>
      <c r="W127" s="328" t="n"/>
      <c r="X127" s="152" t="n"/>
    </row>
    <row r="128" customFormat="1" s="145">
      <c r="A128" s="36">
        <f>ROW()-ROW(A$117)</f>
        <v/>
      </c>
      <c r="B128" s="29" t="inlineStr">
        <is>
          <t>测量电流互感器</t>
        </is>
      </c>
      <c r="C128" s="29" t="inlineStr">
        <is>
          <t>SD-0.66-M8 100/5A</t>
        </is>
      </c>
      <c r="D128" s="29" t="inlineStr">
        <is>
          <t>杭州桑迪</t>
        </is>
      </c>
      <c r="E128" s="30" t="inlineStr">
        <is>
          <t>只</t>
        </is>
      </c>
      <c r="F128" s="30" t="n">
        <v>21</v>
      </c>
      <c r="G128" s="297">
        <f>IF(AND(B128="",C128=""),"",ROUND(M128*L128*N128,2))</f>
        <v/>
      </c>
      <c r="H128" s="297">
        <f>IF(AND(B128="",C128=""),"",ROUND(F128*G128,2))</f>
        <v/>
      </c>
      <c r="I128" s="135" t="n"/>
      <c r="J128" s="329">
        <f>IF(AND(B128="",C128=""),"",ROUND(M128*N128,2))</f>
        <v/>
      </c>
      <c r="K128" s="330">
        <f>IF(AND(B128="",C128=""),"",ROUND(J128*F128,2))</f>
        <v/>
      </c>
      <c r="L128" s="126" t="n">
        <v>1</v>
      </c>
      <c r="M128" s="331" t="n">
        <v>61.75</v>
      </c>
      <c r="N128" s="128" t="n">
        <v>1</v>
      </c>
      <c r="O128" s="129">
        <f t="array" ref="O128">IF(AND(B128="",C128=""),"",IF(G128&gt;=20000,0.05,IF(G128&gt;=10000,0.1,IF(G128&gt;=5000,0.2,IF(G128&gt;=1000,0.3,IF(G128&gt;=0,0.4,{0}))))))</f>
        <v/>
      </c>
      <c r="P128" s="332">
        <f>IF(AND(B128="",C128=""),"",ROUND(H128*O128,2))</f>
        <v/>
      </c>
      <c r="Q128" s="327" t="inlineStr">
        <is>
          <t>元件</t>
        </is>
      </c>
      <c r="R128" s="150" t="n"/>
      <c r="S128" s="150" t="n"/>
      <c r="T128" s="150" t="inlineStr">
        <is>
          <t>0</t>
        </is>
      </c>
      <c r="U128" s="150" t="n"/>
      <c r="V128" s="328" t="n"/>
      <c r="W128" s="328" t="n"/>
      <c r="X128" s="152" t="n"/>
    </row>
    <row r="129" customFormat="1" s="145">
      <c r="A129" s="36">
        <f>ROW()-ROW(A$117)</f>
        <v/>
      </c>
      <c r="B129" s="29" t="inlineStr">
        <is>
          <t>测量电流互感器</t>
        </is>
      </c>
      <c r="C129" s="29" t="inlineStr">
        <is>
          <t>SD-0.66-30I 150/5A</t>
        </is>
      </c>
      <c r="D129" s="29" t="inlineStr">
        <is>
          <t>杭州桑迪</t>
        </is>
      </c>
      <c r="E129" s="30" t="inlineStr">
        <is>
          <t>只</t>
        </is>
      </c>
      <c r="F129" s="30" t="n">
        <v>3</v>
      </c>
      <c r="G129" s="297">
        <f>IF(AND(B129="",C129=""),"",ROUND(M129*L129*N129,2))</f>
        <v/>
      </c>
      <c r="H129" s="297">
        <f>IF(AND(B129="",C129=""),"",ROUND(F129*G129,2))</f>
        <v/>
      </c>
      <c r="I129" s="135" t="n"/>
      <c r="J129" s="329">
        <f>IF(AND(B129="",C129=""),"",ROUND(M129*N129,2))</f>
        <v/>
      </c>
      <c r="K129" s="330">
        <f>IF(AND(B129="",C129=""),"",ROUND(J129*F129,2))</f>
        <v/>
      </c>
      <c r="L129" s="126" t="n">
        <v>1</v>
      </c>
      <c r="M129" s="331" t="n">
        <v>29.25</v>
      </c>
      <c r="N129" s="128" t="n">
        <v>1</v>
      </c>
      <c r="O129" s="129">
        <f t="array" ref="O129">IF(AND(B129="",C129=""),"",IF(G129&gt;=20000,0.05,IF(G129&gt;=10000,0.1,IF(G129&gt;=5000,0.2,IF(G129&gt;=1000,0.3,IF(G129&gt;=0,0.4,{0}))))))</f>
        <v/>
      </c>
      <c r="P129" s="332">
        <f>IF(AND(B129="",C129=""),"",ROUND(H129*O129,2))</f>
        <v/>
      </c>
      <c r="Q129" s="327" t="inlineStr">
        <is>
          <t>元件</t>
        </is>
      </c>
      <c r="R129" s="150" t="n"/>
      <c r="S129" s="150" t="n"/>
      <c r="T129" s="150" t="inlineStr">
        <is>
          <t>0</t>
        </is>
      </c>
      <c r="U129" s="150" t="n"/>
      <c r="V129" s="328" t="n"/>
      <c r="W129" s="328" t="n"/>
      <c r="X129" s="152" t="n"/>
    </row>
    <row r="130" customFormat="1" s="145">
      <c r="A130" s="36">
        <f>ROW()-ROW(A$117)</f>
        <v/>
      </c>
      <c r="B130" s="29" t="inlineStr">
        <is>
          <t>测量电流互感器</t>
        </is>
      </c>
      <c r="C130" s="29" t="inlineStr">
        <is>
          <t>SD-0.66-30I 250/5A</t>
        </is>
      </c>
      <c r="D130" s="29" t="inlineStr">
        <is>
          <t>杭州桑迪</t>
        </is>
      </c>
      <c r="E130" s="30" t="inlineStr">
        <is>
          <t>只</t>
        </is>
      </c>
      <c r="F130" s="30" t="n">
        <v>6</v>
      </c>
      <c r="G130" s="297">
        <f>IF(AND(B130="",C130=""),"",ROUND(M130*L130*N130,2))</f>
        <v/>
      </c>
      <c r="H130" s="297">
        <f>IF(AND(B130="",C130=""),"",ROUND(F130*G130,2))</f>
        <v/>
      </c>
      <c r="I130" s="135" t="n"/>
      <c r="J130" s="329">
        <f>IF(AND(B130="",C130=""),"",ROUND(M130*N130,2))</f>
        <v/>
      </c>
      <c r="K130" s="330">
        <f>IF(AND(B130="",C130=""),"",ROUND(J130*F130,2))</f>
        <v/>
      </c>
      <c r="L130" s="126" t="n">
        <v>1</v>
      </c>
      <c r="M130" s="331" t="n">
        <v>26.65</v>
      </c>
      <c r="N130" s="128" t="n">
        <v>1</v>
      </c>
      <c r="O130" s="129">
        <f t="array" ref="O130">IF(AND(B130="",C130=""),"",IF(G130&gt;=20000,0.05,IF(G130&gt;=10000,0.1,IF(G130&gt;=5000,0.2,IF(G130&gt;=1000,0.3,IF(G130&gt;=0,0.4,{0}))))))</f>
        <v/>
      </c>
      <c r="P130" s="332">
        <f>IF(AND(B130="",C130=""),"",ROUND(H130*O130,2))</f>
        <v/>
      </c>
      <c r="Q130" s="327" t="inlineStr">
        <is>
          <t>元件</t>
        </is>
      </c>
      <c r="R130" s="150" t="n"/>
      <c r="S130" s="150" t="n"/>
      <c r="T130" s="150" t="inlineStr">
        <is>
          <t>0</t>
        </is>
      </c>
      <c r="U130" s="150" t="n"/>
      <c r="V130" s="328" t="n"/>
      <c r="W130" s="328" t="n"/>
      <c r="X130" s="152" t="n"/>
    </row>
    <row r="131" customFormat="1" s="145">
      <c r="A131" s="36">
        <f>ROW()-ROW(A$117)</f>
        <v/>
      </c>
      <c r="B131" s="29" t="inlineStr">
        <is>
          <t>测量电流互感器</t>
        </is>
      </c>
      <c r="C131" s="29" t="inlineStr">
        <is>
          <t>SD-0.66-40II-C 400/5A</t>
        </is>
      </c>
      <c r="D131" s="29" t="inlineStr">
        <is>
          <t>杭州桑迪</t>
        </is>
      </c>
      <c r="E131" s="30" t="inlineStr">
        <is>
          <t>只</t>
        </is>
      </c>
      <c r="F131" s="30" t="n">
        <v>3</v>
      </c>
      <c r="G131" s="297">
        <f>IF(AND(B131="",C131=""),"",ROUND(M131*L131*N131,2))</f>
        <v/>
      </c>
      <c r="H131" s="297">
        <f>IF(AND(B131="",C131=""),"",ROUND(F131*G131,2))</f>
        <v/>
      </c>
      <c r="I131" s="135" t="n"/>
      <c r="J131" s="329">
        <f>IF(AND(B131="",C131=""),"",ROUND(M131*N131,2))</f>
        <v/>
      </c>
      <c r="K131" s="330">
        <f>IF(AND(B131="",C131=""),"",ROUND(J131*F131,2))</f>
        <v/>
      </c>
      <c r="L131" s="126" t="n">
        <v>1</v>
      </c>
      <c r="M131" s="331" t="n">
        <v>52</v>
      </c>
      <c r="N131" s="128" t="n">
        <v>1</v>
      </c>
      <c r="O131" s="129">
        <f t="array" ref="O131">IF(AND(B131="",C131=""),"",IF(G131&gt;=20000,0.05,IF(G131&gt;=10000,0.1,IF(G131&gt;=5000,0.2,IF(G131&gt;=1000,0.3,IF(G131&gt;=0,0.4,{0}))))))</f>
        <v/>
      </c>
      <c r="P131" s="332">
        <f>IF(AND(B131="",C131=""),"",ROUND(H131*O131,2))</f>
        <v/>
      </c>
      <c r="Q131" s="327" t="inlineStr">
        <is>
          <t>元件</t>
        </is>
      </c>
      <c r="R131" s="150" t="n"/>
      <c r="S131" s="150" t="n"/>
      <c r="T131" s="150" t="inlineStr">
        <is>
          <t>0</t>
        </is>
      </c>
      <c r="U131" s="150" t="n"/>
      <c r="V131" s="328" t="n"/>
      <c r="W131" s="328" t="n"/>
      <c r="X131" s="152" t="n"/>
    </row>
    <row r="132" customFormat="1" s="145">
      <c r="A132" s="36">
        <f>ROW()-ROW(A$117)</f>
        <v/>
      </c>
      <c r="B132" s="25" t="inlineStr">
        <is>
          <t>多功能表</t>
        </is>
      </c>
      <c r="C132" s="25" t="inlineStr">
        <is>
          <t>PM4101</t>
        </is>
      </c>
      <c r="D132" s="25" t="inlineStr">
        <is>
          <t>甲供/施耐德电气</t>
        </is>
      </c>
      <c r="E132" s="30" t="inlineStr">
        <is>
          <t>只</t>
        </is>
      </c>
      <c r="F132" s="26" t="n">
        <v>11</v>
      </c>
      <c r="G132" s="293">
        <f>IF(AND(B132="",C132=""),"",ROUND(M132*L132*N132,2))</f>
        <v/>
      </c>
      <c r="H132" s="293">
        <f>IF(AND(B132="",C132=""),"",ROUND(F132*G132,2))</f>
        <v/>
      </c>
      <c r="I132" s="91" t="n"/>
      <c r="J132" s="329">
        <f>IF(AND(B132="",C132=""),"",ROUND(M132*N132,2))</f>
        <v/>
      </c>
      <c r="K132" s="330">
        <f>IF(AND(B132="",C132=""),"",ROUND(J132*F132,2))</f>
        <v/>
      </c>
      <c r="L132" s="126" t="n">
        <v>1</v>
      </c>
      <c r="M132" s="331" t="n">
        <v>1e-07</v>
      </c>
      <c r="N132" s="128" t="n">
        <v>0</v>
      </c>
      <c r="O132" s="129">
        <f t="array" ref="O132">IF(AND(B132="",C132=""),"",IF(G132&gt;=20000,0.05,IF(G132&gt;=10000,0.1,IF(G132&gt;=5000,0.2,IF(G132&gt;=1000,0.3,IF(G132&gt;=0,0.4,{0}))))))</f>
        <v/>
      </c>
      <c r="P132" s="332">
        <f>IF(AND(B132="",C132=""),"",ROUND(H132*O132,2))</f>
        <v/>
      </c>
      <c r="Q132" s="327" t="inlineStr">
        <is>
          <t>元件</t>
        </is>
      </c>
      <c r="R132" s="150" t="n"/>
      <c r="S132" s="150" t="n"/>
      <c r="T132" s="150" t="inlineStr">
        <is>
          <t>0</t>
        </is>
      </c>
      <c r="U132" s="150" t="n"/>
      <c r="V132" s="328" t="n"/>
      <c r="W132" s="328" t="n"/>
      <c r="X132" s="152" t="n"/>
    </row>
    <row r="133" customFormat="1" s="145">
      <c r="A133" s="36">
        <f>ROW()-ROW(A$117)</f>
        <v/>
      </c>
      <c r="B133" s="29" t="inlineStr">
        <is>
          <t>指示灯</t>
        </is>
      </c>
      <c r="C133" s="29" t="inlineStr">
        <is>
          <t>XA2EVM3LC</t>
        </is>
      </c>
      <c r="D133" s="29" t="inlineStr">
        <is>
          <t>施耐德电气</t>
        </is>
      </c>
      <c r="E133" s="30" t="inlineStr">
        <is>
          <t>只</t>
        </is>
      </c>
      <c r="F133" s="30" t="n">
        <v>11</v>
      </c>
      <c r="G133" s="297">
        <f>IF(AND(B133="",C133=""),"",ROUND(M133*L133*N133,2))</f>
        <v/>
      </c>
      <c r="H133" s="297">
        <f>IF(AND(B133="",C133=""),"",ROUND(F133*G133,2))</f>
        <v/>
      </c>
      <c r="I133" s="136" t="n"/>
      <c r="J133" s="329">
        <f>IF(AND(B133="",C133=""),"",ROUND(M133*N133,2))</f>
        <v/>
      </c>
      <c r="K133" s="330">
        <f>IF(AND(B133="",C133=""),"",ROUND(J133*F133,2))</f>
        <v/>
      </c>
      <c r="L133" s="126" t="n">
        <v>1</v>
      </c>
      <c r="M133" s="331" t="n">
        <v>16.43</v>
      </c>
      <c r="N133" s="137" t="n">
        <v>0.5</v>
      </c>
      <c r="O133" s="138">
        <f t="array" ref="O133">IF(AND(B133="",C133=""),"",IF(G133&gt;=20000,0.05,IF(G133&gt;=10000,0.1,IF(G133&gt;=5000,0.2,IF(G133&gt;=1000,0.3,IF(G133&gt;=0,0.4,{0}))))))</f>
        <v/>
      </c>
      <c r="P133" s="333">
        <f>IF(AND(B133="",C133=""),"",ROUND(H133*O133,2))</f>
        <v/>
      </c>
      <c r="Q133" s="334" t="inlineStr">
        <is>
          <t>元件</t>
        </is>
      </c>
      <c r="R133" s="154" t="n"/>
      <c r="S133" s="154" t="n"/>
      <c r="T133" s="154" t="inlineStr">
        <is>
          <t>0</t>
        </is>
      </c>
      <c r="U133" s="154" t="inlineStr">
        <is>
          <t>XA2EVM3LC</t>
        </is>
      </c>
      <c r="V133" s="335" t="n"/>
      <c r="W133" s="335" t="n"/>
      <c r="X133" s="152" t="n"/>
    </row>
    <row r="134" customFormat="1" s="145">
      <c r="A134" s="36">
        <f>ROW()-ROW(A$117)</f>
        <v/>
      </c>
      <c r="B134" s="29" t="inlineStr">
        <is>
          <t>指示灯</t>
        </is>
      </c>
      <c r="C134" s="25" t="inlineStr">
        <is>
          <t>XA2EVM4LC</t>
        </is>
      </c>
      <c r="D134" s="29" t="inlineStr">
        <is>
          <t>施耐德电气</t>
        </is>
      </c>
      <c r="E134" s="30" t="inlineStr">
        <is>
          <t>只</t>
        </is>
      </c>
      <c r="F134" s="30" t="n">
        <v>11</v>
      </c>
      <c r="G134" s="297">
        <f>IF(AND(B134="",C134=""),"",ROUND(M134*L134*N134,2))</f>
        <v/>
      </c>
      <c r="H134" s="297">
        <f>IF(AND(B134="",C134=""),"",ROUND(F134*G134,2))</f>
        <v/>
      </c>
      <c r="I134" s="136" t="n"/>
      <c r="J134" s="329">
        <f>IF(AND(B134="",C134=""),"",ROUND(M134*N134,2))</f>
        <v/>
      </c>
      <c r="K134" s="330">
        <f>IF(AND(B134="",C134=""),"",ROUND(J134*F134,2))</f>
        <v/>
      </c>
      <c r="L134" s="126" t="n">
        <v>1</v>
      </c>
      <c r="M134" s="331" t="n">
        <v>16.43</v>
      </c>
      <c r="N134" s="137" t="n">
        <v>0.5</v>
      </c>
      <c r="O134" s="138">
        <f t="array" ref="O134">IF(AND(B134="",C134=""),"",IF(G134&gt;=20000,0.05,IF(G134&gt;=10000,0.1,IF(G134&gt;=5000,0.2,IF(G134&gt;=1000,0.3,IF(G134&gt;=0,0.4,{0}))))))</f>
        <v/>
      </c>
      <c r="P134" s="333">
        <f>IF(AND(B134="",C134=""),"",ROUND(H134*O134,2))</f>
        <v/>
      </c>
      <c r="Q134" s="334" t="inlineStr">
        <is>
          <t>元件</t>
        </is>
      </c>
      <c r="R134" s="154" t="n"/>
      <c r="S134" s="154" t="n"/>
      <c r="T134" s="154" t="inlineStr">
        <is>
          <t>0</t>
        </is>
      </c>
      <c r="U134" s="154" t="inlineStr">
        <is>
          <t>XA2EVM4LC</t>
        </is>
      </c>
      <c r="V134" s="335" t="n"/>
      <c r="W134" s="335" t="n"/>
      <c r="X134" s="152" t="n"/>
    </row>
    <row r="135" customFormat="1" s="145">
      <c r="A135" s="36">
        <f>ROW()-ROW(A$117)</f>
        <v/>
      </c>
      <c r="B135" s="25" t="inlineStr">
        <is>
          <t>中间继电器</t>
        </is>
      </c>
      <c r="C135" s="25" t="inlineStr">
        <is>
          <t>RXM4AB2P7+RXZE1M4C+RXZ410</t>
        </is>
      </c>
      <c r="D135" s="25" t="inlineStr">
        <is>
          <t>甲供/施耐德电气</t>
        </is>
      </c>
      <c r="E135" s="26" t="inlineStr">
        <is>
          <t>只</t>
        </is>
      </c>
      <c r="F135" s="26" t="n">
        <v>11</v>
      </c>
      <c r="G135" s="292">
        <f>IF(AND(B135="",C135=""),"",ROUND(M135*L135*N135,2))</f>
        <v/>
      </c>
      <c r="H135" s="297">
        <f>IF(AND(B135="",C135=""),"",ROUND(F135*G135,2))</f>
        <v/>
      </c>
      <c r="I135" s="135" t="n"/>
      <c r="J135" s="329">
        <f>IF(AND(B135="",C135=""),"",ROUND(M135*N135,2))</f>
        <v/>
      </c>
      <c r="K135" s="330">
        <f>IF(AND(B135="",C135=""),"",ROUND(J135*F135,2))</f>
        <v/>
      </c>
      <c r="L135" s="126" t="n">
        <v>1</v>
      </c>
      <c r="M135" s="331" t="n">
        <v>1e-07</v>
      </c>
      <c r="N135" s="128" t="n">
        <v>0</v>
      </c>
      <c r="O135" s="129">
        <f t="array" ref="O135">IF(AND(B135="",C135=""),"",IF(G135&gt;=20000,0.05,IF(G135&gt;=10000,0.1,IF(G135&gt;=5000,0.2,IF(G135&gt;=1000,0.3,IF(G135&gt;=0,0.4,{0}))))))</f>
        <v/>
      </c>
      <c r="P135" s="332">
        <f>IF(AND(B135="",C135=""),"",ROUND(H135*O135,2))</f>
        <v/>
      </c>
      <c r="Q135" s="327" t="inlineStr">
        <is>
          <t>元件</t>
        </is>
      </c>
      <c r="R135" s="150" t="n"/>
      <c r="S135" s="150" t="n"/>
      <c r="T135" s="150" t="inlineStr">
        <is>
          <t>0</t>
        </is>
      </c>
      <c r="U135" s="150" t="n"/>
      <c r="V135" s="328" t="n"/>
      <c r="W135" s="328" t="n"/>
      <c r="X135" s="152" t="n"/>
    </row>
    <row r="136" customFormat="1" s="145">
      <c r="A136" s="36">
        <f>ROW()-ROW(A$117)</f>
        <v/>
      </c>
      <c r="B136" s="29" t="inlineStr">
        <is>
          <t>熔断器</t>
        </is>
      </c>
      <c r="C136" s="29" t="inlineStr">
        <is>
          <t>UK5-HESI</t>
        </is>
      </c>
      <c r="D136" s="25" t="inlineStr">
        <is>
          <t>菲尼克斯</t>
        </is>
      </c>
      <c r="E136" s="26" t="inlineStr">
        <is>
          <t>只</t>
        </is>
      </c>
      <c r="F136" s="26" t="n">
        <v>44</v>
      </c>
      <c r="G136" s="293">
        <f>IF(AND(B136="",C136=""),"",ROUND(M136*L136*N136,2))</f>
        <v/>
      </c>
      <c r="H136" s="297">
        <f>IF(AND(B136="",C136=""),"",ROUND(F136*G136,2))</f>
        <v/>
      </c>
      <c r="I136" s="136" t="n"/>
      <c r="J136" s="329">
        <f>IF(AND(B136="",C136=""),"",ROUND(M136*N136,2))</f>
        <v/>
      </c>
      <c r="K136" s="330">
        <f>IF(AND(B136="",C136=""),"",ROUND(J136*F136,2))</f>
        <v/>
      </c>
      <c r="L136" s="126" t="n">
        <v>1</v>
      </c>
      <c r="M136" s="331" t="n">
        <v>7</v>
      </c>
      <c r="N136" s="128" t="n">
        <v>1</v>
      </c>
      <c r="O136" s="129">
        <f t="array" ref="O136">IF(AND(B136="",C136=""),"",IF(G136&gt;=20000,0.05,IF(G136&gt;=10000,0.1,IF(G136&gt;=5000,0.2,IF(G136&gt;=1000,0.3,IF(G136&gt;=0,0.4,{0}))))))</f>
        <v/>
      </c>
      <c r="P136" s="332">
        <f>IF(AND(B136="",C136=""),"",ROUND(H136*O136,2))</f>
        <v/>
      </c>
      <c r="Q136" s="327" t="inlineStr">
        <is>
          <t>元件</t>
        </is>
      </c>
      <c r="R136" s="150" t="n"/>
      <c r="S136" s="150" t="n"/>
      <c r="T136" s="150" t="inlineStr">
        <is>
          <t>0</t>
        </is>
      </c>
      <c r="U136" s="150" t="n"/>
      <c r="V136" s="328" t="n"/>
      <c r="W136" s="328" t="n"/>
      <c r="X136" s="152" t="n"/>
    </row>
    <row r="137" customFormat="1" s="145">
      <c r="A137" s="36">
        <f>ROW()-ROW(A$117)</f>
        <v/>
      </c>
      <c r="B137" s="29" t="inlineStr">
        <is>
          <t>SP元件</t>
        </is>
      </c>
      <c r="C137" s="25" t="inlineStr">
        <is>
          <t>智能网关 PAS700</t>
        </is>
      </c>
      <c r="D137" s="25" t="inlineStr">
        <is>
          <t>甲供/施耐德电气</t>
        </is>
      </c>
      <c r="E137" s="30" t="inlineStr">
        <is>
          <t>只</t>
        </is>
      </c>
      <c r="F137" s="30">
        <f>IF(AND(B137="",C137=""),"",1)</f>
        <v/>
      </c>
      <c r="G137" s="297">
        <f>IF(AND(B137="",C137=""),"",ROUND(M137*L137*N137,2))</f>
        <v/>
      </c>
      <c r="H137" s="297">
        <f>IF(AND(B137="",C137=""),"",ROUND(F137*G137,2))</f>
        <v/>
      </c>
      <c r="I137" s="135" t="n"/>
      <c r="J137" s="329">
        <f>IF(AND(B137="",C137=""),"",ROUND(M137*N137,2))</f>
        <v/>
      </c>
      <c r="K137" s="330">
        <f>IF(AND(B137="",C137=""),"",ROUND(J137*F137,2))</f>
        <v/>
      </c>
      <c r="L137" s="126" t="n">
        <v>1</v>
      </c>
      <c r="M137" s="331" t="n">
        <v>1e-07</v>
      </c>
      <c r="N137" s="128" t="n">
        <v>0</v>
      </c>
      <c r="O137" s="129">
        <f t="array" ref="O137">IF(AND(B137="",C137=""),"",IF(G137&gt;=20000,0.05,IF(G137&gt;=10000,0.1,IF(G137&gt;=5000,0.2,IF(G137&gt;=1000,0.3,IF(G137&gt;=0,0.4,{0}))))))</f>
        <v/>
      </c>
      <c r="P137" s="332">
        <f>IF(AND(B137="",C137=""),"",ROUND(H137*O137,2))</f>
        <v/>
      </c>
      <c r="Q137" s="327" t="inlineStr">
        <is>
          <t>元件</t>
        </is>
      </c>
      <c r="R137" s="150" t="n"/>
      <c r="S137" s="150" t="n"/>
      <c r="T137" s="150" t="inlineStr">
        <is>
          <t>0</t>
        </is>
      </c>
      <c r="U137" s="150" t="n"/>
      <c r="V137" s="328" t="n"/>
      <c r="W137" s="328" t="n"/>
      <c r="X137" s="152" t="n"/>
    </row>
    <row r="138" customFormat="1" s="145">
      <c r="A138" s="36">
        <f>ROW()-ROW(A$117)</f>
        <v/>
      </c>
      <c r="B138" s="25" t="inlineStr">
        <is>
          <t>水平排2500A</t>
        </is>
      </c>
      <c r="C138" s="25" t="inlineStr">
        <is>
          <t>TMY 3*(2*125*5)+1*125*5+2*50*5</t>
        </is>
      </c>
      <c r="D138" s="25" t="inlineStr">
        <is>
          <t>国产优质</t>
        </is>
      </c>
      <c r="E138" s="26" t="inlineStr">
        <is>
          <t>米</t>
        </is>
      </c>
      <c r="F138" s="30" t="n">
        <v>0.6</v>
      </c>
      <c r="G138" s="297">
        <f>IF(AND(B138="",C138=""),"",ROUND(M138*L138*N138,2))</f>
        <v/>
      </c>
      <c r="H138" s="297">
        <f>IF(AND(B138="",C138=""),"",ROUND(F138*G138,2))</f>
        <v/>
      </c>
      <c r="I138" s="135" t="n"/>
      <c r="J138" s="329">
        <f>IF(AND(B138="",C138=""),"",ROUND(M138*N138,2))</f>
        <v/>
      </c>
      <c r="K138" s="330">
        <f>IF(AND(B138="",C138=""),"",ROUND(J138*F138,2))</f>
        <v/>
      </c>
      <c r="L138" s="126" t="n">
        <v>1</v>
      </c>
      <c r="M138" s="331" t="n">
        <v>3633.9200625</v>
      </c>
      <c r="N138" s="128" t="n">
        <v>1</v>
      </c>
      <c r="O138" s="129">
        <f t="array" ref="O138">IF(AND(B138="",C138=""),"",IF(G138&gt;=20000,0.05,IF(G138&gt;=10000,0.1,IF(G138&gt;=5000,0.2,IF(G138&gt;=1000,0.3,IF(G138&gt;=0,0.4,{0}))))))</f>
        <v/>
      </c>
      <c r="P138" s="332">
        <f>IF(AND(B138="",C138=""),"",ROUND(H138*O138,2))</f>
        <v/>
      </c>
      <c r="Q138" s="327" t="inlineStr">
        <is>
          <t>母排</t>
        </is>
      </c>
      <c r="R138" s="150" t="n"/>
      <c r="S138" s="150" t="n"/>
      <c r="T138" s="150" t="inlineStr">
        <is>
          <t>0</t>
        </is>
      </c>
      <c r="U138" s="150" t="n"/>
      <c r="V138" s="328" t="n"/>
      <c r="W138" s="328" t="n"/>
      <c r="X138" s="152" t="n"/>
    </row>
    <row r="139" customFormat="1" s="145">
      <c r="A139" s="36">
        <f>ROW()-ROW(A$117)</f>
        <v/>
      </c>
      <c r="B139" s="25" t="inlineStr">
        <is>
          <t>垂直排</t>
        </is>
      </c>
      <c r="C139" s="25" t="inlineStr">
        <is>
          <t>TMY 60*10</t>
        </is>
      </c>
      <c r="D139" s="25" t="inlineStr">
        <is>
          <t>国产优质</t>
        </is>
      </c>
      <c r="E139" s="26" t="inlineStr">
        <is>
          <t>米</t>
        </is>
      </c>
      <c r="F139" s="30" t="n">
        <v>5.7</v>
      </c>
      <c r="G139" s="297">
        <f>IF(AND(B139="",C139=""),"",ROUND(M139*L139*N139,2))</f>
        <v/>
      </c>
      <c r="H139" s="297">
        <f>IF(AND(B139="",C139=""),"",ROUND(F139*G139,2))</f>
        <v/>
      </c>
      <c r="I139" s="135" t="n"/>
      <c r="J139" s="329">
        <f>IF(AND(B139="",C139=""),"",ROUND(M139*N139,2))</f>
        <v/>
      </c>
      <c r="K139" s="330">
        <f>IF(AND(B139="",C139=""),"",ROUND(J139*F139,2))</f>
        <v/>
      </c>
      <c r="L139" s="126" t="n">
        <v>1</v>
      </c>
      <c r="M139" s="331" t="n">
        <v>447.2517</v>
      </c>
      <c r="N139" s="128" t="n">
        <v>1</v>
      </c>
      <c r="O139" s="129">
        <f t="array" ref="O139">IF(AND(B139="",C139=""),"",IF(G139&gt;=20000,0.05,IF(G139&gt;=10000,0.1,IF(G139&gt;=5000,0.2,IF(G139&gt;=1000,0.3,IF(G139&gt;=0,0.4,{0}))))))</f>
        <v/>
      </c>
      <c r="P139" s="332">
        <f>IF(AND(B139="",C139=""),"",ROUND(H139*O139,2))</f>
        <v/>
      </c>
      <c r="Q139" s="327" t="inlineStr">
        <is>
          <t>母排</t>
        </is>
      </c>
      <c r="R139" s="150" t="n"/>
      <c r="S139" s="150" t="n"/>
      <c r="T139" s="150" t="inlineStr">
        <is>
          <t>0</t>
        </is>
      </c>
      <c r="U139" s="150" t="n"/>
      <c r="V139" s="328" t="n"/>
      <c r="W139" s="328" t="n"/>
      <c r="X139" s="152" t="n"/>
    </row>
    <row r="140" customFormat="1" s="145">
      <c r="A140" s="36">
        <f>ROW()-ROW(A$117)</f>
        <v/>
      </c>
      <c r="B140" s="25" t="inlineStr">
        <is>
          <t>连接排</t>
        </is>
      </c>
      <c r="C140" s="25" t="inlineStr">
        <is>
          <t>TMY 50*10</t>
        </is>
      </c>
      <c r="D140" s="25" t="inlineStr">
        <is>
          <t>国产优质</t>
        </is>
      </c>
      <c r="E140" s="26" t="inlineStr">
        <is>
          <t>米</t>
        </is>
      </c>
      <c r="F140" s="30" t="n">
        <v>3.1</v>
      </c>
      <c r="G140" s="297">
        <f>IF(AND(B140="",C140=""),"",ROUND(M140*L140*N140,2))</f>
        <v/>
      </c>
      <c r="H140" s="297">
        <f>IF(AND(B140="",C140=""),"",ROUND(F140*G140,2))</f>
        <v/>
      </c>
      <c r="I140" s="135" t="n"/>
      <c r="J140" s="329">
        <f>IF(AND(B140="",C140=""),"",ROUND(M140*N140,2))</f>
        <v/>
      </c>
      <c r="K140" s="330">
        <f>IF(AND(B140="",C140=""),"",ROUND(J140*F140,2))</f>
        <v/>
      </c>
      <c r="L140" s="126" t="n">
        <v>1</v>
      </c>
      <c r="M140" s="331" t="n">
        <v>372.70975</v>
      </c>
      <c r="N140" s="128" t="n">
        <v>1</v>
      </c>
      <c r="O140" s="129">
        <f t="array" ref="O140">IF(AND(B140="",C140=""),"",IF(G140&gt;=20000,0.05,IF(G140&gt;=10000,0.1,IF(G140&gt;=5000,0.2,IF(G140&gt;=1000,0.3,IF(G140&gt;=0,0.4,{0}))))))</f>
        <v/>
      </c>
      <c r="P140" s="332">
        <f>IF(AND(B140="",C140=""),"",ROUND(H140*O140,2))</f>
        <v/>
      </c>
      <c r="Q140" s="327" t="inlineStr">
        <is>
          <t>母排</t>
        </is>
      </c>
      <c r="R140" s="150" t="n"/>
      <c r="S140" s="150" t="n"/>
      <c r="T140" s="150" t="inlineStr">
        <is>
          <t>0</t>
        </is>
      </c>
      <c r="U140" s="150" t="n"/>
      <c r="V140" s="328" t="n"/>
      <c r="W140" s="328" t="n"/>
      <c r="X140" s="152" t="n"/>
    </row>
    <row r="141" customFormat="1" s="145">
      <c r="A141" s="36">
        <f>ROW()-ROW(A$117)</f>
        <v/>
      </c>
      <c r="B141" s="25" t="inlineStr">
        <is>
          <t>N排</t>
        </is>
      </c>
      <c r="C141" s="25" t="inlineStr">
        <is>
          <t>TMY 60*5</t>
        </is>
      </c>
      <c r="D141" s="25" t="inlineStr">
        <is>
          <t>国产优质</t>
        </is>
      </c>
      <c r="E141" s="26" t="inlineStr">
        <is>
          <t>米</t>
        </is>
      </c>
      <c r="F141" s="30" t="n">
        <v>2.8</v>
      </c>
      <c r="G141" s="297">
        <f>IF(AND(B141="",C141=""),"",ROUND(M141*L141*N141,2))</f>
        <v/>
      </c>
      <c r="H141" s="297">
        <f>IF(AND(B141="",C141=""),"",ROUND(F141*G141,2))</f>
        <v/>
      </c>
      <c r="I141" s="135" t="n"/>
      <c r="J141" s="329">
        <f>IF(AND(B141="",C141=""),"",ROUND(M141*N141,2))</f>
        <v/>
      </c>
      <c r="K141" s="330">
        <f>IF(AND(B141="",C141=""),"",ROUND(J141*F141,2))</f>
        <v/>
      </c>
      <c r="L141" s="126" t="n">
        <v>1</v>
      </c>
      <c r="M141" s="331" t="n">
        <v>223.62585</v>
      </c>
      <c r="N141" s="128" t="n">
        <v>1</v>
      </c>
      <c r="O141" s="129">
        <f t="array" ref="O141">IF(AND(B141="",C141=""),"",IF(G141&gt;=20000,0.05,IF(G141&gt;=10000,0.1,IF(G141&gt;=5000,0.2,IF(G141&gt;=1000,0.3,IF(G141&gt;=0,0.4,{0}))))))</f>
        <v/>
      </c>
      <c r="P141" s="332">
        <f>IF(AND(B141="",C141=""),"",ROUND(H141*O141,2))</f>
        <v/>
      </c>
      <c r="Q141" s="327" t="inlineStr">
        <is>
          <t>母排</t>
        </is>
      </c>
      <c r="R141" s="150" t="n"/>
      <c r="S141" s="150" t="n"/>
      <c r="T141" s="150" t="inlineStr">
        <is>
          <t>0</t>
        </is>
      </c>
      <c r="U141" s="150" t="n"/>
      <c r="V141" s="328" t="n"/>
      <c r="W141" s="328" t="n"/>
      <c r="X141" s="152" t="n"/>
    </row>
    <row r="142" customFormat="1" s="145">
      <c r="A142" s="36">
        <f>ROW()-ROW(A$117)</f>
        <v/>
      </c>
      <c r="B142" s="25" t="inlineStr">
        <is>
          <t>400A连接排</t>
        </is>
      </c>
      <c r="C142" s="25" t="inlineStr">
        <is>
          <t>TMY 30*8</t>
        </is>
      </c>
      <c r="D142" s="25" t="inlineStr">
        <is>
          <t>国产优质</t>
        </is>
      </c>
      <c r="E142" s="26" t="inlineStr">
        <is>
          <t>米</t>
        </is>
      </c>
      <c r="F142" s="30" t="n">
        <v>3.2</v>
      </c>
      <c r="G142" s="297">
        <f>IF(AND(B142="",C142=""),"",ROUND(M142*L142*N142,2))</f>
        <v/>
      </c>
      <c r="H142" s="297">
        <f>IF(AND(B142="",C142=""),"",ROUND(F142*G142,2))</f>
        <v/>
      </c>
      <c r="I142" s="135" t="n"/>
      <c r="J142" s="329">
        <f>IF(AND(B142="",C142=""),"",ROUND(M142*N142,2))</f>
        <v/>
      </c>
      <c r="K142" s="330">
        <f>IF(AND(B142="",C142=""),"",ROUND(J142*F142,2))</f>
        <v/>
      </c>
      <c r="L142" s="126" t="n">
        <v>1</v>
      </c>
      <c r="M142" s="331" t="n">
        <v>178.90068</v>
      </c>
      <c r="N142" s="128" t="n">
        <v>1</v>
      </c>
      <c r="O142" s="129">
        <f t="array" ref="O142">IF(AND(B142="",C142=""),"",IF(G142&gt;=20000,0.05,IF(G142&gt;=10000,0.1,IF(G142&gt;=5000,0.2,IF(G142&gt;=1000,0.3,IF(G142&gt;=0,0.4,{0}))))))</f>
        <v/>
      </c>
      <c r="P142" s="332">
        <f>IF(AND(B142="",C142=""),"",ROUND(H142*O142,2))</f>
        <v/>
      </c>
      <c r="Q142" s="327" t="inlineStr">
        <is>
          <t>母排</t>
        </is>
      </c>
      <c r="R142" s="150" t="n"/>
      <c r="S142" s="150" t="n"/>
      <c r="T142" s="150" t="inlineStr">
        <is>
          <t>0</t>
        </is>
      </c>
      <c r="U142" s="150" t="n"/>
      <c r="V142" s="328" t="n"/>
      <c r="W142" s="328" t="n"/>
      <c r="X142" s="152" t="n"/>
    </row>
    <row r="143" customFormat="1" s="145">
      <c r="A143" s="36">
        <f>ROW()-ROW(A$117)</f>
        <v/>
      </c>
      <c r="B143" s="25" t="inlineStr">
        <is>
          <t>导线及辅料</t>
        </is>
      </c>
      <c r="C143" s="25" t="n"/>
      <c r="D143" s="25" t="inlineStr">
        <is>
          <t>国产优质</t>
        </is>
      </c>
      <c r="E143" s="26" t="inlineStr">
        <is>
          <t>套</t>
        </is>
      </c>
      <c r="F143" s="26" t="n">
        <v>1</v>
      </c>
      <c r="G143" s="293">
        <f>IF(AND(B143="",C143=""),"",ROUND(M143*L143*N143,2))</f>
        <v/>
      </c>
      <c r="H143" s="293">
        <f>IF(AND(B143="",C143=""),"",ROUND(F143*G143,2))</f>
        <v/>
      </c>
      <c r="I143" s="164" t="n"/>
      <c r="J143" s="329">
        <f>IF(AND(B143="",C143=""),"",ROUND(M143*N143,2))</f>
        <v/>
      </c>
      <c r="K143" s="330">
        <f>IF(AND(B143="",C143=""),"",ROUND(J143*F143,2))</f>
        <v/>
      </c>
      <c r="L143" s="126" t="n">
        <v>1</v>
      </c>
      <c r="M143" s="331" t="n">
        <v>2503</v>
      </c>
      <c r="N143" s="137" t="n">
        <v>1</v>
      </c>
      <c r="O143" s="138">
        <f t="array" ref="O143">IF(AND(B143="",C143=""),"",IF(G143&gt;=20000,0.05,IF(G143&gt;=10000,0.1,IF(G143&gt;=5000,0.2,IF(G143&gt;=1000,0.3,IF(G143&gt;=0,0.4,{0}))))))</f>
        <v/>
      </c>
      <c r="P143" s="333">
        <f>IF(AND(B143="",C143=""),"",ROUND(H143*O143,2))</f>
        <v/>
      </c>
      <c r="Q143" s="334" t="inlineStr">
        <is>
          <t>辅料</t>
        </is>
      </c>
      <c r="R143" s="154" t="n"/>
      <c r="S143" s="154" t="n"/>
      <c r="T143" s="154" t="inlineStr">
        <is>
          <t>0</t>
        </is>
      </c>
      <c r="U143" s="154" t="n"/>
      <c r="V143" s="335" t="n"/>
      <c r="W143" s="335" t="n"/>
      <c r="X143" s="152" t="n"/>
    </row>
    <row r="144" customFormat="1" s="145">
      <c r="A144" s="36">
        <f>ROW()-ROW(A$117)</f>
        <v/>
      </c>
      <c r="B144" s="29" t="inlineStr">
        <is>
          <t>Blokset柜</t>
        </is>
      </c>
      <c r="C144" s="25" t="inlineStr">
        <is>
          <t>600W*1000D*2200H</t>
        </is>
      </c>
      <c r="D144" s="25" t="inlineStr">
        <is>
          <t>清科</t>
        </is>
      </c>
      <c r="E144" s="30" t="inlineStr">
        <is>
          <t>台</t>
        </is>
      </c>
      <c r="F144" s="30" t="n">
        <v>1</v>
      </c>
      <c r="G144" s="297">
        <f>IF(AND(B144="",C144=""),"",ROUND(M144*L144*N144,2))</f>
        <v/>
      </c>
      <c r="H144" s="297">
        <f>IF(AND(B144="",C144=""),"",ROUND(F144*G144,2))</f>
        <v/>
      </c>
      <c r="I144" s="135" t="n"/>
      <c r="J144" s="329">
        <f>IF(AND(B144="",C144=""),"",ROUND(M144*N144,2))</f>
        <v/>
      </c>
      <c r="K144" s="330">
        <f>IF(AND(B144="",C144=""),"",ROUND(J144*F144,2))</f>
        <v/>
      </c>
      <c r="L144" s="126" t="n">
        <v>1</v>
      </c>
      <c r="M144" s="331" t="n">
        <v>10680</v>
      </c>
      <c r="N144" s="137" t="n">
        <v>1</v>
      </c>
      <c r="O144" s="138">
        <f t="array" ref="O144">IF(AND(B144="",C144=""),"",IF(G144&gt;=20000,0.05,IF(G144&gt;=10000,0.1,IF(G144&gt;=5000,0.2,IF(G144&gt;=1000,0.3,IF(G144&gt;=0,0.4,{0}))))))</f>
        <v/>
      </c>
      <c r="P144" s="333">
        <f>IF(AND(B144="",C144=""),"",ROUND(H144*O144,2))</f>
        <v/>
      </c>
      <c r="Q144" s="334" t="inlineStr">
        <is>
          <t>箱体</t>
        </is>
      </c>
      <c r="R144" s="154" t="n"/>
      <c r="S144" s="154" t="n"/>
      <c r="T144" s="154" t="inlineStr">
        <is>
          <t>0</t>
        </is>
      </c>
      <c r="U144" s="154" t="n"/>
      <c r="V144" s="335" t="n"/>
      <c r="W144" s="335" t="n"/>
      <c r="X144" s="152" t="n"/>
    </row>
    <row r="145" customFormat="1" s="145">
      <c r="A145" s="36">
        <f>ROW()-ROW(A$117)</f>
        <v/>
      </c>
      <c r="B145" s="25" t="n"/>
      <c r="C145" s="25" t="n"/>
      <c r="D145" s="25" t="n"/>
      <c r="E145" s="26" t="n"/>
      <c r="F145" s="26">
        <f>IF(AND(B145="",C145=""),"",1)</f>
        <v/>
      </c>
      <c r="G145" s="293">
        <f>IF(AND(B145="",C145=""),"",ROUND(M145*L145*N145,2))</f>
        <v/>
      </c>
      <c r="H145" s="297">
        <f>IF(AND(B145="",C145=""),"",ROUND(F145*G145,2))</f>
        <v/>
      </c>
      <c r="I145" s="135" t="n"/>
      <c r="J145" s="329">
        <f>IF(AND(B145="",C145=""),"",ROUND(M145*N145,2))</f>
        <v/>
      </c>
      <c r="K145" s="330">
        <f>IF(AND(B145="",C145=""),"",ROUND(J145*F145,2))</f>
        <v/>
      </c>
      <c r="L145" s="126">
        <f>IF(AND(B145="",C145=""),"",1)</f>
        <v/>
      </c>
      <c r="M145" s="331" t="n"/>
      <c r="N145" s="128">
        <f>IF(AND(B145="",C145=""),"",1)</f>
        <v/>
      </c>
      <c r="O145" s="129">
        <f t="array" ref="O145">IF(AND(B145="",C145=""),"",IF(G145&gt;=20000,0.05,IF(G145&gt;=10000,0.1,IF(G145&gt;=5000,0.2,IF(G145&gt;=1000,0.3,IF(G145&gt;=0,0.4,{0}))))))</f>
        <v/>
      </c>
      <c r="P145" s="332">
        <f>IF(AND(B145="",C145=""),"",ROUND(H145*O145,2))</f>
        <v/>
      </c>
      <c r="Q145" s="327">
        <f>IF(AND(B145="",C145=""),"","元件")</f>
        <v/>
      </c>
      <c r="R145" s="150" t="n"/>
      <c r="S145" s="150" t="n"/>
      <c r="T145" s="150" t="n"/>
      <c r="U145" s="150" t="n"/>
      <c r="V145" s="328" t="n"/>
      <c r="W145" s="328" t="n"/>
      <c r="X145" s="152" t="n"/>
    </row>
    <row r="146" customFormat="1" s="145">
      <c r="A146" s="36">
        <f>ROW()-ROW(A$117)</f>
        <v/>
      </c>
      <c r="B146" s="25" t="n"/>
      <c r="C146" s="25" t="n"/>
      <c r="D146" s="25" t="n"/>
      <c r="E146" s="26" t="n"/>
      <c r="F146" s="26">
        <f>IF(AND(B146="",C146=""),"",1)</f>
        <v/>
      </c>
      <c r="G146" s="293">
        <f>IF(AND(B146="",C146=""),"",ROUND(M146*L146*N146,2))</f>
        <v/>
      </c>
      <c r="H146" s="297">
        <f>IF(AND(B146="",C146=""),"",ROUND(F146*G146,2))</f>
        <v/>
      </c>
      <c r="I146" s="135" t="n"/>
      <c r="J146" s="329">
        <f>IF(AND(B146="",C146=""),"",ROUND(M146*N146,2))</f>
        <v/>
      </c>
      <c r="K146" s="330">
        <f>IF(AND(B146="",C146=""),"",ROUND(J146*F146,2))</f>
        <v/>
      </c>
      <c r="L146" s="126">
        <f>IF(AND(B146="",C146=""),"",1)</f>
        <v/>
      </c>
      <c r="M146" s="331" t="n"/>
      <c r="N146" s="128">
        <f>IF(AND(B146="",C146=""),"",1)</f>
        <v/>
      </c>
      <c r="O146" s="129">
        <f t="array" ref="O146">IF(AND(B146="",C146=""),"",IF(G146&gt;=20000,0.05,IF(G146&gt;=10000,0.1,IF(G146&gt;=5000,0.2,IF(G146&gt;=1000,0.3,IF(G146&gt;=0,0.4,{0}))))))</f>
        <v/>
      </c>
      <c r="P146" s="332">
        <f>IF(AND(B146="",C146=""),"",ROUND(H146*O146,2))</f>
        <v/>
      </c>
      <c r="Q146" s="327">
        <f>IF(AND(B146="",C146=""),"","元件")</f>
        <v/>
      </c>
      <c r="R146" s="150" t="n"/>
      <c r="S146" s="150" t="n"/>
      <c r="T146" s="150" t="n"/>
      <c r="U146" s="150" t="n"/>
      <c r="V146" s="328" t="n"/>
      <c r="W146" s="328" t="n"/>
      <c r="X146" s="152" t="n"/>
    </row>
    <row r="147" customFormat="1" s="145">
      <c r="A147" s="36">
        <f>ROW()-ROW(A$117)</f>
        <v/>
      </c>
      <c r="B147" s="156" t="inlineStr">
        <is>
          <t>小计</t>
        </is>
      </c>
      <c r="C147" s="157" t="n"/>
      <c r="D147" s="54" t="n"/>
      <c r="E147" s="30" t="n"/>
      <c r="F147" s="30" t="n"/>
      <c r="G147" s="297" t="n"/>
      <c r="H147" s="297">
        <f>ROUND(SUM(H117:INDEX(H:H,ROW()-1)),2)</f>
        <v/>
      </c>
      <c r="I147" s="91" t="n"/>
      <c r="J147" s="329" t="n"/>
      <c r="K147" s="330">
        <f>ROUND(SUM(K117:INDEX(K:K,ROW()-1)),2)</f>
        <v/>
      </c>
      <c r="L147" s="126" t="n"/>
      <c r="M147" s="331" t="n"/>
      <c r="N147" s="128" t="n"/>
      <c r="O147" s="129" t="n"/>
      <c r="P147" s="332" t="n"/>
      <c r="Q147" s="327" t="n"/>
      <c r="R147" s="150" t="n"/>
      <c r="S147" s="150" t="n"/>
      <c r="T147" s="150" t="n"/>
      <c r="U147" s="150" t="n"/>
      <c r="V147" s="328">
        <f t="array" ref="V147">ROUND(SUMPRODUCT(F117:INDEX(F:F,ROW()-1),V117:INDEX(V:V,ROW()-1)),2)</f>
        <v/>
      </c>
      <c r="W147" s="328">
        <f t="array" ref="W147">ROUND(SUMPRODUCT(F117:INDEX(F:F,ROW()-1),W117:INDEX(W:W,ROW()-1)),2)</f>
        <v/>
      </c>
      <c r="X147" s="152" t="n"/>
    </row>
    <row r="148" customFormat="1" s="145">
      <c r="A148" s="36">
        <f>ROW()-ROW(A$117)</f>
        <v/>
      </c>
      <c r="B148" s="156" t="inlineStr">
        <is>
          <t>成套费</t>
        </is>
      </c>
      <c r="C148" s="157" t="n"/>
      <c r="D148" s="54" t="n"/>
      <c r="E148" s="30" t="n"/>
      <c r="F148" s="30" t="n"/>
      <c r="G148" s="297" t="n"/>
      <c r="H148" s="297" t="n">
        <v>944.76</v>
      </c>
      <c r="I148" s="91" t="n"/>
      <c r="J148" s="329" t="n"/>
      <c r="K148" s="330" t="n">
        <v>944.76</v>
      </c>
      <c r="L148" s="126" t="n"/>
      <c r="M148" s="331" t="n"/>
      <c r="N148" s="128" t="n"/>
      <c r="O148" s="129" t="n"/>
      <c r="P148" s="332" t="n"/>
      <c r="Q148" s="327" t="n"/>
      <c r="R148" s="150" t="n"/>
      <c r="S148" s="150" t="n"/>
      <c r="T148" s="150" t="n"/>
      <c r="U148" s="150" t="n"/>
      <c r="V148" s="328" t="n"/>
      <c r="W148" s="328" t="n"/>
      <c r="X148" s="152" t="n"/>
    </row>
    <row r="149" customFormat="1" s="145">
      <c r="A149" s="36">
        <f>ROW()-ROW(A$117)</f>
        <v/>
      </c>
      <c r="B149" s="156" t="n"/>
      <c r="C149" s="157" t="n"/>
      <c r="D149" s="54" t="n"/>
      <c r="E149" s="30" t="n"/>
      <c r="F149" s="30" t="n"/>
      <c r="G149" s="297" t="n"/>
      <c r="H149" s="297" t="n">
        <v>17.26</v>
      </c>
      <c r="I149" s="91" t="n"/>
      <c r="J149" s="329" t="n"/>
      <c r="K149" s="330" t="n"/>
      <c r="L149" s="126" t="n"/>
      <c r="M149" s="331" t="n"/>
      <c r="N149" s="128" t="n"/>
      <c r="O149" s="129" t="n"/>
      <c r="P149" s="332" t="n"/>
      <c r="Q149" s="327" t="n"/>
      <c r="R149" s="150" t="n"/>
      <c r="S149" s="150" t="n"/>
      <c r="T149" s="150" t="n"/>
      <c r="U149" s="150" t="n"/>
      <c r="V149" s="328" t="n"/>
      <c r="W149" s="328" t="n"/>
      <c r="X149" s="152" t="n"/>
    </row>
    <row r="150" customFormat="1" s="145">
      <c r="A150" s="36">
        <f>ROW()-ROW(A$117)</f>
        <v/>
      </c>
      <c r="B150" s="54" t="inlineStr">
        <is>
          <t>单台合计</t>
        </is>
      </c>
      <c r="C150" s="157" t="n"/>
      <c r="D150" s="54" t="n"/>
      <c r="E150" s="30" t="n"/>
      <c r="F150" s="30" t="n"/>
      <c r="G150" s="297" t="n"/>
      <c r="H150" s="297">
        <f>ROUND(SUM(H147:H148),2)</f>
        <v/>
      </c>
      <c r="I150" s="165" t="n"/>
      <c r="J150" s="329" t="n"/>
      <c r="K150" s="330">
        <f>ROUND(SUM(K147:K148),2)</f>
        <v/>
      </c>
      <c r="L150" s="166" t="n"/>
      <c r="M150" s="331" t="n"/>
      <c r="N150" s="167" t="n"/>
      <c r="O150" s="168" t="n"/>
      <c r="P150" s="332" t="n"/>
      <c r="Q150" s="327" t="n"/>
      <c r="R150" s="150" t="n"/>
      <c r="S150" s="150" t="n"/>
      <c r="T150" s="150" t="n"/>
      <c r="U150" s="150" t="n"/>
      <c r="V150" s="328" t="n"/>
      <c r="W150" s="328" t="n"/>
      <c r="X150" s="152" t="n"/>
    </row>
    <row r="151" customFormat="1" s="145">
      <c r="A151" s="158" t="inlineStr">
        <is>
          <t>总计</t>
        </is>
      </c>
      <c r="B151" s="159" t="n"/>
      <c r="C151" s="160" t="n"/>
      <c r="D151" s="161" t="n"/>
      <c r="E151" s="161" t="inlineStr">
        <is>
          <t>台</t>
        </is>
      </c>
      <c r="F151" s="161" t="n">
        <v>2</v>
      </c>
      <c r="G151" s="336">
        <f>ROUND(H150,2)</f>
        <v/>
      </c>
      <c r="H151" s="336">
        <f>ROUND(F151*G151,2)</f>
        <v/>
      </c>
      <c r="I151" s="169" t="n"/>
      <c r="J151" s="337" t="n"/>
      <c r="K151" s="338">
        <f>ROUND(K150*F151,2)</f>
        <v/>
      </c>
      <c r="L151" s="172" t="n"/>
      <c r="M151" s="339" t="n"/>
      <c r="N151" s="174" t="n"/>
      <c r="O151" s="175" t="n"/>
      <c r="P151" s="340" t="n"/>
      <c r="Q151" s="327" t="n"/>
      <c r="R151" s="150" t="n"/>
      <c r="S151" s="150" t="n"/>
      <c r="T151" s="150" t="n"/>
      <c r="U151" s="150" t="n"/>
      <c r="V151" s="328" t="n"/>
      <c r="W151" s="328" t="n"/>
      <c r="X151" s="152" t="n"/>
    </row>
    <row r="152" customFormat="1" s="146">
      <c r="A152" s="3" t="n"/>
      <c r="B152" s="117" t="n"/>
      <c r="C152" s="117" t="n"/>
      <c r="D152" s="117" t="n"/>
      <c r="E152" s="146" t="n"/>
      <c r="F152" s="146" t="n"/>
      <c r="G152" s="146" t="n"/>
      <c r="H152" s="146" t="n"/>
      <c r="Q152" s="144" t="n"/>
      <c r="R152" s="144" t="n"/>
      <c r="S152" s="144" t="n"/>
      <c r="T152" s="144" t="n"/>
      <c r="U152" s="144" t="n"/>
      <c r="X152" s="117" t="n"/>
    </row>
    <row r="153" customFormat="1" s="146">
      <c r="A153" s="3" t="n"/>
      <c r="B153" s="117" t="n"/>
      <c r="C153" s="117" t="n"/>
      <c r="D153" s="117" t="n"/>
      <c r="E153" s="146" t="n"/>
      <c r="F153" s="146" t="n"/>
      <c r="G153" s="146" t="n"/>
      <c r="H153" s="146" t="n"/>
      <c r="Q153" s="144" t="n"/>
      <c r="R153" s="144" t="n"/>
      <c r="S153" s="144" t="n"/>
      <c r="T153" s="144" t="n"/>
      <c r="U153" s="144" t="n"/>
      <c r="X153" s="117" t="n"/>
    </row>
    <row r="154" customFormat="1" s="145">
      <c r="A154" s="63">
        <f>CONCATENATE("报价人：",项目信息!$B$8)</f>
        <v/>
      </c>
      <c r="B154" s="63" t="n"/>
      <c r="C154" s="146" t="n"/>
      <c r="D154" s="146" t="n"/>
      <c r="E154" s="146" t="n"/>
      <c r="F154" s="146" t="n"/>
      <c r="G154" s="146" t="n"/>
      <c r="H154" s="163">
        <f>项目信息!$B$9</f>
        <v/>
      </c>
      <c r="Q154" s="144" t="n"/>
      <c r="R154" s="144" t="n"/>
      <c r="S154" s="144" t="n"/>
      <c r="T154" s="144" t="n"/>
      <c r="U154" s="144" t="n"/>
      <c r="X154" s="148" t="n"/>
    </row>
    <row r="155" customFormat="1" s="145">
      <c r="A155" s="5">
        <f>T(项目信息!$B$22)</f>
        <v/>
      </c>
      <c r="Q155" s="144" t="n"/>
      <c r="R155" s="144" t="n"/>
      <c r="S155" s="144" t="n"/>
      <c r="T155" s="144" t="n"/>
      <c r="U155" s="144" t="n"/>
      <c r="X155" s="145" t="n"/>
    </row>
    <row r="156" customFormat="1" s="145">
      <c r="A156" s="6">
        <f>T(项目信息!$B$23)</f>
        <v/>
      </c>
      <c r="Q156" s="144" t="n"/>
      <c r="R156" s="144" t="n"/>
      <c r="S156" s="144" t="n"/>
      <c r="T156" s="144" t="n"/>
      <c r="U156" s="144" t="n"/>
      <c r="X156" s="145" t="n"/>
    </row>
    <row r="157" customFormat="1" s="145">
      <c r="A157" s="68" t="inlineStr">
        <is>
          <t>成套产品报价明细表</t>
        </is>
      </c>
      <c r="B157" s="318" t="n"/>
      <c r="C157" s="318" t="n"/>
      <c r="D157" s="318" t="n"/>
      <c r="E157" s="318" t="n"/>
      <c r="F157" s="318" t="n"/>
      <c r="G157" s="318" t="n"/>
      <c r="H157" s="318" t="n"/>
      <c r="I157" s="318" t="n"/>
      <c r="Q157" s="144" t="n"/>
      <c r="R157" s="144" t="n"/>
      <c r="S157" s="144" t="n"/>
      <c r="T157" s="144" t="n"/>
      <c r="U157" s="144" t="n"/>
      <c r="X157" s="145" t="n"/>
    </row>
    <row r="158" customFormat="1" s="146">
      <c r="A158" s="69" t="inlineStr">
        <is>
          <t>柜号:</t>
        </is>
      </c>
      <c r="B158" s="70" t="inlineStr">
        <is>
          <t>1D5</t>
        </is>
      </c>
      <c r="C158" s="71" t="inlineStr">
        <is>
          <t>型号:</t>
        </is>
      </c>
      <c r="D158" s="70" t="inlineStr">
        <is>
          <t>Blokset</t>
        </is>
      </c>
      <c r="E158" s="319" t="n"/>
      <c r="F158" s="72" t="inlineStr">
        <is>
          <t>名称:</t>
        </is>
      </c>
      <c r="G158" s="70" t="inlineStr">
        <is>
          <t>出线柜</t>
        </is>
      </c>
      <c r="H158" s="319" t="n"/>
      <c r="I158" s="320" t="n"/>
      <c r="J158" s="116" t="inlineStr">
        <is>
          <t>箱柜尺寸:</t>
        </is>
      </c>
      <c r="K158" s="117" t="inlineStr">
        <is>
          <t>600W*1000D*2200H</t>
        </is>
      </c>
      <c r="L158" s="116" t="inlineStr">
        <is>
          <t>类别:</t>
        </is>
      </c>
      <c r="M158" s="117" t="n"/>
      <c r="N158" s="321" t="n"/>
      <c r="Q158" s="144" t="n"/>
      <c r="R158" s="144" t="n"/>
      <c r="S158" s="144" t="n"/>
      <c r="T158" s="144" t="n"/>
      <c r="U158" s="144" t="n"/>
      <c r="X158" s="146" t="n"/>
    </row>
    <row r="159" ht="20.1" customFormat="1" customHeight="1" s="145">
      <c r="A159" s="13" t="inlineStr">
        <is>
          <t>序号</t>
        </is>
      </c>
      <c r="B159" s="73" t="inlineStr">
        <is>
          <t>元件名称</t>
        </is>
      </c>
      <c r="C159" s="73" t="inlineStr">
        <is>
          <t>型号规格</t>
        </is>
      </c>
      <c r="D159" s="74" t="inlineStr">
        <is>
          <t>生产厂家</t>
        </is>
      </c>
      <c r="E159" s="15" t="inlineStr">
        <is>
          <t>单位</t>
        </is>
      </c>
      <c r="F159" s="15" t="inlineStr">
        <is>
          <t>数量</t>
        </is>
      </c>
      <c r="G159" s="287" t="inlineStr">
        <is>
          <t>单   价</t>
        </is>
      </c>
      <c r="H159" s="256" t="inlineStr">
        <is>
          <t>总   价</t>
        </is>
      </c>
      <c r="I159" s="119" t="inlineStr">
        <is>
          <t>备注</t>
        </is>
      </c>
      <c r="J159" s="322" t="inlineStr">
        <is>
          <t>成本单价</t>
        </is>
      </c>
      <c r="K159" s="322" t="inlineStr">
        <is>
          <t>成本总价</t>
        </is>
      </c>
      <c r="L159" s="121" t="inlineStr">
        <is>
          <t>报出
系数</t>
        </is>
      </c>
      <c r="M159" s="322" t="inlineStr">
        <is>
          <t>表价</t>
        </is>
      </c>
      <c r="N159" s="121" t="inlineStr">
        <is>
          <t>折扣
系数</t>
        </is>
      </c>
      <c r="O159" s="122" t="inlineStr">
        <is>
          <t>取费
系数</t>
        </is>
      </c>
      <c r="P159" s="322" t="inlineStr">
        <is>
          <t>成套费</t>
        </is>
      </c>
      <c r="Q159" s="147" t="inlineStr">
        <is>
          <t>类别</t>
        </is>
      </c>
      <c r="R159" s="147" t="inlineStr">
        <is>
          <t>物料编码</t>
        </is>
      </c>
      <c r="S159" s="147" t="inlineStr">
        <is>
          <t>产地</t>
        </is>
      </c>
      <c r="T159" s="147" t="inlineStr">
        <is>
          <t>加工费</t>
        </is>
      </c>
      <c r="U159" s="147" t="inlineStr">
        <is>
          <t>订货号</t>
        </is>
      </c>
      <c r="V159" s="147" t="inlineStr">
        <is>
          <t>人工</t>
        </is>
      </c>
      <c r="W159" s="147" t="inlineStr">
        <is>
          <t>辅料</t>
        </is>
      </c>
      <c r="X159" s="148" t="n"/>
    </row>
    <row r="160" customFormat="1" s="145">
      <c r="A160" s="75">
        <f>ROW()-ROW(A$159)</f>
        <v/>
      </c>
      <c r="B160" s="20" t="inlineStr">
        <is>
          <t>交流塑壳断路器</t>
        </is>
      </c>
      <c r="C160" s="20" t="inlineStr">
        <is>
          <t>NSX100N TMD 100 3P3D F</t>
        </is>
      </c>
      <c r="D160" s="20" t="inlineStr">
        <is>
          <t>甲供/施耐德电气</t>
        </is>
      </c>
      <c r="E160" s="21" t="inlineStr">
        <is>
          <t>只</t>
        </is>
      </c>
      <c r="F160" s="21" t="n">
        <v>2</v>
      </c>
      <c r="G160" s="289">
        <f>IF(AND(B160="",C160=""),"",ROUND(M160*L160*N160,2))</f>
        <v/>
      </c>
      <c r="H160" s="289">
        <f>IF(AND(B160="",C160=""),"",ROUND(F160*G160,2))</f>
        <v/>
      </c>
      <c r="I160" s="123" t="n"/>
      <c r="J160" s="323">
        <f>IF(AND(B160="",C160=""),"",ROUND(M160*N160,2))</f>
        <v/>
      </c>
      <c r="K160" s="324">
        <f>IF(AND(B160="",C160=""),"",ROUND(J160*F160,2))</f>
        <v/>
      </c>
      <c r="L160" s="126" t="n">
        <v>1</v>
      </c>
      <c r="M160" s="325" t="n">
        <v>1024.28</v>
      </c>
      <c r="N160" s="128" t="n">
        <v>0</v>
      </c>
      <c r="O160" s="129">
        <f t="array" ref="O160">IF(AND(B160="",C160=""),"",IF(G160&gt;=20000,0.05,IF(G160&gt;=10000,0.1,IF(G160&gt;=5000,0.2,IF(G160&gt;=1000,0.3,IF(G160&gt;=0,0.4,{0}))))))</f>
        <v/>
      </c>
      <c r="P160" s="326">
        <f>IF(AND(B160="",C160=""),"",ROUND(H160*O160,2))</f>
        <v/>
      </c>
      <c r="Q160" s="327" t="inlineStr">
        <is>
          <t>元件</t>
        </is>
      </c>
      <c r="R160" s="150" t="n"/>
      <c r="S160" s="150" t="n"/>
      <c r="T160" s="150" t="inlineStr">
        <is>
          <t>0</t>
        </is>
      </c>
      <c r="U160" s="150" t="inlineStr">
        <is>
          <t>C10N3TM100</t>
        </is>
      </c>
      <c r="V160" s="328" t="n"/>
      <c r="W160" s="328" t="n"/>
      <c r="X160" s="152" t="n"/>
    </row>
    <row r="161" customFormat="1" s="145">
      <c r="A161" s="36">
        <f>ROW()-ROW(A$159)</f>
        <v/>
      </c>
      <c r="B161" s="29" t="inlineStr">
        <is>
          <t>交流塑壳断路器</t>
        </is>
      </c>
      <c r="C161" s="25" t="inlineStr">
        <is>
          <t>NSX250N TMD 250 3P3D F</t>
        </is>
      </c>
      <c r="D161" s="29" t="inlineStr">
        <is>
          <t>甲供/施耐德电气</t>
        </is>
      </c>
      <c r="E161" s="30" t="inlineStr">
        <is>
          <t>只</t>
        </is>
      </c>
      <c r="F161" s="26" t="n">
        <v>1</v>
      </c>
      <c r="G161" s="297">
        <f>IF(AND(B161="",C161=""),"",ROUND(M161*L161*N161,2))</f>
        <v/>
      </c>
      <c r="H161" s="293">
        <f>IF(AND(B161="",C161=""),"",ROUND(F161*G161,2))</f>
        <v/>
      </c>
      <c r="I161" s="91" t="n"/>
      <c r="J161" s="329">
        <f>IF(AND(B161="",C161=""),"",ROUND(M161*N161,2))</f>
        <v/>
      </c>
      <c r="K161" s="330">
        <f>IF(AND(B161="",C161=""),"",ROUND(J161*F161,2))</f>
        <v/>
      </c>
      <c r="L161" s="126" t="n">
        <v>1</v>
      </c>
      <c r="M161" s="331" t="n">
        <v>2315.28</v>
      </c>
      <c r="N161" s="128" t="n">
        <v>0</v>
      </c>
      <c r="O161" s="129">
        <f t="array" ref="O161">IF(AND(B161="",C161=""),"",IF(G161&gt;=20000,0.05,IF(G161&gt;=10000,0.1,IF(G161&gt;=5000,0.2,IF(G161&gt;=1000,0.3,IF(G161&gt;=0,0.4,{0}))))))</f>
        <v/>
      </c>
      <c r="P161" s="332">
        <f>IF(AND(B161="",C161=""),"",ROUND(H161*O161,2))</f>
        <v/>
      </c>
      <c r="Q161" s="327" t="inlineStr">
        <is>
          <t>元件</t>
        </is>
      </c>
      <c r="R161" s="150" t="n"/>
      <c r="S161" s="150" t="n"/>
      <c r="T161" s="150" t="inlineStr">
        <is>
          <t>0</t>
        </is>
      </c>
      <c r="U161" s="150" t="inlineStr">
        <is>
          <t>C25N3TM250</t>
        </is>
      </c>
      <c r="V161" s="328" t="n"/>
      <c r="W161" s="328" t="n"/>
      <c r="X161" s="152" t="n"/>
    </row>
    <row r="162" customFormat="1" s="145">
      <c r="A162" s="36">
        <f>ROW()-ROW(A$159)</f>
        <v/>
      </c>
      <c r="B162" s="29" t="inlineStr">
        <is>
          <t>交流塑壳断路器</t>
        </is>
      </c>
      <c r="C162" s="25" t="inlineStr">
        <is>
          <t>NSX400N MIC 2.3 400 3P F</t>
        </is>
      </c>
      <c r="D162" s="29" t="inlineStr">
        <is>
          <t>甲供/施耐德电气</t>
        </is>
      </c>
      <c r="E162" s="30" t="inlineStr">
        <is>
          <t>只</t>
        </is>
      </c>
      <c r="F162" s="26" t="n">
        <v>3</v>
      </c>
      <c r="G162" s="293">
        <f>IF(AND(B162="",C162=""),"",ROUND(M162*L162*N162,2))</f>
        <v/>
      </c>
      <c r="H162" s="293">
        <f>IF(AND(B162="",C162=""),"",ROUND(F162*G162,2))</f>
        <v/>
      </c>
      <c r="I162" s="91" t="n"/>
      <c r="J162" s="329">
        <f>IF(AND(B162="",C162=""),"",ROUND(M162*N162,2))</f>
        <v/>
      </c>
      <c r="K162" s="330">
        <f>IF(AND(B162="",C162=""),"",ROUND(J162*F162,2))</f>
        <v/>
      </c>
      <c r="L162" s="126" t="n">
        <v>1</v>
      </c>
      <c r="M162" s="331" t="n">
        <v>3474.03</v>
      </c>
      <c r="N162" s="128" t="n">
        <v>0</v>
      </c>
      <c r="O162" s="129">
        <f t="array" ref="O162">IF(AND(B162="",C162=""),"",IF(G162&gt;=20000,0.05,IF(G162&gt;=10000,0.1,IF(G162&gt;=5000,0.2,IF(G162&gt;=1000,0.3,IF(G162&gt;=0,0.4,{0}))))))</f>
        <v/>
      </c>
      <c r="P162" s="332">
        <f>IF(AND(B162="",C162=""),"",ROUND(H162*O162,2))</f>
        <v/>
      </c>
      <c r="Q162" s="327" t="inlineStr">
        <is>
          <t>元件</t>
        </is>
      </c>
      <c r="R162" s="150" t="n"/>
      <c r="S162" s="150" t="n"/>
      <c r="T162" s="150" t="inlineStr">
        <is>
          <t>0</t>
        </is>
      </c>
      <c r="U162" s="150" t="inlineStr">
        <is>
          <t>C40N32D400</t>
        </is>
      </c>
      <c r="V162" s="328" t="n"/>
      <c r="W162" s="328" t="n"/>
      <c r="X162" s="152" t="n"/>
    </row>
    <row r="163" customFormat="1" s="145">
      <c r="A163" s="36">
        <f>ROW()-ROW(A$159)</f>
        <v/>
      </c>
      <c r="B163" s="29" t="inlineStr">
        <is>
          <t>新外观延伸旋转手柄</t>
        </is>
      </c>
      <c r="C163" s="29" t="inlineStr">
        <is>
          <t>标准延伸旋转手柄/新外观延伸旋转手柄 100/160/250A</t>
        </is>
      </c>
      <c r="D163" s="29" t="inlineStr">
        <is>
          <t>甲供/施耐德电气</t>
        </is>
      </c>
      <c r="E163" s="30" t="inlineStr">
        <is>
          <t>只</t>
        </is>
      </c>
      <c r="F163" s="30" t="n">
        <v>3</v>
      </c>
      <c r="G163" s="297">
        <f>IF(AND(B163="",C163=""),"",ROUND(M163*L163*N163,2))</f>
        <v/>
      </c>
      <c r="H163" s="293">
        <f>IF(AND(B163="",C163=""),"",ROUND(F163*G163,2))</f>
        <v/>
      </c>
      <c r="I163" s="91" t="n"/>
      <c r="J163" s="329">
        <f>IF(AND(B163="",C163=""),"",ROUND(M163*N163,2))</f>
        <v/>
      </c>
      <c r="K163" s="330">
        <f>IF(AND(B163="",C163=""),"",ROUND(J163*F163,2))</f>
        <v/>
      </c>
      <c r="L163" s="126" t="n">
        <v>1</v>
      </c>
      <c r="M163" s="331" t="n">
        <v>189.75</v>
      </c>
      <c r="N163" s="128" t="n">
        <v>0</v>
      </c>
      <c r="O163" s="129">
        <f t="array" ref="O163">IF(AND(B163="",C163=""),"",IF(G163&gt;=20000,0.05,IF(G163&gt;=10000,0.1,IF(G163&gt;=5000,0.2,IF(G163&gt;=1000,0.3,IF(G163&gt;=0,0.4,{0}))))))</f>
        <v/>
      </c>
      <c r="P163" s="332">
        <f>IF(AND(B163="",C163=""),"",ROUND(H163*O163,2))</f>
        <v/>
      </c>
      <c r="Q163" s="327" t="inlineStr">
        <is>
          <t>元件</t>
        </is>
      </c>
      <c r="R163" s="150" t="n"/>
      <c r="S163" s="150" t="n"/>
      <c r="T163" s="150" t="inlineStr">
        <is>
          <t>0</t>
        </is>
      </c>
      <c r="U163" s="150" t="inlineStr">
        <is>
          <t>LV429338T</t>
        </is>
      </c>
      <c r="V163" s="328" t="n"/>
      <c r="W163" s="328" t="n"/>
      <c r="X163" s="152" t="n"/>
    </row>
    <row r="164" customFormat="1" s="145">
      <c r="A164" s="36">
        <f>ROW()-ROW(A$159)</f>
        <v/>
      </c>
      <c r="B164" s="29" t="inlineStr">
        <is>
          <t>新外观延伸旋转手柄</t>
        </is>
      </c>
      <c r="C164" s="29" t="inlineStr">
        <is>
          <t>标准延伸旋转手柄/新外观延伸旋转手柄 400/630A</t>
        </is>
      </c>
      <c r="D164" s="29" t="inlineStr">
        <is>
          <t>甲供/施耐德电气</t>
        </is>
      </c>
      <c r="E164" s="30" t="inlineStr">
        <is>
          <t>只</t>
        </is>
      </c>
      <c r="F164" s="30" t="n">
        <v>3</v>
      </c>
      <c r="G164" s="297">
        <f>IF(AND(B164="",C164=""),"",ROUND(M164*L164*N164,2))</f>
        <v/>
      </c>
      <c r="H164" s="297">
        <f>IF(AND(B164="",C164=""),"",ROUND(F164*G164,2))</f>
        <v/>
      </c>
      <c r="I164" s="135" t="n"/>
      <c r="J164" s="329">
        <f>IF(AND(B164="",C164=""),"",ROUND(M164*N164,2))</f>
        <v/>
      </c>
      <c r="K164" s="330">
        <f>IF(AND(B164="",C164=""),"",ROUND(J164*F164,2))</f>
        <v/>
      </c>
      <c r="L164" s="126" t="n">
        <v>1</v>
      </c>
      <c r="M164" s="331" t="n">
        <v>270.62</v>
      </c>
      <c r="N164" s="128" t="n">
        <v>0</v>
      </c>
      <c r="O164" s="129">
        <f t="array" ref="O164">IF(AND(B164="",C164=""),"",IF(G164&gt;=20000,0.05,IF(G164&gt;=10000,0.1,IF(G164&gt;=5000,0.2,IF(G164&gt;=1000,0.3,IF(G164&gt;=0,0.4,{0}))))))</f>
        <v/>
      </c>
      <c r="P164" s="332">
        <f>IF(AND(B164="",C164=""),"",ROUND(H164*O164,2))</f>
        <v/>
      </c>
      <c r="Q164" s="327" t="inlineStr">
        <is>
          <t>元件</t>
        </is>
      </c>
      <c r="R164" s="150" t="n"/>
      <c r="S164" s="150" t="n"/>
      <c r="T164" s="150" t="inlineStr">
        <is>
          <t>0</t>
        </is>
      </c>
      <c r="U164" s="150" t="inlineStr">
        <is>
          <t>LV432598T</t>
        </is>
      </c>
      <c r="V164" s="328" t="n"/>
      <c r="W164" s="328" t="n"/>
      <c r="X164" s="152" t="n"/>
    </row>
    <row r="165" customFormat="1" s="145">
      <c r="A165" s="36">
        <f>ROW()-ROW(A$159)</f>
        <v/>
      </c>
      <c r="B165" s="29" t="inlineStr">
        <is>
          <t>MX分励脱扣器</t>
        </is>
      </c>
      <c r="C165" s="29" t="inlineStr">
        <is>
          <t>MX分励AC220-240V/208-277V/100-630A</t>
        </is>
      </c>
      <c r="D165" s="29" t="inlineStr">
        <is>
          <t>甲供/施耐德电气</t>
        </is>
      </c>
      <c r="E165" s="30" t="inlineStr">
        <is>
          <t>只</t>
        </is>
      </c>
      <c r="F165" s="30" t="n">
        <v>6</v>
      </c>
      <c r="G165" s="297">
        <f>IF(AND(B165="",C165=""),"",ROUND(M165*L165*N165,2))</f>
        <v/>
      </c>
      <c r="H165" s="297">
        <f>IF(AND(B165="",C165=""),"",ROUND(F165*G165,2))</f>
        <v/>
      </c>
      <c r="I165" s="135" t="n"/>
      <c r="J165" s="329">
        <f>IF(AND(B165="",C165=""),"",ROUND(M165*N165,2))</f>
        <v/>
      </c>
      <c r="K165" s="330">
        <f>IF(AND(B165="",C165=""),"",ROUND(J165*F165,2))</f>
        <v/>
      </c>
      <c r="L165" s="126" t="n">
        <v>1</v>
      </c>
      <c r="M165" s="331" t="n">
        <v>314.03</v>
      </c>
      <c r="N165" s="128" t="n">
        <v>0</v>
      </c>
      <c r="O165" s="129">
        <f t="array" ref="O165">IF(AND(B165="",C165=""),"",IF(G165&gt;=20000,0.05,IF(G165&gt;=10000,0.1,IF(G165&gt;=5000,0.2,IF(G165&gt;=1000,0.3,IF(G165&gt;=0,0.4,{0}))))))</f>
        <v/>
      </c>
      <c r="P165" s="332">
        <f>IF(AND(B165="",C165=""),"",ROUND(H165*O165,2))</f>
        <v/>
      </c>
      <c r="Q165" s="327" t="inlineStr">
        <is>
          <t>元件</t>
        </is>
      </c>
      <c r="R165" s="150" t="n"/>
      <c r="S165" s="150" t="n"/>
      <c r="T165" s="150" t="inlineStr">
        <is>
          <t>0</t>
        </is>
      </c>
      <c r="U165" s="150" t="inlineStr">
        <is>
          <t>LV429387</t>
        </is>
      </c>
      <c r="V165" s="328" t="n"/>
      <c r="W165" s="328" t="n"/>
      <c r="X165" s="152" t="n"/>
    </row>
    <row r="166" customFormat="1" s="145">
      <c r="A166" s="36">
        <f>ROW()-ROW(A$159)</f>
        <v/>
      </c>
      <c r="B166" s="29" t="inlineStr">
        <is>
          <t>辅助触点OF</t>
        </is>
      </c>
      <c r="C166" s="25" t="inlineStr">
        <is>
          <t>OF</t>
        </is>
      </c>
      <c r="D166" s="29" t="inlineStr">
        <is>
          <t>甲供/施耐德电气</t>
        </is>
      </c>
      <c r="E166" s="30" t="inlineStr">
        <is>
          <t>只</t>
        </is>
      </c>
      <c r="F166" s="30" t="n">
        <v>12</v>
      </c>
      <c r="G166" s="297">
        <f>IF(AND(B166="",C166=""),"",ROUND(M166*L166*N166,2))</f>
        <v/>
      </c>
      <c r="H166" s="297">
        <f>IF(AND(B166="",C166=""),"",ROUND(F166*G166,2))</f>
        <v/>
      </c>
      <c r="I166" s="135" t="n"/>
      <c r="J166" s="329">
        <f>IF(AND(B166="",C166=""),"",ROUND(M166*N166,2))</f>
        <v/>
      </c>
      <c r="K166" s="330">
        <f>IF(AND(B166="",C166=""),"",ROUND(J166*F166,2))</f>
        <v/>
      </c>
      <c r="L166" s="126" t="n">
        <v>1</v>
      </c>
      <c r="M166" s="331" t="n">
        <v>174.01</v>
      </c>
      <c r="N166" s="128" t="n">
        <v>0</v>
      </c>
      <c r="O166" s="129">
        <f t="array" ref="O166">IF(AND(B166="",C166=""),"",IF(G166&gt;=20000,0.05,IF(G166&gt;=10000,0.1,IF(G166&gt;=5000,0.2,IF(G166&gt;=1000,0.3,IF(G166&gt;=0,0.4,{0}))))))</f>
        <v/>
      </c>
      <c r="P166" s="332">
        <f>IF(AND(B166="",C166=""),"",ROUND(H166*O166,2))</f>
        <v/>
      </c>
      <c r="Q166" s="327" t="inlineStr">
        <is>
          <t>元件</t>
        </is>
      </c>
      <c r="R166" s="150" t="n"/>
      <c r="S166" s="150" t="n"/>
      <c r="T166" s="150" t="inlineStr">
        <is>
          <t>0</t>
        </is>
      </c>
      <c r="U166" s="150" t="inlineStr">
        <is>
          <t>29450</t>
        </is>
      </c>
      <c r="V166" s="328" t="n"/>
      <c r="W166" s="328" t="n"/>
      <c r="X166" s="152" t="n"/>
    </row>
    <row r="167" customFormat="1" s="145">
      <c r="A167" s="36">
        <f>ROW()-ROW(A$159)</f>
        <v/>
      </c>
      <c r="B167" s="29" t="inlineStr">
        <is>
          <t>测量电流互感器</t>
        </is>
      </c>
      <c r="C167" s="29" t="inlineStr">
        <is>
          <t>SD-0.66-M8 100/5A</t>
        </is>
      </c>
      <c r="D167" s="29" t="inlineStr">
        <is>
          <t>杭州桑迪</t>
        </is>
      </c>
      <c r="E167" s="30" t="inlineStr">
        <is>
          <t>只</t>
        </is>
      </c>
      <c r="F167" s="30" t="n">
        <v>6</v>
      </c>
      <c r="G167" s="297">
        <f>IF(AND(B167="",C167=""),"",ROUND(M167*L167*N167,2))</f>
        <v/>
      </c>
      <c r="H167" s="297">
        <f>IF(AND(B167="",C167=""),"",ROUND(F167*G167,2))</f>
        <v/>
      </c>
      <c r="I167" s="135" t="n"/>
      <c r="J167" s="329">
        <f>IF(AND(B167="",C167=""),"",ROUND(M167*N167,2))</f>
        <v/>
      </c>
      <c r="K167" s="330">
        <f>IF(AND(B167="",C167=""),"",ROUND(J167*F167,2))</f>
        <v/>
      </c>
      <c r="L167" s="126" t="n">
        <v>1</v>
      </c>
      <c r="M167" s="331" t="n">
        <v>61.75</v>
      </c>
      <c r="N167" s="128" t="n">
        <v>1</v>
      </c>
      <c r="O167" s="129">
        <f t="array" ref="O167">IF(AND(B167="",C167=""),"",IF(G167&gt;=20000,0.05,IF(G167&gt;=10000,0.1,IF(G167&gt;=5000,0.2,IF(G167&gt;=1000,0.3,IF(G167&gt;=0,0.4,{0}))))))</f>
        <v/>
      </c>
      <c r="P167" s="332">
        <f>IF(AND(B167="",C167=""),"",ROUND(H167*O167,2))</f>
        <v/>
      </c>
      <c r="Q167" s="327" t="inlineStr">
        <is>
          <t>元件</t>
        </is>
      </c>
      <c r="R167" s="150" t="n"/>
      <c r="S167" s="150" t="n"/>
      <c r="T167" s="150" t="inlineStr">
        <is>
          <t>0</t>
        </is>
      </c>
      <c r="U167" s="150" t="n"/>
      <c r="V167" s="328" t="n"/>
      <c r="W167" s="328" t="n"/>
      <c r="X167" s="152" t="n"/>
    </row>
    <row r="168" customFormat="1" s="145">
      <c r="A168" s="36">
        <f>ROW()-ROW(A$159)</f>
        <v/>
      </c>
      <c r="B168" s="29" t="inlineStr">
        <is>
          <t>测量电流互感器</t>
        </is>
      </c>
      <c r="C168" s="29" t="inlineStr">
        <is>
          <t>SD-0.66-30I 250/5A</t>
        </is>
      </c>
      <c r="D168" s="29" t="inlineStr">
        <is>
          <t>杭州桑迪</t>
        </is>
      </c>
      <c r="E168" s="30" t="inlineStr">
        <is>
          <t>只</t>
        </is>
      </c>
      <c r="F168" s="30" t="n">
        <v>3</v>
      </c>
      <c r="G168" s="297">
        <f>IF(AND(B168="",C168=""),"",ROUND(M168*L168*N168,2))</f>
        <v/>
      </c>
      <c r="H168" s="297">
        <f>IF(AND(B168="",C168=""),"",ROUND(F168*G168,2))</f>
        <v/>
      </c>
      <c r="I168" s="135" t="n"/>
      <c r="J168" s="329">
        <f>IF(AND(B168="",C168=""),"",ROUND(M168*N168,2))</f>
        <v/>
      </c>
      <c r="K168" s="330">
        <f>IF(AND(B168="",C168=""),"",ROUND(J168*F168,2))</f>
        <v/>
      </c>
      <c r="L168" s="126" t="n">
        <v>1</v>
      </c>
      <c r="M168" s="331" t="n">
        <v>26.65</v>
      </c>
      <c r="N168" s="128" t="n">
        <v>1</v>
      </c>
      <c r="O168" s="129">
        <f t="array" ref="O168">IF(AND(B168="",C168=""),"",IF(G168&gt;=20000,0.05,IF(G168&gt;=10000,0.1,IF(G168&gt;=5000,0.2,IF(G168&gt;=1000,0.3,IF(G168&gt;=0,0.4,{0}))))))</f>
        <v/>
      </c>
      <c r="P168" s="332">
        <f>IF(AND(B168="",C168=""),"",ROUND(H168*O168,2))</f>
        <v/>
      </c>
      <c r="Q168" s="327" t="inlineStr">
        <is>
          <t>元件</t>
        </is>
      </c>
      <c r="R168" s="150" t="n"/>
      <c r="S168" s="150" t="n"/>
      <c r="T168" s="150" t="inlineStr">
        <is>
          <t>0</t>
        </is>
      </c>
      <c r="U168" s="150" t="n"/>
      <c r="V168" s="328" t="n"/>
      <c r="W168" s="328" t="n"/>
      <c r="X168" s="152" t="n"/>
    </row>
    <row r="169" customFormat="1" s="145">
      <c r="A169" s="36">
        <f>ROW()-ROW(A$159)</f>
        <v/>
      </c>
      <c r="B169" s="29" t="inlineStr">
        <is>
          <t>测量电流互感器</t>
        </is>
      </c>
      <c r="C169" s="29" t="inlineStr">
        <is>
          <t>SD-0.66-40II-C 400/5A</t>
        </is>
      </c>
      <c r="D169" s="29" t="inlineStr">
        <is>
          <t>杭州桑迪</t>
        </is>
      </c>
      <c r="E169" s="30" t="inlineStr">
        <is>
          <t>只</t>
        </is>
      </c>
      <c r="F169" s="30" t="n">
        <v>9</v>
      </c>
      <c r="G169" s="297">
        <f>IF(AND(B169="",C169=""),"",ROUND(M169*L169*N169,2))</f>
        <v/>
      </c>
      <c r="H169" s="297">
        <f>IF(AND(B169="",C169=""),"",ROUND(F169*G169,2))</f>
        <v/>
      </c>
      <c r="I169" s="135" t="n"/>
      <c r="J169" s="329">
        <f>IF(AND(B169="",C169=""),"",ROUND(M169*N169,2))</f>
        <v/>
      </c>
      <c r="K169" s="330">
        <f>IF(AND(B169="",C169=""),"",ROUND(J169*F169,2))</f>
        <v/>
      </c>
      <c r="L169" s="126" t="n">
        <v>1</v>
      </c>
      <c r="M169" s="331" t="n">
        <v>52</v>
      </c>
      <c r="N169" s="128" t="n">
        <v>1</v>
      </c>
      <c r="O169" s="129">
        <f t="array" ref="O169">IF(AND(B169="",C169=""),"",IF(G169&gt;=20000,0.05,IF(G169&gt;=10000,0.1,IF(G169&gt;=5000,0.2,IF(G169&gt;=1000,0.3,IF(G169&gt;=0,0.4,{0}))))))</f>
        <v/>
      </c>
      <c r="P169" s="332">
        <f>IF(AND(B169="",C169=""),"",ROUND(H169*O169,2))</f>
        <v/>
      </c>
      <c r="Q169" s="327" t="inlineStr">
        <is>
          <t>元件</t>
        </is>
      </c>
      <c r="R169" s="150" t="n"/>
      <c r="S169" s="150" t="n"/>
      <c r="T169" s="150" t="inlineStr">
        <is>
          <t>0</t>
        </is>
      </c>
      <c r="U169" s="150" t="n"/>
      <c r="V169" s="328" t="n"/>
      <c r="W169" s="328" t="n"/>
      <c r="X169" s="152" t="n"/>
    </row>
    <row r="170" customFormat="1" s="145">
      <c r="A170" s="36">
        <f>ROW()-ROW(A$159)</f>
        <v/>
      </c>
      <c r="B170" s="25" t="inlineStr">
        <is>
          <t>多功能表</t>
        </is>
      </c>
      <c r="C170" s="25" t="inlineStr">
        <is>
          <t>PM4101</t>
        </is>
      </c>
      <c r="D170" s="25" t="inlineStr">
        <is>
          <t>甲供/施耐德电气</t>
        </is>
      </c>
      <c r="E170" s="30" t="inlineStr">
        <is>
          <t>只</t>
        </is>
      </c>
      <c r="F170" s="26" t="n">
        <v>6</v>
      </c>
      <c r="G170" s="293">
        <f>IF(AND(B170="",C170=""),"",ROUND(M170*L170*N170,2))</f>
        <v/>
      </c>
      <c r="H170" s="293">
        <f>IF(AND(B170="",C170=""),"",ROUND(F170*G170,2))</f>
        <v/>
      </c>
      <c r="I170" s="91" t="n"/>
      <c r="J170" s="329">
        <f>IF(AND(B170="",C170=""),"",ROUND(M170*N170,2))</f>
        <v/>
      </c>
      <c r="K170" s="330">
        <f>IF(AND(B170="",C170=""),"",ROUND(J170*F170,2))</f>
        <v/>
      </c>
      <c r="L170" s="126" t="n">
        <v>1</v>
      </c>
      <c r="M170" s="331" t="n">
        <v>1e-07</v>
      </c>
      <c r="N170" s="128" t="n">
        <v>0</v>
      </c>
      <c r="O170" s="129">
        <f t="array" ref="O170">IF(AND(B170="",C170=""),"",IF(G170&gt;=20000,0.05,IF(G170&gt;=10000,0.1,IF(G170&gt;=5000,0.2,IF(G170&gt;=1000,0.3,IF(G170&gt;=0,0.4,{0}))))))</f>
        <v/>
      </c>
      <c r="P170" s="332">
        <f>IF(AND(B170="",C170=""),"",ROUND(H170*O170,2))</f>
        <v/>
      </c>
      <c r="Q170" s="327" t="inlineStr">
        <is>
          <t>元件</t>
        </is>
      </c>
      <c r="R170" s="150" t="n"/>
      <c r="S170" s="150" t="n"/>
      <c r="T170" s="150" t="inlineStr">
        <is>
          <t>0</t>
        </is>
      </c>
      <c r="U170" s="150" t="n"/>
      <c r="V170" s="328" t="n"/>
      <c r="W170" s="328" t="n"/>
      <c r="X170" s="152" t="n"/>
    </row>
    <row r="171" customFormat="1" s="145">
      <c r="A171" s="36">
        <f>ROW()-ROW(A$159)</f>
        <v/>
      </c>
      <c r="B171" s="29" t="inlineStr">
        <is>
          <t>指示灯</t>
        </is>
      </c>
      <c r="C171" s="29" t="inlineStr">
        <is>
          <t>XA2EVM3LC</t>
        </is>
      </c>
      <c r="D171" s="29" t="inlineStr">
        <is>
          <t>施耐德电气</t>
        </is>
      </c>
      <c r="E171" s="30" t="inlineStr">
        <is>
          <t>只</t>
        </is>
      </c>
      <c r="F171" s="30" t="n">
        <v>6</v>
      </c>
      <c r="G171" s="297">
        <f>IF(AND(B171="",C171=""),"",ROUND(M171*L171*N171,2))</f>
        <v/>
      </c>
      <c r="H171" s="297">
        <f>IF(AND(B171="",C171=""),"",ROUND(F171*G171,2))</f>
        <v/>
      </c>
      <c r="I171" s="136" t="n"/>
      <c r="J171" s="329">
        <f>IF(AND(B171="",C171=""),"",ROUND(M171*N171,2))</f>
        <v/>
      </c>
      <c r="K171" s="330">
        <f>IF(AND(B171="",C171=""),"",ROUND(J171*F171,2))</f>
        <v/>
      </c>
      <c r="L171" s="126" t="n">
        <v>1</v>
      </c>
      <c r="M171" s="331" t="n">
        <v>16.43</v>
      </c>
      <c r="N171" s="137" t="n">
        <v>0.5</v>
      </c>
      <c r="O171" s="138">
        <f t="array" ref="O171">IF(AND(B171="",C171=""),"",IF(G171&gt;=20000,0.05,IF(G171&gt;=10000,0.1,IF(G171&gt;=5000,0.2,IF(G171&gt;=1000,0.3,IF(G171&gt;=0,0.4,{0}))))))</f>
        <v/>
      </c>
      <c r="P171" s="333">
        <f>IF(AND(B171="",C171=""),"",ROUND(H171*O171,2))</f>
        <v/>
      </c>
      <c r="Q171" s="334" t="inlineStr">
        <is>
          <t>元件</t>
        </is>
      </c>
      <c r="R171" s="154" t="n"/>
      <c r="S171" s="154" t="n"/>
      <c r="T171" s="154" t="inlineStr">
        <is>
          <t>0</t>
        </is>
      </c>
      <c r="U171" s="154" t="inlineStr">
        <is>
          <t>XA2EVM3LC</t>
        </is>
      </c>
      <c r="V171" s="335" t="n"/>
      <c r="W171" s="335" t="n"/>
      <c r="X171" s="152" t="n"/>
    </row>
    <row r="172" customFormat="1" s="145">
      <c r="A172" s="36">
        <f>ROW()-ROW(A$159)</f>
        <v/>
      </c>
      <c r="B172" s="29" t="inlineStr">
        <is>
          <t>指示灯</t>
        </is>
      </c>
      <c r="C172" s="25" t="inlineStr">
        <is>
          <t>XA2EVM4LC</t>
        </is>
      </c>
      <c r="D172" s="29" t="inlineStr">
        <is>
          <t>施耐德电气</t>
        </is>
      </c>
      <c r="E172" s="30" t="inlineStr">
        <is>
          <t>只</t>
        </is>
      </c>
      <c r="F172" s="30" t="n">
        <v>6</v>
      </c>
      <c r="G172" s="297">
        <f>IF(AND(B172="",C172=""),"",ROUND(M172*L172*N172,2))</f>
        <v/>
      </c>
      <c r="H172" s="297">
        <f>IF(AND(B172="",C172=""),"",ROUND(F172*G172,2))</f>
        <v/>
      </c>
      <c r="I172" s="136" t="n"/>
      <c r="J172" s="329">
        <f>IF(AND(B172="",C172=""),"",ROUND(M172*N172,2))</f>
        <v/>
      </c>
      <c r="K172" s="330">
        <f>IF(AND(B172="",C172=""),"",ROUND(J172*F172,2))</f>
        <v/>
      </c>
      <c r="L172" s="126" t="n">
        <v>1</v>
      </c>
      <c r="M172" s="331" t="n">
        <v>16.43</v>
      </c>
      <c r="N172" s="137" t="n">
        <v>0.5</v>
      </c>
      <c r="O172" s="138">
        <f t="array" ref="O172">IF(AND(B172="",C172=""),"",IF(G172&gt;=20000,0.05,IF(G172&gt;=10000,0.1,IF(G172&gt;=5000,0.2,IF(G172&gt;=1000,0.3,IF(G172&gt;=0,0.4,{0}))))))</f>
        <v/>
      </c>
      <c r="P172" s="333">
        <f>IF(AND(B172="",C172=""),"",ROUND(H172*O172,2))</f>
        <v/>
      </c>
      <c r="Q172" s="334" t="inlineStr">
        <is>
          <t>元件</t>
        </is>
      </c>
      <c r="R172" s="154" t="n"/>
      <c r="S172" s="154" t="n"/>
      <c r="T172" s="154" t="inlineStr">
        <is>
          <t>0</t>
        </is>
      </c>
      <c r="U172" s="154" t="inlineStr">
        <is>
          <t>XA2EVM4LC</t>
        </is>
      </c>
      <c r="V172" s="335" t="n"/>
      <c r="W172" s="335" t="n"/>
      <c r="X172" s="152" t="n"/>
    </row>
    <row r="173" customFormat="1" s="145">
      <c r="A173" s="36">
        <f>ROW()-ROW(A$159)</f>
        <v/>
      </c>
      <c r="B173" s="25" t="inlineStr">
        <is>
          <t>中间继电器</t>
        </is>
      </c>
      <c r="C173" s="25" t="inlineStr">
        <is>
          <t>RXM4AB2P7+RXZE1M4C+RXZ410</t>
        </is>
      </c>
      <c r="D173" s="25" t="inlineStr">
        <is>
          <t>甲供/施耐德电气</t>
        </is>
      </c>
      <c r="E173" s="26" t="inlineStr">
        <is>
          <t>只</t>
        </is>
      </c>
      <c r="F173" s="26" t="n">
        <v>6</v>
      </c>
      <c r="G173" s="292">
        <f>IF(AND(B173="",C173=""),"",ROUND(M173*L173*N173,2))</f>
        <v/>
      </c>
      <c r="H173" s="297">
        <f>IF(AND(B173="",C173=""),"",ROUND(F173*G173,2))</f>
        <v/>
      </c>
      <c r="I173" s="135" t="n"/>
      <c r="J173" s="329">
        <f>IF(AND(B173="",C173=""),"",ROUND(M173*N173,2))</f>
        <v/>
      </c>
      <c r="K173" s="330">
        <f>IF(AND(B173="",C173=""),"",ROUND(J173*F173,2))</f>
        <v/>
      </c>
      <c r="L173" s="126" t="n">
        <v>1</v>
      </c>
      <c r="M173" s="331" t="n">
        <v>1e-07</v>
      </c>
      <c r="N173" s="128" t="n">
        <v>0</v>
      </c>
      <c r="O173" s="129">
        <f t="array" ref="O173">IF(AND(B173="",C173=""),"",IF(G173&gt;=20000,0.05,IF(G173&gt;=10000,0.1,IF(G173&gt;=5000,0.2,IF(G173&gt;=1000,0.3,IF(G173&gt;=0,0.4,{0}))))))</f>
        <v/>
      </c>
      <c r="P173" s="332">
        <f>IF(AND(B173="",C173=""),"",ROUND(H173*O173,2))</f>
        <v/>
      </c>
      <c r="Q173" s="327" t="inlineStr">
        <is>
          <t>元件</t>
        </is>
      </c>
      <c r="R173" s="150" t="n"/>
      <c r="S173" s="150" t="n"/>
      <c r="T173" s="150" t="inlineStr">
        <is>
          <t>0</t>
        </is>
      </c>
      <c r="U173" s="150" t="n"/>
      <c r="V173" s="328" t="n"/>
      <c r="W173" s="328" t="n"/>
      <c r="X173" s="152" t="n"/>
    </row>
    <row r="174" customFormat="1" s="145">
      <c r="A174" s="36">
        <f>ROW()-ROW(A$159)</f>
        <v/>
      </c>
      <c r="B174" s="29" t="inlineStr">
        <is>
          <t>熔断器</t>
        </is>
      </c>
      <c r="C174" s="29" t="inlineStr">
        <is>
          <t>UK5-HESI</t>
        </is>
      </c>
      <c r="D174" s="25" t="inlineStr">
        <is>
          <t>菲尼克斯</t>
        </is>
      </c>
      <c r="E174" s="26" t="inlineStr">
        <is>
          <t>只</t>
        </is>
      </c>
      <c r="F174" s="26" t="n">
        <v>24</v>
      </c>
      <c r="G174" s="293">
        <f>IF(AND(B174="",C174=""),"",ROUND(M174*L174*N174,2))</f>
        <v/>
      </c>
      <c r="H174" s="297">
        <f>IF(AND(B174="",C174=""),"",ROUND(F174*G174,2))</f>
        <v/>
      </c>
      <c r="I174" s="136" t="n"/>
      <c r="J174" s="329">
        <f>IF(AND(B174="",C174=""),"",ROUND(M174*N174,2))</f>
        <v/>
      </c>
      <c r="K174" s="330">
        <f>IF(AND(B174="",C174=""),"",ROUND(J174*F174,2))</f>
        <v/>
      </c>
      <c r="L174" s="126" t="n">
        <v>1</v>
      </c>
      <c r="M174" s="331" t="n">
        <v>7</v>
      </c>
      <c r="N174" s="128" t="n">
        <v>1</v>
      </c>
      <c r="O174" s="129">
        <f t="array" ref="O174">IF(AND(B174="",C174=""),"",IF(G174&gt;=20000,0.05,IF(G174&gt;=10000,0.1,IF(G174&gt;=5000,0.2,IF(G174&gt;=1000,0.3,IF(G174&gt;=0,0.4,{0}))))))</f>
        <v/>
      </c>
      <c r="P174" s="332">
        <f>IF(AND(B174="",C174=""),"",ROUND(H174*O174,2))</f>
        <v/>
      </c>
      <c r="Q174" s="327" t="inlineStr">
        <is>
          <t>元件</t>
        </is>
      </c>
      <c r="R174" s="150" t="n"/>
      <c r="S174" s="150" t="n"/>
      <c r="T174" s="150" t="inlineStr">
        <is>
          <t>0</t>
        </is>
      </c>
      <c r="U174" s="150" t="n"/>
      <c r="V174" s="328" t="n"/>
      <c r="W174" s="328" t="n"/>
      <c r="X174" s="152" t="n"/>
    </row>
    <row r="175" customFormat="1" s="145">
      <c r="A175" s="36">
        <f>ROW()-ROW(A$159)</f>
        <v/>
      </c>
      <c r="B175" s="29" t="inlineStr">
        <is>
          <t>SP元件</t>
        </is>
      </c>
      <c r="C175" s="25" t="inlineStr">
        <is>
          <t>智能网关 PAS700</t>
        </is>
      </c>
      <c r="D175" s="25" t="inlineStr">
        <is>
          <t>甲供/施耐德电气</t>
        </is>
      </c>
      <c r="E175" s="30" t="inlineStr">
        <is>
          <t>只</t>
        </is>
      </c>
      <c r="F175" s="30">
        <f>IF(AND(B175="",C175=""),"",1)</f>
        <v/>
      </c>
      <c r="G175" s="297">
        <f>IF(AND(B175="",C175=""),"",ROUND(M175*L175*N175,2))</f>
        <v/>
      </c>
      <c r="H175" s="297">
        <f>IF(AND(B175="",C175=""),"",ROUND(F175*G175,2))</f>
        <v/>
      </c>
      <c r="I175" s="135" t="n"/>
      <c r="J175" s="329">
        <f>IF(AND(B175="",C175=""),"",ROUND(M175*N175,2))</f>
        <v/>
      </c>
      <c r="K175" s="330">
        <f>IF(AND(B175="",C175=""),"",ROUND(J175*F175,2))</f>
        <v/>
      </c>
      <c r="L175" s="126" t="n">
        <v>1</v>
      </c>
      <c r="M175" s="331" t="n">
        <v>1e-07</v>
      </c>
      <c r="N175" s="128" t="n">
        <v>0</v>
      </c>
      <c r="O175" s="129">
        <f t="array" ref="O175">IF(AND(B175="",C175=""),"",IF(G175&gt;=20000,0.05,IF(G175&gt;=10000,0.1,IF(G175&gt;=5000,0.2,IF(G175&gt;=1000,0.3,IF(G175&gt;=0,0.4,{0}))))))</f>
        <v/>
      </c>
      <c r="P175" s="332">
        <f>IF(AND(B175="",C175=""),"",ROUND(H175*O175,2))</f>
        <v/>
      </c>
      <c r="Q175" s="327" t="inlineStr">
        <is>
          <t>元件</t>
        </is>
      </c>
      <c r="R175" s="150" t="n"/>
      <c r="S175" s="150" t="n"/>
      <c r="T175" s="150" t="inlineStr">
        <is>
          <t>0</t>
        </is>
      </c>
      <c r="U175" s="150" t="n"/>
      <c r="V175" s="328" t="n"/>
      <c r="W175" s="328" t="n"/>
      <c r="X175" s="152" t="n"/>
    </row>
    <row r="176" customFormat="1" s="145">
      <c r="A176" s="36">
        <f>ROW()-ROW(A$159)</f>
        <v/>
      </c>
      <c r="B176" s="25" t="inlineStr">
        <is>
          <t>水平排2500A</t>
        </is>
      </c>
      <c r="C176" s="25" t="inlineStr">
        <is>
          <t>TMY 3*(2*125*5)+1*125*5+2*50*5</t>
        </is>
      </c>
      <c r="D176" s="25" t="inlineStr">
        <is>
          <t>国产优质</t>
        </is>
      </c>
      <c r="E176" s="26" t="inlineStr">
        <is>
          <t>米</t>
        </is>
      </c>
      <c r="F176" s="30" t="n">
        <v>0.6</v>
      </c>
      <c r="G176" s="297">
        <f>IF(AND(B176="",C176=""),"",ROUND(M176*L176*N176,2))</f>
        <v/>
      </c>
      <c r="H176" s="297">
        <f>IF(AND(B176="",C176=""),"",ROUND(F176*G176,2))</f>
        <v/>
      </c>
      <c r="I176" s="135" t="n"/>
      <c r="J176" s="329">
        <f>IF(AND(B176="",C176=""),"",ROUND(M176*N176,2))</f>
        <v/>
      </c>
      <c r="K176" s="330">
        <f>IF(AND(B176="",C176=""),"",ROUND(J176*F176,2))</f>
        <v/>
      </c>
      <c r="L176" s="126" t="n">
        <v>1</v>
      </c>
      <c r="M176" s="331" t="n">
        <v>3633.9200625</v>
      </c>
      <c r="N176" s="128" t="n">
        <v>1</v>
      </c>
      <c r="O176" s="129">
        <f t="array" ref="O176">IF(AND(B176="",C176=""),"",IF(G176&gt;=20000,0.05,IF(G176&gt;=10000,0.1,IF(G176&gt;=5000,0.2,IF(G176&gt;=1000,0.3,IF(G176&gt;=0,0.4,{0}))))))</f>
        <v/>
      </c>
      <c r="P176" s="332">
        <f>IF(AND(B176="",C176=""),"",ROUND(H176*O176,2))</f>
        <v/>
      </c>
      <c r="Q176" s="327" t="inlineStr">
        <is>
          <t>母排</t>
        </is>
      </c>
      <c r="R176" s="150" t="n"/>
      <c r="S176" s="150" t="n"/>
      <c r="T176" s="150" t="inlineStr">
        <is>
          <t>0</t>
        </is>
      </c>
      <c r="U176" s="150" t="n"/>
      <c r="V176" s="328" t="n"/>
      <c r="W176" s="328" t="n"/>
      <c r="X176" s="152" t="n"/>
    </row>
    <row r="177" customFormat="1" s="145">
      <c r="A177" s="36">
        <f>ROW()-ROW(A$159)</f>
        <v/>
      </c>
      <c r="B177" s="25" t="inlineStr">
        <is>
          <t>垂直排</t>
        </is>
      </c>
      <c r="C177" s="25" t="inlineStr">
        <is>
          <t>TMY 60*10</t>
        </is>
      </c>
      <c r="D177" s="25" t="inlineStr">
        <is>
          <t>国产优质</t>
        </is>
      </c>
      <c r="E177" s="26" t="inlineStr">
        <is>
          <t>米</t>
        </is>
      </c>
      <c r="F177" s="30" t="n">
        <v>5.7</v>
      </c>
      <c r="G177" s="297">
        <f>IF(AND(B177="",C177=""),"",ROUND(M177*L177*N177,2))</f>
        <v/>
      </c>
      <c r="H177" s="297">
        <f>IF(AND(B177="",C177=""),"",ROUND(F177*G177,2))</f>
        <v/>
      </c>
      <c r="I177" s="135" t="n"/>
      <c r="J177" s="329">
        <f>IF(AND(B177="",C177=""),"",ROUND(M177*N177,2))</f>
        <v/>
      </c>
      <c r="K177" s="330">
        <f>IF(AND(B177="",C177=""),"",ROUND(J177*F177,2))</f>
        <v/>
      </c>
      <c r="L177" s="126" t="n">
        <v>1</v>
      </c>
      <c r="M177" s="331" t="n">
        <v>447.2517</v>
      </c>
      <c r="N177" s="128" t="n">
        <v>1</v>
      </c>
      <c r="O177" s="129">
        <f t="array" ref="O177">IF(AND(B177="",C177=""),"",IF(G177&gt;=20000,0.05,IF(G177&gt;=10000,0.1,IF(G177&gt;=5000,0.2,IF(G177&gt;=1000,0.3,IF(G177&gt;=0,0.4,{0}))))))</f>
        <v/>
      </c>
      <c r="P177" s="332">
        <f>IF(AND(B177="",C177=""),"",ROUND(H177*O177,2))</f>
        <v/>
      </c>
      <c r="Q177" s="327" t="inlineStr">
        <is>
          <t>母排</t>
        </is>
      </c>
      <c r="R177" s="150" t="n"/>
      <c r="S177" s="150" t="n"/>
      <c r="T177" s="150" t="inlineStr">
        <is>
          <t>0</t>
        </is>
      </c>
      <c r="U177" s="150" t="n"/>
      <c r="V177" s="328" t="n"/>
      <c r="W177" s="328" t="n"/>
      <c r="X177" s="152" t="n"/>
    </row>
    <row r="178" customFormat="1" s="145">
      <c r="A178" s="36">
        <f>ROW()-ROW(A$159)</f>
        <v/>
      </c>
      <c r="B178" s="25" t="inlineStr">
        <is>
          <t>连接排</t>
        </is>
      </c>
      <c r="C178" s="25" t="inlineStr">
        <is>
          <t>TMY 50*10</t>
        </is>
      </c>
      <c r="D178" s="25" t="inlineStr">
        <is>
          <t>国产优质</t>
        </is>
      </c>
      <c r="E178" s="26" t="inlineStr">
        <is>
          <t>米</t>
        </is>
      </c>
      <c r="F178" s="30" t="n">
        <v>3.1</v>
      </c>
      <c r="G178" s="297">
        <f>IF(AND(B178="",C178=""),"",ROUND(M178*L178*N178,2))</f>
        <v/>
      </c>
      <c r="H178" s="297">
        <f>IF(AND(B178="",C178=""),"",ROUND(F178*G178,2))</f>
        <v/>
      </c>
      <c r="I178" s="135" t="n"/>
      <c r="J178" s="329">
        <f>IF(AND(B178="",C178=""),"",ROUND(M178*N178,2))</f>
        <v/>
      </c>
      <c r="K178" s="330">
        <f>IF(AND(B178="",C178=""),"",ROUND(J178*F178,2))</f>
        <v/>
      </c>
      <c r="L178" s="126" t="n">
        <v>1</v>
      </c>
      <c r="M178" s="331" t="n">
        <v>372.70975</v>
      </c>
      <c r="N178" s="128" t="n">
        <v>1</v>
      </c>
      <c r="O178" s="129">
        <f t="array" ref="O178">IF(AND(B178="",C178=""),"",IF(G178&gt;=20000,0.05,IF(G178&gt;=10000,0.1,IF(G178&gt;=5000,0.2,IF(G178&gt;=1000,0.3,IF(G178&gt;=0,0.4,{0}))))))</f>
        <v/>
      </c>
      <c r="P178" s="332">
        <f>IF(AND(B178="",C178=""),"",ROUND(H178*O178,2))</f>
        <v/>
      </c>
      <c r="Q178" s="327" t="inlineStr">
        <is>
          <t>母排</t>
        </is>
      </c>
      <c r="R178" s="150" t="n"/>
      <c r="S178" s="150" t="n"/>
      <c r="T178" s="150" t="inlineStr">
        <is>
          <t>0</t>
        </is>
      </c>
      <c r="U178" s="150" t="n"/>
      <c r="V178" s="328" t="n"/>
      <c r="W178" s="328" t="n"/>
      <c r="X178" s="152" t="n"/>
    </row>
    <row r="179" customFormat="1" s="145">
      <c r="A179" s="36">
        <f>ROW()-ROW(A$159)</f>
        <v/>
      </c>
      <c r="B179" s="25" t="inlineStr">
        <is>
          <t>N排</t>
        </is>
      </c>
      <c r="C179" s="25" t="inlineStr">
        <is>
          <t>TMY 60*5</t>
        </is>
      </c>
      <c r="D179" s="25" t="inlineStr">
        <is>
          <t>国产优质</t>
        </is>
      </c>
      <c r="E179" s="26" t="inlineStr">
        <is>
          <t>米</t>
        </is>
      </c>
      <c r="F179" s="30" t="n">
        <v>2.8</v>
      </c>
      <c r="G179" s="297">
        <f>IF(AND(B179="",C179=""),"",ROUND(M179*L179*N179,2))</f>
        <v/>
      </c>
      <c r="H179" s="297">
        <f>IF(AND(B179="",C179=""),"",ROUND(F179*G179,2))</f>
        <v/>
      </c>
      <c r="I179" s="135" t="n"/>
      <c r="J179" s="329">
        <f>IF(AND(B179="",C179=""),"",ROUND(M179*N179,2))</f>
        <v/>
      </c>
      <c r="K179" s="330">
        <f>IF(AND(B179="",C179=""),"",ROUND(J179*F179,2))</f>
        <v/>
      </c>
      <c r="L179" s="126" t="n">
        <v>1</v>
      </c>
      <c r="M179" s="331" t="n">
        <v>223.62585</v>
      </c>
      <c r="N179" s="128" t="n">
        <v>1</v>
      </c>
      <c r="O179" s="129">
        <f t="array" ref="O179">IF(AND(B179="",C179=""),"",IF(G179&gt;=20000,0.05,IF(G179&gt;=10000,0.1,IF(G179&gt;=5000,0.2,IF(G179&gt;=1000,0.3,IF(G179&gt;=0,0.4,{0}))))))</f>
        <v/>
      </c>
      <c r="P179" s="332">
        <f>IF(AND(B179="",C179=""),"",ROUND(H179*O179,2))</f>
        <v/>
      </c>
      <c r="Q179" s="327" t="inlineStr">
        <is>
          <t>母排</t>
        </is>
      </c>
      <c r="R179" s="150" t="n"/>
      <c r="S179" s="150" t="n"/>
      <c r="T179" s="150" t="inlineStr">
        <is>
          <t>0</t>
        </is>
      </c>
      <c r="U179" s="150" t="n"/>
      <c r="V179" s="328" t="n"/>
      <c r="W179" s="328" t="n"/>
      <c r="X179" s="152" t="n"/>
    </row>
    <row r="180" customFormat="1" s="145">
      <c r="A180" s="36">
        <f>ROW()-ROW(A$159)</f>
        <v/>
      </c>
      <c r="B180" s="25" t="inlineStr">
        <is>
          <t>400A连接排</t>
        </is>
      </c>
      <c r="C180" s="25" t="inlineStr">
        <is>
          <t>TMY 30*8</t>
        </is>
      </c>
      <c r="D180" s="25" t="inlineStr">
        <is>
          <t>国产优质</t>
        </is>
      </c>
      <c r="E180" s="26" t="inlineStr">
        <is>
          <t>米</t>
        </is>
      </c>
      <c r="F180" s="30">
        <f>3.2*3</f>
        <v/>
      </c>
      <c r="G180" s="297">
        <f>IF(AND(B180="",C180=""),"",ROUND(M180*L180*N180,2))</f>
        <v/>
      </c>
      <c r="H180" s="297">
        <f>IF(AND(B180="",C180=""),"",ROUND(F180*G180,2))</f>
        <v/>
      </c>
      <c r="I180" s="135" t="n"/>
      <c r="J180" s="329">
        <f>IF(AND(B180="",C180=""),"",ROUND(M180*N180,2))</f>
        <v/>
      </c>
      <c r="K180" s="330">
        <f>IF(AND(B180="",C180=""),"",ROUND(J180*F180,2))</f>
        <v/>
      </c>
      <c r="L180" s="126" t="n">
        <v>1</v>
      </c>
      <c r="M180" s="331" t="n">
        <v>178.90068</v>
      </c>
      <c r="N180" s="128" t="n">
        <v>1</v>
      </c>
      <c r="O180" s="129">
        <f t="array" ref="O180">IF(AND(B180="",C180=""),"",IF(G180&gt;=20000,0.05,IF(G180&gt;=10000,0.1,IF(G180&gt;=5000,0.2,IF(G180&gt;=1000,0.3,IF(G180&gt;=0,0.4,{0}))))))</f>
        <v/>
      </c>
      <c r="P180" s="332">
        <f>IF(AND(B180="",C180=""),"",ROUND(H180*O180,2))</f>
        <v/>
      </c>
      <c r="Q180" s="327" t="inlineStr">
        <is>
          <t>母排</t>
        </is>
      </c>
      <c r="R180" s="150" t="n"/>
      <c r="S180" s="150" t="n"/>
      <c r="T180" s="150" t="inlineStr">
        <is>
          <t>0</t>
        </is>
      </c>
      <c r="U180" s="150" t="n"/>
      <c r="V180" s="328" t="n"/>
      <c r="W180" s="328" t="n"/>
      <c r="X180" s="152" t="n"/>
    </row>
    <row r="181" customFormat="1" s="145">
      <c r="A181" s="36">
        <f>ROW()-ROW(A$159)</f>
        <v/>
      </c>
      <c r="B181" s="25" t="inlineStr">
        <is>
          <t>导线及辅料</t>
        </is>
      </c>
      <c r="C181" s="25" t="n"/>
      <c r="D181" s="25" t="inlineStr">
        <is>
          <t>国产优质</t>
        </is>
      </c>
      <c r="E181" s="26" t="inlineStr">
        <is>
          <t>套</t>
        </is>
      </c>
      <c r="F181" s="26" t="n">
        <v>1</v>
      </c>
      <c r="G181" s="293">
        <f>IF(AND(B181="",C181=""),"",ROUND(M181*L181*N181,2))</f>
        <v/>
      </c>
      <c r="H181" s="293">
        <f>IF(AND(B181="",C181=""),"",ROUND(F181*G181,2))</f>
        <v/>
      </c>
      <c r="I181" s="164" t="n"/>
      <c r="J181" s="329">
        <f>IF(AND(B181="",C181=""),"",ROUND(M181*N181,2))</f>
        <v/>
      </c>
      <c r="K181" s="330">
        <f>IF(AND(B181="",C181=""),"",ROUND(J181*F181,2))</f>
        <v/>
      </c>
      <c r="L181" s="126" t="n">
        <v>1</v>
      </c>
      <c r="M181" s="331" t="n">
        <v>1154</v>
      </c>
      <c r="N181" s="137" t="n">
        <v>1</v>
      </c>
      <c r="O181" s="138">
        <f t="array" ref="O181">IF(AND(B181="",C181=""),"",IF(G181&gt;=20000,0.05,IF(G181&gt;=10000,0.1,IF(G181&gt;=5000,0.2,IF(G181&gt;=1000,0.3,IF(G181&gt;=0,0.4,{0}))))))</f>
        <v/>
      </c>
      <c r="P181" s="333">
        <f>IF(AND(B181="",C181=""),"",ROUND(H181*O181,2))</f>
        <v/>
      </c>
      <c r="Q181" s="334" t="inlineStr">
        <is>
          <t>辅料</t>
        </is>
      </c>
      <c r="R181" s="154" t="n"/>
      <c r="S181" s="154" t="n"/>
      <c r="T181" s="154" t="inlineStr">
        <is>
          <t>0</t>
        </is>
      </c>
      <c r="U181" s="154" t="n"/>
      <c r="V181" s="335" t="n"/>
      <c r="W181" s="335" t="n"/>
      <c r="X181" s="152" t="n"/>
    </row>
    <row r="182" customFormat="1" s="145">
      <c r="A182" s="36">
        <f>ROW()-ROW(A$159)</f>
        <v/>
      </c>
      <c r="B182" s="29" t="inlineStr">
        <is>
          <t>Blokset柜</t>
        </is>
      </c>
      <c r="C182" s="25" t="inlineStr">
        <is>
          <t>600W*1000D*2200H</t>
        </is>
      </c>
      <c r="D182" s="25" t="inlineStr">
        <is>
          <t>清科</t>
        </is>
      </c>
      <c r="E182" s="30" t="inlineStr">
        <is>
          <t>台</t>
        </is>
      </c>
      <c r="F182" s="30" t="n">
        <v>1</v>
      </c>
      <c r="G182" s="297">
        <f>IF(AND(B182="",C182=""),"",ROUND(M182*L182*N182,2))</f>
        <v/>
      </c>
      <c r="H182" s="297">
        <f>IF(AND(B182="",C182=""),"",ROUND(F182*G182,2))</f>
        <v/>
      </c>
      <c r="I182" s="135" t="n"/>
      <c r="J182" s="329">
        <f>IF(AND(B182="",C182=""),"",ROUND(M182*N182,2))</f>
        <v/>
      </c>
      <c r="K182" s="330">
        <f>IF(AND(B182="",C182=""),"",ROUND(J182*F182,2))</f>
        <v/>
      </c>
      <c r="L182" s="126" t="n">
        <v>1</v>
      </c>
      <c r="M182" s="331" t="n">
        <v>7808</v>
      </c>
      <c r="N182" s="137" t="n">
        <v>1</v>
      </c>
      <c r="O182" s="138">
        <f t="array" ref="O182">IF(AND(B182="",C182=""),"",IF(G182&gt;=20000,0.05,IF(G182&gt;=10000,0.1,IF(G182&gt;=5000,0.2,IF(G182&gt;=1000,0.3,IF(G182&gt;=0,0.4,{0}))))))</f>
        <v/>
      </c>
      <c r="P182" s="333">
        <f>IF(AND(B182="",C182=""),"",ROUND(H182*O182,2))</f>
        <v/>
      </c>
      <c r="Q182" s="334" t="inlineStr">
        <is>
          <t>箱体</t>
        </is>
      </c>
      <c r="R182" s="154" t="n"/>
      <c r="S182" s="154" t="n"/>
      <c r="T182" s="154" t="inlineStr">
        <is>
          <t>0</t>
        </is>
      </c>
      <c r="U182" s="154" t="n"/>
      <c r="V182" s="335" t="n"/>
      <c r="W182" s="335" t="n"/>
      <c r="X182" s="152" t="n"/>
    </row>
    <row r="183" customFormat="1" s="145">
      <c r="A183" s="36">
        <f>ROW()-ROW(A$159)</f>
        <v/>
      </c>
      <c r="B183" s="25" t="n"/>
      <c r="C183" s="25" t="n"/>
      <c r="D183" s="25" t="n"/>
      <c r="E183" s="26" t="n"/>
      <c r="F183" s="26">
        <f>IF(AND(B183="",C183=""),"",1)</f>
        <v/>
      </c>
      <c r="G183" s="293">
        <f>IF(AND(B183="",C183=""),"",ROUND(M183*L183*N183,2))</f>
        <v/>
      </c>
      <c r="H183" s="293">
        <f>IF(AND(B183="",C183=""),"",ROUND(F183*G183,2))</f>
        <v/>
      </c>
      <c r="I183" s="91" t="n"/>
      <c r="J183" s="329">
        <f>IF(AND(B183="",C183=""),"",ROUND(M183*N183,2))</f>
        <v/>
      </c>
      <c r="K183" s="330">
        <f>IF(AND(B183="",C183=""),"",ROUND(J183*F183,2))</f>
        <v/>
      </c>
      <c r="L183" s="126">
        <f>IF(AND(B183="",C183=""),"",1)</f>
        <v/>
      </c>
      <c r="M183" s="331" t="n"/>
      <c r="N183" s="128">
        <f>IF(AND(B183="",C183=""),"",1)</f>
        <v/>
      </c>
      <c r="O183" s="129">
        <f t="array" ref="O183">IF(AND(B183="",C183=""),"",IF(G183&gt;=20000,0.05,IF(G183&gt;=10000,0.1,IF(G183&gt;=5000,0.2,IF(G183&gt;=1000,0.3,IF(G183&gt;=0,0.4,{0}))))))</f>
        <v/>
      </c>
      <c r="P183" s="332">
        <f>IF(AND(B183="",C183=""),"",ROUND(H183*O183,2))</f>
        <v/>
      </c>
      <c r="Q183" s="327">
        <f>IF(AND(B183="",C183=""),"","元件")</f>
        <v/>
      </c>
      <c r="R183" s="150" t="n"/>
      <c r="S183" s="150" t="n"/>
      <c r="T183" s="150" t="n"/>
      <c r="U183" s="150" t="n"/>
      <c r="V183" s="328" t="n"/>
      <c r="W183" s="328" t="n"/>
      <c r="X183" s="152" t="n"/>
    </row>
    <row r="184" customFormat="1" s="145">
      <c r="A184" s="36">
        <f>ROW()-ROW(A$159)</f>
        <v/>
      </c>
      <c r="B184" s="29" t="n"/>
      <c r="C184" s="29" t="n"/>
      <c r="D184" s="29" t="n"/>
      <c r="E184" s="30" t="n"/>
      <c r="F184" s="30">
        <f>IF(AND(B184="",C184=""),"",1)</f>
        <v/>
      </c>
      <c r="G184" s="297">
        <f>IF(AND(B184="",C184=""),"",ROUND(M184*L184*N184,2))</f>
        <v/>
      </c>
      <c r="H184" s="293">
        <f>IF(AND(B184="",C184=""),"",ROUND(F184*G184,2))</f>
        <v/>
      </c>
      <c r="I184" s="91" t="n"/>
      <c r="J184" s="329">
        <f>IF(AND(B184="",C184=""),"",ROUND(M184*N184,2))</f>
        <v/>
      </c>
      <c r="K184" s="330">
        <f>IF(AND(B184="",C184=""),"",ROUND(J184*F184,2))</f>
        <v/>
      </c>
      <c r="L184" s="126">
        <f>IF(AND(B184="",C184=""),"",1)</f>
        <v/>
      </c>
      <c r="M184" s="331" t="n"/>
      <c r="N184" s="128">
        <f>IF(AND(B184="",C184=""),"",1)</f>
        <v/>
      </c>
      <c r="O184" s="129">
        <f t="array" ref="O184">IF(AND(B184="",C184=""),"",IF(G184&gt;=20000,0.05,IF(G184&gt;=10000,0.1,IF(G184&gt;=5000,0.2,IF(G184&gt;=1000,0.3,IF(G184&gt;=0,0.4,{0}))))))</f>
        <v/>
      </c>
      <c r="P184" s="332">
        <f>IF(AND(B184="",C184=""),"",ROUND(H184*O184,2))</f>
        <v/>
      </c>
      <c r="Q184" s="327">
        <f>IF(AND(B184="",C184=""),"","元件")</f>
        <v/>
      </c>
      <c r="R184" s="150" t="n"/>
      <c r="S184" s="150" t="n"/>
      <c r="T184" s="150" t="n"/>
      <c r="U184" s="150" t="n"/>
      <c r="V184" s="328" t="n"/>
      <c r="W184" s="328" t="n"/>
      <c r="X184" s="152" t="n"/>
    </row>
    <row r="185" customFormat="1" s="145">
      <c r="A185" s="36">
        <f>ROW()-ROW(A$159)</f>
        <v/>
      </c>
      <c r="B185" s="156" t="inlineStr">
        <is>
          <t>小计</t>
        </is>
      </c>
      <c r="C185" s="157" t="n"/>
      <c r="D185" s="54" t="n"/>
      <c r="E185" s="30" t="n"/>
      <c r="F185" s="30" t="n"/>
      <c r="G185" s="297" t="n"/>
      <c r="H185" s="297">
        <f>ROUND(SUM(H159:INDEX(H:H,ROW()-1)),2)</f>
        <v/>
      </c>
      <c r="I185" s="91" t="n"/>
      <c r="J185" s="329" t="n"/>
      <c r="K185" s="330">
        <f>ROUND(SUM(K159:INDEX(K:K,ROW()-1)),2)</f>
        <v/>
      </c>
      <c r="L185" s="126" t="n"/>
      <c r="M185" s="331" t="n"/>
      <c r="N185" s="128" t="n"/>
      <c r="O185" s="129" t="n"/>
      <c r="P185" s="332" t="n"/>
      <c r="Q185" s="327" t="n"/>
      <c r="R185" s="150" t="n"/>
      <c r="S185" s="150" t="n"/>
      <c r="T185" s="150" t="n"/>
      <c r="U185" s="150" t="n"/>
      <c r="V185" s="328">
        <f t="array" ref="V185">ROUND(SUMPRODUCT(F159:INDEX(F:F,ROW()-1),V159:INDEX(V:V,ROW()-1)),2)</f>
        <v/>
      </c>
      <c r="W185" s="328">
        <f t="array" ref="W185">ROUND(SUMPRODUCT(F159:INDEX(F:F,ROW()-1),W159:INDEX(W:W,ROW()-1)),2)</f>
        <v/>
      </c>
      <c r="X185" s="152" t="n"/>
    </row>
    <row r="186" customFormat="1" s="145">
      <c r="A186" s="36">
        <f>ROW()-ROW(A$159)</f>
        <v/>
      </c>
      <c r="B186" s="156" t="inlineStr">
        <is>
          <t>成套费</t>
        </is>
      </c>
      <c r="C186" s="157" t="n"/>
      <c r="D186" s="54" t="n"/>
      <c r="E186" s="30" t="n"/>
      <c r="F186" s="30" t="n"/>
      <c r="G186" s="297" t="n"/>
      <c r="H186" s="297" t="n">
        <v>944.76</v>
      </c>
      <c r="I186" s="91" t="n"/>
      <c r="J186" s="329" t="n"/>
      <c r="K186" s="330" t="n">
        <v>944.76</v>
      </c>
      <c r="L186" s="126" t="n"/>
      <c r="M186" s="331" t="n"/>
      <c r="N186" s="128" t="n"/>
      <c r="O186" s="129" t="n"/>
      <c r="P186" s="332" t="n"/>
      <c r="Q186" s="327" t="n"/>
      <c r="R186" s="150" t="n"/>
      <c r="S186" s="150" t="n"/>
      <c r="T186" s="150" t="n"/>
      <c r="U186" s="150" t="n"/>
      <c r="V186" s="328" t="n"/>
      <c r="W186" s="328" t="n"/>
      <c r="X186" s="152" t="n"/>
    </row>
    <row r="187" customFormat="1" s="145">
      <c r="A187" s="36">
        <f>ROW()-ROW(A$159)</f>
        <v/>
      </c>
      <c r="B187" s="156" t="n"/>
      <c r="C187" s="157" t="n"/>
      <c r="D187" s="54" t="n"/>
      <c r="E187" s="30" t="n"/>
      <c r="F187" s="30" t="n"/>
      <c r="G187" s="297" t="n"/>
      <c r="H187" s="297" t="n">
        <v>17.26</v>
      </c>
      <c r="I187" s="91" t="n"/>
      <c r="J187" s="329" t="n"/>
      <c r="K187" s="330" t="n"/>
      <c r="L187" s="126" t="n"/>
      <c r="M187" s="331" t="n"/>
      <c r="N187" s="128" t="n"/>
      <c r="O187" s="129" t="n"/>
      <c r="P187" s="332" t="n"/>
      <c r="Q187" s="327" t="n"/>
      <c r="R187" s="150" t="n"/>
      <c r="S187" s="150" t="n"/>
      <c r="T187" s="150" t="n"/>
      <c r="U187" s="150" t="n"/>
      <c r="V187" s="328" t="n"/>
      <c r="W187" s="328" t="n"/>
      <c r="X187" s="152" t="n"/>
    </row>
    <row r="188" customFormat="1" s="145">
      <c r="A188" s="36">
        <f>ROW()-ROW(A$159)</f>
        <v/>
      </c>
      <c r="B188" s="54" t="inlineStr">
        <is>
          <t>单台合计</t>
        </is>
      </c>
      <c r="C188" s="157" t="n"/>
      <c r="D188" s="54" t="n"/>
      <c r="E188" s="30" t="n"/>
      <c r="F188" s="30" t="n"/>
      <c r="G188" s="297" t="n"/>
      <c r="H188" s="297">
        <f>ROUND(SUM(H185:H186),2)</f>
        <v/>
      </c>
      <c r="I188" s="165" t="n"/>
      <c r="J188" s="329" t="n"/>
      <c r="K188" s="330">
        <f>ROUND(SUM(K185:K186),2)</f>
        <v/>
      </c>
      <c r="L188" s="166" t="n"/>
      <c r="M188" s="331" t="n"/>
      <c r="N188" s="167" t="n"/>
      <c r="O188" s="168" t="n"/>
      <c r="P188" s="332" t="n"/>
      <c r="Q188" s="327" t="n"/>
      <c r="R188" s="150" t="n"/>
      <c r="S188" s="150" t="n"/>
      <c r="T188" s="150" t="n"/>
      <c r="U188" s="150" t="n"/>
      <c r="V188" s="328" t="n"/>
      <c r="W188" s="328" t="n"/>
      <c r="X188" s="152" t="n"/>
    </row>
    <row r="189" customFormat="1" s="145">
      <c r="A189" s="158" t="inlineStr">
        <is>
          <t>总计</t>
        </is>
      </c>
      <c r="B189" s="159" t="n"/>
      <c r="C189" s="160" t="n"/>
      <c r="D189" s="161" t="n"/>
      <c r="E189" s="161" t="inlineStr">
        <is>
          <t>台</t>
        </is>
      </c>
      <c r="F189" s="161" t="n">
        <v>1</v>
      </c>
      <c r="G189" s="336">
        <f>ROUND(H188,2)</f>
        <v/>
      </c>
      <c r="H189" s="336">
        <f>ROUND(F189*G189,2)</f>
        <v/>
      </c>
      <c r="I189" s="169" t="n"/>
      <c r="J189" s="337" t="n"/>
      <c r="K189" s="338">
        <f>ROUND(K188*F189,2)</f>
        <v/>
      </c>
      <c r="L189" s="172" t="n"/>
      <c r="M189" s="339" t="n"/>
      <c r="N189" s="174" t="n"/>
      <c r="O189" s="175" t="n"/>
      <c r="P189" s="340" t="n"/>
      <c r="Q189" s="327" t="n"/>
      <c r="R189" s="150" t="n"/>
      <c r="S189" s="150" t="n"/>
      <c r="T189" s="150" t="n"/>
      <c r="U189" s="150" t="n"/>
      <c r="V189" s="328" t="n"/>
      <c r="W189" s="328" t="n"/>
      <c r="X189" s="152" t="n"/>
    </row>
    <row r="190" customFormat="1" s="146">
      <c r="A190" s="3" t="n"/>
      <c r="B190" s="117" t="n"/>
      <c r="C190" s="117" t="n"/>
      <c r="D190" s="117" t="n"/>
      <c r="E190" s="146" t="n"/>
      <c r="F190" s="146" t="n"/>
      <c r="G190" s="146" t="n"/>
      <c r="H190" s="146" t="n"/>
      <c r="Q190" s="144" t="n"/>
      <c r="R190" s="144" t="n"/>
      <c r="S190" s="144" t="n"/>
      <c r="T190" s="144" t="n"/>
      <c r="U190" s="144" t="n"/>
      <c r="X190" s="117" t="n"/>
    </row>
    <row r="191" customFormat="1" s="146">
      <c r="A191" s="3" t="n"/>
      <c r="B191" s="117" t="n"/>
      <c r="C191" s="117" t="n"/>
      <c r="D191" s="117" t="n"/>
      <c r="E191" s="146" t="n"/>
      <c r="F191" s="146" t="n"/>
      <c r="G191" s="146" t="n"/>
      <c r="H191" s="146" t="n"/>
      <c r="Q191" s="144" t="n"/>
      <c r="R191" s="144" t="n"/>
      <c r="S191" s="144" t="n"/>
      <c r="T191" s="144" t="n"/>
      <c r="U191" s="144" t="n"/>
      <c r="X191" s="117" t="n"/>
    </row>
    <row r="192" customFormat="1" s="145">
      <c r="A192" s="63">
        <f>CONCATENATE("报价人：",项目信息!$B$8)</f>
        <v/>
      </c>
      <c r="B192" s="63" t="n"/>
      <c r="C192" s="146" t="n"/>
      <c r="D192" s="146" t="n"/>
      <c r="E192" s="146" t="n"/>
      <c r="F192" s="146" t="n"/>
      <c r="G192" s="146" t="n"/>
      <c r="H192" s="163">
        <f>项目信息!$B$9</f>
        <v/>
      </c>
      <c r="Q192" s="144" t="n"/>
      <c r="R192" s="144" t="n"/>
      <c r="S192" s="144" t="n"/>
      <c r="T192" s="144" t="n"/>
      <c r="U192" s="144" t="n"/>
      <c r="X192" s="148" t="n"/>
    </row>
    <row r="193" customFormat="1" s="145">
      <c r="A193" s="5">
        <f>T(项目信息!$B$22)</f>
        <v/>
      </c>
      <c r="Q193" s="144" t="n"/>
      <c r="R193" s="144" t="n"/>
      <c r="S193" s="144" t="n"/>
      <c r="T193" s="144" t="n"/>
      <c r="U193" s="144" t="n"/>
      <c r="X193" s="145" t="n"/>
    </row>
    <row r="194" customFormat="1" s="145">
      <c r="A194" s="6">
        <f>T(项目信息!$B$23)</f>
        <v/>
      </c>
      <c r="Q194" s="144" t="n"/>
      <c r="R194" s="144" t="n"/>
      <c r="S194" s="144" t="n"/>
      <c r="T194" s="144" t="n"/>
      <c r="U194" s="144" t="n"/>
      <c r="X194" s="145" t="n"/>
    </row>
    <row r="195" customFormat="1" s="145">
      <c r="A195" s="68" t="inlineStr">
        <is>
          <t>成套产品报价明细表</t>
        </is>
      </c>
      <c r="B195" s="318" t="n"/>
      <c r="C195" s="318" t="n"/>
      <c r="D195" s="318" t="n"/>
      <c r="E195" s="318" t="n"/>
      <c r="F195" s="318" t="n"/>
      <c r="G195" s="318" t="n"/>
      <c r="H195" s="318" t="n"/>
      <c r="I195" s="318" t="n"/>
      <c r="Q195" s="144" t="n"/>
      <c r="R195" s="144" t="n"/>
      <c r="S195" s="144" t="n"/>
      <c r="T195" s="144" t="n"/>
      <c r="U195" s="144" t="n"/>
      <c r="X195" s="145" t="n"/>
    </row>
    <row r="196" customFormat="1" s="146">
      <c r="A196" s="69" t="inlineStr">
        <is>
          <t>柜号:</t>
        </is>
      </c>
      <c r="B196" s="70" t="inlineStr">
        <is>
          <t>1D6</t>
        </is>
      </c>
      <c r="C196" s="71" t="inlineStr">
        <is>
          <t>型号:</t>
        </is>
      </c>
      <c r="D196" s="70" t="inlineStr">
        <is>
          <t>Blokset</t>
        </is>
      </c>
      <c r="E196" s="319" t="n"/>
      <c r="F196" s="72" t="inlineStr">
        <is>
          <t>名称:</t>
        </is>
      </c>
      <c r="G196" s="70" t="inlineStr">
        <is>
          <t>出线柜</t>
        </is>
      </c>
      <c r="H196" s="319" t="n"/>
      <c r="I196" s="320" t="n"/>
      <c r="J196" s="116" t="inlineStr">
        <is>
          <t>箱柜尺寸:</t>
        </is>
      </c>
      <c r="K196" s="117" t="inlineStr">
        <is>
          <t>600W*1000D*2200H</t>
        </is>
      </c>
      <c r="L196" s="116" t="inlineStr">
        <is>
          <t>类别:</t>
        </is>
      </c>
      <c r="M196" s="117" t="n"/>
      <c r="N196" s="321" t="n"/>
      <c r="Q196" s="144" t="n"/>
      <c r="R196" s="144" t="n"/>
      <c r="S196" s="144" t="n"/>
      <c r="T196" s="144" t="n"/>
      <c r="U196" s="144" t="n"/>
      <c r="X196" s="146" t="n"/>
    </row>
    <row r="197" ht="20.1" customFormat="1" customHeight="1" s="145">
      <c r="A197" s="13" t="inlineStr">
        <is>
          <t>序号</t>
        </is>
      </c>
      <c r="B197" s="73" t="inlineStr">
        <is>
          <t>元件名称</t>
        </is>
      </c>
      <c r="C197" s="73" t="inlineStr">
        <is>
          <t>型号规格</t>
        </is>
      </c>
      <c r="D197" s="74" t="inlineStr">
        <is>
          <t>生产厂家</t>
        </is>
      </c>
      <c r="E197" s="15" t="inlineStr">
        <is>
          <t>单位</t>
        </is>
      </c>
      <c r="F197" s="15" t="inlineStr">
        <is>
          <t>数量</t>
        </is>
      </c>
      <c r="G197" s="287" t="inlineStr">
        <is>
          <t>单   价</t>
        </is>
      </c>
      <c r="H197" s="256" t="inlineStr">
        <is>
          <t>总   价</t>
        </is>
      </c>
      <c r="I197" s="119" t="inlineStr">
        <is>
          <t>备注</t>
        </is>
      </c>
      <c r="J197" s="322" t="inlineStr">
        <is>
          <t>成本单价</t>
        </is>
      </c>
      <c r="K197" s="322" t="inlineStr">
        <is>
          <t>成本总价</t>
        </is>
      </c>
      <c r="L197" s="121" t="inlineStr">
        <is>
          <t>报出
系数</t>
        </is>
      </c>
      <c r="M197" s="322" t="inlineStr">
        <is>
          <t>表价</t>
        </is>
      </c>
      <c r="N197" s="121" t="inlineStr">
        <is>
          <t>折扣
系数</t>
        </is>
      </c>
      <c r="O197" s="122" t="inlineStr">
        <is>
          <t>取费
系数</t>
        </is>
      </c>
      <c r="P197" s="322" t="inlineStr">
        <is>
          <t>成套费</t>
        </is>
      </c>
      <c r="Q197" s="147" t="inlineStr">
        <is>
          <t>类别</t>
        </is>
      </c>
      <c r="R197" s="147" t="inlineStr">
        <is>
          <t>物料编码</t>
        </is>
      </c>
      <c r="S197" s="147" t="inlineStr">
        <is>
          <t>产地</t>
        </is>
      </c>
      <c r="T197" s="147" t="inlineStr">
        <is>
          <t>加工费</t>
        </is>
      </c>
      <c r="U197" s="147" t="inlineStr">
        <is>
          <t>订货号</t>
        </is>
      </c>
      <c r="V197" s="147" t="inlineStr">
        <is>
          <t>人工</t>
        </is>
      </c>
      <c r="W197" s="147" t="inlineStr">
        <is>
          <t>辅料</t>
        </is>
      </c>
      <c r="X197" s="148" t="n"/>
    </row>
    <row r="198" customFormat="1" s="145">
      <c r="A198" s="36">
        <f>ROW()-ROW(A$197)</f>
        <v/>
      </c>
      <c r="B198" s="29" t="inlineStr">
        <is>
          <t>交流塑壳断路器</t>
        </is>
      </c>
      <c r="C198" s="25" t="inlineStr">
        <is>
          <t>NSX250N TMD 250 3P3D F</t>
        </is>
      </c>
      <c r="D198" s="29" t="inlineStr">
        <is>
          <t>甲供/施耐德电气</t>
        </is>
      </c>
      <c r="E198" s="30" t="inlineStr">
        <is>
          <t>只</t>
        </is>
      </c>
      <c r="F198" s="26" t="n">
        <v>3</v>
      </c>
      <c r="G198" s="297">
        <f>IF(AND(B198="",C198=""),"",ROUND(M198*L198*N198,2))</f>
        <v/>
      </c>
      <c r="H198" s="293">
        <f>IF(AND(B198="",C198=""),"",ROUND(F198*G198,2))</f>
        <v/>
      </c>
      <c r="I198" s="91" t="n"/>
      <c r="J198" s="329">
        <f>IF(AND(B198="",C198=""),"",ROUND(M198*N198,2))</f>
        <v/>
      </c>
      <c r="K198" s="330">
        <f>IF(AND(B198="",C198=""),"",ROUND(J198*F198,2))</f>
        <v/>
      </c>
      <c r="L198" s="126" t="n">
        <v>1</v>
      </c>
      <c r="M198" s="331" t="n">
        <v>2315.28</v>
      </c>
      <c r="N198" s="128" t="n">
        <v>0</v>
      </c>
      <c r="O198" s="129">
        <f t="array" ref="O198">IF(AND(B198="",C198=""),"",IF(G198&gt;=20000,0.05,IF(G198&gt;=10000,0.1,IF(G198&gt;=5000,0.2,IF(G198&gt;=1000,0.3,IF(G198&gt;=0,0.4,{0}))))))</f>
        <v/>
      </c>
      <c r="P198" s="332">
        <f>IF(AND(B198="",C198=""),"",ROUND(H198*O198,2))</f>
        <v/>
      </c>
      <c r="Q198" s="327" t="inlineStr">
        <is>
          <t>元件</t>
        </is>
      </c>
      <c r="R198" s="150" t="n"/>
      <c r="S198" s="150" t="n"/>
      <c r="T198" s="150" t="inlineStr">
        <is>
          <t>0</t>
        </is>
      </c>
      <c r="U198" s="150" t="inlineStr">
        <is>
          <t>C25N3TM250</t>
        </is>
      </c>
      <c r="V198" s="328" t="n"/>
      <c r="W198" s="328" t="n"/>
      <c r="X198" s="152" t="n"/>
    </row>
    <row r="199" customFormat="1" s="145">
      <c r="A199" s="36">
        <f>ROW()-ROW(A$197)</f>
        <v/>
      </c>
      <c r="B199" s="29" t="inlineStr">
        <is>
          <t>交流塑壳断路器</t>
        </is>
      </c>
      <c r="C199" s="25" t="inlineStr">
        <is>
          <t>NSX400N MIC 2.3 400 3P F</t>
        </is>
      </c>
      <c r="D199" s="29" t="inlineStr">
        <is>
          <t>甲供/施耐德电气</t>
        </is>
      </c>
      <c r="E199" s="30" t="inlineStr">
        <is>
          <t>只</t>
        </is>
      </c>
      <c r="F199" s="26" t="n">
        <v>2</v>
      </c>
      <c r="G199" s="293">
        <f>IF(AND(B199="",C199=""),"",ROUND(M199*L199*N199,2))</f>
        <v/>
      </c>
      <c r="H199" s="293">
        <f>IF(AND(B199="",C199=""),"",ROUND(F199*G199,2))</f>
        <v/>
      </c>
      <c r="I199" s="91" t="n"/>
      <c r="J199" s="329">
        <f>IF(AND(B199="",C199=""),"",ROUND(M199*N199,2))</f>
        <v/>
      </c>
      <c r="K199" s="330">
        <f>IF(AND(B199="",C199=""),"",ROUND(J199*F199,2))</f>
        <v/>
      </c>
      <c r="L199" s="126" t="n">
        <v>1</v>
      </c>
      <c r="M199" s="331" t="n">
        <v>3474.03</v>
      </c>
      <c r="N199" s="128" t="n">
        <v>0</v>
      </c>
      <c r="O199" s="129">
        <f t="array" ref="O199">IF(AND(B199="",C199=""),"",IF(G199&gt;=20000,0.05,IF(G199&gt;=10000,0.1,IF(G199&gt;=5000,0.2,IF(G199&gt;=1000,0.3,IF(G199&gt;=0,0.4,{0}))))))</f>
        <v/>
      </c>
      <c r="P199" s="332">
        <f>IF(AND(B199="",C199=""),"",ROUND(H199*O199,2))</f>
        <v/>
      </c>
      <c r="Q199" s="327" t="inlineStr">
        <is>
          <t>元件</t>
        </is>
      </c>
      <c r="R199" s="150" t="n"/>
      <c r="S199" s="150" t="n"/>
      <c r="T199" s="150" t="inlineStr">
        <is>
          <t>0</t>
        </is>
      </c>
      <c r="U199" s="150" t="inlineStr">
        <is>
          <t>C40N32D400</t>
        </is>
      </c>
      <c r="V199" s="328" t="n"/>
      <c r="W199" s="328" t="n"/>
      <c r="X199" s="152" t="n"/>
    </row>
    <row r="200" customFormat="1" s="145">
      <c r="A200" s="36">
        <f>ROW()-ROW(A$197)</f>
        <v/>
      </c>
      <c r="B200" s="29" t="inlineStr">
        <is>
          <t>交流塑壳断路器</t>
        </is>
      </c>
      <c r="C200" s="25" t="inlineStr">
        <is>
          <t>NSX630N MIC 2.3 630 3P F</t>
        </is>
      </c>
      <c r="D200" s="29" t="inlineStr">
        <is>
          <t>甲供/施耐德电气</t>
        </is>
      </c>
      <c r="E200" s="30" t="inlineStr">
        <is>
          <t>只</t>
        </is>
      </c>
      <c r="F200" s="26" t="n">
        <v>1</v>
      </c>
      <c r="G200" s="293">
        <f>IF(AND(B200="",C200=""),"",ROUND(M200*L200*N200,2))</f>
        <v/>
      </c>
      <c r="H200" s="293">
        <f>IF(AND(B200="",C200=""),"",ROUND(F200*G200,2))</f>
        <v/>
      </c>
      <c r="I200" s="91" t="n"/>
      <c r="J200" s="329">
        <f>IF(AND(B200="",C200=""),"",ROUND(M200*N200,2))</f>
        <v/>
      </c>
      <c r="K200" s="330">
        <f>IF(AND(B200="",C200=""),"",ROUND(J200*F200,2))</f>
        <v/>
      </c>
      <c r="L200" s="126" t="n">
        <v>1</v>
      </c>
      <c r="M200" s="331" t="n">
        <v>5950.31</v>
      </c>
      <c r="N200" s="128" t="n">
        <v>0</v>
      </c>
      <c r="O200" s="129">
        <f t="array" ref="O200">IF(AND(B200="",C200=""),"",IF(G200&gt;=20000,0.05,IF(G200&gt;=10000,0.1,IF(G200&gt;=5000,0.2,IF(G200&gt;=1000,0.3,IF(G200&gt;=0,0.4,{0}))))))</f>
        <v/>
      </c>
      <c r="P200" s="332">
        <f>IF(AND(B200="",C200=""),"",ROUND(H200*O200,2))</f>
        <v/>
      </c>
      <c r="Q200" s="327" t="inlineStr">
        <is>
          <t>元件</t>
        </is>
      </c>
      <c r="R200" s="150" t="n"/>
      <c r="S200" s="150" t="n"/>
      <c r="T200" s="150" t="inlineStr">
        <is>
          <t>0</t>
        </is>
      </c>
      <c r="U200" s="150" t="inlineStr">
        <is>
          <t>C63N32D630</t>
        </is>
      </c>
      <c r="V200" s="328" t="n"/>
      <c r="W200" s="328" t="n"/>
      <c r="X200" s="152" t="n"/>
    </row>
    <row r="201" customFormat="1" s="145">
      <c r="A201" s="36">
        <f>ROW()-ROW(A$197)</f>
        <v/>
      </c>
      <c r="B201" s="29" t="inlineStr">
        <is>
          <t>新外观延伸旋转手柄</t>
        </is>
      </c>
      <c r="C201" s="29" t="inlineStr">
        <is>
          <t>标准延伸旋转手柄/新外观延伸旋转手柄 100/160/250A</t>
        </is>
      </c>
      <c r="D201" s="29" t="inlineStr">
        <is>
          <t>甲供/施耐德电气</t>
        </is>
      </c>
      <c r="E201" s="30" t="inlineStr">
        <is>
          <t>只</t>
        </is>
      </c>
      <c r="F201" s="30" t="n">
        <v>3</v>
      </c>
      <c r="G201" s="297">
        <f>IF(AND(B201="",C201=""),"",ROUND(M201*L201*N201,2))</f>
        <v/>
      </c>
      <c r="H201" s="293">
        <f>IF(AND(B201="",C201=""),"",ROUND(F201*G201,2))</f>
        <v/>
      </c>
      <c r="I201" s="91" t="n"/>
      <c r="J201" s="329">
        <f>IF(AND(B201="",C201=""),"",ROUND(M201*N201,2))</f>
        <v/>
      </c>
      <c r="K201" s="330">
        <f>IF(AND(B201="",C201=""),"",ROUND(J201*F201,2))</f>
        <v/>
      </c>
      <c r="L201" s="126" t="n">
        <v>1</v>
      </c>
      <c r="M201" s="331" t="n">
        <v>189.75</v>
      </c>
      <c r="N201" s="128" t="n">
        <v>0</v>
      </c>
      <c r="O201" s="129">
        <f t="array" ref="O201">IF(AND(B201="",C201=""),"",IF(G201&gt;=20000,0.05,IF(G201&gt;=10000,0.1,IF(G201&gt;=5000,0.2,IF(G201&gt;=1000,0.3,IF(G201&gt;=0,0.4,{0}))))))</f>
        <v/>
      </c>
      <c r="P201" s="332">
        <f>IF(AND(B201="",C201=""),"",ROUND(H201*O201,2))</f>
        <v/>
      </c>
      <c r="Q201" s="327" t="inlineStr">
        <is>
          <t>元件</t>
        </is>
      </c>
      <c r="R201" s="150" t="n"/>
      <c r="S201" s="150" t="n"/>
      <c r="T201" s="150" t="inlineStr">
        <is>
          <t>0</t>
        </is>
      </c>
      <c r="U201" s="150" t="inlineStr">
        <is>
          <t>LV429338T</t>
        </is>
      </c>
      <c r="V201" s="328" t="n"/>
      <c r="W201" s="328" t="n"/>
      <c r="X201" s="152" t="n"/>
    </row>
    <row r="202" customFormat="1" s="145">
      <c r="A202" s="36">
        <f>ROW()-ROW(A$197)</f>
        <v/>
      </c>
      <c r="B202" s="29" t="inlineStr">
        <is>
          <t>新外观延伸旋转手柄</t>
        </is>
      </c>
      <c r="C202" s="29" t="inlineStr">
        <is>
          <t>标准延伸旋转手柄/新外观延伸旋转手柄 400/630A</t>
        </is>
      </c>
      <c r="D202" s="29" t="inlineStr">
        <is>
          <t>甲供/施耐德电气</t>
        </is>
      </c>
      <c r="E202" s="30" t="inlineStr">
        <is>
          <t>只</t>
        </is>
      </c>
      <c r="F202" s="30" t="n">
        <v>3</v>
      </c>
      <c r="G202" s="297">
        <f>IF(AND(B202="",C202=""),"",ROUND(M202*L202*N202,2))</f>
        <v/>
      </c>
      <c r="H202" s="297">
        <f>IF(AND(B202="",C202=""),"",ROUND(F202*G202,2))</f>
        <v/>
      </c>
      <c r="I202" s="135" t="n"/>
      <c r="J202" s="329">
        <f>IF(AND(B202="",C202=""),"",ROUND(M202*N202,2))</f>
        <v/>
      </c>
      <c r="K202" s="330">
        <f>IF(AND(B202="",C202=""),"",ROUND(J202*F202,2))</f>
        <v/>
      </c>
      <c r="L202" s="126" t="n">
        <v>1</v>
      </c>
      <c r="M202" s="331" t="n">
        <v>270.62</v>
      </c>
      <c r="N202" s="128" t="n">
        <v>0</v>
      </c>
      <c r="O202" s="129">
        <f t="array" ref="O202">IF(AND(B202="",C202=""),"",IF(G202&gt;=20000,0.05,IF(G202&gt;=10000,0.1,IF(G202&gt;=5000,0.2,IF(G202&gt;=1000,0.3,IF(G202&gt;=0,0.4,{0}))))))</f>
        <v/>
      </c>
      <c r="P202" s="332">
        <f>IF(AND(B202="",C202=""),"",ROUND(H202*O202,2))</f>
        <v/>
      </c>
      <c r="Q202" s="327" t="inlineStr">
        <is>
          <t>元件</t>
        </is>
      </c>
      <c r="R202" s="150" t="n"/>
      <c r="S202" s="150" t="n"/>
      <c r="T202" s="150" t="inlineStr">
        <is>
          <t>0</t>
        </is>
      </c>
      <c r="U202" s="150" t="inlineStr">
        <is>
          <t>LV432598T</t>
        </is>
      </c>
      <c r="V202" s="328" t="n"/>
      <c r="W202" s="328" t="n"/>
      <c r="X202" s="152" t="n"/>
    </row>
    <row r="203" customFormat="1" s="145">
      <c r="A203" s="36">
        <f>ROW()-ROW(A$197)</f>
        <v/>
      </c>
      <c r="B203" s="29" t="inlineStr">
        <is>
          <t>MX分励脱扣器</t>
        </is>
      </c>
      <c r="C203" s="29" t="inlineStr">
        <is>
          <t>MX分励AC220-240V/208-277V/100-630A</t>
        </is>
      </c>
      <c r="D203" s="29" t="inlineStr">
        <is>
          <t>甲供/施耐德电气</t>
        </is>
      </c>
      <c r="E203" s="30" t="inlineStr">
        <is>
          <t>只</t>
        </is>
      </c>
      <c r="F203" s="30" t="n">
        <v>6</v>
      </c>
      <c r="G203" s="297">
        <f>IF(AND(B203="",C203=""),"",ROUND(M203*L203*N203,2))</f>
        <v/>
      </c>
      <c r="H203" s="297">
        <f>IF(AND(B203="",C203=""),"",ROUND(F203*G203,2))</f>
        <v/>
      </c>
      <c r="I203" s="135" t="n"/>
      <c r="J203" s="329">
        <f>IF(AND(B203="",C203=""),"",ROUND(M203*N203,2))</f>
        <v/>
      </c>
      <c r="K203" s="330">
        <f>IF(AND(B203="",C203=""),"",ROUND(J203*F203,2))</f>
        <v/>
      </c>
      <c r="L203" s="126" t="n">
        <v>1</v>
      </c>
      <c r="M203" s="331" t="n">
        <v>314.03</v>
      </c>
      <c r="N203" s="128" t="n">
        <v>0</v>
      </c>
      <c r="O203" s="129">
        <f t="array" ref="O203">IF(AND(B203="",C203=""),"",IF(G203&gt;=20000,0.05,IF(G203&gt;=10000,0.1,IF(G203&gt;=5000,0.2,IF(G203&gt;=1000,0.3,IF(G203&gt;=0,0.4,{0}))))))</f>
        <v/>
      </c>
      <c r="P203" s="332">
        <f>IF(AND(B203="",C203=""),"",ROUND(H203*O203,2))</f>
        <v/>
      </c>
      <c r="Q203" s="327" t="inlineStr">
        <is>
          <t>元件</t>
        </is>
      </c>
      <c r="R203" s="150" t="n"/>
      <c r="S203" s="150" t="n"/>
      <c r="T203" s="150" t="inlineStr">
        <is>
          <t>0</t>
        </is>
      </c>
      <c r="U203" s="150" t="inlineStr">
        <is>
          <t>LV429387</t>
        </is>
      </c>
      <c r="V203" s="328" t="n"/>
      <c r="W203" s="328" t="n"/>
      <c r="X203" s="152" t="n"/>
    </row>
    <row r="204" customFormat="1" s="145">
      <c r="A204" s="36">
        <f>ROW()-ROW(A$197)</f>
        <v/>
      </c>
      <c r="B204" s="29" t="inlineStr">
        <is>
          <t>辅助触点OF</t>
        </is>
      </c>
      <c r="C204" s="25" t="inlineStr">
        <is>
          <t>OF</t>
        </is>
      </c>
      <c r="D204" s="29" t="inlineStr">
        <is>
          <t>甲供/施耐德电气</t>
        </is>
      </c>
      <c r="E204" s="30" t="inlineStr">
        <is>
          <t>只</t>
        </is>
      </c>
      <c r="F204" s="30" t="n">
        <v>12</v>
      </c>
      <c r="G204" s="297">
        <f>IF(AND(B204="",C204=""),"",ROUND(M204*L204*N204,2))</f>
        <v/>
      </c>
      <c r="H204" s="297">
        <f>IF(AND(B204="",C204=""),"",ROUND(F204*G204,2))</f>
        <v/>
      </c>
      <c r="I204" s="135" t="n"/>
      <c r="J204" s="329">
        <f>IF(AND(B204="",C204=""),"",ROUND(M204*N204,2))</f>
        <v/>
      </c>
      <c r="K204" s="330">
        <f>IF(AND(B204="",C204=""),"",ROUND(J204*F204,2))</f>
        <v/>
      </c>
      <c r="L204" s="126" t="n">
        <v>1</v>
      </c>
      <c r="M204" s="331" t="n">
        <v>174.01</v>
      </c>
      <c r="N204" s="128" t="n">
        <v>0</v>
      </c>
      <c r="O204" s="129">
        <f t="array" ref="O204">IF(AND(B204="",C204=""),"",IF(G204&gt;=20000,0.05,IF(G204&gt;=10000,0.1,IF(G204&gt;=5000,0.2,IF(G204&gt;=1000,0.3,IF(G204&gt;=0,0.4,{0}))))))</f>
        <v/>
      </c>
      <c r="P204" s="332">
        <f>IF(AND(B204="",C204=""),"",ROUND(H204*O204,2))</f>
        <v/>
      </c>
      <c r="Q204" s="327" t="inlineStr">
        <is>
          <t>元件</t>
        </is>
      </c>
      <c r="R204" s="150" t="n"/>
      <c r="S204" s="150" t="n"/>
      <c r="T204" s="150" t="inlineStr">
        <is>
          <t>0</t>
        </is>
      </c>
      <c r="U204" s="150" t="inlineStr">
        <is>
          <t>29450</t>
        </is>
      </c>
      <c r="V204" s="328" t="n"/>
      <c r="W204" s="328" t="n"/>
      <c r="X204" s="152" t="n"/>
    </row>
    <row r="205" customFormat="1" s="145">
      <c r="A205" s="36">
        <f>ROW()-ROW(A$197)</f>
        <v/>
      </c>
      <c r="B205" s="29" t="inlineStr">
        <is>
          <t>测量电流互感器</t>
        </is>
      </c>
      <c r="C205" s="29" t="inlineStr">
        <is>
          <t>SD-0.66-30I 250/5A</t>
        </is>
      </c>
      <c r="D205" s="29" t="inlineStr">
        <is>
          <t>杭州桑迪</t>
        </is>
      </c>
      <c r="E205" s="30" t="inlineStr">
        <is>
          <t>只</t>
        </is>
      </c>
      <c r="F205" s="30" t="n">
        <v>9</v>
      </c>
      <c r="G205" s="297">
        <f>IF(AND(B205="",C205=""),"",ROUND(M205*L205*N205,2))</f>
        <v/>
      </c>
      <c r="H205" s="297">
        <f>IF(AND(B205="",C205=""),"",ROUND(F205*G205,2))</f>
        <v/>
      </c>
      <c r="I205" s="135" t="n"/>
      <c r="J205" s="329">
        <f>IF(AND(B205="",C205=""),"",ROUND(M205*N205,2))</f>
        <v/>
      </c>
      <c r="K205" s="330">
        <f>IF(AND(B205="",C205=""),"",ROUND(J205*F205,2))</f>
        <v/>
      </c>
      <c r="L205" s="126" t="n">
        <v>1</v>
      </c>
      <c r="M205" s="331" t="n">
        <v>26.65</v>
      </c>
      <c r="N205" s="128" t="n">
        <v>1</v>
      </c>
      <c r="O205" s="129">
        <f t="array" ref="O205">IF(AND(B205="",C205=""),"",IF(G205&gt;=20000,0.05,IF(G205&gt;=10000,0.1,IF(G205&gt;=5000,0.2,IF(G205&gt;=1000,0.3,IF(G205&gt;=0,0.4,{0}))))))</f>
        <v/>
      </c>
      <c r="P205" s="332">
        <f>IF(AND(B205="",C205=""),"",ROUND(H205*O205,2))</f>
        <v/>
      </c>
      <c r="Q205" s="327" t="inlineStr">
        <is>
          <t>元件</t>
        </is>
      </c>
      <c r="R205" s="150" t="n"/>
      <c r="S205" s="150" t="n"/>
      <c r="T205" s="150" t="inlineStr">
        <is>
          <t>0</t>
        </is>
      </c>
      <c r="U205" s="150" t="n"/>
      <c r="V205" s="328" t="n"/>
      <c r="W205" s="328" t="n"/>
      <c r="X205" s="152" t="n"/>
    </row>
    <row r="206" customFormat="1" s="145">
      <c r="A206" s="36">
        <f>ROW()-ROW(A$197)</f>
        <v/>
      </c>
      <c r="B206" s="29" t="inlineStr">
        <is>
          <t>测量电流互感器</t>
        </is>
      </c>
      <c r="C206" s="29" t="inlineStr">
        <is>
          <t>SD-0.66-40II-C 400/5A</t>
        </is>
      </c>
      <c r="D206" s="29" t="inlineStr">
        <is>
          <t>杭州桑迪</t>
        </is>
      </c>
      <c r="E206" s="30" t="inlineStr">
        <is>
          <t>只</t>
        </is>
      </c>
      <c r="F206" s="30" t="n">
        <v>6</v>
      </c>
      <c r="G206" s="297">
        <f>IF(AND(B206="",C206=""),"",ROUND(M206*L206*N206,2))</f>
        <v/>
      </c>
      <c r="H206" s="297">
        <f>IF(AND(B206="",C206=""),"",ROUND(F206*G206,2))</f>
        <v/>
      </c>
      <c r="I206" s="135" t="n"/>
      <c r="J206" s="329">
        <f>IF(AND(B206="",C206=""),"",ROUND(M206*N206,2))</f>
        <v/>
      </c>
      <c r="K206" s="330">
        <f>IF(AND(B206="",C206=""),"",ROUND(J206*F206,2))</f>
        <v/>
      </c>
      <c r="L206" s="126" t="n">
        <v>1</v>
      </c>
      <c r="M206" s="331" t="n">
        <v>52</v>
      </c>
      <c r="N206" s="128" t="n">
        <v>1</v>
      </c>
      <c r="O206" s="129">
        <f t="array" ref="O206">IF(AND(B206="",C206=""),"",IF(G206&gt;=20000,0.05,IF(G206&gt;=10000,0.1,IF(G206&gt;=5000,0.2,IF(G206&gt;=1000,0.3,IF(G206&gt;=0,0.4,{0}))))))</f>
        <v/>
      </c>
      <c r="P206" s="332">
        <f>IF(AND(B206="",C206=""),"",ROUND(H206*O206,2))</f>
        <v/>
      </c>
      <c r="Q206" s="327" t="inlineStr">
        <is>
          <t>元件</t>
        </is>
      </c>
      <c r="R206" s="150" t="n"/>
      <c r="S206" s="150" t="n"/>
      <c r="T206" s="150" t="inlineStr">
        <is>
          <t>0</t>
        </is>
      </c>
      <c r="U206" s="150" t="n"/>
      <c r="V206" s="328" t="n"/>
      <c r="W206" s="328" t="n"/>
      <c r="X206" s="152" t="n"/>
    </row>
    <row r="207" customFormat="1" s="145">
      <c r="A207" s="36">
        <f>ROW()-ROW(A$197)</f>
        <v/>
      </c>
      <c r="B207" s="29" t="inlineStr">
        <is>
          <t>测量电流互感器</t>
        </is>
      </c>
      <c r="C207" s="29" t="inlineStr">
        <is>
          <t>SD-0.66-60II-C 600/5A</t>
        </is>
      </c>
      <c r="D207" s="29" t="inlineStr">
        <is>
          <t>杭州桑迪</t>
        </is>
      </c>
      <c r="E207" s="30" t="inlineStr">
        <is>
          <t>只</t>
        </is>
      </c>
      <c r="F207" s="30" t="n">
        <v>3</v>
      </c>
      <c r="G207" s="297">
        <f>IF(AND(B207="",C207=""),"",ROUND(M207*L207*N207,2))</f>
        <v/>
      </c>
      <c r="H207" s="297">
        <f>IF(AND(B207="",C207=""),"",ROUND(F207*G207,2))</f>
        <v/>
      </c>
      <c r="I207" s="135" t="n"/>
      <c r="J207" s="329">
        <f>IF(AND(B207="",C207=""),"",ROUND(M207*N207,2))</f>
        <v/>
      </c>
      <c r="K207" s="330">
        <f>IF(AND(B207="",C207=""),"",ROUND(J207*F207,2))</f>
        <v/>
      </c>
      <c r="L207" s="126" t="n">
        <v>1</v>
      </c>
      <c r="M207" s="331" t="n">
        <v>76.7</v>
      </c>
      <c r="N207" s="128" t="n">
        <v>1</v>
      </c>
      <c r="O207" s="129">
        <f t="array" ref="O207">IF(AND(B207="",C207=""),"",IF(G207&gt;=20000,0.05,IF(G207&gt;=10000,0.1,IF(G207&gt;=5000,0.2,IF(G207&gt;=1000,0.3,IF(G207&gt;=0,0.4,{0}))))))</f>
        <v/>
      </c>
      <c r="P207" s="332">
        <f>IF(AND(B207="",C207=""),"",ROUND(H207*O207,2))</f>
        <v/>
      </c>
      <c r="Q207" s="327" t="inlineStr">
        <is>
          <t>元件</t>
        </is>
      </c>
      <c r="R207" s="150" t="n"/>
      <c r="S207" s="150" t="n"/>
      <c r="T207" s="150" t="inlineStr">
        <is>
          <t>0</t>
        </is>
      </c>
      <c r="U207" s="150" t="n"/>
      <c r="V207" s="328" t="n"/>
      <c r="W207" s="328" t="n"/>
      <c r="X207" s="152" t="n"/>
    </row>
    <row r="208" customFormat="1" s="145">
      <c r="A208" s="36">
        <f>ROW()-ROW(A$197)</f>
        <v/>
      </c>
      <c r="B208" s="25" t="inlineStr">
        <is>
          <t>多功能表</t>
        </is>
      </c>
      <c r="C208" s="25" t="inlineStr">
        <is>
          <t>PM4101</t>
        </is>
      </c>
      <c r="D208" s="25" t="inlineStr">
        <is>
          <t>甲供/施耐德电气</t>
        </is>
      </c>
      <c r="E208" s="30" t="inlineStr">
        <is>
          <t>只</t>
        </is>
      </c>
      <c r="F208" s="26" t="n">
        <v>6</v>
      </c>
      <c r="G208" s="293">
        <f>IF(AND(B208="",C208=""),"",ROUND(M208*L208*N208,2))</f>
        <v/>
      </c>
      <c r="H208" s="293">
        <f>IF(AND(B208="",C208=""),"",ROUND(F208*G208,2))</f>
        <v/>
      </c>
      <c r="I208" s="91" t="n"/>
      <c r="J208" s="329">
        <f>IF(AND(B208="",C208=""),"",ROUND(M208*N208,2))</f>
        <v/>
      </c>
      <c r="K208" s="330">
        <f>IF(AND(B208="",C208=""),"",ROUND(J208*F208,2))</f>
        <v/>
      </c>
      <c r="L208" s="126" t="n">
        <v>1</v>
      </c>
      <c r="M208" s="331" t="n">
        <v>1e-07</v>
      </c>
      <c r="N208" s="128" t="n">
        <v>0</v>
      </c>
      <c r="O208" s="129">
        <f t="array" ref="O208">IF(AND(B208="",C208=""),"",IF(G208&gt;=20000,0.05,IF(G208&gt;=10000,0.1,IF(G208&gt;=5000,0.2,IF(G208&gt;=1000,0.3,IF(G208&gt;=0,0.4,{0}))))))</f>
        <v/>
      </c>
      <c r="P208" s="332">
        <f>IF(AND(B208="",C208=""),"",ROUND(H208*O208,2))</f>
        <v/>
      </c>
      <c r="Q208" s="327" t="inlineStr">
        <is>
          <t>元件</t>
        </is>
      </c>
      <c r="R208" s="150" t="n"/>
      <c r="S208" s="150" t="n"/>
      <c r="T208" s="150" t="inlineStr">
        <is>
          <t>0</t>
        </is>
      </c>
      <c r="U208" s="150" t="n"/>
      <c r="V208" s="328" t="n"/>
      <c r="W208" s="328" t="n"/>
      <c r="X208" s="152" t="n"/>
    </row>
    <row r="209" customFormat="1" s="145">
      <c r="A209" s="36">
        <f>ROW()-ROW(A$197)</f>
        <v/>
      </c>
      <c r="B209" s="29" t="inlineStr">
        <is>
          <t>指示灯</t>
        </is>
      </c>
      <c r="C209" s="29" t="inlineStr">
        <is>
          <t>XA2EVM3LC</t>
        </is>
      </c>
      <c r="D209" s="29" t="inlineStr">
        <is>
          <t>施耐德电气</t>
        </is>
      </c>
      <c r="E209" s="30" t="inlineStr">
        <is>
          <t>只</t>
        </is>
      </c>
      <c r="F209" s="30" t="n">
        <v>6</v>
      </c>
      <c r="G209" s="297">
        <f>IF(AND(B209="",C209=""),"",ROUND(M209*L209*N209,2))</f>
        <v/>
      </c>
      <c r="H209" s="297">
        <f>IF(AND(B209="",C209=""),"",ROUND(F209*G209,2))</f>
        <v/>
      </c>
      <c r="I209" s="136" t="n"/>
      <c r="J209" s="329">
        <f>IF(AND(B209="",C209=""),"",ROUND(M209*N209,2))</f>
        <v/>
      </c>
      <c r="K209" s="330">
        <f>IF(AND(B209="",C209=""),"",ROUND(J209*F209,2))</f>
        <v/>
      </c>
      <c r="L209" s="126" t="n">
        <v>1</v>
      </c>
      <c r="M209" s="331" t="n">
        <v>16.43</v>
      </c>
      <c r="N209" s="137" t="n">
        <v>0.5</v>
      </c>
      <c r="O209" s="138">
        <f t="array" ref="O209">IF(AND(B209="",C209=""),"",IF(G209&gt;=20000,0.05,IF(G209&gt;=10000,0.1,IF(G209&gt;=5000,0.2,IF(G209&gt;=1000,0.3,IF(G209&gt;=0,0.4,{0}))))))</f>
        <v/>
      </c>
      <c r="P209" s="333">
        <f>IF(AND(B209="",C209=""),"",ROUND(H209*O209,2))</f>
        <v/>
      </c>
      <c r="Q209" s="334" t="inlineStr">
        <is>
          <t>元件</t>
        </is>
      </c>
      <c r="R209" s="154" t="n"/>
      <c r="S209" s="154" t="n"/>
      <c r="T209" s="154" t="inlineStr">
        <is>
          <t>0</t>
        </is>
      </c>
      <c r="U209" s="154" t="inlineStr">
        <is>
          <t>XA2EVM3LC</t>
        </is>
      </c>
      <c r="V209" s="335" t="n"/>
      <c r="W209" s="335" t="n"/>
      <c r="X209" s="152" t="n"/>
    </row>
    <row r="210" customFormat="1" s="145">
      <c r="A210" s="36">
        <f>ROW()-ROW(A$197)</f>
        <v/>
      </c>
      <c r="B210" s="29" t="inlineStr">
        <is>
          <t>指示灯</t>
        </is>
      </c>
      <c r="C210" s="25" t="inlineStr">
        <is>
          <t>XA2EVM4LC</t>
        </is>
      </c>
      <c r="D210" s="29" t="inlineStr">
        <is>
          <t>施耐德电气</t>
        </is>
      </c>
      <c r="E210" s="30" t="inlineStr">
        <is>
          <t>只</t>
        </is>
      </c>
      <c r="F210" s="30" t="n">
        <v>6</v>
      </c>
      <c r="G210" s="297">
        <f>IF(AND(B210="",C210=""),"",ROUND(M210*L210*N210,2))</f>
        <v/>
      </c>
      <c r="H210" s="297">
        <f>IF(AND(B210="",C210=""),"",ROUND(F210*G210,2))</f>
        <v/>
      </c>
      <c r="I210" s="136" t="n"/>
      <c r="J210" s="329">
        <f>IF(AND(B210="",C210=""),"",ROUND(M210*N210,2))</f>
        <v/>
      </c>
      <c r="K210" s="330">
        <f>IF(AND(B210="",C210=""),"",ROUND(J210*F210,2))</f>
        <v/>
      </c>
      <c r="L210" s="126" t="n">
        <v>1</v>
      </c>
      <c r="M210" s="331" t="n">
        <v>16.43</v>
      </c>
      <c r="N210" s="137" t="n">
        <v>0.5</v>
      </c>
      <c r="O210" s="138">
        <f t="array" ref="O210">IF(AND(B210="",C210=""),"",IF(G210&gt;=20000,0.05,IF(G210&gt;=10000,0.1,IF(G210&gt;=5000,0.2,IF(G210&gt;=1000,0.3,IF(G210&gt;=0,0.4,{0}))))))</f>
        <v/>
      </c>
      <c r="P210" s="333">
        <f>IF(AND(B210="",C210=""),"",ROUND(H210*O210,2))</f>
        <v/>
      </c>
      <c r="Q210" s="334" t="inlineStr">
        <is>
          <t>元件</t>
        </is>
      </c>
      <c r="R210" s="154" t="n"/>
      <c r="S210" s="154" t="n"/>
      <c r="T210" s="154" t="inlineStr">
        <is>
          <t>0</t>
        </is>
      </c>
      <c r="U210" s="154" t="inlineStr">
        <is>
          <t>XA2EVM4LC</t>
        </is>
      </c>
      <c r="V210" s="335" t="n"/>
      <c r="W210" s="335" t="n"/>
      <c r="X210" s="152" t="n"/>
    </row>
    <row r="211" customFormat="1" s="145">
      <c r="A211" s="36">
        <f>ROW()-ROW(A$197)</f>
        <v/>
      </c>
      <c r="B211" s="25" t="inlineStr">
        <is>
          <t>中间继电器</t>
        </is>
      </c>
      <c r="C211" s="25" t="inlineStr">
        <is>
          <t>RXM4AB2P7+RXZE1M4C+RXZ410</t>
        </is>
      </c>
      <c r="D211" s="25" t="inlineStr">
        <is>
          <t>甲供/施耐德电气</t>
        </is>
      </c>
      <c r="E211" s="26" t="inlineStr">
        <is>
          <t>只</t>
        </is>
      </c>
      <c r="F211" s="26" t="n">
        <v>6</v>
      </c>
      <c r="G211" s="292">
        <f>IF(AND(B211="",C211=""),"",ROUND(M211*L211*N211,2))</f>
        <v/>
      </c>
      <c r="H211" s="297">
        <f>IF(AND(B211="",C211=""),"",ROUND(F211*G211,2))</f>
        <v/>
      </c>
      <c r="I211" s="135" t="n"/>
      <c r="J211" s="329">
        <f>IF(AND(B211="",C211=""),"",ROUND(M211*N211,2))</f>
        <v/>
      </c>
      <c r="K211" s="330">
        <f>IF(AND(B211="",C211=""),"",ROUND(J211*F211,2))</f>
        <v/>
      </c>
      <c r="L211" s="126" t="n">
        <v>1</v>
      </c>
      <c r="M211" s="331" t="n">
        <v>1e-07</v>
      </c>
      <c r="N211" s="128" t="n">
        <v>0</v>
      </c>
      <c r="O211" s="129">
        <f t="array" ref="O211">IF(AND(B211="",C211=""),"",IF(G211&gt;=20000,0.05,IF(G211&gt;=10000,0.1,IF(G211&gt;=5000,0.2,IF(G211&gt;=1000,0.3,IF(G211&gt;=0,0.4,{0}))))))</f>
        <v/>
      </c>
      <c r="P211" s="332">
        <f>IF(AND(B211="",C211=""),"",ROUND(H211*O211,2))</f>
        <v/>
      </c>
      <c r="Q211" s="327" t="inlineStr">
        <is>
          <t>元件</t>
        </is>
      </c>
      <c r="R211" s="150" t="n"/>
      <c r="S211" s="150" t="n"/>
      <c r="T211" s="150" t="inlineStr">
        <is>
          <t>0</t>
        </is>
      </c>
      <c r="U211" s="150" t="n"/>
      <c r="V211" s="328" t="n"/>
      <c r="W211" s="328" t="n"/>
      <c r="X211" s="152" t="n"/>
    </row>
    <row r="212" customFormat="1" s="145">
      <c r="A212" s="36">
        <f>ROW()-ROW(A$197)</f>
        <v/>
      </c>
      <c r="B212" s="29" t="inlineStr">
        <is>
          <t>熔断器</t>
        </is>
      </c>
      <c r="C212" s="29" t="inlineStr">
        <is>
          <t>UK5-HESI</t>
        </is>
      </c>
      <c r="D212" s="25" t="inlineStr">
        <is>
          <t>菲尼克斯</t>
        </is>
      </c>
      <c r="E212" s="26" t="inlineStr">
        <is>
          <t>只</t>
        </is>
      </c>
      <c r="F212" s="26" t="n">
        <v>24</v>
      </c>
      <c r="G212" s="293">
        <f>IF(AND(B212="",C212=""),"",ROUND(M212*L212*N212,2))</f>
        <v/>
      </c>
      <c r="H212" s="297">
        <f>IF(AND(B212="",C212=""),"",ROUND(F212*G212,2))</f>
        <v/>
      </c>
      <c r="I212" s="136" t="n"/>
      <c r="J212" s="329">
        <f>IF(AND(B212="",C212=""),"",ROUND(M212*N212,2))</f>
        <v/>
      </c>
      <c r="K212" s="330">
        <f>IF(AND(B212="",C212=""),"",ROUND(J212*F212,2))</f>
        <v/>
      </c>
      <c r="L212" s="126" t="n">
        <v>1</v>
      </c>
      <c r="M212" s="331" t="n">
        <v>7</v>
      </c>
      <c r="N212" s="128" t="n">
        <v>1</v>
      </c>
      <c r="O212" s="129">
        <f t="array" ref="O212">IF(AND(B212="",C212=""),"",IF(G212&gt;=20000,0.05,IF(G212&gt;=10000,0.1,IF(G212&gt;=5000,0.2,IF(G212&gt;=1000,0.3,IF(G212&gt;=0,0.4,{0}))))))</f>
        <v/>
      </c>
      <c r="P212" s="332">
        <f>IF(AND(B212="",C212=""),"",ROUND(H212*O212,2))</f>
        <v/>
      </c>
      <c r="Q212" s="327" t="inlineStr">
        <is>
          <t>元件</t>
        </is>
      </c>
      <c r="R212" s="150" t="n"/>
      <c r="S212" s="150" t="n"/>
      <c r="T212" s="150" t="inlineStr">
        <is>
          <t>0</t>
        </is>
      </c>
      <c r="U212" s="150" t="n"/>
      <c r="V212" s="328" t="n"/>
      <c r="W212" s="328" t="n"/>
      <c r="X212" s="152" t="n"/>
    </row>
    <row r="213" customFormat="1" s="145">
      <c r="A213" s="36">
        <f>ROW()-ROW(A$197)</f>
        <v/>
      </c>
      <c r="B213" s="29" t="inlineStr">
        <is>
          <t>SP元件</t>
        </is>
      </c>
      <c r="C213" s="25" t="inlineStr">
        <is>
          <t>智能网关 PAS700</t>
        </is>
      </c>
      <c r="D213" s="25" t="inlineStr">
        <is>
          <t>甲供/施耐德电气</t>
        </is>
      </c>
      <c r="E213" s="30" t="inlineStr">
        <is>
          <t>只</t>
        </is>
      </c>
      <c r="F213" s="30">
        <f>IF(AND(B213="",C213=""),"",1)</f>
        <v/>
      </c>
      <c r="G213" s="297">
        <f>IF(AND(B213="",C213=""),"",ROUND(M213*L213*N213,2))</f>
        <v/>
      </c>
      <c r="H213" s="297">
        <f>IF(AND(B213="",C213=""),"",ROUND(F213*G213,2))</f>
        <v/>
      </c>
      <c r="I213" s="135" t="n"/>
      <c r="J213" s="329">
        <f>IF(AND(B213="",C213=""),"",ROUND(M213*N213,2))</f>
        <v/>
      </c>
      <c r="K213" s="330">
        <f>IF(AND(B213="",C213=""),"",ROUND(J213*F213,2))</f>
        <v/>
      </c>
      <c r="L213" s="126" t="n">
        <v>1</v>
      </c>
      <c r="M213" s="331" t="n">
        <v>1e-07</v>
      </c>
      <c r="N213" s="128" t="n">
        <v>0</v>
      </c>
      <c r="O213" s="129">
        <f t="array" ref="O213">IF(AND(B213="",C213=""),"",IF(G213&gt;=20000,0.05,IF(G213&gt;=10000,0.1,IF(G213&gt;=5000,0.2,IF(G213&gt;=1000,0.3,IF(G213&gt;=0,0.4,{0}))))))</f>
        <v/>
      </c>
      <c r="P213" s="332">
        <f>IF(AND(B213="",C213=""),"",ROUND(H213*O213,2))</f>
        <v/>
      </c>
      <c r="Q213" s="327" t="inlineStr">
        <is>
          <t>元件</t>
        </is>
      </c>
      <c r="R213" s="150" t="n"/>
      <c r="S213" s="150" t="n"/>
      <c r="T213" s="150" t="inlineStr">
        <is>
          <t>0</t>
        </is>
      </c>
      <c r="U213" s="150" t="n"/>
      <c r="V213" s="328" t="n"/>
      <c r="W213" s="328" t="n"/>
      <c r="X213" s="152" t="n"/>
    </row>
    <row r="214" customFormat="1" s="145">
      <c r="A214" s="36">
        <f>ROW()-ROW(A$197)</f>
        <v/>
      </c>
      <c r="B214" s="25" t="inlineStr">
        <is>
          <t>水平排2500A</t>
        </is>
      </c>
      <c r="C214" s="25" t="inlineStr">
        <is>
          <t>TMY 3*(2*125*5)+1*125*5+2*50*5</t>
        </is>
      </c>
      <c r="D214" s="25" t="inlineStr">
        <is>
          <t>国产优质</t>
        </is>
      </c>
      <c r="E214" s="26" t="inlineStr">
        <is>
          <t>米</t>
        </is>
      </c>
      <c r="F214" s="30" t="n">
        <v>0.6</v>
      </c>
      <c r="G214" s="297">
        <f>IF(AND(B214="",C214=""),"",ROUND(M214*L214*N214,2))</f>
        <v/>
      </c>
      <c r="H214" s="297">
        <f>IF(AND(B214="",C214=""),"",ROUND(F214*G214,2))</f>
        <v/>
      </c>
      <c r="I214" s="135" t="n"/>
      <c r="J214" s="329">
        <f>IF(AND(B214="",C214=""),"",ROUND(M214*N214,2))</f>
        <v/>
      </c>
      <c r="K214" s="330">
        <f>IF(AND(B214="",C214=""),"",ROUND(J214*F214,2))</f>
        <v/>
      </c>
      <c r="L214" s="126" t="n">
        <v>1</v>
      </c>
      <c r="M214" s="331" t="n">
        <v>3633.9200625</v>
      </c>
      <c r="N214" s="128" t="n">
        <v>1</v>
      </c>
      <c r="O214" s="129">
        <f t="array" ref="O214">IF(AND(B214="",C214=""),"",IF(G214&gt;=20000,0.05,IF(G214&gt;=10000,0.1,IF(G214&gt;=5000,0.2,IF(G214&gt;=1000,0.3,IF(G214&gt;=0,0.4,{0}))))))</f>
        <v/>
      </c>
      <c r="P214" s="332">
        <f>IF(AND(B214="",C214=""),"",ROUND(H214*O214,2))</f>
        <v/>
      </c>
      <c r="Q214" s="327" t="inlineStr">
        <is>
          <t>母排</t>
        </is>
      </c>
      <c r="R214" s="150" t="n"/>
      <c r="S214" s="150" t="n"/>
      <c r="T214" s="150" t="inlineStr">
        <is>
          <t>0</t>
        </is>
      </c>
      <c r="U214" s="150" t="n"/>
      <c r="V214" s="328" t="n"/>
      <c r="W214" s="328" t="n"/>
      <c r="X214" s="152" t="n"/>
    </row>
    <row r="215" customFormat="1" s="145">
      <c r="A215" s="36">
        <f>ROW()-ROW(A$197)</f>
        <v/>
      </c>
      <c r="B215" s="25" t="inlineStr">
        <is>
          <t>垂直排</t>
        </is>
      </c>
      <c r="C215" s="25" t="inlineStr">
        <is>
          <t>TMY 80*10</t>
        </is>
      </c>
      <c r="D215" s="25" t="inlineStr">
        <is>
          <t>国产优质</t>
        </is>
      </c>
      <c r="E215" s="26" t="inlineStr">
        <is>
          <t>米</t>
        </is>
      </c>
      <c r="F215" s="30" t="n">
        <v>5.7</v>
      </c>
      <c r="G215" s="297">
        <f>IF(AND(B215="",C215=""),"",ROUND(M215*L215*N215,2))</f>
        <v/>
      </c>
      <c r="H215" s="297">
        <f>IF(AND(B215="",C215=""),"",ROUND(F215*G215,2))</f>
        <v/>
      </c>
      <c r="I215" s="135" t="n"/>
      <c r="J215" s="329">
        <f>IF(AND(B215="",C215=""),"",ROUND(M215*N215,2))</f>
        <v/>
      </c>
      <c r="K215" s="330">
        <f>IF(AND(B215="",C215=""),"",ROUND(J215*F215,2))</f>
        <v/>
      </c>
      <c r="L215" s="126" t="n">
        <v>1</v>
      </c>
      <c r="M215" s="331" t="n">
        <v>596.3356</v>
      </c>
      <c r="N215" s="128" t="n">
        <v>1</v>
      </c>
      <c r="O215" s="129">
        <f t="array" ref="O215">IF(AND(B215="",C215=""),"",IF(G215&gt;=20000,0.05,IF(G215&gt;=10000,0.1,IF(G215&gt;=5000,0.2,IF(G215&gt;=1000,0.3,IF(G215&gt;=0,0.4,{0}))))))</f>
        <v/>
      </c>
      <c r="P215" s="332">
        <f>IF(AND(B215="",C215=""),"",ROUND(H215*O215,2))</f>
        <v/>
      </c>
      <c r="Q215" s="327" t="inlineStr">
        <is>
          <t>母排</t>
        </is>
      </c>
      <c r="R215" s="150" t="n"/>
      <c r="S215" s="150" t="n"/>
      <c r="T215" s="150" t="inlineStr">
        <is>
          <t>0</t>
        </is>
      </c>
      <c r="U215" s="150" t="n"/>
      <c r="V215" s="328" t="n"/>
      <c r="W215" s="328" t="n"/>
      <c r="X215" s="152" t="n"/>
    </row>
    <row r="216" customFormat="1" s="145">
      <c r="A216" s="36">
        <f>ROW()-ROW(A$197)</f>
        <v/>
      </c>
      <c r="B216" s="25" t="inlineStr">
        <is>
          <t>连接排</t>
        </is>
      </c>
      <c r="C216" s="25" t="inlineStr">
        <is>
          <t>TMY 50*10</t>
        </is>
      </c>
      <c r="D216" s="25" t="inlineStr">
        <is>
          <t>国产优质</t>
        </is>
      </c>
      <c r="E216" s="26" t="inlineStr">
        <is>
          <t>米</t>
        </is>
      </c>
      <c r="F216" s="30" t="n">
        <v>4</v>
      </c>
      <c r="G216" s="297">
        <f>IF(AND(B216="",C216=""),"",ROUND(M216*L216*N216,2))</f>
        <v/>
      </c>
      <c r="H216" s="297">
        <f>IF(AND(B216="",C216=""),"",ROUND(F216*G216,2))</f>
        <v/>
      </c>
      <c r="I216" s="135" t="n"/>
      <c r="J216" s="329">
        <f>IF(AND(B216="",C216=""),"",ROUND(M216*N216,2))</f>
        <v/>
      </c>
      <c r="K216" s="330">
        <f>IF(AND(B216="",C216=""),"",ROUND(J216*F216,2))</f>
        <v/>
      </c>
      <c r="L216" s="126" t="n">
        <v>1</v>
      </c>
      <c r="M216" s="331" t="n">
        <v>372.70975</v>
      </c>
      <c r="N216" s="128" t="n">
        <v>1</v>
      </c>
      <c r="O216" s="129">
        <f t="array" ref="O216">IF(AND(B216="",C216=""),"",IF(G216&gt;=20000,0.05,IF(G216&gt;=10000,0.1,IF(G216&gt;=5000,0.2,IF(G216&gt;=1000,0.3,IF(G216&gt;=0,0.4,{0}))))))</f>
        <v/>
      </c>
      <c r="P216" s="332">
        <f>IF(AND(B216="",C216=""),"",ROUND(H216*O216,2))</f>
        <v/>
      </c>
      <c r="Q216" s="327" t="inlineStr">
        <is>
          <t>母排</t>
        </is>
      </c>
      <c r="R216" s="150" t="n"/>
      <c r="S216" s="150" t="n"/>
      <c r="T216" s="150" t="inlineStr">
        <is>
          <t>0</t>
        </is>
      </c>
      <c r="U216" s="150" t="n"/>
      <c r="V216" s="328" t="n"/>
      <c r="W216" s="328" t="n"/>
      <c r="X216" s="152" t="n"/>
    </row>
    <row r="217" customFormat="1" s="145">
      <c r="A217" s="36">
        <f>ROW()-ROW(A$197)</f>
        <v/>
      </c>
      <c r="B217" s="25" t="inlineStr">
        <is>
          <t>N排</t>
        </is>
      </c>
      <c r="C217" s="25" t="inlineStr">
        <is>
          <t>TMY 40*10</t>
        </is>
      </c>
      <c r="D217" s="25" t="inlineStr">
        <is>
          <t>国产优质</t>
        </is>
      </c>
      <c r="E217" s="26" t="inlineStr">
        <is>
          <t>米</t>
        </is>
      </c>
      <c r="F217" s="30" t="n">
        <v>3</v>
      </c>
      <c r="G217" s="297">
        <f>IF(AND(B217="",C217=""),"",ROUND(M217*L217*N217,2))</f>
        <v/>
      </c>
      <c r="H217" s="297">
        <f>IF(AND(B217="",C217=""),"",ROUND(F217*G217,2))</f>
        <v/>
      </c>
      <c r="I217" s="135" t="n"/>
      <c r="J217" s="329">
        <f>IF(AND(B217="",C217=""),"",ROUND(M217*N217,2))</f>
        <v/>
      </c>
      <c r="K217" s="330">
        <f>IF(AND(B217="",C217=""),"",ROUND(J217*F217,2))</f>
        <v/>
      </c>
      <c r="L217" s="126" t="n">
        <v>1</v>
      </c>
      <c r="M217" s="331" t="n">
        <v>298.1678</v>
      </c>
      <c r="N217" s="128" t="n">
        <v>1</v>
      </c>
      <c r="O217" s="129">
        <f t="array" ref="O217">IF(AND(B217="",C217=""),"",IF(G217&gt;=20000,0.05,IF(G217&gt;=10000,0.1,IF(G217&gt;=5000,0.2,IF(G217&gt;=1000,0.3,IF(G217&gt;=0,0.4,{0}))))))</f>
        <v/>
      </c>
      <c r="P217" s="332">
        <f>IF(AND(B217="",C217=""),"",ROUND(H217*O217,2))</f>
        <v/>
      </c>
      <c r="Q217" s="327" t="inlineStr">
        <is>
          <t>母排</t>
        </is>
      </c>
      <c r="R217" s="150" t="n"/>
      <c r="S217" s="150" t="n"/>
      <c r="T217" s="150" t="inlineStr">
        <is>
          <t>0</t>
        </is>
      </c>
      <c r="U217" s="150" t="n"/>
      <c r="V217" s="328" t="n"/>
      <c r="W217" s="328" t="n"/>
      <c r="X217" s="152" t="n"/>
    </row>
    <row r="218" customFormat="1" s="145">
      <c r="A218" s="36">
        <f>ROW()-ROW(A$197)</f>
        <v/>
      </c>
      <c r="B218" s="25" t="inlineStr">
        <is>
          <t>400A连接排</t>
        </is>
      </c>
      <c r="C218" s="25" t="inlineStr">
        <is>
          <t>TMY 30*8</t>
        </is>
      </c>
      <c r="D218" s="25" t="inlineStr">
        <is>
          <t>国产优质</t>
        </is>
      </c>
      <c r="E218" s="26" t="inlineStr">
        <is>
          <t>米</t>
        </is>
      </c>
      <c r="F218" s="30">
        <f>3.2*2</f>
        <v/>
      </c>
      <c r="G218" s="297">
        <f>IF(AND(B218="",C218=""),"",ROUND(M218*L218*N218,2))</f>
        <v/>
      </c>
      <c r="H218" s="297">
        <f>IF(AND(B218="",C218=""),"",ROUND(F218*G218,2))</f>
        <v/>
      </c>
      <c r="I218" s="135" t="n"/>
      <c r="J218" s="329">
        <f>IF(AND(B218="",C218=""),"",ROUND(M218*N218,2))</f>
        <v/>
      </c>
      <c r="K218" s="330">
        <f>IF(AND(B218="",C218=""),"",ROUND(J218*F218,2))</f>
        <v/>
      </c>
      <c r="L218" s="126" t="n">
        <v>1</v>
      </c>
      <c r="M218" s="331" t="n">
        <v>178.90068</v>
      </c>
      <c r="N218" s="128" t="n">
        <v>1</v>
      </c>
      <c r="O218" s="129">
        <f t="array" ref="O218">IF(AND(B218="",C218=""),"",IF(G218&gt;=20000,0.05,IF(G218&gt;=10000,0.1,IF(G218&gt;=5000,0.2,IF(G218&gt;=1000,0.3,IF(G218&gt;=0,0.4,{0}))))))</f>
        <v/>
      </c>
      <c r="P218" s="332">
        <f>IF(AND(B218="",C218=""),"",ROUND(H218*O218,2))</f>
        <v/>
      </c>
      <c r="Q218" s="327" t="inlineStr">
        <is>
          <t>母排</t>
        </is>
      </c>
      <c r="R218" s="150" t="n"/>
      <c r="S218" s="150" t="n"/>
      <c r="T218" s="150" t="inlineStr">
        <is>
          <t>0</t>
        </is>
      </c>
      <c r="U218" s="150" t="n"/>
      <c r="V218" s="328" t="n"/>
      <c r="W218" s="328" t="n"/>
      <c r="X218" s="152" t="n"/>
    </row>
    <row r="219" customFormat="1" s="145">
      <c r="A219" s="36">
        <f>ROW()-ROW(A$197)</f>
        <v/>
      </c>
      <c r="B219" s="25" t="inlineStr">
        <is>
          <t>630A连接排</t>
        </is>
      </c>
      <c r="C219" s="25" t="inlineStr">
        <is>
          <t>TMY 30*10</t>
        </is>
      </c>
      <c r="D219" s="25" t="inlineStr">
        <is>
          <t>国产优质</t>
        </is>
      </c>
      <c r="E219" s="26" t="inlineStr">
        <is>
          <t>米</t>
        </is>
      </c>
      <c r="F219" s="30">
        <f>3.2*1</f>
        <v/>
      </c>
      <c r="G219" s="297">
        <f>IF(AND(B219="",C219=""),"",ROUND(M219*L219*N219,2))</f>
        <v/>
      </c>
      <c r="H219" s="297">
        <f>IF(AND(B219="",C219=""),"",ROUND(F219*G219,2))</f>
        <v/>
      </c>
      <c r="I219" s="135" t="n"/>
      <c r="J219" s="329">
        <f>IF(AND(B219="",C219=""),"",ROUND(M219*N219,2))</f>
        <v/>
      </c>
      <c r="K219" s="330">
        <f>IF(AND(B219="",C219=""),"",ROUND(J219*F219,2))</f>
        <v/>
      </c>
      <c r="L219" s="126" t="n">
        <v>1</v>
      </c>
      <c r="M219" s="331" t="n">
        <v>223.62585</v>
      </c>
      <c r="N219" s="128" t="n">
        <v>1</v>
      </c>
      <c r="O219" s="129">
        <f t="array" ref="O219">IF(AND(B219="",C219=""),"",IF(G219&gt;=20000,0.05,IF(G219&gt;=10000,0.1,IF(G219&gt;=5000,0.2,IF(G219&gt;=1000,0.3,IF(G219&gt;=0,0.4,{0}))))))</f>
        <v/>
      </c>
      <c r="P219" s="332">
        <f>IF(AND(B219="",C219=""),"",ROUND(H219*O219,2))</f>
        <v/>
      </c>
      <c r="Q219" s="327" t="inlineStr">
        <is>
          <t>母排</t>
        </is>
      </c>
      <c r="R219" s="150" t="n"/>
      <c r="S219" s="150" t="n"/>
      <c r="T219" s="150" t="inlineStr">
        <is>
          <t>0</t>
        </is>
      </c>
      <c r="U219" s="150" t="n"/>
      <c r="V219" s="328" t="n"/>
      <c r="W219" s="328" t="n"/>
      <c r="X219" s="152" t="n"/>
    </row>
    <row r="220" customFormat="1" s="145">
      <c r="A220" s="36">
        <f>ROW()-ROW(A$197)</f>
        <v/>
      </c>
      <c r="B220" s="25" t="inlineStr">
        <is>
          <t>导线及辅料</t>
        </is>
      </c>
      <c r="C220" s="25" t="n"/>
      <c r="D220" s="25" t="inlineStr">
        <is>
          <t>国产优质</t>
        </is>
      </c>
      <c r="E220" s="26" t="inlineStr">
        <is>
          <t>套</t>
        </is>
      </c>
      <c r="F220" s="26" t="n">
        <v>1</v>
      </c>
      <c r="G220" s="293">
        <f>IF(AND(B220="",C220=""),"",ROUND(M220*L220*N220,2))</f>
        <v/>
      </c>
      <c r="H220" s="293">
        <f>IF(AND(B220="",C220=""),"",ROUND(F220*G220,2))</f>
        <v/>
      </c>
      <c r="I220" s="164" t="n"/>
      <c r="J220" s="329">
        <f>IF(AND(B220="",C220=""),"",ROUND(M220*N220,2))</f>
        <v/>
      </c>
      <c r="K220" s="330">
        <f>IF(AND(B220="",C220=""),"",ROUND(J220*F220,2))</f>
        <v/>
      </c>
      <c r="L220" s="126" t="n">
        <v>1</v>
      </c>
      <c r="M220" s="331" t="n">
        <v>1381</v>
      </c>
      <c r="N220" s="137" t="n">
        <v>1</v>
      </c>
      <c r="O220" s="138">
        <f t="array" ref="O220">IF(AND(B220="",C220=""),"",IF(G220&gt;=20000,0.05,IF(G220&gt;=10000,0.1,IF(G220&gt;=5000,0.2,IF(G220&gt;=1000,0.3,IF(G220&gt;=0,0.4,{0}))))))</f>
        <v/>
      </c>
      <c r="P220" s="333">
        <f>IF(AND(B220="",C220=""),"",ROUND(H220*O220,2))</f>
        <v/>
      </c>
      <c r="Q220" s="334" t="inlineStr">
        <is>
          <t>辅料</t>
        </is>
      </c>
      <c r="R220" s="154" t="n"/>
      <c r="S220" s="154" t="n"/>
      <c r="T220" s="154" t="inlineStr">
        <is>
          <t>0</t>
        </is>
      </c>
      <c r="U220" s="154" t="n"/>
      <c r="V220" s="335" t="n"/>
      <c r="W220" s="335" t="n"/>
      <c r="X220" s="152" t="n"/>
    </row>
    <row r="221" customFormat="1" s="145">
      <c r="A221" s="36">
        <f>ROW()-ROW(A$197)</f>
        <v/>
      </c>
      <c r="B221" s="29" t="inlineStr">
        <is>
          <t>Blokset柜</t>
        </is>
      </c>
      <c r="C221" s="25" t="inlineStr">
        <is>
          <t>600W*1000D*2200H</t>
        </is>
      </c>
      <c r="D221" s="25" t="inlineStr">
        <is>
          <t>清科</t>
        </is>
      </c>
      <c r="E221" s="30" t="inlineStr">
        <is>
          <t>台</t>
        </is>
      </c>
      <c r="F221" s="30" t="n">
        <v>1</v>
      </c>
      <c r="G221" s="297">
        <f>IF(AND(B221="",C221=""),"",ROUND(M221*L221*N221,2))</f>
        <v/>
      </c>
      <c r="H221" s="297">
        <f>IF(AND(B221="",C221=""),"",ROUND(F221*G221,2))</f>
        <v/>
      </c>
      <c r="I221" s="135" t="n"/>
      <c r="J221" s="329">
        <f>IF(AND(B221="",C221=""),"",ROUND(M221*N221,2))</f>
        <v/>
      </c>
      <c r="K221" s="330">
        <f>IF(AND(B221="",C221=""),"",ROUND(J221*F221,2))</f>
        <v/>
      </c>
      <c r="L221" s="126" t="n">
        <v>1</v>
      </c>
      <c r="M221" s="331" t="n">
        <v>7977</v>
      </c>
      <c r="N221" s="137" t="n">
        <v>1</v>
      </c>
      <c r="O221" s="138">
        <f t="array" ref="O221">IF(AND(B221="",C221=""),"",IF(G221&gt;=20000,0.05,IF(G221&gt;=10000,0.1,IF(G221&gt;=5000,0.2,IF(G221&gt;=1000,0.3,IF(G221&gt;=0,0.4,{0}))))))</f>
        <v/>
      </c>
      <c r="P221" s="333">
        <f>IF(AND(B221="",C221=""),"",ROUND(H221*O221,2))</f>
        <v/>
      </c>
      <c r="Q221" s="334" t="inlineStr">
        <is>
          <t>箱体</t>
        </is>
      </c>
      <c r="R221" s="154" t="n"/>
      <c r="S221" s="154" t="n"/>
      <c r="T221" s="154" t="inlineStr">
        <is>
          <t>0</t>
        </is>
      </c>
      <c r="U221" s="154" t="n"/>
      <c r="V221" s="335" t="n"/>
      <c r="W221" s="335" t="n"/>
      <c r="X221" s="152" t="n"/>
    </row>
    <row r="222" customFormat="1" s="145">
      <c r="A222" s="36">
        <f>ROW()-ROW(A$197)</f>
        <v/>
      </c>
      <c r="B222" s="25" t="n"/>
      <c r="C222" s="25" t="n"/>
      <c r="D222" s="25" t="n"/>
      <c r="E222" s="26" t="n"/>
      <c r="F222" s="26">
        <f>IF(AND(B222="",C222=""),"",1)</f>
        <v/>
      </c>
      <c r="G222" s="293">
        <f>IF(AND(B222="",C222=""),"",ROUND(M222*L222*N222,2))</f>
        <v/>
      </c>
      <c r="H222" s="293">
        <f>IF(AND(B222="",C222=""),"",ROUND(F222*G222,2))</f>
        <v/>
      </c>
      <c r="I222" s="91" t="n"/>
      <c r="J222" s="329">
        <f>IF(AND(B222="",C222=""),"",ROUND(M222*N222,2))</f>
        <v/>
      </c>
      <c r="K222" s="330">
        <f>IF(AND(B222="",C222=""),"",ROUND(J222*F222,2))</f>
        <v/>
      </c>
      <c r="L222" s="126">
        <f>IF(AND(B222="",C222=""),"",1)</f>
        <v/>
      </c>
      <c r="M222" s="331" t="n"/>
      <c r="N222" s="128">
        <f>IF(AND(B222="",C222=""),"",1)</f>
        <v/>
      </c>
      <c r="O222" s="129">
        <f t="array" ref="O222">IF(AND(B222="",C222=""),"",IF(G222&gt;=20000,0.05,IF(G222&gt;=10000,0.1,IF(G222&gt;=5000,0.2,IF(G222&gt;=1000,0.3,IF(G222&gt;=0,0.4,{0}))))))</f>
        <v/>
      </c>
      <c r="P222" s="332">
        <f>IF(AND(B222="",C222=""),"",ROUND(H222*O222,2))</f>
        <v/>
      </c>
      <c r="Q222" s="327">
        <f>IF(AND(B222="",C222=""),"","元件")</f>
        <v/>
      </c>
      <c r="R222" s="150" t="n"/>
      <c r="S222" s="150" t="n"/>
      <c r="T222" s="150" t="n"/>
      <c r="U222" s="150" t="n"/>
      <c r="V222" s="328" t="n"/>
      <c r="W222" s="328" t="n"/>
      <c r="X222" s="152" t="n"/>
    </row>
    <row r="223" customFormat="1" s="145">
      <c r="A223" s="36">
        <f>ROW()-ROW(A$197)</f>
        <v/>
      </c>
      <c r="B223" s="29" t="n"/>
      <c r="C223" s="29" t="n"/>
      <c r="D223" s="29" t="n"/>
      <c r="E223" s="30" t="n"/>
      <c r="F223" s="30">
        <f>IF(AND(B223="",C223=""),"",1)</f>
        <v/>
      </c>
      <c r="G223" s="297">
        <f>IF(AND(B223="",C223=""),"",ROUND(M223*L223*N223,2))</f>
        <v/>
      </c>
      <c r="H223" s="293">
        <f>IF(AND(B223="",C223=""),"",ROUND(F223*G223,2))</f>
        <v/>
      </c>
      <c r="I223" s="91" t="n"/>
      <c r="J223" s="329">
        <f>IF(AND(B223="",C223=""),"",ROUND(M223*N223,2))</f>
        <v/>
      </c>
      <c r="K223" s="330">
        <f>IF(AND(B223="",C223=""),"",ROUND(J223*F223,2))</f>
        <v/>
      </c>
      <c r="L223" s="126">
        <f>IF(AND(B223="",C223=""),"",1)</f>
        <v/>
      </c>
      <c r="M223" s="331" t="n"/>
      <c r="N223" s="128">
        <f>IF(AND(B223="",C223=""),"",1)</f>
        <v/>
      </c>
      <c r="O223" s="129">
        <f t="array" ref="O223">IF(AND(B223="",C223=""),"",IF(G223&gt;=20000,0.05,IF(G223&gt;=10000,0.1,IF(G223&gt;=5000,0.2,IF(G223&gt;=1000,0.3,IF(G223&gt;=0,0.4,{0}))))))</f>
        <v/>
      </c>
      <c r="P223" s="332">
        <f>IF(AND(B223="",C223=""),"",ROUND(H223*O223,2))</f>
        <v/>
      </c>
      <c r="Q223" s="327">
        <f>IF(AND(B223="",C223=""),"","元件")</f>
        <v/>
      </c>
      <c r="R223" s="150" t="n"/>
      <c r="S223" s="150" t="n"/>
      <c r="T223" s="150" t="n"/>
      <c r="U223" s="150" t="n"/>
      <c r="V223" s="328" t="n"/>
      <c r="W223" s="328" t="n"/>
      <c r="X223" s="152" t="n"/>
    </row>
    <row r="224" customFormat="1" s="145">
      <c r="A224" s="36">
        <f>ROW()-ROW(A$197)</f>
        <v/>
      </c>
      <c r="B224" s="156" t="inlineStr">
        <is>
          <t>小计</t>
        </is>
      </c>
      <c r="C224" s="157" t="n"/>
      <c r="D224" s="54" t="n"/>
      <c r="E224" s="30" t="n"/>
      <c r="F224" s="30" t="n"/>
      <c r="G224" s="297" t="n"/>
      <c r="H224" s="297">
        <f>ROUND(SUM(H197:INDEX(H:H,ROW()-1)),2)</f>
        <v/>
      </c>
      <c r="I224" s="91" t="n"/>
      <c r="J224" s="329" t="n"/>
      <c r="K224" s="330">
        <f>ROUND(SUM(K197:INDEX(K:K,ROW()-1)),2)</f>
        <v/>
      </c>
      <c r="L224" s="126" t="n"/>
      <c r="M224" s="331" t="n"/>
      <c r="N224" s="128" t="n"/>
      <c r="O224" s="129" t="n"/>
      <c r="P224" s="332" t="n"/>
      <c r="Q224" s="327" t="n"/>
      <c r="R224" s="150" t="n"/>
      <c r="S224" s="150" t="n"/>
      <c r="T224" s="150" t="n"/>
      <c r="U224" s="150" t="n"/>
      <c r="V224" s="328">
        <f t="array" ref="V224">ROUND(SUMPRODUCT(F197:INDEX(F:F,ROW()-1),V197:INDEX(V:V,ROW()-1)),2)</f>
        <v/>
      </c>
      <c r="W224" s="328">
        <f t="array" ref="W224">ROUND(SUMPRODUCT(F197:INDEX(F:F,ROW()-1),W197:INDEX(W:W,ROW()-1)),2)</f>
        <v/>
      </c>
      <c r="X224" s="152" t="n"/>
    </row>
    <row r="225" customFormat="1" s="145">
      <c r="A225" s="36">
        <f>ROW()-ROW(A$197)</f>
        <v/>
      </c>
      <c r="B225" s="156" t="inlineStr">
        <is>
          <t>成套费</t>
        </is>
      </c>
      <c r="C225" s="157" t="n"/>
      <c r="D225" s="54" t="n"/>
      <c r="E225" s="30" t="n"/>
      <c r="F225" s="30" t="n"/>
      <c r="G225" s="297" t="n"/>
      <c r="H225" s="297" t="n">
        <v>944.76</v>
      </c>
      <c r="I225" s="91" t="n"/>
      <c r="J225" s="329" t="n"/>
      <c r="K225" s="330" t="n">
        <v>944.76</v>
      </c>
      <c r="L225" s="126" t="n"/>
      <c r="M225" s="331" t="n"/>
      <c r="N225" s="128" t="n"/>
      <c r="O225" s="129" t="n"/>
      <c r="P225" s="332" t="n"/>
      <c r="Q225" s="327" t="n"/>
      <c r="R225" s="150" t="n"/>
      <c r="S225" s="150" t="n"/>
      <c r="T225" s="150" t="n"/>
      <c r="U225" s="150" t="n"/>
      <c r="V225" s="328" t="n"/>
      <c r="W225" s="328" t="n"/>
      <c r="X225" s="152" t="n"/>
    </row>
    <row r="226" customFormat="1" s="145">
      <c r="A226" s="36">
        <f>ROW()-ROW(A$197)</f>
        <v/>
      </c>
      <c r="B226" s="156" t="n"/>
      <c r="C226" s="157" t="n"/>
      <c r="D226" s="54" t="n"/>
      <c r="E226" s="30" t="n"/>
      <c r="F226" s="30" t="n"/>
      <c r="G226" s="297" t="n"/>
      <c r="H226" s="297" t="n">
        <v>17.26</v>
      </c>
      <c r="I226" s="91" t="n"/>
      <c r="J226" s="329" t="n"/>
      <c r="K226" s="330" t="n"/>
      <c r="L226" s="126" t="n"/>
      <c r="M226" s="331" t="n"/>
      <c r="N226" s="128" t="n"/>
      <c r="O226" s="129" t="n"/>
      <c r="P226" s="332" t="n"/>
      <c r="Q226" s="327" t="n"/>
      <c r="R226" s="150" t="n"/>
      <c r="S226" s="150" t="n"/>
      <c r="T226" s="150" t="n"/>
      <c r="U226" s="150" t="n"/>
      <c r="V226" s="328" t="n"/>
      <c r="W226" s="328" t="n"/>
      <c r="X226" s="152" t="n"/>
    </row>
    <row r="227" customFormat="1" s="145">
      <c r="A227" s="36">
        <f>ROW()-ROW(A$197)</f>
        <v/>
      </c>
      <c r="B227" s="54" t="inlineStr">
        <is>
          <t>单台合计</t>
        </is>
      </c>
      <c r="C227" s="157" t="n"/>
      <c r="D227" s="54" t="n"/>
      <c r="E227" s="30" t="n"/>
      <c r="F227" s="30" t="n"/>
      <c r="G227" s="297" t="n"/>
      <c r="H227" s="297">
        <f>ROUND(SUM(H224:H225),2)</f>
        <v/>
      </c>
      <c r="I227" s="165" t="n"/>
      <c r="J227" s="329" t="n"/>
      <c r="K227" s="330">
        <f>ROUND(SUM(K224:K225),2)</f>
        <v/>
      </c>
      <c r="L227" s="166" t="n"/>
      <c r="M227" s="331" t="n"/>
      <c r="N227" s="167" t="n"/>
      <c r="O227" s="168" t="n"/>
      <c r="P227" s="332" t="n"/>
      <c r="Q227" s="327" t="n"/>
      <c r="R227" s="150" t="n"/>
      <c r="S227" s="150" t="n"/>
      <c r="T227" s="150" t="n"/>
      <c r="U227" s="150" t="n"/>
      <c r="V227" s="328" t="n"/>
      <c r="W227" s="328" t="n"/>
      <c r="X227" s="152" t="n"/>
    </row>
    <row r="228" customFormat="1" s="145">
      <c r="A228" s="158" t="inlineStr">
        <is>
          <t>总计</t>
        </is>
      </c>
      <c r="B228" s="159" t="n"/>
      <c r="C228" s="160" t="n"/>
      <c r="D228" s="161" t="n"/>
      <c r="E228" s="161" t="inlineStr">
        <is>
          <t>台</t>
        </is>
      </c>
      <c r="F228" s="161" t="n">
        <v>1</v>
      </c>
      <c r="G228" s="336">
        <f>ROUND(H227,2)</f>
        <v/>
      </c>
      <c r="H228" s="336">
        <f>ROUND(F228*G228,2)</f>
        <v/>
      </c>
      <c r="I228" s="169" t="n"/>
      <c r="J228" s="337" t="n"/>
      <c r="K228" s="338">
        <f>ROUND(K227*F228,2)</f>
        <v/>
      </c>
      <c r="L228" s="172" t="n"/>
      <c r="M228" s="339" t="n"/>
      <c r="N228" s="174" t="n"/>
      <c r="O228" s="175" t="n"/>
      <c r="P228" s="340" t="n"/>
      <c r="Q228" s="327" t="n"/>
      <c r="R228" s="150" t="n"/>
      <c r="S228" s="150" t="n"/>
      <c r="T228" s="150" t="n"/>
      <c r="U228" s="150" t="n"/>
      <c r="V228" s="328" t="n"/>
      <c r="W228" s="328" t="n"/>
      <c r="X228" s="152" t="n"/>
    </row>
    <row r="229" customFormat="1" s="146">
      <c r="A229" s="3" t="n"/>
      <c r="B229" s="117" t="n"/>
      <c r="C229" s="117" t="n"/>
      <c r="D229" s="117" t="n"/>
      <c r="E229" s="146" t="n"/>
      <c r="F229" s="146" t="n"/>
      <c r="G229" s="146" t="n"/>
      <c r="H229" s="146" t="n"/>
      <c r="Q229" s="144" t="n"/>
      <c r="R229" s="144" t="n"/>
      <c r="S229" s="144" t="n"/>
      <c r="T229" s="144" t="n"/>
      <c r="U229" s="144" t="n"/>
      <c r="X229" s="117" t="n"/>
    </row>
    <row r="230" customFormat="1" s="146">
      <c r="A230" s="3" t="n"/>
      <c r="B230" s="117" t="n"/>
      <c r="C230" s="117" t="n"/>
      <c r="D230" s="117" t="n"/>
      <c r="E230" s="146" t="n"/>
      <c r="F230" s="146" t="n"/>
      <c r="G230" s="146" t="n"/>
      <c r="H230" s="146" t="n"/>
      <c r="Q230" s="144" t="n"/>
      <c r="R230" s="144" t="n"/>
      <c r="S230" s="144" t="n"/>
      <c r="T230" s="144" t="n"/>
      <c r="U230" s="144" t="n"/>
      <c r="X230" s="117" t="n"/>
    </row>
    <row r="231" customFormat="1" s="145">
      <c r="A231" s="63">
        <f>CONCATENATE("报价人：",项目信息!$B$8)</f>
        <v/>
      </c>
      <c r="B231" s="63" t="n"/>
      <c r="C231" s="146" t="n"/>
      <c r="D231" s="146" t="n"/>
      <c r="E231" s="146" t="n"/>
      <c r="F231" s="146" t="n"/>
      <c r="G231" s="146" t="n"/>
      <c r="H231" s="163">
        <f>项目信息!$B$9</f>
        <v/>
      </c>
      <c r="Q231" s="144" t="n"/>
      <c r="R231" s="144" t="n"/>
      <c r="S231" s="144" t="n"/>
      <c r="T231" s="144" t="n"/>
      <c r="U231" s="144" t="n"/>
      <c r="X231" s="148" t="n"/>
    </row>
    <row r="232" customFormat="1" s="145">
      <c r="A232" s="5">
        <f>T(项目信息!$B$22)</f>
        <v/>
      </c>
      <c r="Q232" s="144" t="n"/>
      <c r="R232" s="144" t="n"/>
      <c r="S232" s="144" t="n"/>
      <c r="T232" s="144" t="n"/>
      <c r="U232" s="144" t="n"/>
      <c r="X232" s="145" t="n"/>
    </row>
    <row r="233" customFormat="1" s="145">
      <c r="A233" s="6">
        <f>T(项目信息!$B$23)</f>
        <v/>
      </c>
      <c r="Q233" s="144" t="n"/>
      <c r="R233" s="144" t="n"/>
      <c r="S233" s="144" t="n"/>
      <c r="T233" s="144" t="n"/>
      <c r="U233" s="144" t="n"/>
      <c r="X233" s="145" t="n"/>
    </row>
    <row r="234" customFormat="1" s="145">
      <c r="A234" s="68" t="inlineStr">
        <is>
          <t>成套产品报价明细表</t>
        </is>
      </c>
      <c r="B234" s="318" t="n"/>
      <c r="C234" s="318" t="n"/>
      <c r="D234" s="318" t="n"/>
      <c r="E234" s="318" t="n"/>
      <c r="F234" s="318" t="n"/>
      <c r="G234" s="318" t="n"/>
      <c r="H234" s="318" t="n"/>
      <c r="I234" s="318" t="n"/>
      <c r="Q234" s="144" t="n"/>
      <c r="R234" s="144" t="n"/>
      <c r="S234" s="144" t="n"/>
      <c r="T234" s="144" t="n"/>
      <c r="U234" s="144" t="n"/>
      <c r="X234" s="145" t="n"/>
    </row>
    <row r="235" customFormat="1" s="146">
      <c r="A235" s="69" t="inlineStr">
        <is>
          <t>柜号:</t>
        </is>
      </c>
      <c r="B235" s="70" t="inlineStr">
        <is>
          <t>1D7</t>
        </is>
      </c>
      <c r="C235" s="71" t="inlineStr">
        <is>
          <t>型号:</t>
        </is>
      </c>
      <c r="D235" s="70" t="inlineStr">
        <is>
          <t>Blokset</t>
        </is>
      </c>
      <c r="E235" s="319" t="n"/>
      <c r="F235" s="72" t="inlineStr">
        <is>
          <t>名称:</t>
        </is>
      </c>
      <c r="G235" s="70" t="inlineStr">
        <is>
          <t>母联柜</t>
        </is>
      </c>
      <c r="H235" s="319" t="n"/>
      <c r="I235" s="320" t="n"/>
      <c r="J235" s="116" t="inlineStr">
        <is>
          <t>箱柜尺寸:</t>
        </is>
      </c>
      <c r="K235" s="117" t="inlineStr">
        <is>
          <t>900W*1000D*2200H</t>
        </is>
      </c>
      <c r="L235" s="116" t="inlineStr">
        <is>
          <t>类别:</t>
        </is>
      </c>
      <c r="M235" s="117" t="n"/>
      <c r="N235" s="321" t="n"/>
      <c r="Q235" s="144" t="n"/>
      <c r="R235" s="144" t="n"/>
      <c r="S235" s="144" t="n"/>
      <c r="T235" s="144" t="n"/>
      <c r="U235" s="144" t="n"/>
      <c r="X235" s="146" t="n"/>
    </row>
    <row r="236" ht="20.1" customFormat="1" customHeight="1" s="145">
      <c r="A236" s="13" t="inlineStr">
        <is>
          <t>序号</t>
        </is>
      </c>
      <c r="B236" s="73" t="inlineStr">
        <is>
          <t>元件名称</t>
        </is>
      </c>
      <c r="C236" s="73" t="inlineStr">
        <is>
          <t>型号规格</t>
        </is>
      </c>
      <c r="D236" s="74" t="inlineStr">
        <is>
          <t>生产厂家</t>
        </is>
      </c>
      <c r="E236" s="15" t="inlineStr">
        <is>
          <t>单位</t>
        </is>
      </c>
      <c r="F236" s="15" t="inlineStr">
        <is>
          <t>数量</t>
        </is>
      </c>
      <c r="G236" s="287" t="inlineStr">
        <is>
          <t>单   价</t>
        </is>
      </c>
      <c r="H236" s="256" t="inlineStr">
        <is>
          <t>总   价</t>
        </is>
      </c>
      <c r="I236" s="119" t="inlineStr">
        <is>
          <t>备注</t>
        </is>
      </c>
      <c r="J236" s="322" t="inlineStr">
        <is>
          <t>成本单价</t>
        </is>
      </c>
      <c r="K236" s="322" t="inlineStr">
        <is>
          <t>成本总价</t>
        </is>
      </c>
      <c r="L236" s="121" t="inlineStr">
        <is>
          <t>报出
系数</t>
        </is>
      </c>
      <c r="M236" s="322" t="inlineStr">
        <is>
          <t>表价</t>
        </is>
      </c>
      <c r="N236" s="121" t="inlineStr">
        <is>
          <t>折扣
系数</t>
        </is>
      </c>
      <c r="O236" s="122" t="inlineStr">
        <is>
          <t>取费
系数</t>
        </is>
      </c>
      <c r="P236" s="322" t="inlineStr">
        <is>
          <t>成套费</t>
        </is>
      </c>
      <c r="Q236" s="147" t="inlineStr">
        <is>
          <t>类别</t>
        </is>
      </c>
      <c r="R236" s="147" t="inlineStr">
        <is>
          <t>物料编码</t>
        </is>
      </c>
      <c r="S236" s="147" t="inlineStr">
        <is>
          <t>产地</t>
        </is>
      </c>
      <c r="T236" s="147" t="inlineStr">
        <is>
          <t>加工费</t>
        </is>
      </c>
      <c r="U236" s="147" t="inlineStr">
        <is>
          <t>订货号</t>
        </is>
      </c>
      <c r="V236" s="147" t="inlineStr">
        <is>
          <t>人工</t>
        </is>
      </c>
      <c r="W236" s="147" t="inlineStr">
        <is>
          <t>辅料</t>
        </is>
      </c>
      <c r="X236" s="148" t="n"/>
    </row>
    <row r="237" customFormat="1" s="145">
      <c r="A237" s="36">
        <f>ROW()-ROW(A$236)</f>
        <v/>
      </c>
      <c r="B237" s="25" t="inlineStr">
        <is>
          <t>双电源开关ATMT</t>
        </is>
      </c>
      <c r="C237" s="25" t="inlineStr">
        <is>
          <t>ATMT25 H1 4P MIC5.0E 带通讯</t>
        </is>
      </c>
      <c r="D237" s="29" t="inlineStr">
        <is>
          <t>甲供/施耐德万高</t>
        </is>
      </c>
      <c r="E237" s="30" t="inlineStr">
        <is>
          <t>套</t>
        </is>
      </c>
      <c r="F237" s="26" t="n">
        <v>0.34</v>
      </c>
      <c r="G237" s="297">
        <f>IF(AND(B237="",C237=""),"",ROUND(M237*L237*N237,2))</f>
        <v/>
      </c>
      <c r="H237" s="293">
        <f>IF(AND(B237="",C237=""),"",ROUND(F237*G237,2))</f>
        <v/>
      </c>
      <c r="I237" s="91" t="n"/>
      <c r="J237" s="329">
        <f>IF(AND(B237="",C237=""),"",ROUND(M237*N237,2))</f>
        <v/>
      </c>
      <c r="K237" s="330">
        <f>IF(AND(B237="",C237=""),"",ROUND(J237*F237,2))</f>
        <v/>
      </c>
      <c r="L237" s="126" t="n">
        <v>1</v>
      </c>
      <c r="M237" s="331" t="n">
        <v>1e-07</v>
      </c>
      <c r="N237" s="128" t="n">
        <v>0</v>
      </c>
      <c r="O237" s="129">
        <f t="array" ref="O237">IF(AND(B237="",C237=""),"",IF(G237&gt;=20000,0.05,IF(G237&gt;=10000,0.1,IF(G237&gt;=5000,0.2,IF(G237&gt;=1000,0.3,IF(G237&gt;=0,0.4,{0}))))))</f>
        <v/>
      </c>
      <c r="P237" s="332">
        <f>IF(AND(B237="",C237=""),"",ROUND(H237*O237,2))</f>
        <v/>
      </c>
      <c r="Q237" s="327" t="inlineStr">
        <is>
          <t>元件</t>
        </is>
      </c>
      <c r="R237" s="150" t="n"/>
      <c r="S237" s="150" t="n"/>
      <c r="T237" s="150" t="inlineStr">
        <is>
          <t>0</t>
        </is>
      </c>
      <c r="U237" s="150" t="n"/>
      <c r="V237" s="328" t="n"/>
      <c r="W237" s="328" t="n"/>
      <c r="X237" s="152" t="n"/>
    </row>
    <row r="238" customFormat="1" s="145">
      <c r="A238" s="36">
        <f>ROW()-ROW(A$236)</f>
        <v/>
      </c>
      <c r="B238" s="29" t="inlineStr">
        <is>
          <t>测量电流互感器</t>
        </is>
      </c>
      <c r="C238" s="25" t="inlineStr">
        <is>
          <t>SD-0.66-100II-C 2500/5</t>
        </is>
      </c>
      <c r="D238" s="29" t="inlineStr">
        <is>
          <t>杭州桑迪</t>
        </is>
      </c>
      <c r="E238" s="30" t="inlineStr">
        <is>
          <t>只</t>
        </is>
      </c>
      <c r="F238" s="26" t="n">
        <v>3</v>
      </c>
      <c r="G238" s="293">
        <f>IF(AND(B238="",C238=""),"",ROUND(M238*L238*N238,2))</f>
        <v/>
      </c>
      <c r="H238" s="293">
        <f>IF(AND(B238="",C238=""),"",ROUND(F238*G238,2))</f>
        <v/>
      </c>
      <c r="I238" s="91" t="n"/>
      <c r="J238" s="329">
        <f>IF(AND(B238="",C238=""),"",ROUND(M238*N238,2))</f>
        <v/>
      </c>
      <c r="K238" s="330">
        <f>IF(AND(B238="",C238=""),"",ROUND(J238*F238,2))</f>
        <v/>
      </c>
      <c r="L238" s="126" t="n">
        <v>1</v>
      </c>
      <c r="M238" s="331" t="n">
        <v>161.85</v>
      </c>
      <c r="N238" s="128" t="n">
        <v>1</v>
      </c>
      <c r="O238" s="129">
        <f t="array" ref="O238">IF(AND(B238="",C238=""),"",IF(G238&gt;=20000,0.05,IF(G238&gt;=10000,0.1,IF(G238&gt;=5000,0.2,IF(G238&gt;=1000,0.3,IF(G238&gt;=0,0.4,{0}))))))</f>
        <v/>
      </c>
      <c r="P238" s="332">
        <f>IF(AND(B238="",C238=""),"",ROUND(H238*O238,2))</f>
        <v/>
      </c>
      <c r="Q238" s="327" t="inlineStr">
        <is>
          <t>元件</t>
        </is>
      </c>
      <c r="R238" s="150" t="n"/>
      <c r="S238" s="150" t="n"/>
      <c r="T238" s="150" t="inlineStr">
        <is>
          <t>0</t>
        </is>
      </c>
      <c r="U238" s="150" t="n"/>
      <c r="V238" s="328" t="n"/>
      <c r="W238" s="328" t="n"/>
      <c r="X238" s="152" t="n"/>
    </row>
    <row r="239" customFormat="1" s="145">
      <c r="A239" s="36">
        <f>ROW()-ROW(A$236)</f>
        <v/>
      </c>
      <c r="B239" s="25" t="inlineStr">
        <is>
          <t>多功能表</t>
        </is>
      </c>
      <c r="C239" s="25" t="inlineStr">
        <is>
          <t>PM4633</t>
        </is>
      </c>
      <c r="D239" s="25" t="inlineStr">
        <is>
          <t>甲供/施耐德电气</t>
        </is>
      </c>
      <c r="E239" s="30" t="inlineStr">
        <is>
          <t>只</t>
        </is>
      </c>
      <c r="F239" s="26">
        <f>IF(AND(B239="",C239=""),"",1)</f>
        <v/>
      </c>
      <c r="G239" s="293">
        <f>IF(AND(B239="",C239=""),"",ROUND(M239*L239*N239,2))</f>
        <v/>
      </c>
      <c r="H239" s="293">
        <f>IF(AND(B239="",C239=""),"",ROUND(F239*G239,2))</f>
        <v/>
      </c>
      <c r="I239" s="91" t="n"/>
      <c r="J239" s="329">
        <f>IF(AND(B239="",C239=""),"",ROUND(M239*N239,2))</f>
        <v/>
      </c>
      <c r="K239" s="330">
        <f>IF(AND(B239="",C239=""),"",ROUND(J239*F239,2))</f>
        <v/>
      </c>
      <c r="L239" s="126" t="n">
        <v>1</v>
      </c>
      <c r="M239" s="331" t="n">
        <v>1e-07</v>
      </c>
      <c r="N239" s="128" t="n">
        <v>0</v>
      </c>
      <c r="O239" s="129">
        <f t="array" ref="O239">IF(AND(B239="",C239=""),"",IF(G239&gt;=20000,0.05,IF(G239&gt;=10000,0.1,IF(G239&gt;=5000,0.2,IF(G239&gt;=1000,0.3,IF(G239&gt;=0,0.4,{0}))))))</f>
        <v/>
      </c>
      <c r="P239" s="332">
        <f>IF(AND(B239="",C239=""),"",ROUND(H239*O239,2))</f>
        <v/>
      </c>
      <c r="Q239" s="327" t="inlineStr">
        <is>
          <t>元件</t>
        </is>
      </c>
      <c r="R239" s="150" t="n"/>
      <c r="S239" s="150" t="n"/>
      <c r="T239" s="150" t="inlineStr">
        <is>
          <t>0</t>
        </is>
      </c>
      <c r="U239" s="150" t="n"/>
      <c r="V239" s="328" t="n"/>
      <c r="W239" s="328" t="n"/>
      <c r="X239" s="152" t="n"/>
    </row>
    <row r="240" customFormat="1" s="145">
      <c r="A240" s="36">
        <f>ROW()-ROW(A$236)</f>
        <v/>
      </c>
      <c r="B240" s="29" t="inlineStr">
        <is>
          <t>SP元件</t>
        </is>
      </c>
      <c r="C240" s="25" t="inlineStr">
        <is>
          <t>智能网关 PAS700</t>
        </is>
      </c>
      <c r="D240" s="25" t="inlineStr">
        <is>
          <t>甲供/施耐德电气</t>
        </is>
      </c>
      <c r="E240" s="30" t="inlineStr">
        <is>
          <t>只</t>
        </is>
      </c>
      <c r="F240" s="30">
        <f>IF(AND(B240="",C240=""),"",1)</f>
        <v/>
      </c>
      <c r="G240" s="297">
        <f>IF(AND(B240="",C240=""),"",ROUND(M240*L240*N240,2))</f>
        <v/>
      </c>
      <c r="H240" s="297">
        <f>IF(AND(B240="",C240=""),"",ROUND(F240*G240,2))</f>
        <v/>
      </c>
      <c r="I240" s="135" t="n"/>
      <c r="J240" s="329">
        <f>IF(AND(B240="",C240=""),"",ROUND(M240*N240,2))</f>
        <v/>
      </c>
      <c r="K240" s="330">
        <f>IF(AND(B240="",C240=""),"",ROUND(J240*F240,2))</f>
        <v/>
      </c>
      <c r="L240" s="126" t="n">
        <v>1</v>
      </c>
      <c r="M240" s="331" t="n">
        <v>1e-07</v>
      </c>
      <c r="N240" s="128" t="n">
        <v>0</v>
      </c>
      <c r="O240" s="129">
        <f t="array" ref="O240">IF(AND(B240="",C240=""),"",IF(G240&gt;=20000,0.05,IF(G240&gt;=10000,0.1,IF(G240&gt;=5000,0.2,IF(G240&gt;=1000,0.3,IF(G240&gt;=0,0.4,{0}))))))</f>
        <v/>
      </c>
      <c r="P240" s="332">
        <f>IF(AND(B240="",C240=""),"",ROUND(H240*O240,2))</f>
        <v/>
      </c>
      <c r="Q240" s="327" t="inlineStr">
        <is>
          <t>元件</t>
        </is>
      </c>
      <c r="R240" s="150" t="n"/>
      <c r="S240" s="150" t="n"/>
      <c r="T240" s="150" t="inlineStr">
        <is>
          <t>0</t>
        </is>
      </c>
      <c r="U240" s="150" t="n"/>
      <c r="V240" s="328" t="n"/>
      <c r="W240" s="328" t="n"/>
      <c r="X240" s="152" t="n"/>
    </row>
    <row r="241" customFormat="1" s="145">
      <c r="A241" s="36">
        <f>ROW()-ROW(A$236)</f>
        <v/>
      </c>
      <c r="B241" s="29" t="inlineStr">
        <is>
          <t>指示灯</t>
        </is>
      </c>
      <c r="C241" s="29" t="inlineStr">
        <is>
          <t>XA2EVM3LC</t>
        </is>
      </c>
      <c r="D241" s="29" t="inlineStr">
        <is>
          <t>施耐德电气</t>
        </is>
      </c>
      <c r="E241" s="30" t="inlineStr">
        <is>
          <t>只</t>
        </is>
      </c>
      <c r="F241" s="30" t="n">
        <v>1</v>
      </c>
      <c r="G241" s="297">
        <f>IF(AND(B241="",C241=""),"",ROUND(M241*L241*N241,2))</f>
        <v/>
      </c>
      <c r="H241" s="297">
        <f>IF(AND(B241="",C241=""),"",ROUND(F241*G241,2))</f>
        <v/>
      </c>
      <c r="I241" s="136" t="n"/>
      <c r="J241" s="329">
        <f>IF(AND(B241="",C241=""),"",ROUND(M241*N241,2))</f>
        <v/>
      </c>
      <c r="K241" s="330">
        <f>IF(AND(B241="",C241=""),"",ROUND(J241*F241,2))</f>
        <v/>
      </c>
      <c r="L241" s="126" t="n">
        <v>1</v>
      </c>
      <c r="M241" s="331" t="n">
        <v>16.43</v>
      </c>
      <c r="N241" s="137" t="n">
        <v>0.5</v>
      </c>
      <c r="O241" s="138">
        <f t="array" ref="O241">IF(AND(B241="",C241=""),"",IF(G241&gt;=20000,0.05,IF(G241&gt;=10000,0.1,IF(G241&gt;=5000,0.2,IF(G241&gt;=1000,0.3,IF(G241&gt;=0,0.4,{0}))))))</f>
        <v/>
      </c>
      <c r="P241" s="333">
        <f>IF(AND(B241="",C241=""),"",ROUND(H241*O241,2))</f>
        <v/>
      </c>
      <c r="Q241" s="334" t="inlineStr">
        <is>
          <t>元件</t>
        </is>
      </c>
      <c r="R241" s="154" t="n"/>
      <c r="S241" s="154" t="n"/>
      <c r="T241" s="154" t="inlineStr">
        <is>
          <t>0</t>
        </is>
      </c>
      <c r="U241" s="154" t="inlineStr">
        <is>
          <t>XA2EVM3LC</t>
        </is>
      </c>
      <c r="V241" s="335" t="n"/>
      <c r="W241" s="335" t="n"/>
      <c r="X241" s="152" t="n"/>
    </row>
    <row r="242" customFormat="1" s="145">
      <c r="A242" s="36">
        <f>ROW()-ROW(A$236)</f>
        <v/>
      </c>
      <c r="B242" s="29" t="inlineStr">
        <is>
          <t>指示灯</t>
        </is>
      </c>
      <c r="C242" s="25" t="inlineStr">
        <is>
          <t>XA2EVM4LC</t>
        </is>
      </c>
      <c r="D242" s="29" t="inlineStr">
        <is>
          <t>施耐德电气</t>
        </is>
      </c>
      <c r="E242" s="30" t="inlineStr">
        <is>
          <t>只</t>
        </is>
      </c>
      <c r="F242" s="30" t="n">
        <v>1</v>
      </c>
      <c r="G242" s="297">
        <f>IF(AND(B242="",C242=""),"",ROUND(M242*L242*N242,2))</f>
        <v/>
      </c>
      <c r="H242" s="297">
        <f>IF(AND(B242="",C242=""),"",ROUND(F242*G242,2))</f>
        <v/>
      </c>
      <c r="I242" s="136" t="n"/>
      <c r="J242" s="329">
        <f>IF(AND(B242="",C242=""),"",ROUND(M242*N242,2))</f>
        <v/>
      </c>
      <c r="K242" s="330">
        <f>IF(AND(B242="",C242=""),"",ROUND(J242*F242,2))</f>
        <v/>
      </c>
      <c r="L242" s="126" t="n">
        <v>1</v>
      </c>
      <c r="M242" s="331" t="n">
        <v>16.43</v>
      </c>
      <c r="N242" s="137" t="n">
        <v>0.5</v>
      </c>
      <c r="O242" s="138">
        <f t="array" ref="O242">IF(AND(B242="",C242=""),"",IF(G242&gt;=20000,0.05,IF(G242&gt;=10000,0.1,IF(G242&gt;=5000,0.2,IF(G242&gt;=1000,0.3,IF(G242&gt;=0,0.4,{0}))))))</f>
        <v/>
      </c>
      <c r="P242" s="333">
        <f>IF(AND(B242="",C242=""),"",ROUND(H242*O242,2))</f>
        <v/>
      </c>
      <c r="Q242" s="334" t="inlineStr">
        <is>
          <t>元件</t>
        </is>
      </c>
      <c r="R242" s="154" t="n"/>
      <c r="S242" s="154" t="n"/>
      <c r="T242" s="154" t="inlineStr">
        <is>
          <t>0</t>
        </is>
      </c>
      <c r="U242" s="154" t="inlineStr">
        <is>
          <t>XA2EVM4LC</t>
        </is>
      </c>
      <c r="V242" s="335" t="n"/>
      <c r="W242" s="335" t="n"/>
      <c r="X242" s="152" t="n"/>
    </row>
    <row r="243" customFormat="1" s="145">
      <c r="A243" s="36">
        <f>ROW()-ROW(A$236)</f>
        <v/>
      </c>
      <c r="B243" s="29" t="inlineStr">
        <is>
          <t>指示灯</t>
        </is>
      </c>
      <c r="C243" s="29" t="inlineStr">
        <is>
          <t>XA2EVM5LC</t>
        </is>
      </c>
      <c r="D243" s="29" t="inlineStr">
        <is>
          <t>施耐德电气</t>
        </is>
      </c>
      <c r="E243" s="30" t="inlineStr">
        <is>
          <t>只</t>
        </is>
      </c>
      <c r="F243" s="30" t="n">
        <v>1</v>
      </c>
      <c r="G243" s="297">
        <f>IF(AND(B243="",C243=""),"",ROUND(M243*L243*N243,2))</f>
        <v/>
      </c>
      <c r="H243" s="297">
        <f>IF(AND(B243="",C243=""),"",ROUND(F243*G243,2))</f>
        <v/>
      </c>
      <c r="I243" s="136" t="n"/>
      <c r="J243" s="329">
        <f>IF(AND(B243="",C243=""),"",ROUND(M243*N243,2))</f>
        <v/>
      </c>
      <c r="K243" s="330">
        <f>IF(AND(B243="",C243=""),"",ROUND(J243*F243,2))</f>
        <v/>
      </c>
      <c r="L243" s="126" t="n">
        <v>1</v>
      </c>
      <c r="M243" s="331" t="n">
        <v>16.43</v>
      </c>
      <c r="N243" s="137" t="n">
        <v>0.5</v>
      </c>
      <c r="O243" s="138">
        <f t="array" ref="O243">IF(AND(B243="",C243=""),"",IF(G243&gt;=20000,0.05,IF(G243&gt;=10000,0.1,IF(G243&gt;=5000,0.2,IF(G243&gt;=1000,0.3,IF(G243&gt;=0,0.4,{0}))))))</f>
        <v/>
      </c>
      <c r="P243" s="333">
        <f>IF(AND(B243="",C243=""),"",ROUND(H243*O243,2))</f>
        <v/>
      </c>
      <c r="Q243" s="334" t="inlineStr">
        <is>
          <t>元件</t>
        </is>
      </c>
      <c r="R243" s="154" t="n"/>
      <c r="S243" s="154" t="n"/>
      <c r="T243" s="154" t="inlineStr">
        <is>
          <t>0</t>
        </is>
      </c>
      <c r="U243" s="154" t="inlineStr">
        <is>
          <t>XA2EVM5LC</t>
        </is>
      </c>
      <c r="V243" s="335" t="n"/>
      <c r="W243" s="335" t="n"/>
      <c r="X243" s="152" t="n"/>
    </row>
    <row r="244" customFormat="1" s="145">
      <c r="A244" s="36">
        <f>ROW()-ROW(A$236)</f>
        <v/>
      </c>
      <c r="B244" s="29" t="inlineStr">
        <is>
          <t>按钮</t>
        </is>
      </c>
      <c r="C244" s="29" t="inlineStr">
        <is>
          <t>XA2EA31</t>
        </is>
      </c>
      <c r="D244" s="29" t="inlineStr">
        <is>
          <t>施耐德电气</t>
        </is>
      </c>
      <c r="E244" s="30" t="inlineStr">
        <is>
          <t>只</t>
        </is>
      </c>
      <c r="F244" s="30" t="n">
        <v>1</v>
      </c>
      <c r="G244" s="297">
        <f>IF(AND(B244="",C244=""),"",ROUND(M244*L244*N244,2))</f>
        <v/>
      </c>
      <c r="H244" s="297">
        <f>IF(AND(B244="",C244=""),"",ROUND(F244*G244,2))</f>
        <v/>
      </c>
      <c r="I244" s="136" t="n"/>
      <c r="J244" s="329">
        <f>IF(AND(B244="",C244=""),"",ROUND(M244*N244,2))</f>
        <v/>
      </c>
      <c r="K244" s="330">
        <f>IF(AND(B244="",C244=""),"",ROUND(J244*F244,2))</f>
        <v/>
      </c>
      <c r="L244" s="126" t="n">
        <v>1</v>
      </c>
      <c r="M244" s="331" t="n">
        <v>15.55</v>
      </c>
      <c r="N244" s="137" t="n">
        <v>0.5</v>
      </c>
      <c r="O244" s="138">
        <f t="array" ref="O244">IF(AND(B244="",C244=""),"",IF(G244&gt;=20000,0.05,IF(G244&gt;=10000,0.1,IF(G244&gt;=5000,0.2,IF(G244&gt;=1000,0.3,IF(G244&gt;=0,0.4,{0}))))))</f>
        <v/>
      </c>
      <c r="P244" s="333">
        <f>IF(AND(B244="",C244=""),"",ROUND(H244*O244,2))</f>
        <v/>
      </c>
      <c r="Q244" s="334" t="inlineStr">
        <is>
          <t>元件</t>
        </is>
      </c>
      <c r="R244" s="154" t="n"/>
      <c r="S244" s="154" t="n"/>
      <c r="T244" s="154" t="inlineStr">
        <is>
          <t>0</t>
        </is>
      </c>
      <c r="U244" s="154" t="inlineStr">
        <is>
          <t>XA2EA31</t>
        </is>
      </c>
      <c r="V244" s="335" t="n"/>
      <c r="W244" s="335" t="n"/>
      <c r="X244" s="152" t="n"/>
    </row>
    <row r="245" customFormat="1" s="145">
      <c r="A245" s="36">
        <f>ROW()-ROW(A$236)</f>
        <v/>
      </c>
      <c r="B245" s="25" t="inlineStr">
        <is>
          <t>按钮</t>
        </is>
      </c>
      <c r="C245" s="25" t="inlineStr">
        <is>
          <t>XA2EA41</t>
        </is>
      </c>
      <c r="D245" s="25" t="inlineStr">
        <is>
          <t>施耐德电气</t>
        </is>
      </c>
      <c r="E245" s="26" t="inlineStr">
        <is>
          <t>只</t>
        </is>
      </c>
      <c r="F245" s="26" t="n">
        <v>1</v>
      </c>
      <c r="G245" s="293">
        <f>IF(AND(B245="",C245=""),"",ROUND(M245*L245*N245,2))</f>
        <v/>
      </c>
      <c r="H245" s="297">
        <f>IF(AND(B245="",C245=""),"",ROUND(F245*G245,2))</f>
        <v/>
      </c>
      <c r="I245" s="136" t="n"/>
      <c r="J245" s="329">
        <f>IF(AND(B245="",C245=""),"",ROUND(M245*N245,2))</f>
        <v/>
      </c>
      <c r="K245" s="330">
        <f>IF(AND(B245="",C245=""),"",ROUND(J245*F245,2))</f>
        <v/>
      </c>
      <c r="L245" s="126" t="n">
        <v>1</v>
      </c>
      <c r="M245" s="331" t="n">
        <v>15.55</v>
      </c>
      <c r="N245" s="137" t="n">
        <v>0.5</v>
      </c>
      <c r="O245" s="138">
        <f t="array" ref="O245">IF(AND(B245="",C245=""),"",IF(G245&gt;=20000,0.05,IF(G245&gt;=10000,0.1,IF(G245&gt;=5000,0.2,IF(G245&gt;=1000,0.3,IF(G245&gt;=0,0.4,{0}))))))</f>
        <v/>
      </c>
      <c r="P245" s="333">
        <f>IF(AND(B245="",C245=""),"",ROUND(H245*O245,2))</f>
        <v/>
      </c>
      <c r="Q245" s="334" t="inlineStr">
        <is>
          <t>元件</t>
        </is>
      </c>
      <c r="R245" s="154" t="n"/>
      <c r="S245" s="154" t="n"/>
      <c r="T245" s="154" t="inlineStr">
        <is>
          <t>0</t>
        </is>
      </c>
      <c r="U245" s="154" t="inlineStr">
        <is>
          <t>XA2EA41</t>
        </is>
      </c>
      <c r="V245" s="335" t="n"/>
      <c r="W245" s="335" t="n"/>
      <c r="X245" s="152" t="n"/>
    </row>
    <row r="246" customFormat="1" s="145">
      <c r="A246" s="36">
        <f>ROW()-ROW(A$236)</f>
        <v/>
      </c>
      <c r="B246" s="25" t="inlineStr">
        <is>
          <t>熔断器</t>
        </is>
      </c>
      <c r="C246" s="25" t="inlineStr">
        <is>
          <t>UK5-HESI</t>
        </is>
      </c>
      <c r="D246" s="25" t="inlineStr">
        <is>
          <t>菲尼克斯</t>
        </is>
      </c>
      <c r="E246" s="26" t="inlineStr">
        <is>
          <t>只</t>
        </is>
      </c>
      <c r="F246" s="26" t="n">
        <v>4</v>
      </c>
      <c r="G246" s="293">
        <f>IF(AND(B246="",C246=""),"",ROUND(M246*L246*N246,2))</f>
        <v/>
      </c>
      <c r="H246" s="297">
        <f>IF(AND(B246="",C246=""),"",ROUND(F246*G246,2))</f>
        <v/>
      </c>
      <c r="I246" s="136" t="n"/>
      <c r="J246" s="329">
        <f>IF(AND(B246="",C246=""),"",ROUND(M246*N246,2))</f>
        <v/>
      </c>
      <c r="K246" s="330">
        <f>IF(AND(B246="",C246=""),"",ROUND(J246*F246,2))</f>
        <v/>
      </c>
      <c r="L246" s="126" t="n">
        <v>1</v>
      </c>
      <c r="M246" s="331" t="n">
        <v>7</v>
      </c>
      <c r="N246" s="137" t="n">
        <v>1</v>
      </c>
      <c r="O246" s="138">
        <f t="array" ref="O246">IF(AND(B246="",C246=""),"",IF(G246&gt;=20000,0.05,IF(G246&gt;=10000,0.1,IF(G246&gt;=5000,0.2,IF(G246&gt;=1000,0.3,IF(G246&gt;=0,0.4,{0}))))))</f>
        <v/>
      </c>
      <c r="P246" s="333">
        <f>IF(AND(B246="",C246=""),"",ROUND(H246*O246,2))</f>
        <v/>
      </c>
      <c r="Q246" s="334" t="inlineStr">
        <is>
          <t>元件</t>
        </is>
      </c>
      <c r="R246" s="154" t="n"/>
      <c r="S246" s="154" t="n"/>
      <c r="T246" s="154" t="inlineStr">
        <is>
          <t>0</t>
        </is>
      </c>
      <c r="U246" s="154" t="n"/>
      <c r="V246" s="335" t="n"/>
      <c r="W246" s="335" t="n"/>
      <c r="X246" s="152" t="n"/>
    </row>
    <row r="247" customFormat="1" s="145">
      <c r="A247" s="36">
        <f>ROW()-ROW(A$236)</f>
        <v/>
      </c>
      <c r="B247" s="25" t="inlineStr">
        <is>
          <t>水平排2500A</t>
        </is>
      </c>
      <c r="C247" s="25" t="inlineStr">
        <is>
          <t>TMY 3*(2*125*5)+1*125*5+2*50*5</t>
        </is>
      </c>
      <c r="D247" s="25" t="inlineStr">
        <is>
          <t>国产优质</t>
        </is>
      </c>
      <c r="E247" s="26" t="inlineStr">
        <is>
          <t>米</t>
        </is>
      </c>
      <c r="F247" s="30" t="n">
        <v>0.9</v>
      </c>
      <c r="G247" s="297">
        <f>IF(AND(B247="",C247=""),"",ROUND(M247*L247*N247,2))</f>
        <v/>
      </c>
      <c r="H247" s="297">
        <f>IF(AND(B247="",C247=""),"",ROUND(F247*G247,2))</f>
        <v/>
      </c>
      <c r="I247" s="135" t="n"/>
      <c r="J247" s="329">
        <f>IF(AND(B247="",C247=""),"",ROUND(M247*N247,2))</f>
        <v/>
      </c>
      <c r="K247" s="330">
        <f>IF(AND(B247="",C247=""),"",ROUND(J247*F247,2))</f>
        <v/>
      </c>
      <c r="L247" s="126" t="n">
        <v>1</v>
      </c>
      <c r="M247" s="331" t="n">
        <v>3633.9200625</v>
      </c>
      <c r="N247" s="128" t="n">
        <v>1</v>
      </c>
      <c r="O247" s="129">
        <f t="array" ref="O247">IF(AND(B247="",C247=""),"",IF(G247&gt;=20000,0.05,IF(G247&gt;=10000,0.1,IF(G247&gt;=5000,0.2,IF(G247&gt;=1000,0.3,IF(G247&gt;=0,0.4,{0}))))))</f>
        <v/>
      </c>
      <c r="P247" s="332">
        <f>IF(AND(B247="",C247=""),"",ROUND(H247*O247,2))</f>
        <v/>
      </c>
      <c r="Q247" s="327" t="inlineStr">
        <is>
          <t>母排</t>
        </is>
      </c>
      <c r="R247" s="150" t="n"/>
      <c r="S247" s="150" t="n"/>
      <c r="T247" s="150" t="inlineStr">
        <is>
          <t>0</t>
        </is>
      </c>
      <c r="U247" s="150" t="n"/>
      <c r="V247" s="328" t="n"/>
      <c r="W247" s="328" t="n"/>
      <c r="X247" s="152" t="n"/>
    </row>
    <row r="248" customFormat="1" s="145">
      <c r="A248" s="36">
        <f>ROW()-ROW(A$236)</f>
        <v/>
      </c>
      <c r="B248" s="29" t="inlineStr">
        <is>
          <t>柜内排</t>
        </is>
      </c>
      <c r="C248" s="29" t="inlineStr">
        <is>
          <t>TMY</t>
        </is>
      </c>
      <c r="D248" s="25" t="inlineStr">
        <is>
          <t>国产优质</t>
        </is>
      </c>
      <c r="E248" s="26" t="inlineStr">
        <is>
          <t>kg</t>
        </is>
      </c>
      <c r="F248" s="30">
        <f>149.8*1.05</f>
        <v/>
      </c>
      <c r="G248" s="297">
        <f>IF(AND(B248="",C248=""),"",ROUND(M248*L248*N248,2))</f>
        <v/>
      </c>
      <c r="H248" s="297">
        <f>IF(AND(B248="",C248=""),"",ROUND(F248*G248,2))</f>
        <v/>
      </c>
      <c r="I248" s="135" t="n"/>
      <c r="J248" s="329">
        <f>IF(AND(B248="",C248=""),"",ROUND(M248*N248,2))</f>
        <v/>
      </c>
      <c r="K248" s="330">
        <f>IF(AND(B248="",C248=""),"",ROUND(J248*F248,2))</f>
        <v/>
      </c>
      <c r="L248" s="126" t="n">
        <v>1</v>
      </c>
      <c r="M248" s="331" t="n">
        <v>83.755</v>
      </c>
      <c r="N248" s="128" t="n">
        <v>1</v>
      </c>
      <c r="O248" s="129">
        <f t="array" ref="O248">IF(AND(B248="",C248=""),"",IF(G248&gt;=20000,0.05,IF(G248&gt;=10000,0.1,IF(G248&gt;=5000,0.2,IF(G248&gt;=1000,0.3,IF(G248&gt;=0,0.4,{0}))))))</f>
        <v/>
      </c>
      <c r="P248" s="332">
        <f>IF(AND(B248="",C248=""),"",ROUND(H248*O248,2))</f>
        <v/>
      </c>
      <c r="Q248" s="327" t="inlineStr">
        <is>
          <t>母排</t>
        </is>
      </c>
      <c r="R248" s="150" t="n"/>
      <c r="S248" s="150" t="n"/>
      <c r="T248" s="150" t="inlineStr">
        <is>
          <t>0</t>
        </is>
      </c>
      <c r="U248" s="150" t="n"/>
      <c r="V248" s="328" t="n"/>
      <c r="W248" s="328" t="n"/>
      <c r="X248" s="152" t="n"/>
    </row>
    <row r="249" customFormat="1" s="145">
      <c r="A249" s="36">
        <f>ROW()-ROW(A$236)</f>
        <v/>
      </c>
      <c r="B249" s="25" t="inlineStr">
        <is>
          <t>导线及辅料</t>
        </is>
      </c>
      <c r="C249" s="25" t="n"/>
      <c r="D249" s="25" t="inlineStr">
        <is>
          <t>国产优质</t>
        </is>
      </c>
      <c r="E249" s="26" t="inlineStr">
        <is>
          <t>套</t>
        </is>
      </c>
      <c r="F249" s="26" t="n">
        <v>1</v>
      </c>
      <c r="G249" s="293">
        <f>IF(AND(B249="",C249=""),"",ROUND(M249*L249*N249,2))</f>
        <v/>
      </c>
      <c r="H249" s="293">
        <f>IF(AND(B249="",C249=""),"",ROUND(F249*G249,2))</f>
        <v/>
      </c>
      <c r="I249" s="164" t="n"/>
      <c r="J249" s="329">
        <f>IF(AND(B249="",C249=""),"",ROUND(M249*N249,2))</f>
        <v/>
      </c>
      <c r="K249" s="330">
        <f>IF(AND(B249="",C249=""),"",ROUND(J249*F249,2))</f>
        <v/>
      </c>
      <c r="L249" s="126" t="n">
        <v>1</v>
      </c>
      <c r="M249" s="331" t="n">
        <v>400</v>
      </c>
      <c r="N249" s="137" t="n">
        <v>1</v>
      </c>
      <c r="O249" s="138">
        <f t="array" ref="O249">IF(AND(B249="",C249=""),"",IF(G249&gt;=20000,0.05,IF(G249&gt;=10000,0.1,IF(G249&gt;=5000,0.2,IF(G249&gt;=1000,0.3,IF(G249&gt;=0,0.4,{0}))))))</f>
        <v/>
      </c>
      <c r="P249" s="333">
        <f>IF(AND(B249="",C249=""),"",ROUND(H249*O249,2))</f>
        <v/>
      </c>
      <c r="Q249" s="334" t="inlineStr">
        <is>
          <t>辅料</t>
        </is>
      </c>
      <c r="R249" s="154" t="n"/>
      <c r="S249" s="154" t="n"/>
      <c r="T249" s="154" t="inlineStr">
        <is>
          <t>0</t>
        </is>
      </c>
      <c r="U249" s="154" t="n"/>
      <c r="V249" s="335" t="n"/>
      <c r="W249" s="335" t="n"/>
      <c r="X249" s="152" t="n"/>
    </row>
    <row r="250" customFormat="1" s="145">
      <c r="A250" s="36">
        <f>ROW()-ROW(A$236)</f>
        <v/>
      </c>
      <c r="B250" s="29" t="inlineStr">
        <is>
          <t>Blokset柜</t>
        </is>
      </c>
      <c r="C250" s="25" t="inlineStr">
        <is>
          <t>900W*1000D*2200H</t>
        </is>
      </c>
      <c r="D250" s="25" t="inlineStr">
        <is>
          <t>清科</t>
        </is>
      </c>
      <c r="E250" s="30" t="inlineStr">
        <is>
          <t>台</t>
        </is>
      </c>
      <c r="F250" s="30" t="n">
        <v>1</v>
      </c>
      <c r="G250" s="297">
        <f>IF(AND(B250="",C250=""),"",ROUND(M250*L250*N250,2))</f>
        <v/>
      </c>
      <c r="H250" s="297">
        <f>IF(AND(B250="",C250=""),"",ROUND(F250*G250,2))</f>
        <v/>
      </c>
      <c r="I250" s="135" t="n"/>
      <c r="J250" s="329">
        <f>IF(AND(B250="",C250=""),"",ROUND(M250*N250,2))</f>
        <v/>
      </c>
      <c r="K250" s="330">
        <f>IF(AND(B250="",C250=""),"",ROUND(J250*F250,2))</f>
        <v/>
      </c>
      <c r="L250" s="126" t="n">
        <v>1</v>
      </c>
      <c r="M250" s="331" t="n">
        <v>4609</v>
      </c>
      <c r="N250" s="137" t="n">
        <v>1</v>
      </c>
      <c r="O250" s="138">
        <f t="array" ref="O250">IF(AND(B250="",C250=""),"",IF(G250&gt;=20000,0.05,IF(G250&gt;=10000,0.1,IF(G250&gt;=5000,0.2,IF(G250&gt;=1000,0.3,IF(G250&gt;=0,0.4,{0}))))))</f>
        <v/>
      </c>
      <c r="P250" s="333">
        <f>IF(AND(B250="",C250=""),"",ROUND(H250*O250,2))</f>
        <v/>
      </c>
      <c r="Q250" s="334" t="inlineStr">
        <is>
          <t>箱体</t>
        </is>
      </c>
      <c r="R250" s="154" t="n"/>
      <c r="S250" s="154" t="n"/>
      <c r="T250" s="154" t="inlineStr">
        <is>
          <t>0</t>
        </is>
      </c>
      <c r="U250" s="154" t="n"/>
      <c r="V250" s="335" t="n"/>
      <c r="W250" s="335" t="n"/>
      <c r="X250" s="152" t="n"/>
    </row>
    <row r="251" customFormat="1" s="145">
      <c r="A251" s="36">
        <f>ROW()-ROW(A$236)</f>
        <v/>
      </c>
      <c r="B251" s="29" t="n"/>
      <c r="C251" s="29" t="n"/>
      <c r="D251" s="29" t="n"/>
      <c r="E251" s="30" t="n"/>
      <c r="F251" s="30">
        <f>IF(AND(B251="",C251=""),"",1)</f>
        <v/>
      </c>
      <c r="G251" s="297">
        <f>IF(AND(B251="",C251=""),"",ROUND(M251*L251*N251,2))</f>
        <v/>
      </c>
      <c r="H251" s="297">
        <f>IF(AND(B251="",C251=""),"",ROUND(F251*G251,2))</f>
        <v/>
      </c>
      <c r="I251" s="135" t="n"/>
      <c r="J251" s="329">
        <f>IF(AND(B251="",C251=""),"",ROUND(M251*N251,2))</f>
        <v/>
      </c>
      <c r="K251" s="330">
        <f>IF(AND(B251="",C251=""),"",ROUND(J251*F251,2))</f>
        <v/>
      </c>
      <c r="L251" s="126">
        <f>IF(AND(B251="",C251=""),"",1)</f>
        <v/>
      </c>
      <c r="M251" s="331" t="n"/>
      <c r="N251" s="128">
        <f>IF(AND(B251="",C251=""),"",1)</f>
        <v/>
      </c>
      <c r="O251" s="129">
        <f t="array" ref="O251">IF(AND(B251="",C251=""),"",IF(G251&gt;=20000,0.05,IF(G251&gt;=10000,0.1,IF(G251&gt;=5000,0.2,IF(G251&gt;=1000,0.3,IF(G251&gt;=0,0.4,{0}))))))</f>
        <v/>
      </c>
      <c r="P251" s="332">
        <f>IF(AND(B251="",C251=""),"",ROUND(H251*O251,2))</f>
        <v/>
      </c>
      <c r="Q251" s="327">
        <f>IF(AND(B251="",C251=""),"","元件")</f>
        <v/>
      </c>
      <c r="R251" s="150" t="n"/>
      <c r="S251" s="150" t="n"/>
      <c r="T251" s="150" t="n"/>
      <c r="U251" s="150" t="n"/>
      <c r="V251" s="328" t="n"/>
      <c r="W251" s="328" t="n"/>
      <c r="X251" s="152" t="n"/>
    </row>
    <row r="252" customFormat="1" s="145">
      <c r="A252" s="36">
        <f>ROW()-ROW(A$236)</f>
        <v/>
      </c>
      <c r="B252" s="29" t="n"/>
      <c r="C252" s="29" t="n"/>
      <c r="D252" s="29" t="n"/>
      <c r="E252" s="30" t="n"/>
      <c r="F252" s="30">
        <f>IF(AND(B252="",C252=""),"",1)</f>
        <v/>
      </c>
      <c r="G252" s="297">
        <f>IF(AND(B252="",C252=""),"",ROUND(M252*L252*N252,2))</f>
        <v/>
      </c>
      <c r="H252" s="297">
        <f>IF(AND(B252="",C252=""),"",ROUND(F252*G252,2))</f>
        <v/>
      </c>
      <c r="I252" s="135" t="n"/>
      <c r="J252" s="329">
        <f>IF(AND(B252="",C252=""),"",ROUND(M252*N252,2))</f>
        <v/>
      </c>
      <c r="K252" s="330">
        <f>IF(AND(B252="",C252=""),"",ROUND(J252*F252,2))</f>
        <v/>
      </c>
      <c r="L252" s="126">
        <f>IF(AND(B252="",C252=""),"",1)</f>
        <v/>
      </c>
      <c r="M252" s="331" t="n"/>
      <c r="N252" s="128">
        <f>IF(AND(B252="",C252=""),"",1)</f>
        <v/>
      </c>
      <c r="O252" s="129">
        <f t="array" ref="O252">IF(AND(B252="",C252=""),"",IF(G252&gt;=20000,0.05,IF(G252&gt;=10000,0.1,IF(G252&gt;=5000,0.2,IF(G252&gt;=1000,0.3,IF(G252&gt;=0,0.4,{0}))))))</f>
        <v/>
      </c>
      <c r="P252" s="332">
        <f>IF(AND(B252="",C252=""),"",ROUND(H252*O252,2))</f>
        <v/>
      </c>
      <c r="Q252" s="327">
        <f>IF(AND(B252="",C252=""),"","元件")</f>
        <v/>
      </c>
      <c r="R252" s="150" t="n"/>
      <c r="S252" s="150" t="n"/>
      <c r="T252" s="150" t="n"/>
      <c r="U252" s="150" t="n"/>
      <c r="V252" s="328" t="n"/>
      <c r="W252" s="328" t="n"/>
      <c r="X252" s="152" t="n"/>
    </row>
    <row r="253" customFormat="1" s="145">
      <c r="A253" s="36">
        <f>ROW()-ROW(A$236)</f>
        <v/>
      </c>
      <c r="B253" s="156" t="inlineStr">
        <is>
          <t>小计</t>
        </is>
      </c>
      <c r="C253" s="157" t="n"/>
      <c r="D253" s="54" t="n"/>
      <c r="E253" s="30" t="n"/>
      <c r="F253" s="30" t="n"/>
      <c r="G253" s="297" t="n"/>
      <c r="H253" s="297">
        <f>ROUND(SUM(H236:INDEX(H:H,ROW()-1)),2)</f>
        <v/>
      </c>
      <c r="I253" s="91" t="n"/>
      <c r="J253" s="329" t="n"/>
      <c r="K253" s="330">
        <f>ROUND(SUM(K236:INDEX(K:K,ROW()-1)),2)</f>
        <v/>
      </c>
      <c r="L253" s="126" t="n"/>
      <c r="M253" s="331" t="n"/>
      <c r="N253" s="128" t="n"/>
      <c r="O253" s="129" t="n"/>
      <c r="P253" s="332" t="n"/>
      <c r="Q253" s="327" t="n"/>
      <c r="R253" s="150" t="n"/>
      <c r="S253" s="150" t="n"/>
      <c r="T253" s="150" t="n"/>
      <c r="U253" s="150" t="n"/>
      <c r="V253" s="328">
        <f t="array" ref="V253">ROUND(SUMPRODUCT(F236:INDEX(F:F,ROW()-1),V236:INDEX(V:V,ROW()-1)),2)</f>
        <v/>
      </c>
      <c r="W253" s="328">
        <f t="array" ref="W253">ROUND(SUMPRODUCT(F236:INDEX(F:F,ROW()-1),W236:INDEX(W:W,ROW()-1)),2)</f>
        <v/>
      </c>
      <c r="X253" s="152" t="n"/>
    </row>
    <row r="254" customFormat="1" s="145">
      <c r="A254" s="36">
        <f>ROW()-ROW(A$236)</f>
        <v/>
      </c>
      <c r="B254" s="156" t="inlineStr">
        <is>
          <t>成套费</t>
        </is>
      </c>
      <c r="C254" s="157" t="n"/>
      <c r="D254" s="54" t="n"/>
      <c r="E254" s="30" t="n"/>
      <c r="F254" s="30" t="n"/>
      <c r="G254" s="297" t="n"/>
      <c r="H254" s="297" t="n">
        <v>944.76</v>
      </c>
      <c r="I254" s="91" t="n"/>
      <c r="J254" s="329" t="n"/>
      <c r="K254" s="330" t="n">
        <v>944.76</v>
      </c>
      <c r="L254" s="126" t="n"/>
      <c r="M254" s="331" t="n"/>
      <c r="N254" s="128" t="n"/>
      <c r="O254" s="129" t="n"/>
      <c r="P254" s="332" t="n"/>
      <c r="Q254" s="327" t="n"/>
      <c r="R254" s="150" t="n"/>
      <c r="S254" s="150" t="n"/>
      <c r="T254" s="150" t="n"/>
      <c r="U254" s="150" t="n"/>
      <c r="V254" s="328" t="n"/>
      <c r="W254" s="328" t="n"/>
      <c r="X254" s="152" t="n"/>
    </row>
    <row r="255" customFormat="1" s="145">
      <c r="A255" s="36">
        <f>ROW()-ROW(A$236)</f>
        <v/>
      </c>
      <c r="B255" s="156" t="n"/>
      <c r="C255" s="157" t="n"/>
      <c r="D255" s="54" t="n"/>
      <c r="E255" s="30" t="n"/>
      <c r="F255" s="30" t="n"/>
      <c r="G255" s="297" t="n"/>
      <c r="H255" s="297" t="n">
        <v>17.26</v>
      </c>
      <c r="I255" s="91" t="n"/>
      <c r="J255" s="329" t="n"/>
      <c r="K255" s="330" t="n"/>
      <c r="L255" s="126" t="n"/>
      <c r="M255" s="331" t="n"/>
      <c r="N255" s="128" t="n"/>
      <c r="O255" s="129" t="n"/>
      <c r="P255" s="332" t="n"/>
      <c r="Q255" s="327" t="n"/>
      <c r="R255" s="150" t="n"/>
      <c r="S255" s="150" t="n"/>
      <c r="T255" s="150" t="n"/>
      <c r="U255" s="150" t="n"/>
      <c r="V255" s="328" t="n"/>
      <c r="W255" s="328" t="n"/>
      <c r="X255" s="152" t="n"/>
    </row>
    <row r="256" customFormat="1" s="145">
      <c r="A256" s="36">
        <f>ROW()-ROW(A$236)</f>
        <v/>
      </c>
      <c r="B256" s="54" t="inlineStr">
        <is>
          <t>单台合计</t>
        </is>
      </c>
      <c r="C256" s="157" t="n"/>
      <c r="D256" s="54" t="n"/>
      <c r="E256" s="30" t="n"/>
      <c r="F256" s="30" t="n"/>
      <c r="G256" s="297" t="n"/>
      <c r="H256" s="297">
        <f>ROUND(SUM(H253:H254),2)</f>
        <v/>
      </c>
      <c r="I256" s="165" t="n"/>
      <c r="J256" s="329" t="n"/>
      <c r="K256" s="330">
        <f>ROUND(SUM(K253:K254),2)</f>
        <v/>
      </c>
      <c r="L256" s="166" t="n"/>
      <c r="M256" s="331" t="n"/>
      <c r="N256" s="167" t="n"/>
      <c r="O256" s="168" t="n"/>
      <c r="P256" s="332" t="n"/>
      <c r="Q256" s="327" t="n"/>
      <c r="R256" s="150" t="n"/>
      <c r="S256" s="150" t="n"/>
      <c r="T256" s="150" t="n"/>
      <c r="U256" s="150" t="n"/>
      <c r="V256" s="328" t="n"/>
      <c r="W256" s="328" t="n"/>
      <c r="X256" s="152" t="n"/>
    </row>
    <row r="257" customFormat="1" s="145">
      <c r="A257" s="158" t="inlineStr">
        <is>
          <t>总计</t>
        </is>
      </c>
      <c r="B257" s="159" t="n"/>
      <c r="C257" s="160" t="n"/>
      <c r="D257" s="161" t="n"/>
      <c r="E257" s="161" t="inlineStr">
        <is>
          <t>台</t>
        </is>
      </c>
      <c r="F257" s="161" t="n">
        <v>1</v>
      </c>
      <c r="G257" s="336">
        <f>ROUND(H256,2)</f>
        <v/>
      </c>
      <c r="H257" s="336">
        <f>ROUND(F257*G257,2)</f>
        <v/>
      </c>
      <c r="I257" s="169" t="n"/>
      <c r="J257" s="337" t="n"/>
      <c r="K257" s="338">
        <f>ROUND(K256*F257,2)</f>
        <v/>
      </c>
      <c r="L257" s="172" t="n"/>
      <c r="M257" s="339" t="n"/>
      <c r="N257" s="174" t="n"/>
      <c r="O257" s="175" t="n"/>
      <c r="P257" s="340" t="n"/>
      <c r="Q257" s="327" t="n"/>
      <c r="R257" s="150" t="n"/>
      <c r="S257" s="150" t="n"/>
      <c r="T257" s="150" t="n"/>
      <c r="U257" s="150" t="n"/>
      <c r="V257" s="328" t="n"/>
      <c r="W257" s="328" t="n"/>
      <c r="X257" s="152" t="n"/>
    </row>
    <row r="258" customFormat="1" s="146">
      <c r="A258" s="3" t="n"/>
      <c r="B258" s="117" t="n"/>
      <c r="C258" s="117" t="n"/>
      <c r="D258" s="117" t="n"/>
      <c r="E258" s="146" t="n"/>
      <c r="F258" s="146" t="n"/>
      <c r="G258" s="146" t="n"/>
      <c r="H258" s="146" t="n"/>
      <c r="Q258" s="144" t="n"/>
      <c r="R258" s="144" t="n"/>
      <c r="S258" s="144" t="n"/>
      <c r="T258" s="144" t="n"/>
      <c r="U258" s="144" t="n"/>
      <c r="X258" s="117" t="n"/>
    </row>
    <row r="259" customFormat="1" s="146">
      <c r="A259" s="3" t="n"/>
      <c r="B259" s="117" t="n"/>
      <c r="C259" s="117" t="n"/>
      <c r="D259" s="117" t="n"/>
      <c r="E259" s="146" t="n"/>
      <c r="F259" s="146" t="n"/>
      <c r="G259" s="146" t="n"/>
      <c r="H259" s="146" t="n"/>
      <c r="Q259" s="144" t="n"/>
      <c r="R259" s="144" t="n"/>
      <c r="S259" s="144" t="n"/>
      <c r="T259" s="144" t="n"/>
      <c r="U259" s="144" t="n"/>
      <c r="X259" s="117" t="n"/>
    </row>
    <row r="260" customFormat="1" s="145">
      <c r="A260" s="63">
        <f>CONCATENATE("报价人：",项目信息!$B$8)</f>
        <v/>
      </c>
      <c r="B260" s="63" t="n"/>
      <c r="C260" s="146" t="n"/>
      <c r="D260" s="146" t="n"/>
      <c r="E260" s="146" t="n"/>
      <c r="F260" s="146" t="n"/>
      <c r="G260" s="146" t="n"/>
      <c r="H260" s="163">
        <f>项目信息!$B$9</f>
        <v/>
      </c>
      <c r="Q260" s="144" t="n"/>
      <c r="R260" s="144" t="n"/>
      <c r="S260" s="144" t="n"/>
      <c r="T260" s="144" t="n"/>
      <c r="U260" s="144" t="n"/>
      <c r="X260" s="148" t="n"/>
    </row>
    <row r="261" customFormat="1" s="145">
      <c r="A261" s="5">
        <f>T(项目信息!$B$22)</f>
        <v/>
      </c>
      <c r="Q261" s="144" t="n"/>
      <c r="R261" s="144" t="n"/>
      <c r="S261" s="144" t="n"/>
      <c r="T261" s="144" t="n"/>
      <c r="U261" s="144" t="n"/>
      <c r="X261" s="145" t="n"/>
    </row>
    <row r="262" customFormat="1" s="145">
      <c r="A262" s="6">
        <f>T(项目信息!$B$23)</f>
        <v/>
      </c>
      <c r="Q262" s="144" t="n"/>
      <c r="R262" s="144" t="n"/>
      <c r="S262" s="144" t="n"/>
      <c r="T262" s="144" t="n"/>
      <c r="U262" s="144" t="n"/>
      <c r="X262" s="145" t="n"/>
    </row>
    <row r="263" customFormat="1" s="145">
      <c r="A263" s="68" t="inlineStr">
        <is>
          <t>成套产品报价明细表</t>
        </is>
      </c>
      <c r="B263" s="318" t="n"/>
      <c r="C263" s="318" t="n"/>
      <c r="D263" s="318" t="n"/>
      <c r="E263" s="318" t="n"/>
      <c r="F263" s="318" t="n"/>
      <c r="G263" s="318" t="n"/>
      <c r="H263" s="318" t="n"/>
      <c r="I263" s="318" t="n"/>
      <c r="Q263" s="144" t="n"/>
      <c r="R263" s="144" t="n"/>
      <c r="S263" s="144" t="n"/>
      <c r="T263" s="144" t="n"/>
      <c r="U263" s="144" t="n"/>
      <c r="X263" s="145" t="n"/>
    </row>
    <row r="264" customFormat="1" s="146">
      <c r="A264" s="69" t="inlineStr">
        <is>
          <t>柜号:</t>
        </is>
      </c>
      <c r="B264" s="70" t="inlineStr">
        <is>
          <t>2D6</t>
        </is>
      </c>
      <c r="C264" s="71" t="inlineStr">
        <is>
          <t>型号:</t>
        </is>
      </c>
      <c r="D264" s="70" t="inlineStr">
        <is>
          <t>Blokset</t>
        </is>
      </c>
      <c r="E264" s="319" t="n"/>
      <c r="F264" s="72" t="inlineStr">
        <is>
          <t>名称:</t>
        </is>
      </c>
      <c r="G264" s="70" t="inlineStr">
        <is>
          <t>出线柜</t>
        </is>
      </c>
      <c r="H264" s="319" t="n"/>
      <c r="I264" s="320" t="n"/>
      <c r="J264" s="116" t="inlineStr">
        <is>
          <t>箱柜尺寸:</t>
        </is>
      </c>
      <c r="K264" s="117" t="inlineStr">
        <is>
          <t>600W*1000D*2200H</t>
        </is>
      </c>
      <c r="L264" s="116" t="inlineStr">
        <is>
          <t>类别:</t>
        </is>
      </c>
      <c r="M264" s="117" t="n"/>
      <c r="N264" s="321" t="n"/>
      <c r="Q264" s="144" t="n"/>
      <c r="R264" s="144" t="n"/>
      <c r="S264" s="144" t="n"/>
      <c r="T264" s="144" t="n"/>
      <c r="U264" s="144" t="n"/>
      <c r="X264" s="146" t="n"/>
    </row>
    <row r="265" ht="20.1" customFormat="1" customHeight="1" s="145">
      <c r="A265" s="13" t="inlineStr">
        <is>
          <t>序号</t>
        </is>
      </c>
      <c r="B265" s="73" t="inlineStr">
        <is>
          <t>元件名称</t>
        </is>
      </c>
      <c r="C265" s="73" t="inlineStr">
        <is>
          <t>型号规格</t>
        </is>
      </c>
      <c r="D265" s="74" t="inlineStr">
        <is>
          <t>生产厂家</t>
        </is>
      </c>
      <c r="E265" s="15" t="inlineStr">
        <is>
          <t>单位</t>
        </is>
      </c>
      <c r="F265" s="15" t="inlineStr">
        <is>
          <t>数量</t>
        </is>
      </c>
      <c r="G265" s="287" t="inlineStr">
        <is>
          <t>单   价</t>
        </is>
      </c>
      <c r="H265" s="256" t="inlineStr">
        <is>
          <t>总   价</t>
        </is>
      </c>
      <c r="I265" s="119" t="inlineStr">
        <is>
          <t>备注</t>
        </is>
      </c>
      <c r="J265" s="322" t="inlineStr">
        <is>
          <t>成本单价</t>
        </is>
      </c>
      <c r="K265" s="322" t="inlineStr">
        <is>
          <t>成本总价</t>
        </is>
      </c>
      <c r="L265" s="121" t="inlineStr">
        <is>
          <t>报出
系数</t>
        </is>
      </c>
      <c r="M265" s="322" t="inlineStr">
        <is>
          <t>表价</t>
        </is>
      </c>
      <c r="N265" s="121" t="inlineStr">
        <is>
          <t>折扣
系数</t>
        </is>
      </c>
      <c r="O265" s="122" t="inlineStr">
        <is>
          <t>取费
系数</t>
        </is>
      </c>
      <c r="P265" s="322" t="inlineStr">
        <is>
          <t>成套费</t>
        </is>
      </c>
      <c r="Q265" s="147" t="inlineStr">
        <is>
          <t>类别</t>
        </is>
      </c>
      <c r="R265" s="147" t="inlineStr">
        <is>
          <t>物料编码</t>
        </is>
      </c>
      <c r="S265" s="147" t="inlineStr">
        <is>
          <t>产地</t>
        </is>
      </c>
      <c r="T265" s="147" t="inlineStr">
        <is>
          <t>加工费</t>
        </is>
      </c>
      <c r="U265" s="147" t="inlineStr">
        <is>
          <t>订货号</t>
        </is>
      </c>
      <c r="V265" s="147" t="inlineStr">
        <is>
          <t>人工</t>
        </is>
      </c>
      <c r="W265" s="147" t="inlineStr">
        <is>
          <t>辅料</t>
        </is>
      </c>
      <c r="X265" s="148" t="n"/>
    </row>
    <row r="266" customFormat="1" s="145">
      <c r="A266" s="36">
        <f>ROW()-ROW(A$265)</f>
        <v/>
      </c>
      <c r="B266" s="29" t="inlineStr">
        <is>
          <t>交流塑壳断路器</t>
        </is>
      </c>
      <c r="C266" s="25" t="inlineStr">
        <is>
          <t>NSX100N TMD 100 3P3D F</t>
        </is>
      </c>
      <c r="D266" s="29" t="inlineStr">
        <is>
          <t>甲供/施耐德电气</t>
        </is>
      </c>
      <c r="E266" s="30" t="inlineStr">
        <is>
          <t>只</t>
        </is>
      </c>
      <c r="F266" s="26" t="n">
        <v>1</v>
      </c>
      <c r="G266" s="297">
        <f>IF(AND(B266="",C266=""),"",ROUND(M266*L266*N266,2))</f>
        <v/>
      </c>
      <c r="H266" s="293">
        <f>IF(AND(B266="",C266=""),"",ROUND(F266*G266,2))</f>
        <v/>
      </c>
      <c r="I266" s="91" t="n"/>
      <c r="J266" s="329">
        <f>IF(AND(B266="",C266=""),"",ROUND(M266*N266,2))</f>
        <v/>
      </c>
      <c r="K266" s="330">
        <f>IF(AND(B266="",C266=""),"",ROUND(J266*F266,2))</f>
        <v/>
      </c>
      <c r="L266" s="126" t="n">
        <v>1</v>
      </c>
      <c r="M266" s="331" t="n">
        <v>1024.28</v>
      </c>
      <c r="N266" s="128" t="n">
        <v>0</v>
      </c>
      <c r="O266" s="129">
        <f t="array" ref="O266">IF(AND(B266="",C266=""),"",IF(G266&gt;=20000,0.05,IF(G266&gt;=10000,0.1,IF(G266&gt;=5000,0.2,IF(G266&gt;=1000,0.3,IF(G266&gt;=0,0.4,{0}))))))</f>
        <v/>
      </c>
      <c r="P266" s="332">
        <f>IF(AND(B266="",C266=""),"",ROUND(H266*O266,2))</f>
        <v/>
      </c>
      <c r="Q266" s="327" t="inlineStr">
        <is>
          <t>元件</t>
        </is>
      </c>
      <c r="R266" s="150" t="n"/>
      <c r="S266" s="150" t="n"/>
      <c r="T266" s="150" t="inlineStr">
        <is>
          <t>0</t>
        </is>
      </c>
      <c r="U266" s="150" t="inlineStr">
        <is>
          <t>C10N3TM100</t>
        </is>
      </c>
      <c r="V266" s="328" t="n"/>
      <c r="W266" s="328" t="n"/>
      <c r="X266" s="152" t="n"/>
    </row>
    <row r="267" customFormat="1" s="145">
      <c r="A267" s="36">
        <f>ROW()-ROW(A$265)</f>
        <v/>
      </c>
      <c r="B267" s="29" t="inlineStr">
        <is>
          <t>交流塑壳断路器</t>
        </is>
      </c>
      <c r="C267" s="25" t="inlineStr">
        <is>
          <t>NSX250N TMD 250 3P3D F</t>
        </is>
      </c>
      <c r="D267" s="29" t="inlineStr">
        <is>
          <t>甲供/施耐德电气</t>
        </is>
      </c>
      <c r="E267" s="30" t="inlineStr">
        <is>
          <t>只</t>
        </is>
      </c>
      <c r="F267" s="26" t="n">
        <v>2</v>
      </c>
      <c r="G267" s="297">
        <f>IF(AND(B267="",C267=""),"",ROUND(M267*L267*N267,2))</f>
        <v/>
      </c>
      <c r="H267" s="293">
        <f>IF(AND(B267="",C267=""),"",ROUND(F267*G267,2))</f>
        <v/>
      </c>
      <c r="I267" s="91" t="n"/>
      <c r="J267" s="329">
        <f>IF(AND(B267="",C267=""),"",ROUND(M267*N267,2))</f>
        <v/>
      </c>
      <c r="K267" s="330">
        <f>IF(AND(B267="",C267=""),"",ROUND(J267*F267,2))</f>
        <v/>
      </c>
      <c r="L267" s="126" t="n">
        <v>1</v>
      </c>
      <c r="M267" s="331" t="n">
        <v>2315.28</v>
      </c>
      <c r="N267" s="128" t="n">
        <v>0</v>
      </c>
      <c r="O267" s="129">
        <f t="array" ref="O267">IF(AND(B267="",C267=""),"",IF(G267&gt;=20000,0.05,IF(G267&gt;=10000,0.1,IF(G267&gt;=5000,0.2,IF(G267&gt;=1000,0.3,IF(G267&gt;=0,0.4,{0}))))))</f>
        <v/>
      </c>
      <c r="P267" s="332">
        <f>IF(AND(B267="",C267=""),"",ROUND(H267*O267,2))</f>
        <v/>
      </c>
      <c r="Q267" s="327" t="inlineStr">
        <is>
          <t>元件</t>
        </is>
      </c>
      <c r="R267" s="150" t="n"/>
      <c r="S267" s="150" t="n"/>
      <c r="T267" s="150" t="inlineStr">
        <is>
          <t>0</t>
        </is>
      </c>
      <c r="U267" s="150" t="inlineStr">
        <is>
          <t>C25N3TM250</t>
        </is>
      </c>
      <c r="V267" s="328" t="n"/>
      <c r="W267" s="328" t="n"/>
      <c r="X267" s="152" t="n"/>
    </row>
    <row r="268" customFormat="1" s="145">
      <c r="A268" s="36">
        <f>ROW()-ROW(A$265)</f>
        <v/>
      </c>
      <c r="B268" s="29" t="inlineStr">
        <is>
          <t>交流塑壳断路器</t>
        </is>
      </c>
      <c r="C268" s="25" t="inlineStr">
        <is>
          <t>NSX400N MIC 2.3 400 3P F</t>
        </is>
      </c>
      <c r="D268" s="29" t="inlineStr">
        <is>
          <t>甲供/施耐德电气</t>
        </is>
      </c>
      <c r="E268" s="30" t="inlineStr">
        <is>
          <t>只</t>
        </is>
      </c>
      <c r="F268" s="26" t="n">
        <v>1</v>
      </c>
      <c r="G268" s="293">
        <f>IF(AND(B268="",C268=""),"",ROUND(M268*L268*N268,2))</f>
        <v/>
      </c>
      <c r="H268" s="293">
        <f>IF(AND(B268="",C268=""),"",ROUND(F268*G268,2))</f>
        <v/>
      </c>
      <c r="I268" s="91" t="n"/>
      <c r="J268" s="329">
        <f>IF(AND(B268="",C268=""),"",ROUND(M268*N268,2))</f>
        <v/>
      </c>
      <c r="K268" s="330">
        <f>IF(AND(B268="",C268=""),"",ROUND(J268*F268,2))</f>
        <v/>
      </c>
      <c r="L268" s="126" t="n">
        <v>1</v>
      </c>
      <c r="M268" s="331" t="n">
        <v>3474.03</v>
      </c>
      <c r="N268" s="128" t="n">
        <v>0</v>
      </c>
      <c r="O268" s="129">
        <f t="array" ref="O268">IF(AND(B268="",C268=""),"",IF(G268&gt;=20000,0.05,IF(G268&gt;=10000,0.1,IF(G268&gt;=5000,0.2,IF(G268&gt;=1000,0.3,IF(G268&gt;=0,0.4,{0}))))))</f>
        <v/>
      </c>
      <c r="P268" s="332">
        <f>IF(AND(B268="",C268=""),"",ROUND(H268*O268,2))</f>
        <v/>
      </c>
      <c r="Q268" s="327" t="inlineStr">
        <is>
          <t>元件</t>
        </is>
      </c>
      <c r="R268" s="150" t="n"/>
      <c r="S268" s="150" t="n"/>
      <c r="T268" s="150" t="inlineStr">
        <is>
          <t>0</t>
        </is>
      </c>
      <c r="U268" s="150" t="inlineStr">
        <is>
          <t>C40N32D400</t>
        </is>
      </c>
      <c r="V268" s="328" t="n"/>
      <c r="W268" s="328" t="n"/>
      <c r="X268" s="152" t="n"/>
    </row>
    <row r="269" customFormat="1" s="145">
      <c r="A269" s="36">
        <f>ROW()-ROW(A$265)</f>
        <v/>
      </c>
      <c r="B269" s="29" t="inlineStr">
        <is>
          <t>交流塑壳断路器</t>
        </is>
      </c>
      <c r="C269" s="25" t="inlineStr">
        <is>
          <t>NSX630N MIC 2.3 630 3P F</t>
        </is>
      </c>
      <c r="D269" s="29" t="inlineStr">
        <is>
          <t>甲供/施耐德电气</t>
        </is>
      </c>
      <c r="E269" s="30" t="inlineStr">
        <is>
          <t>只</t>
        </is>
      </c>
      <c r="F269" s="26" t="n">
        <v>2</v>
      </c>
      <c r="G269" s="293">
        <f>IF(AND(B269="",C269=""),"",ROUND(M269*L269*N269,2))</f>
        <v/>
      </c>
      <c r="H269" s="293">
        <f>IF(AND(B269="",C269=""),"",ROUND(F269*G269,2))</f>
        <v/>
      </c>
      <c r="I269" s="91" t="n"/>
      <c r="J269" s="329">
        <f>IF(AND(B269="",C269=""),"",ROUND(M269*N269,2))</f>
        <v/>
      </c>
      <c r="K269" s="330">
        <f>IF(AND(B269="",C269=""),"",ROUND(J269*F269,2))</f>
        <v/>
      </c>
      <c r="L269" s="126" t="n">
        <v>1</v>
      </c>
      <c r="M269" s="331" t="n">
        <v>5950.31</v>
      </c>
      <c r="N269" s="128" t="n">
        <v>0</v>
      </c>
      <c r="O269" s="129">
        <f t="array" ref="O269">IF(AND(B269="",C269=""),"",IF(G269&gt;=20000,0.05,IF(G269&gt;=10000,0.1,IF(G269&gt;=5000,0.2,IF(G269&gt;=1000,0.3,IF(G269&gt;=0,0.4,{0}))))))</f>
        <v/>
      </c>
      <c r="P269" s="332">
        <f>IF(AND(B269="",C269=""),"",ROUND(H269*O269,2))</f>
        <v/>
      </c>
      <c r="Q269" s="327" t="inlineStr">
        <is>
          <t>元件</t>
        </is>
      </c>
      <c r="R269" s="150" t="n"/>
      <c r="S269" s="150" t="n"/>
      <c r="T269" s="150" t="inlineStr">
        <is>
          <t>0</t>
        </is>
      </c>
      <c r="U269" s="150" t="inlineStr">
        <is>
          <t>C63N32D630</t>
        </is>
      </c>
      <c r="V269" s="328" t="n"/>
      <c r="W269" s="328" t="n"/>
      <c r="X269" s="152" t="n"/>
    </row>
    <row r="270" customFormat="1" s="145">
      <c r="A270" s="36">
        <f>ROW()-ROW(A$265)</f>
        <v/>
      </c>
      <c r="B270" s="29" t="inlineStr">
        <is>
          <t>新外观延伸旋转手柄</t>
        </is>
      </c>
      <c r="C270" s="29" t="inlineStr">
        <is>
          <t>标准延伸旋转手柄/新外观延伸旋转手柄 100/160/250A</t>
        </is>
      </c>
      <c r="D270" s="29" t="inlineStr">
        <is>
          <t>甲供/施耐德电气</t>
        </is>
      </c>
      <c r="E270" s="30" t="inlineStr">
        <is>
          <t>只</t>
        </is>
      </c>
      <c r="F270" s="30" t="n">
        <v>3</v>
      </c>
      <c r="G270" s="297">
        <f>IF(AND(B270="",C270=""),"",ROUND(M270*L270*N270,2))</f>
        <v/>
      </c>
      <c r="H270" s="293">
        <f>IF(AND(B270="",C270=""),"",ROUND(F270*G270,2))</f>
        <v/>
      </c>
      <c r="I270" s="91" t="n"/>
      <c r="J270" s="329">
        <f>IF(AND(B270="",C270=""),"",ROUND(M270*N270,2))</f>
        <v/>
      </c>
      <c r="K270" s="330">
        <f>IF(AND(B270="",C270=""),"",ROUND(J270*F270,2))</f>
        <v/>
      </c>
      <c r="L270" s="126" t="n">
        <v>1</v>
      </c>
      <c r="M270" s="331" t="n">
        <v>189.75</v>
      </c>
      <c r="N270" s="128" t="n">
        <v>0</v>
      </c>
      <c r="O270" s="129">
        <f t="array" ref="O270">IF(AND(B270="",C270=""),"",IF(G270&gt;=20000,0.05,IF(G270&gt;=10000,0.1,IF(G270&gt;=5000,0.2,IF(G270&gt;=1000,0.3,IF(G270&gt;=0,0.4,{0}))))))</f>
        <v/>
      </c>
      <c r="P270" s="332">
        <f>IF(AND(B270="",C270=""),"",ROUND(H270*O270,2))</f>
        <v/>
      </c>
      <c r="Q270" s="327" t="inlineStr">
        <is>
          <t>元件</t>
        </is>
      </c>
      <c r="R270" s="150" t="n"/>
      <c r="S270" s="150" t="n"/>
      <c r="T270" s="150" t="inlineStr">
        <is>
          <t>0</t>
        </is>
      </c>
      <c r="U270" s="150" t="inlineStr">
        <is>
          <t>LV429338T</t>
        </is>
      </c>
      <c r="V270" s="328" t="n"/>
      <c r="W270" s="328" t="n"/>
      <c r="X270" s="152" t="n"/>
    </row>
    <row r="271" customFormat="1" s="145">
      <c r="A271" s="36">
        <f>ROW()-ROW(A$265)</f>
        <v/>
      </c>
      <c r="B271" s="29" t="inlineStr">
        <is>
          <t>新外观延伸旋转手柄</t>
        </is>
      </c>
      <c r="C271" s="29" t="inlineStr">
        <is>
          <t>标准延伸旋转手柄/新外观延伸旋转手柄 400/630A</t>
        </is>
      </c>
      <c r="D271" s="29" t="inlineStr">
        <is>
          <t>甲供/施耐德电气</t>
        </is>
      </c>
      <c r="E271" s="30" t="inlineStr">
        <is>
          <t>只</t>
        </is>
      </c>
      <c r="F271" s="30" t="n">
        <v>3</v>
      </c>
      <c r="G271" s="297">
        <f>IF(AND(B271="",C271=""),"",ROUND(M271*L271*N271,2))</f>
        <v/>
      </c>
      <c r="H271" s="297">
        <f>IF(AND(B271="",C271=""),"",ROUND(F271*G271,2))</f>
        <v/>
      </c>
      <c r="I271" s="135" t="n"/>
      <c r="J271" s="329">
        <f>IF(AND(B271="",C271=""),"",ROUND(M271*N271,2))</f>
        <v/>
      </c>
      <c r="K271" s="330">
        <f>IF(AND(B271="",C271=""),"",ROUND(J271*F271,2))</f>
        <v/>
      </c>
      <c r="L271" s="126" t="n">
        <v>1</v>
      </c>
      <c r="M271" s="331" t="n">
        <v>270.62</v>
      </c>
      <c r="N271" s="128" t="n">
        <v>0</v>
      </c>
      <c r="O271" s="129">
        <f t="array" ref="O271">IF(AND(B271="",C271=""),"",IF(G271&gt;=20000,0.05,IF(G271&gt;=10000,0.1,IF(G271&gt;=5000,0.2,IF(G271&gt;=1000,0.3,IF(G271&gt;=0,0.4,{0}))))))</f>
        <v/>
      </c>
      <c r="P271" s="332">
        <f>IF(AND(B271="",C271=""),"",ROUND(H271*O271,2))</f>
        <v/>
      </c>
      <c r="Q271" s="327" t="inlineStr">
        <is>
          <t>元件</t>
        </is>
      </c>
      <c r="R271" s="150" t="n"/>
      <c r="S271" s="150" t="n"/>
      <c r="T271" s="150" t="inlineStr">
        <is>
          <t>0</t>
        </is>
      </c>
      <c r="U271" s="150" t="inlineStr">
        <is>
          <t>LV432598T</t>
        </is>
      </c>
      <c r="V271" s="328" t="n"/>
      <c r="W271" s="328" t="n"/>
      <c r="X271" s="152" t="n"/>
    </row>
    <row r="272" customFormat="1" s="145">
      <c r="A272" s="36">
        <f>ROW()-ROW(A$265)</f>
        <v/>
      </c>
      <c r="B272" s="29" t="inlineStr">
        <is>
          <t>MX分励脱扣器</t>
        </is>
      </c>
      <c r="C272" s="29" t="inlineStr">
        <is>
          <t>MX分励AC220-240V/208-277V/100-630A</t>
        </is>
      </c>
      <c r="D272" s="29" t="inlineStr">
        <is>
          <t>甲供/施耐德电气</t>
        </is>
      </c>
      <c r="E272" s="30" t="inlineStr">
        <is>
          <t>只</t>
        </is>
      </c>
      <c r="F272" s="30" t="n">
        <v>6</v>
      </c>
      <c r="G272" s="297">
        <f>IF(AND(B272="",C272=""),"",ROUND(M272*L272*N272,2))</f>
        <v/>
      </c>
      <c r="H272" s="297">
        <f>IF(AND(B272="",C272=""),"",ROUND(F272*G272,2))</f>
        <v/>
      </c>
      <c r="I272" s="135" t="n"/>
      <c r="J272" s="329">
        <f>IF(AND(B272="",C272=""),"",ROUND(M272*N272,2))</f>
        <v/>
      </c>
      <c r="K272" s="330">
        <f>IF(AND(B272="",C272=""),"",ROUND(J272*F272,2))</f>
        <v/>
      </c>
      <c r="L272" s="126" t="n">
        <v>1</v>
      </c>
      <c r="M272" s="331" t="n">
        <v>314.03</v>
      </c>
      <c r="N272" s="128" t="n">
        <v>0</v>
      </c>
      <c r="O272" s="129">
        <f t="array" ref="O272">IF(AND(B272="",C272=""),"",IF(G272&gt;=20000,0.05,IF(G272&gt;=10000,0.1,IF(G272&gt;=5000,0.2,IF(G272&gt;=1000,0.3,IF(G272&gt;=0,0.4,{0}))))))</f>
        <v/>
      </c>
      <c r="P272" s="332">
        <f>IF(AND(B272="",C272=""),"",ROUND(H272*O272,2))</f>
        <v/>
      </c>
      <c r="Q272" s="327" t="inlineStr">
        <is>
          <t>元件</t>
        </is>
      </c>
      <c r="R272" s="150" t="n"/>
      <c r="S272" s="150" t="n"/>
      <c r="T272" s="150" t="inlineStr">
        <is>
          <t>0</t>
        </is>
      </c>
      <c r="U272" s="150" t="inlineStr">
        <is>
          <t>LV429387</t>
        </is>
      </c>
      <c r="V272" s="328" t="n"/>
      <c r="W272" s="328" t="n"/>
      <c r="X272" s="152" t="n"/>
    </row>
    <row r="273" customFormat="1" s="145">
      <c r="A273" s="36">
        <f>ROW()-ROW(A$265)</f>
        <v/>
      </c>
      <c r="B273" s="29" t="inlineStr">
        <is>
          <t>辅助触点OF</t>
        </is>
      </c>
      <c r="C273" s="25" t="inlineStr">
        <is>
          <t>OF</t>
        </is>
      </c>
      <c r="D273" s="29" t="inlineStr">
        <is>
          <t>甲供/施耐德电气</t>
        </is>
      </c>
      <c r="E273" s="30" t="inlineStr">
        <is>
          <t>只</t>
        </is>
      </c>
      <c r="F273" s="30" t="n">
        <v>12</v>
      </c>
      <c r="G273" s="297">
        <f>IF(AND(B273="",C273=""),"",ROUND(M273*L273*N273,2))</f>
        <v/>
      </c>
      <c r="H273" s="297">
        <f>IF(AND(B273="",C273=""),"",ROUND(F273*G273,2))</f>
        <v/>
      </c>
      <c r="I273" s="135" t="n"/>
      <c r="J273" s="329">
        <f>IF(AND(B273="",C273=""),"",ROUND(M273*N273,2))</f>
        <v/>
      </c>
      <c r="K273" s="330">
        <f>IF(AND(B273="",C273=""),"",ROUND(J273*F273,2))</f>
        <v/>
      </c>
      <c r="L273" s="126" t="n">
        <v>1</v>
      </c>
      <c r="M273" s="331" t="n">
        <v>174.01</v>
      </c>
      <c r="N273" s="128" t="n">
        <v>0</v>
      </c>
      <c r="O273" s="129">
        <f t="array" ref="O273">IF(AND(B273="",C273=""),"",IF(G273&gt;=20000,0.05,IF(G273&gt;=10000,0.1,IF(G273&gt;=5000,0.2,IF(G273&gt;=1000,0.3,IF(G273&gt;=0,0.4,{0}))))))</f>
        <v/>
      </c>
      <c r="P273" s="332">
        <f>IF(AND(B273="",C273=""),"",ROUND(H273*O273,2))</f>
        <v/>
      </c>
      <c r="Q273" s="327" t="inlineStr">
        <is>
          <t>元件</t>
        </is>
      </c>
      <c r="R273" s="150" t="n"/>
      <c r="S273" s="150" t="n"/>
      <c r="T273" s="150" t="inlineStr">
        <is>
          <t>0</t>
        </is>
      </c>
      <c r="U273" s="150" t="inlineStr">
        <is>
          <t>29450</t>
        </is>
      </c>
      <c r="V273" s="328" t="n"/>
      <c r="W273" s="328" t="n"/>
      <c r="X273" s="152" t="n"/>
    </row>
    <row r="274" customFormat="1" s="145">
      <c r="A274" s="36">
        <f>ROW()-ROW(A$265)</f>
        <v/>
      </c>
      <c r="B274" s="29" t="inlineStr">
        <is>
          <t>测量电流互感器</t>
        </is>
      </c>
      <c r="C274" s="25" t="inlineStr">
        <is>
          <t>SD-0.66-M8 100/5A</t>
        </is>
      </c>
      <c r="D274" s="29" t="inlineStr">
        <is>
          <t>杭州桑迪</t>
        </is>
      </c>
      <c r="E274" s="30" t="inlineStr">
        <is>
          <t>只</t>
        </is>
      </c>
      <c r="F274" s="30" t="n">
        <v>3</v>
      </c>
      <c r="G274" s="297">
        <f>IF(AND(B274="",C274=""),"",ROUND(M274*L274*N274,2))</f>
        <v/>
      </c>
      <c r="H274" s="297">
        <f>IF(AND(B274="",C274=""),"",ROUND(F274*G274,2))</f>
        <v/>
      </c>
      <c r="I274" s="135" t="n"/>
      <c r="J274" s="329">
        <f>IF(AND(B274="",C274=""),"",ROUND(M274*N274,2))</f>
        <v/>
      </c>
      <c r="K274" s="330">
        <f>IF(AND(B274="",C274=""),"",ROUND(J274*F274,2))</f>
        <v/>
      </c>
      <c r="L274" s="126" t="n">
        <v>1</v>
      </c>
      <c r="M274" s="331" t="n">
        <v>61.75</v>
      </c>
      <c r="N274" s="128" t="n">
        <v>1</v>
      </c>
      <c r="O274" s="129">
        <f t="array" ref="O274">IF(AND(B274="",C274=""),"",IF(G274&gt;=20000,0.05,IF(G274&gt;=10000,0.1,IF(G274&gt;=5000,0.2,IF(G274&gt;=1000,0.3,IF(G274&gt;=0,0.4,{0}))))))</f>
        <v/>
      </c>
      <c r="P274" s="332">
        <f>IF(AND(B274="",C274=""),"",ROUND(H274*O274,2))</f>
        <v/>
      </c>
      <c r="Q274" s="327" t="inlineStr">
        <is>
          <t>元件</t>
        </is>
      </c>
      <c r="R274" s="150" t="n"/>
      <c r="S274" s="150" t="n"/>
      <c r="T274" s="150" t="inlineStr">
        <is>
          <t>0</t>
        </is>
      </c>
      <c r="U274" s="150" t="n"/>
      <c r="V274" s="328" t="n"/>
      <c r="W274" s="328" t="n"/>
      <c r="X274" s="152" t="n"/>
    </row>
    <row r="275" customFormat="1" s="145">
      <c r="A275" s="36">
        <f>ROW()-ROW(A$265)</f>
        <v/>
      </c>
      <c r="B275" s="29" t="inlineStr">
        <is>
          <t>测量电流互感器</t>
        </is>
      </c>
      <c r="C275" s="29" t="inlineStr">
        <is>
          <t>SD-0.66-30I 250/5A</t>
        </is>
      </c>
      <c r="D275" s="29" t="inlineStr">
        <is>
          <t>杭州桑迪</t>
        </is>
      </c>
      <c r="E275" s="30" t="inlineStr">
        <is>
          <t>只</t>
        </is>
      </c>
      <c r="F275" s="30" t="n">
        <v>6</v>
      </c>
      <c r="G275" s="297">
        <f>IF(AND(B275="",C275=""),"",ROUND(M275*L275*N275,2))</f>
        <v/>
      </c>
      <c r="H275" s="297">
        <f>IF(AND(B275="",C275=""),"",ROUND(F275*G275,2))</f>
        <v/>
      </c>
      <c r="I275" s="135" t="n"/>
      <c r="J275" s="329">
        <f>IF(AND(B275="",C275=""),"",ROUND(M275*N275,2))</f>
        <v/>
      </c>
      <c r="K275" s="330">
        <f>IF(AND(B275="",C275=""),"",ROUND(J275*F275,2))</f>
        <v/>
      </c>
      <c r="L275" s="126" t="n">
        <v>1</v>
      </c>
      <c r="M275" s="331" t="n">
        <v>26.65</v>
      </c>
      <c r="N275" s="128" t="n">
        <v>1</v>
      </c>
      <c r="O275" s="129">
        <f t="array" ref="O275">IF(AND(B275="",C275=""),"",IF(G275&gt;=20000,0.05,IF(G275&gt;=10000,0.1,IF(G275&gt;=5000,0.2,IF(G275&gt;=1000,0.3,IF(G275&gt;=0,0.4,{0}))))))</f>
        <v/>
      </c>
      <c r="P275" s="332">
        <f>IF(AND(B275="",C275=""),"",ROUND(H275*O275,2))</f>
        <v/>
      </c>
      <c r="Q275" s="327" t="inlineStr">
        <is>
          <t>元件</t>
        </is>
      </c>
      <c r="R275" s="150" t="n"/>
      <c r="S275" s="150" t="n"/>
      <c r="T275" s="150" t="inlineStr">
        <is>
          <t>0</t>
        </is>
      </c>
      <c r="U275" s="150" t="n"/>
      <c r="V275" s="328" t="n"/>
      <c r="W275" s="328" t="n"/>
      <c r="X275" s="152" t="n"/>
    </row>
    <row r="276" customFormat="1" s="145">
      <c r="A276" s="36">
        <f>ROW()-ROW(A$265)</f>
        <v/>
      </c>
      <c r="B276" s="29" t="inlineStr">
        <is>
          <t>测量电流互感器</t>
        </is>
      </c>
      <c r="C276" s="29" t="inlineStr">
        <is>
          <t>SD-0.66-40II-C 400/5A</t>
        </is>
      </c>
      <c r="D276" s="29" t="inlineStr">
        <is>
          <t>杭州桑迪</t>
        </is>
      </c>
      <c r="E276" s="30" t="inlineStr">
        <is>
          <t>只</t>
        </is>
      </c>
      <c r="F276" s="30" t="n">
        <v>3</v>
      </c>
      <c r="G276" s="297">
        <f>IF(AND(B276="",C276=""),"",ROUND(M276*L276*N276,2))</f>
        <v/>
      </c>
      <c r="H276" s="297">
        <f>IF(AND(B276="",C276=""),"",ROUND(F276*G276,2))</f>
        <v/>
      </c>
      <c r="I276" s="135" t="n"/>
      <c r="J276" s="329">
        <f>IF(AND(B276="",C276=""),"",ROUND(M276*N276,2))</f>
        <v/>
      </c>
      <c r="K276" s="330">
        <f>IF(AND(B276="",C276=""),"",ROUND(J276*F276,2))</f>
        <v/>
      </c>
      <c r="L276" s="126" t="n">
        <v>1</v>
      </c>
      <c r="M276" s="331" t="n">
        <v>52</v>
      </c>
      <c r="N276" s="128" t="n">
        <v>1</v>
      </c>
      <c r="O276" s="129">
        <f t="array" ref="O276">IF(AND(B276="",C276=""),"",IF(G276&gt;=20000,0.05,IF(G276&gt;=10000,0.1,IF(G276&gt;=5000,0.2,IF(G276&gt;=1000,0.3,IF(G276&gt;=0,0.4,{0}))))))</f>
        <v/>
      </c>
      <c r="P276" s="332">
        <f>IF(AND(B276="",C276=""),"",ROUND(H276*O276,2))</f>
        <v/>
      </c>
      <c r="Q276" s="327" t="inlineStr">
        <is>
          <t>元件</t>
        </is>
      </c>
      <c r="R276" s="150" t="n"/>
      <c r="S276" s="150" t="n"/>
      <c r="T276" s="150" t="inlineStr">
        <is>
          <t>0</t>
        </is>
      </c>
      <c r="U276" s="150" t="n"/>
      <c r="V276" s="328" t="n"/>
      <c r="W276" s="328" t="n"/>
      <c r="X276" s="152" t="n"/>
    </row>
    <row r="277" customFormat="1" s="145">
      <c r="A277" s="36">
        <f>ROW()-ROW(A$265)</f>
        <v/>
      </c>
      <c r="B277" s="29" t="inlineStr">
        <is>
          <t>测量电流互感器</t>
        </is>
      </c>
      <c r="C277" s="29" t="inlineStr">
        <is>
          <t>SD-0.66-60II-C 600/5A</t>
        </is>
      </c>
      <c r="D277" s="29" t="inlineStr">
        <is>
          <t>杭州桑迪</t>
        </is>
      </c>
      <c r="E277" s="30" t="inlineStr">
        <is>
          <t>只</t>
        </is>
      </c>
      <c r="F277" s="30" t="n">
        <v>6</v>
      </c>
      <c r="G277" s="297">
        <f>IF(AND(B277="",C277=""),"",ROUND(M277*L277*N277,2))</f>
        <v/>
      </c>
      <c r="H277" s="297">
        <f>IF(AND(B277="",C277=""),"",ROUND(F277*G277,2))</f>
        <v/>
      </c>
      <c r="I277" s="135" t="n"/>
      <c r="J277" s="329">
        <f>IF(AND(B277="",C277=""),"",ROUND(M277*N277,2))</f>
        <v/>
      </c>
      <c r="K277" s="330">
        <f>IF(AND(B277="",C277=""),"",ROUND(J277*F277,2))</f>
        <v/>
      </c>
      <c r="L277" s="126" t="n">
        <v>1</v>
      </c>
      <c r="M277" s="331" t="n">
        <v>76.7</v>
      </c>
      <c r="N277" s="128" t="n">
        <v>1</v>
      </c>
      <c r="O277" s="129">
        <f t="array" ref="O277">IF(AND(B277="",C277=""),"",IF(G277&gt;=20000,0.05,IF(G277&gt;=10000,0.1,IF(G277&gt;=5000,0.2,IF(G277&gt;=1000,0.3,IF(G277&gt;=0,0.4,{0}))))))</f>
        <v/>
      </c>
      <c r="P277" s="332">
        <f>IF(AND(B277="",C277=""),"",ROUND(H277*O277,2))</f>
        <v/>
      </c>
      <c r="Q277" s="327" t="inlineStr">
        <is>
          <t>元件</t>
        </is>
      </c>
      <c r="R277" s="150" t="n"/>
      <c r="S277" s="150" t="n"/>
      <c r="T277" s="150" t="inlineStr">
        <is>
          <t>0</t>
        </is>
      </c>
      <c r="U277" s="150" t="n"/>
      <c r="V277" s="328" t="n"/>
      <c r="W277" s="328" t="n"/>
      <c r="X277" s="152" t="n"/>
    </row>
    <row r="278" customFormat="1" s="145">
      <c r="A278" s="36">
        <f>ROW()-ROW(A$265)</f>
        <v/>
      </c>
      <c r="B278" s="25" t="inlineStr">
        <is>
          <t>多功能表</t>
        </is>
      </c>
      <c r="C278" s="25" t="inlineStr">
        <is>
          <t>PM4101</t>
        </is>
      </c>
      <c r="D278" s="25" t="inlineStr">
        <is>
          <t>甲供/施耐德电气</t>
        </is>
      </c>
      <c r="E278" s="30" t="inlineStr">
        <is>
          <t>只</t>
        </is>
      </c>
      <c r="F278" s="26" t="n">
        <v>6</v>
      </c>
      <c r="G278" s="293">
        <f>IF(AND(B278="",C278=""),"",ROUND(M278*L278*N278,2))</f>
        <v/>
      </c>
      <c r="H278" s="293">
        <f>IF(AND(B278="",C278=""),"",ROUND(F278*G278,2))</f>
        <v/>
      </c>
      <c r="I278" s="91" t="n"/>
      <c r="J278" s="329">
        <f>IF(AND(B278="",C278=""),"",ROUND(M278*N278,2))</f>
        <v/>
      </c>
      <c r="K278" s="330">
        <f>IF(AND(B278="",C278=""),"",ROUND(J278*F278,2))</f>
        <v/>
      </c>
      <c r="L278" s="126" t="n">
        <v>1</v>
      </c>
      <c r="M278" s="331" t="n">
        <v>1e-07</v>
      </c>
      <c r="N278" s="128" t="n">
        <v>0</v>
      </c>
      <c r="O278" s="129">
        <f t="array" ref="O278">IF(AND(B278="",C278=""),"",IF(G278&gt;=20000,0.05,IF(G278&gt;=10000,0.1,IF(G278&gt;=5000,0.2,IF(G278&gt;=1000,0.3,IF(G278&gt;=0,0.4,{0}))))))</f>
        <v/>
      </c>
      <c r="P278" s="332">
        <f>IF(AND(B278="",C278=""),"",ROUND(H278*O278,2))</f>
        <v/>
      </c>
      <c r="Q278" s="327" t="inlineStr">
        <is>
          <t>元件</t>
        </is>
      </c>
      <c r="R278" s="150" t="n"/>
      <c r="S278" s="150" t="n"/>
      <c r="T278" s="150" t="inlineStr">
        <is>
          <t>0</t>
        </is>
      </c>
      <c r="U278" s="150" t="n"/>
      <c r="V278" s="328" t="n"/>
      <c r="W278" s="328" t="n"/>
      <c r="X278" s="152" t="n"/>
    </row>
    <row r="279" customFormat="1" s="145">
      <c r="A279" s="36">
        <f>ROW()-ROW(A$265)</f>
        <v/>
      </c>
      <c r="B279" s="29" t="inlineStr">
        <is>
          <t>指示灯</t>
        </is>
      </c>
      <c r="C279" s="29" t="inlineStr">
        <is>
          <t>XA2EVM3LC</t>
        </is>
      </c>
      <c r="D279" s="29" t="inlineStr">
        <is>
          <t>施耐德电气</t>
        </is>
      </c>
      <c r="E279" s="30" t="inlineStr">
        <is>
          <t>只</t>
        </is>
      </c>
      <c r="F279" s="30" t="n">
        <v>6</v>
      </c>
      <c r="G279" s="297">
        <f>IF(AND(B279="",C279=""),"",ROUND(M279*L279*N279,2))</f>
        <v/>
      </c>
      <c r="H279" s="297">
        <f>IF(AND(B279="",C279=""),"",ROUND(F279*G279,2))</f>
        <v/>
      </c>
      <c r="I279" s="136" t="n"/>
      <c r="J279" s="329">
        <f>IF(AND(B279="",C279=""),"",ROUND(M279*N279,2))</f>
        <v/>
      </c>
      <c r="K279" s="330">
        <f>IF(AND(B279="",C279=""),"",ROUND(J279*F279,2))</f>
        <v/>
      </c>
      <c r="L279" s="126" t="n">
        <v>1</v>
      </c>
      <c r="M279" s="331" t="n">
        <v>16.43</v>
      </c>
      <c r="N279" s="137" t="n">
        <v>0.5</v>
      </c>
      <c r="O279" s="138">
        <f t="array" ref="O279">IF(AND(B279="",C279=""),"",IF(G279&gt;=20000,0.05,IF(G279&gt;=10000,0.1,IF(G279&gt;=5000,0.2,IF(G279&gt;=1000,0.3,IF(G279&gt;=0,0.4,{0}))))))</f>
        <v/>
      </c>
      <c r="P279" s="333">
        <f>IF(AND(B279="",C279=""),"",ROUND(H279*O279,2))</f>
        <v/>
      </c>
      <c r="Q279" s="334" t="inlineStr">
        <is>
          <t>元件</t>
        </is>
      </c>
      <c r="R279" s="154" t="n"/>
      <c r="S279" s="154" t="n"/>
      <c r="T279" s="154" t="inlineStr">
        <is>
          <t>0</t>
        </is>
      </c>
      <c r="U279" s="154" t="inlineStr">
        <is>
          <t>XA2EVM3LC</t>
        </is>
      </c>
      <c r="V279" s="335" t="n"/>
      <c r="W279" s="335" t="n"/>
      <c r="X279" s="152" t="n"/>
    </row>
    <row r="280" customFormat="1" s="145">
      <c r="A280" s="36">
        <f>ROW()-ROW(A$265)</f>
        <v/>
      </c>
      <c r="B280" s="29" t="inlineStr">
        <is>
          <t>指示灯</t>
        </is>
      </c>
      <c r="C280" s="25" t="inlineStr">
        <is>
          <t>XA2EVM4LC</t>
        </is>
      </c>
      <c r="D280" s="29" t="inlineStr">
        <is>
          <t>施耐德电气</t>
        </is>
      </c>
      <c r="E280" s="30" t="inlineStr">
        <is>
          <t>只</t>
        </is>
      </c>
      <c r="F280" s="30" t="n">
        <v>6</v>
      </c>
      <c r="G280" s="297">
        <f>IF(AND(B280="",C280=""),"",ROUND(M280*L280*N280,2))</f>
        <v/>
      </c>
      <c r="H280" s="297">
        <f>IF(AND(B280="",C280=""),"",ROUND(F280*G280,2))</f>
        <v/>
      </c>
      <c r="I280" s="136" t="n"/>
      <c r="J280" s="329">
        <f>IF(AND(B280="",C280=""),"",ROUND(M280*N280,2))</f>
        <v/>
      </c>
      <c r="K280" s="330">
        <f>IF(AND(B280="",C280=""),"",ROUND(J280*F280,2))</f>
        <v/>
      </c>
      <c r="L280" s="126" t="n">
        <v>1</v>
      </c>
      <c r="M280" s="331" t="n">
        <v>16.43</v>
      </c>
      <c r="N280" s="137" t="n">
        <v>0.5</v>
      </c>
      <c r="O280" s="138">
        <f t="array" ref="O280">IF(AND(B280="",C280=""),"",IF(G280&gt;=20000,0.05,IF(G280&gt;=10000,0.1,IF(G280&gt;=5000,0.2,IF(G280&gt;=1000,0.3,IF(G280&gt;=0,0.4,{0}))))))</f>
        <v/>
      </c>
      <c r="P280" s="333">
        <f>IF(AND(B280="",C280=""),"",ROUND(H280*O280,2))</f>
        <v/>
      </c>
      <c r="Q280" s="334" t="inlineStr">
        <is>
          <t>元件</t>
        </is>
      </c>
      <c r="R280" s="154" t="n"/>
      <c r="S280" s="154" t="n"/>
      <c r="T280" s="154" t="inlineStr">
        <is>
          <t>0</t>
        </is>
      </c>
      <c r="U280" s="154" t="inlineStr">
        <is>
          <t>XA2EVM4LC</t>
        </is>
      </c>
      <c r="V280" s="335" t="n"/>
      <c r="W280" s="335" t="n"/>
      <c r="X280" s="152" t="n"/>
    </row>
    <row r="281" customFormat="1" s="145">
      <c r="A281" s="36">
        <f>ROW()-ROW(A$265)</f>
        <v/>
      </c>
      <c r="B281" s="25" t="inlineStr">
        <is>
          <t>中间继电器</t>
        </is>
      </c>
      <c r="C281" s="25" t="inlineStr">
        <is>
          <t>RXM4AB2P7+RXZE1M4C+RXZ410</t>
        </is>
      </c>
      <c r="D281" s="25" t="inlineStr">
        <is>
          <t>甲供/施耐德电气</t>
        </is>
      </c>
      <c r="E281" s="26" t="inlineStr">
        <is>
          <t>只</t>
        </is>
      </c>
      <c r="F281" s="26" t="n">
        <v>6</v>
      </c>
      <c r="G281" s="292">
        <f>IF(AND(B281="",C281=""),"",ROUND(M281*L281*N281,2))</f>
        <v/>
      </c>
      <c r="H281" s="297">
        <f>IF(AND(B281="",C281=""),"",ROUND(F281*G281,2))</f>
        <v/>
      </c>
      <c r="I281" s="135" t="n"/>
      <c r="J281" s="329">
        <f>IF(AND(B281="",C281=""),"",ROUND(M281*N281,2))</f>
        <v/>
      </c>
      <c r="K281" s="330">
        <f>IF(AND(B281="",C281=""),"",ROUND(J281*F281,2))</f>
        <v/>
      </c>
      <c r="L281" s="126" t="n">
        <v>1</v>
      </c>
      <c r="M281" s="331" t="n">
        <v>1e-07</v>
      </c>
      <c r="N281" s="128" t="n">
        <v>0</v>
      </c>
      <c r="O281" s="129">
        <f t="array" ref="O281">IF(AND(B281="",C281=""),"",IF(G281&gt;=20000,0.05,IF(G281&gt;=10000,0.1,IF(G281&gt;=5000,0.2,IF(G281&gt;=1000,0.3,IF(G281&gt;=0,0.4,{0}))))))</f>
        <v/>
      </c>
      <c r="P281" s="332">
        <f>IF(AND(B281="",C281=""),"",ROUND(H281*O281,2))</f>
        <v/>
      </c>
      <c r="Q281" s="327" t="inlineStr">
        <is>
          <t>元件</t>
        </is>
      </c>
      <c r="R281" s="150" t="n"/>
      <c r="S281" s="150" t="n"/>
      <c r="T281" s="150" t="inlineStr">
        <is>
          <t>0</t>
        </is>
      </c>
      <c r="U281" s="150" t="n"/>
      <c r="V281" s="328" t="n"/>
      <c r="W281" s="328" t="n"/>
      <c r="X281" s="152" t="n"/>
    </row>
    <row r="282" customFormat="1" s="145">
      <c r="A282" s="36">
        <f>ROW()-ROW(A$265)</f>
        <v/>
      </c>
      <c r="B282" s="29" t="inlineStr">
        <is>
          <t>熔断器</t>
        </is>
      </c>
      <c r="C282" s="29" t="inlineStr">
        <is>
          <t>UK5-HESI</t>
        </is>
      </c>
      <c r="D282" s="25" t="inlineStr">
        <is>
          <t>菲尼克斯</t>
        </is>
      </c>
      <c r="E282" s="26" t="inlineStr">
        <is>
          <t>只</t>
        </is>
      </c>
      <c r="F282" s="26" t="n">
        <v>24</v>
      </c>
      <c r="G282" s="293">
        <f>IF(AND(B282="",C282=""),"",ROUND(M282*L282*N282,2))</f>
        <v/>
      </c>
      <c r="H282" s="297">
        <f>IF(AND(B282="",C282=""),"",ROUND(F282*G282,2))</f>
        <v/>
      </c>
      <c r="I282" s="136" t="n"/>
      <c r="J282" s="329">
        <f>IF(AND(B282="",C282=""),"",ROUND(M282*N282,2))</f>
        <v/>
      </c>
      <c r="K282" s="330">
        <f>IF(AND(B282="",C282=""),"",ROUND(J282*F282,2))</f>
        <v/>
      </c>
      <c r="L282" s="126" t="n">
        <v>1</v>
      </c>
      <c r="M282" s="331" t="n">
        <v>7</v>
      </c>
      <c r="N282" s="128" t="n">
        <v>1</v>
      </c>
      <c r="O282" s="129">
        <f t="array" ref="O282">IF(AND(B282="",C282=""),"",IF(G282&gt;=20000,0.05,IF(G282&gt;=10000,0.1,IF(G282&gt;=5000,0.2,IF(G282&gt;=1000,0.3,IF(G282&gt;=0,0.4,{0}))))))</f>
        <v/>
      </c>
      <c r="P282" s="332">
        <f>IF(AND(B282="",C282=""),"",ROUND(H282*O282,2))</f>
        <v/>
      </c>
      <c r="Q282" s="327" t="inlineStr">
        <is>
          <t>元件</t>
        </is>
      </c>
      <c r="R282" s="150" t="n"/>
      <c r="S282" s="150" t="n"/>
      <c r="T282" s="150" t="inlineStr">
        <is>
          <t>0</t>
        </is>
      </c>
      <c r="U282" s="150" t="n"/>
      <c r="V282" s="328" t="n"/>
      <c r="W282" s="328" t="n"/>
      <c r="X282" s="152" t="n"/>
    </row>
    <row r="283" customFormat="1" s="145">
      <c r="A283" s="36">
        <f>ROW()-ROW(A$265)</f>
        <v/>
      </c>
      <c r="B283" s="29" t="inlineStr">
        <is>
          <t>SP元件</t>
        </is>
      </c>
      <c r="C283" s="25" t="inlineStr">
        <is>
          <t>智能网关 PAS700</t>
        </is>
      </c>
      <c r="D283" s="25" t="inlineStr">
        <is>
          <t>甲供/施耐德电气</t>
        </is>
      </c>
      <c r="E283" s="30" t="inlineStr">
        <is>
          <t>只</t>
        </is>
      </c>
      <c r="F283" s="30">
        <f>IF(AND(B283="",C283=""),"",1)</f>
        <v/>
      </c>
      <c r="G283" s="297">
        <f>IF(AND(B283="",C283=""),"",ROUND(M283*L283*N283,2))</f>
        <v/>
      </c>
      <c r="H283" s="297">
        <f>IF(AND(B283="",C283=""),"",ROUND(F283*G283,2))</f>
        <v/>
      </c>
      <c r="I283" s="135" t="n"/>
      <c r="J283" s="329">
        <f>IF(AND(B283="",C283=""),"",ROUND(M283*N283,2))</f>
        <v/>
      </c>
      <c r="K283" s="330">
        <f>IF(AND(B283="",C283=""),"",ROUND(J283*F283,2))</f>
        <v/>
      </c>
      <c r="L283" s="126" t="n">
        <v>1</v>
      </c>
      <c r="M283" s="331" t="n">
        <v>1e-07</v>
      </c>
      <c r="N283" s="128" t="n">
        <v>0</v>
      </c>
      <c r="O283" s="129">
        <f t="array" ref="O283">IF(AND(B283="",C283=""),"",IF(G283&gt;=20000,0.05,IF(G283&gt;=10000,0.1,IF(G283&gt;=5000,0.2,IF(G283&gt;=1000,0.3,IF(G283&gt;=0,0.4,{0}))))))</f>
        <v/>
      </c>
      <c r="P283" s="332">
        <f>IF(AND(B283="",C283=""),"",ROUND(H283*O283,2))</f>
        <v/>
      </c>
      <c r="Q283" s="327" t="inlineStr">
        <is>
          <t>元件</t>
        </is>
      </c>
      <c r="R283" s="150" t="n"/>
      <c r="S283" s="150" t="n"/>
      <c r="T283" s="150" t="inlineStr">
        <is>
          <t>0</t>
        </is>
      </c>
      <c r="U283" s="150" t="n"/>
      <c r="V283" s="328" t="n"/>
      <c r="W283" s="328" t="n"/>
      <c r="X283" s="152" t="n"/>
    </row>
    <row r="284" customFormat="1" s="145">
      <c r="A284" s="36">
        <f>ROW()-ROW(A$265)</f>
        <v/>
      </c>
      <c r="B284" s="25" t="inlineStr">
        <is>
          <t>水平排2500A</t>
        </is>
      </c>
      <c r="C284" s="25" t="inlineStr">
        <is>
          <t>TMY 3*(2*125*5)+1*125*5+2*50*5</t>
        </is>
      </c>
      <c r="D284" s="25" t="inlineStr">
        <is>
          <t>国产优质</t>
        </is>
      </c>
      <c r="E284" s="26" t="inlineStr">
        <is>
          <t>米</t>
        </is>
      </c>
      <c r="F284" s="30" t="n">
        <v>0.6</v>
      </c>
      <c r="G284" s="297">
        <f>IF(AND(B284="",C284=""),"",ROUND(M284*L284*N284,2))</f>
        <v/>
      </c>
      <c r="H284" s="297">
        <f>IF(AND(B284="",C284=""),"",ROUND(F284*G284,2))</f>
        <v/>
      </c>
      <c r="I284" s="135" t="n"/>
      <c r="J284" s="329">
        <f>IF(AND(B284="",C284=""),"",ROUND(M284*N284,2))</f>
        <v/>
      </c>
      <c r="K284" s="330">
        <f>IF(AND(B284="",C284=""),"",ROUND(J284*F284,2))</f>
        <v/>
      </c>
      <c r="L284" s="126" t="n">
        <v>1</v>
      </c>
      <c r="M284" s="331" t="n">
        <v>3633.9200625</v>
      </c>
      <c r="N284" s="128" t="n">
        <v>1</v>
      </c>
      <c r="O284" s="129">
        <f t="array" ref="O284">IF(AND(B284="",C284=""),"",IF(G284&gt;=20000,0.05,IF(G284&gt;=10000,0.1,IF(G284&gt;=5000,0.2,IF(G284&gt;=1000,0.3,IF(G284&gt;=0,0.4,{0}))))))</f>
        <v/>
      </c>
      <c r="P284" s="332">
        <f>IF(AND(B284="",C284=""),"",ROUND(H284*O284,2))</f>
        <v/>
      </c>
      <c r="Q284" s="327" t="inlineStr">
        <is>
          <t>母排</t>
        </is>
      </c>
      <c r="R284" s="150" t="n"/>
      <c r="S284" s="150" t="n"/>
      <c r="T284" s="150" t="inlineStr">
        <is>
          <t>0</t>
        </is>
      </c>
      <c r="U284" s="150" t="n"/>
      <c r="V284" s="328" t="n"/>
      <c r="W284" s="328" t="n"/>
      <c r="X284" s="152" t="n"/>
    </row>
    <row r="285" customFormat="1" s="145">
      <c r="A285" s="36">
        <f>ROW()-ROW(A$265)</f>
        <v/>
      </c>
      <c r="B285" s="25" t="inlineStr">
        <is>
          <t>垂直排</t>
        </is>
      </c>
      <c r="C285" s="25" t="inlineStr">
        <is>
          <t>TMY 100*10</t>
        </is>
      </c>
      <c r="D285" s="25" t="inlineStr">
        <is>
          <t>国产优质</t>
        </is>
      </c>
      <c r="E285" s="26" t="inlineStr">
        <is>
          <t>米</t>
        </is>
      </c>
      <c r="F285" s="30" t="n">
        <v>5.7</v>
      </c>
      <c r="G285" s="297">
        <f>IF(AND(B285="",C285=""),"",ROUND(M285*L285*N285,2))</f>
        <v/>
      </c>
      <c r="H285" s="297">
        <f>IF(AND(B285="",C285=""),"",ROUND(F285*G285,2))</f>
        <v/>
      </c>
      <c r="I285" s="135" t="n"/>
      <c r="J285" s="329">
        <f>IF(AND(B285="",C285=""),"",ROUND(M285*N285,2))</f>
        <v/>
      </c>
      <c r="K285" s="330">
        <f>IF(AND(B285="",C285=""),"",ROUND(J285*F285,2))</f>
        <v/>
      </c>
      <c r="L285" s="126" t="n">
        <v>1</v>
      </c>
      <c r="M285" s="331" t="n">
        <v>745.4195</v>
      </c>
      <c r="N285" s="128" t="n">
        <v>1</v>
      </c>
      <c r="O285" s="129">
        <f t="array" ref="O285">IF(AND(B285="",C285=""),"",IF(G285&gt;=20000,0.05,IF(G285&gt;=10000,0.1,IF(G285&gt;=5000,0.2,IF(G285&gt;=1000,0.3,IF(G285&gt;=0,0.4,{0}))))))</f>
        <v/>
      </c>
      <c r="P285" s="332">
        <f>IF(AND(B285="",C285=""),"",ROUND(H285*O285,2))</f>
        <v/>
      </c>
      <c r="Q285" s="327" t="inlineStr">
        <is>
          <t>母排</t>
        </is>
      </c>
      <c r="R285" s="150" t="n"/>
      <c r="S285" s="150" t="n"/>
      <c r="T285" s="150" t="inlineStr">
        <is>
          <t>0</t>
        </is>
      </c>
      <c r="U285" s="150" t="n"/>
      <c r="V285" s="328" t="n"/>
      <c r="W285" s="328" t="n"/>
      <c r="X285" s="152" t="n"/>
    </row>
    <row r="286" customFormat="1" s="145">
      <c r="A286" s="36">
        <f>ROW()-ROW(A$265)</f>
        <v/>
      </c>
      <c r="B286" s="25" t="inlineStr">
        <is>
          <t>连接排</t>
        </is>
      </c>
      <c r="C286" s="25" t="inlineStr">
        <is>
          <t>TMY 50*10</t>
        </is>
      </c>
      <c r="D286" s="25" t="inlineStr">
        <is>
          <t>国产优质</t>
        </is>
      </c>
      <c r="E286" s="26" t="inlineStr">
        <is>
          <t>米</t>
        </is>
      </c>
      <c r="F286" s="30" t="n">
        <v>4.9</v>
      </c>
      <c r="G286" s="297">
        <f>IF(AND(B286="",C286=""),"",ROUND(M286*L286*N286,2))</f>
        <v/>
      </c>
      <c r="H286" s="297">
        <f>IF(AND(B286="",C286=""),"",ROUND(F286*G286,2))</f>
        <v/>
      </c>
      <c r="I286" s="135" t="n"/>
      <c r="J286" s="329">
        <f>IF(AND(B286="",C286=""),"",ROUND(M286*N286,2))</f>
        <v/>
      </c>
      <c r="K286" s="330">
        <f>IF(AND(B286="",C286=""),"",ROUND(J286*F286,2))</f>
        <v/>
      </c>
      <c r="L286" s="126" t="n">
        <v>1</v>
      </c>
      <c r="M286" s="331" t="n">
        <v>372.70975</v>
      </c>
      <c r="N286" s="128" t="n">
        <v>1</v>
      </c>
      <c r="O286" s="129">
        <f t="array" ref="O286">IF(AND(B286="",C286=""),"",IF(G286&gt;=20000,0.05,IF(G286&gt;=10000,0.1,IF(G286&gt;=5000,0.2,IF(G286&gt;=1000,0.3,IF(G286&gt;=0,0.4,{0}))))))</f>
        <v/>
      </c>
      <c r="P286" s="332">
        <f>IF(AND(B286="",C286=""),"",ROUND(H286*O286,2))</f>
        <v/>
      </c>
      <c r="Q286" s="327" t="inlineStr">
        <is>
          <t>母排</t>
        </is>
      </c>
      <c r="R286" s="150" t="n"/>
      <c r="S286" s="150" t="n"/>
      <c r="T286" s="150" t="inlineStr">
        <is>
          <t>0</t>
        </is>
      </c>
      <c r="U286" s="150" t="n"/>
      <c r="V286" s="328" t="n"/>
      <c r="W286" s="328" t="n"/>
      <c r="X286" s="152" t="n"/>
    </row>
    <row r="287" customFormat="1" s="145">
      <c r="A287" s="36">
        <f>ROW()-ROW(A$265)</f>
        <v/>
      </c>
      <c r="B287" s="25" t="inlineStr">
        <is>
          <t>N排</t>
        </is>
      </c>
      <c r="C287" s="25" t="inlineStr">
        <is>
          <t>TMY 50*10</t>
        </is>
      </c>
      <c r="D287" s="25" t="inlineStr">
        <is>
          <t>国产优质</t>
        </is>
      </c>
      <c r="E287" s="26" t="inlineStr">
        <is>
          <t>米</t>
        </is>
      </c>
      <c r="F287" s="30" t="n">
        <v>3.3</v>
      </c>
      <c r="G287" s="297">
        <f>IF(AND(B287="",C287=""),"",ROUND(M287*L287*N287,2))</f>
        <v/>
      </c>
      <c r="H287" s="297">
        <f>IF(AND(B287="",C287=""),"",ROUND(F287*G287,2))</f>
        <v/>
      </c>
      <c r="I287" s="135" t="n"/>
      <c r="J287" s="329">
        <f>IF(AND(B287="",C287=""),"",ROUND(M287*N287,2))</f>
        <v/>
      </c>
      <c r="K287" s="330">
        <f>IF(AND(B287="",C287=""),"",ROUND(J287*F287,2))</f>
        <v/>
      </c>
      <c r="L287" s="126" t="n">
        <v>1</v>
      </c>
      <c r="M287" s="331" t="n">
        <v>372.70975</v>
      </c>
      <c r="N287" s="128" t="n">
        <v>1</v>
      </c>
      <c r="O287" s="129">
        <f t="array" ref="O287">IF(AND(B287="",C287=""),"",IF(G287&gt;=20000,0.05,IF(G287&gt;=10000,0.1,IF(G287&gt;=5000,0.2,IF(G287&gt;=1000,0.3,IF(G287&gt;=0,0.4,{0}))))))</f>
        <v/>
      </c>
      <c r="P287" s="332">
        <f>IF(AND(B287="",C287=""),"",ROUND(H287*O287,2))</f>
        <v/>
      </c>
      <c r="Q287" s="327" t="inlineStr">
        <is>
          <t>母排</t>
        </is>
      </c>
      <c r="R287" s="150" t="n"/>
      <c r="S287" s="150" t="n"/>
      <c r="T287" s="150" t="inlineStr">
        <is>
          <t>0</t>
        </is>
      </c>
      <c r="U287" s="150" t="n"/>
      <c r="V287" s="328" t="n"/>
      <c r="W287" s="328" t="n"/>
      <c r="X287" s="152" t="n"/>
    </row>
    <row r="288" customFormat="1" s="145">
      <c r="A288" s="36">
        <f>ROW()-ROW(A$265)</f>
        <v/>
      </c>
      <c r="B288" s="25" t="inlineStr">
        <is>
          <t>400A连接排</t>
        </is>
      </c>
      <c r="C288" s="25" t="inlineStr">
        <is>
          <t>TMY 30*8</t>
        </is>
      </c>
      <c r="D288" s="25" t="inlineStr">
        <is>
          <t>国产优质</t>
        </is>
      </c>
      <c r="E288" s="26" t="inlineStr">
        <is>
          <t>米</t>
        </is>
      </c>
      <c r="F288" s="30">
        <f>3.2*1</f>
        <v/>
      </c>
      <c r="G288" s="297">
        <f>IF(AND(B288="",C288=""),"",ROUND(M288*L288*N288,2))</f>
        <v/>
      </c>
      <c r="H288" s="297">
        <f>IF(AND(B288="",C288=""),"",ROUND(F288*G288,2))</f>
        <v/>
      </c>
      <c r="I288" s="135" t="n"/>
      <c r="J288" s="329">
        <f>IF(AND(B288="",C288=""),"",ROUND(M288*N288,2))</f>
        <v/>
      </c>
      <c r="K288" s="330">
        <f>IF(AND(B288="",C288=""),"",ROUND(J288*F288,2))</f>
        <v/>
      </c>
      <c r="L288" s="126" t="n">
        <v>1</v>
      </c>
      <c r="M288" s="331" t="n">
        <v>178.90068</v>
      </c>
      <c r="N288" s="128" t="n">
        <v>1</v>
      </c>
      <c r="O288" s="129">
        <f t="array" ref="O288">IF(AND(B288="",C288=""),"",IF(G288&gt;=20000,0.05,IF(G288&gt;=10000,0.1,IF(G288&gt;=5000,0.2,IF(G288&gt;=1000,0.3,IF(G288&gt;=0,0.4,{0}))))))</f>
        <v/>
      </c>
      <c r="P288" s="332">
        <f>IF(AND(B288="",C288=""),"",ROUND(H288*O288,2))</f>
        <v/>
      </c>
      <c r="Q288" s="327" t="inlineStr">
        <is>
          <t>母排</t>
        </is>
      </c>
      <c r="R288" s="150" t="n"/>
      <c r="S288" s="150" t="n"/>
      <c r="T288" s="150" t="inlineStr">
        <is>
          <t>0</t>
        </is>
      </c>
      <c r="U288" s="150" t="n"/>
      <c r="V288" s="328" t="n"/>
      <c r="W288" s="328" t="n"/>
      <c r="X288" s="152" t="n"/>
    </row>
    <row r="289" customFormat="1" s="145">
      <c r="A289" s="36">
        <f>ROW()-ROW(A$265)</f>
        <v/>
      </c>
      <c r="B289" s="25" t="inlineStr">
        <is>
          <t>630A连接排</t>
        </is>
      </c>
      <c r="C289" s="25" t="inlineStr">
        <is>
          <t>TMY 30*10</t>
        </is>
      </c>
      <c r="D289" s="25" t="inlineStr">
        <is>
          <t>国产优质</t>
        </is>
      </c>
      <c r="E289" s="26" t="inlineStr">
        <is>
          <t>米</t>
        </is>
      </c>
      <c r="F289" s="30">
        <f>3.2*2</f>
        <v/>
      </c>
      <c r="G289" s="297">
        <f>IF(AND(B289="",C289=""),"",ROUND(M289*L289*N289,2))</f>
        <v/>
      </c>
      <c r="H289" s="297">
        <f>IF(AND(B289="",C289=""),"",ROUND(F289*G289,2))</f>
        <v/>
      </c>
      <c r="I289" s="135" t="n"/>
      <c r="J289" s="329">
        <f>IF(AND(B289="",C289=""),"",ROUND(M289*N289,2))</f>
        <v/>
      </c>
      <c r="K289" s="330">
        <f>IF(AND(B289="",C289=""),"",ROUND(J289*F289,2))</f>
        <v/>
      </c>
      <c r="L289" s="126" t="n">
        <v>1</v>
      </c>
      <c r="M289" s="331" t="n">
        <v>223.62585</v>
      </c>
      <c r="N289" s="128" t="n">
        <v>1</v>
      </c>
      <c r="O289" s="129">
        <f t="array" ref="O289">IF(AND(B289="",C289=""),"",IF(G289&gt;=20000,0.05,IF(G289&gt;=10000,0.1,IF(G289&gt;=5000,0.2,IF(G289&gt;=1000,0.3,IF(G289&gt;=0,0.4,{0}))))))</f>
        <v/>
      </c>
      <c r="P289" s="332">
        <f>IF(AND(B289="",C289=""),"",ROUND(H289*O289,2))</f>
        <v/>
      </c>
      <c r="Q289" s="327" t="inlineStr">
        <is>
          <t>母排</t>
        </is>
      </c>
      <c r="R289" s="150" t="n"/>
      <c r="S289" s="150" t="n"/>
      <c r="T289" s="150" t="inlineStr">
        <is>
          <t>0</t>
        </is>
      </c>
      <c r="U289" s="150" t="n"/>
      <c r="V289" s="328" t="n"/>
      <c r="W289" s="328" t="n"/>
      <c r="X289" s="152" t="n"/>
    </row>
    <row r="290" customFormat="1" s="145">
      <c r="A290" s="36">
        <f>ROW()-ROW(A$265)</f>
        <v/>
      </c>
      <c r="B290" s="25" t="inlineStr">
        <is>
          <t>导线及辅料</t>
        </is>
      </c>
      <c r="C290" s="25" t="n"/>
      <c r="D290" s="25" t="inlineStr">
        <is>
          <t>国产优质</t>
        </is>
      </c>
      <c r="E290" s="26" t="inlineStr">
        <is>
          <t>套</t>
        </is>
      </c>
      <c r="F290" s="26" t="n">
        <v>1</v>
      </c>
      <c r="G290" s="293">
        <f>IF(AND(B290="",C290=""),"",ROUND(M290*L290*N290,2))</f>
        <v/>
      </c>
      <c r="H290" s="293">
        <f>IF(AND(B290="",C290=""),"",ROUND(F290*G290,2))</f>
        <v/>
      </c>
      <c r="I290" s="164" t="n"/>
      <c r="J290" s="329">
        <f>IF(AND(B290="",C290=""),"",ROUND(M290*N290,2))</f>
        <v/>
      </c>
      <c r="K290" s="330">
        <f>IF(AND(B290="",C290=""),"",ROUND(J290*F290,2))</f>
        <v/>
      </c>
      <c r="L290" s="126" t="n">
        <v>1</v>
      </c>
      <c r="M290" s="331" t="n">
        <v>1268</v>
      </c>
      <c r="N290" s="137" t="n">
        <v>1</v>
      </c>
      <c r="O290" s="138">
        <f t="array" ref="O290">IF(AND(B290="",C290=""),"",IF(G290&gt;=20000,0.05,IF(G290&gt;=10000,0.1,IF(G290&gt;=5000,0.2,IF(G290&gt;=1000,0.3,IF(G290&gt;=0,0.4,{0}))))))</f>
        <v/>
      </c>
      <c r="P290" s="333">
        <f>IF(AND(B290="",C290=""),"",ROUND(H290*O290,2))</f>
        <v/>
      </c>
      <c r="Q290" s="334" t="inlineStr">
        <is>
          <t>辅料</t>
        </is>
      </c>
      <c r="R290" s="154" t="n"/>
      <c r="S290" s="154" t="n"/>
      <c r="T290" s="154" t="inlineStr">
        <is>
          <t>0</t>
        </is>
      </c>
      <c r="U290" s="154" t="n"/>
      <c r="V290" s="335" t="n"/>
      <c r="W290" s="335" t="n"/>
      <c r="X290" s="152" t="n"/>
    </row>
    <row r="291" customFormat="1" s="145">
      <c r="A291" s="36">
        <f>ROW()-ROW(A$265)</f>
        <v/>
      </c>
      <c r="B291" s="29" t="inlineStr">
        <is>
          <t>Blokset柜</t>
        </is>
      </c>
      <c r="C291" s="25" t="inlineStr">
        <is>
          <t>600W*1000D*2200H</t>
        </is>
      </c>
      <c r="D291" s="25" t="inlineStr">
        <is>
          <t>清科</t>
        </is>
      </c>
      <c r="E291" s="30" t="inlineStr">
        <is>
          <t>台</t>
        </is>
      </c>
      <c r="F291" s="30" t="n">
        <v>1</v>
      </c>
      <c r="G291" s="297">
        <f>IF(AND(B291="",C291=""),"",ROUND(M291*L291*N291,2))</f>
        <v/>
      </c>
      <c r="H291" s="297">
        <f>IF(AND(B291="",C291=""),"",ROUND(F291*G291,2))</f>
        <v/>
      </c>
      <c r="I291" s="135" t="n"/>
      <c r="J291" s="329">
        <f>IF(AND(B291="",C291=""),"",ROUND(M291*N291,2))</f>
        <v/>
      </c>
      <c r="K291" s="330">
        <f>IF(AND(B291="",C291=""),"",ROUND(J291*F291,2))</f>
        <v/>
      </c>
      <c r="L291" s="126" t="n">
        <v>1</v>
      </c>
      <c r="M291" s="331" t="n">
        <v>8363</v>
      </c>
      <c r="N291" s="137" t="n">
        <v>1</v>
      </c>
      <c r="O291" s="138">
        <f t="array" ref="O291">IF(AND(B291="",C291=""),"",IF(G291&gt;=20000,0.05,IF(G291&gt;=10000,0.1,IF(G291&gt;=5000,0.2,IF(G291&gt;=1000,0.3,IF(G291&gt;=0,0.4,{0}))))))</f>
        <v/>
      </c>
      <c r="P291" s="333">
        <f>IF(AND(B291="",C291=""),"",ROUND(H291*O291,2))</f>
        <v/>
      </c>
      <c r="Q291" s="334" t="inlineStr">
        <is>
          <t>箱体</t>
        </is>
      </c>
      <c r="R291" s="154" t="n"/>
      <c r="S291" s="154" t="n"/>
      <c r="T291" s="154" t="inlineStr">
        <is>
          <t>0</t>
        </is>
      </c>
      <c r="U291" s="154" t="n"/>
      <c r="V291" s="335" t="n"/>
      <c r="W291" s="335" t="n"/>
      <c r="X291" s="152" t="n"/>
    </row>
    <row r="292" customFormat="1" s="145">
      <c r="A292" s="36">
        <f>ROW()-ROW(A$265)</f>
        <v/>
      </c>
      <c r="B292" s="25" t="n"/>
      <c r="C292" s="25" t="n"/>
      <c r="D292" s="25" t="n"/>
      <c r="E292" s="26" t="n"/>
      <c r="F292" s="26">
        <f>IF(AND(B292="",C292=""),"",1)</f>
        <v/>
      </c>
      <c r="G292" s="293">
        <f>IF(AND(B292="",C292=""),"",ROUND(M292*L292*N292,2))</f>
        <v/>
      </c>
      <c r="H292" s="293">
        <f>IF(AND(B292="",C292=""),"",ROUND(F292*G292,2))</f>
        <v/>
      </c>
      <c r="I292" s="91" t="n"/>
      <c r="J292" s="329">
        <f>IF(AND(B292="",C292=""),"",ROUND(M292*N292,2))</f>
        <v/>
      </c>
      <c r="K292" s="330">
        <f>IF(AND(B292="",C292=""),"",ROUND(J292*F292,2))</f>
        <v/>
      </c>
      <c r="L292" s="126">
        <f>IF(AND(B292="",C292=""),"",1)</f>
        <v/>
      </c>
      <c r="M292" s="331" t="n"/>
      <c r="N292" s="128">
        <f>IF(AND(B292="",C292=""),"",1)</f>
        <v/>
      </c>
      <c r="O292" s="129">
        <f t="array" ref="O292">IF(AND(B292="",C292=""),"",IF(G292&gt;=20000,0.05,IF(G292&gt;=10000,0.1,IF(G292&gt;=5000,0.2,IF(G292&gt;=1000,0.3,IF(G292&gt;=0,0.4,{0}))))))</f>
        <v/>
      </c>
      <c r="P292" s="332">
        <f>IF(AND(B292="",C292=""),"",ROUND(H292*O292,2))</f>
        <v/>
      </c>
      <c r="Q292" s="327">
        <f>IF(AND(B292="",C292=""),"","元件")</f>
        <v/>
      </c>
      <c r="R292" s="150" t="n"/>
      <c r="S292" s="150" t="n"/>
      <c r="T292" s="150" t="n"/>
      <c r="U292" s="150" t="n"/>
      <c r="V292" s="328" t="n"/>
      <c r="W292" s="328" t="n"/>
      <c r="X292" s="152" t="n"/>
    </row>
    <row r="293" customFormat="1" s="145">
      <c r="A293" s="36">
        <f>ROW()-ROW(A$265)</f>
        <v/>
      </c>
      <c r="B293" s="29" t="n"/>
      <c r="C293" s="29" t="n"/>
      <c r="D293" s="29" t="n"/>
      <c r="E293" s="30" t="n"/>
      <c r="F293" s="30">
        <f>IF(AND(B293="",C293=""),"",1)</f>
        <v/>
      </c>
      <c r="G293" s="297">
        <f>IF(AND(B293="",C293=""),"",ROUND(M293*L293*N293,2))</f>
        <v/>
      </c>
      <c r="H293" s="293">
        <f>IF(AND(B293="",C293=""),"",ROUND(F293*G293,2))</f>
        <v/>
      </c>
      <c r="I293" s="91" t="n"/>
      <c r="J293" s="329">
        <f>IF(AND(B293="",C293=""),"",ROUND(M293*N293,2))</f>
        <v/>
      </c>
      <c r="K293" s="330">
        <f>IF(AND(B293="",C293=""),"",ROUND(J293*F293,2))</f>
        <v/>
      </c>
      <c r="L293" s="126">
        <f>IF(AND(B293="",C293=""),"",1)</f>
        <v/>
      </c>
      <c r="M293" s="331" t="n"/>
      <c r="N293" s="128">
        <f>IF(AND(B293="",C293=""),"",1)</f>
        <v/>
      </c>
      <c r="O293" s="129">
        <f t="array" ref="O293">IF(AND(B293="",C293=""),"",IF(G293&gt;=20000,0.05,IF(G293&gt;=10000,0.1,IF(G293&gt;=5000,0.2,IF(G293&gt;=1000,0.3,IF(G293&gt;=0,0.4,{0}))))))</f>
        <v/>
      </c>
      <c r="P293" s="332">
        <f>IF(AND(B293="",C293=""),"",ROUND(H293*O293,2))</f>
        <v/>
      </c>
      <c r="Q293" s="327">
        <f>IF(AND(B293="",C293=""),"","元件")</f>
        <v/>
      </c>
      <c r="R293" s="150" t="n"/>
      <c r="S293" s="150" t="n"/>
      <c r="T293" s="150" t="n"/>
      <c r="U293" s="150" t="n"/>
      <c r="V293" s="328" t="n"/>
      <c r="W293" s="328" t="n"/>
      <c r="X293" s="152" t="n"/>
    </row>
    <row r="294" customFormat="1" s="145">
      <c r="A294" s="36">
        <f>ROW()-ROW(A$265)</f>
        <v/>
      </c>
      <c r="B294" s="156" t="inlineStr">
        <is>
          <t>小计</t>
        </is>
      </c>
      <c r="C294" s="157" t="n"/>
      <c r="D294" s="54" t="n"/>
      <c r="E294" s="30" t="n"/>
      <c r="F294" s="30" t="n"/>
      <c r="G294" s="297" t="n"/>
      <c r="H294" s="297">
        <f>ROUND(SUM(H265:INDEX(H:H,ROW()-1)),2)</f>
        <v/>
      </c>
      <c r="I294" s="91" t="n"/>
      <c r="J294" s="329" t="n"/>
      <c r="K294" s="330">
        <f>ROUND(SUM(K265:INDEX(K:K,ROW()-1)),2)</f>
        <v/>
      </c>
      <c r="L294" s="126" t="n"/>
      <c r="M294" s="331" t="n"/>
      <c r="N294" s="128" t="n"/>
      <c r="O294" s="129" t="n"/>
      <c r="P294" s="332" t="n"/>
      <c r="Q294" s="327" t="n"/>
      <c r="R294" s="150" t="n"/>
      <c r="S294" s="150" t="n"/>
      <c r="T294" s="150" t="n"/>
      <c r="U294" s="150" t="n"/>
      <c r="V294" s="328">
        <f t="array" ref="V294">ROUND(SUMPRODUCT(F265:INDEX(F:F,ROW()-1),V265:INDEX(V:V,ROW()-1)),2)</f>
        <v/>
      </c>
      <c r="W294" s="328">
        <f t="array" ref="W294">ROUND(SUMPRODUCT(F265:INDEX(F:F,ROW()-1),W265:INDEX(W:W,ROW()-1)),2)</f>
        <v/>
      </c>
      <c r="X294" s="152" t="n"/>
    </row>
    <row r="295" customFormat="1" s="145">
      <c r="A295" s="36">
        <f>ROW()-ROW(A$265)</f>
        <v/>
      </c>
      <c r="B295" s="156" t="inlineStr">
        <is>
          <t>成套费</t>
        </is>
      </c>
      <c r="C295" s="157" t="n"/>
      <c r="D295" s="54" t="n"/>
      <c r="E295" s="30" t="n"/>
      <c r="F295" s="30" t="n"/>
      <c r="G295" s="297" t="n"/>
      <c r="H295" s="297" t="n">
        <v>944.76</v>
      </c>
      <c r="I295" s="91" t="n"/>
      <c r="J295" s="329" t="n"/>
      <c r="K295" s="330" t="n">
        <v>944.76</v>
      </c>
      <c r="L295" s="126" t="n"/>
      <c r="M295" s="331" t="n"/>
      <c r="N295" s="128" t="n"/>
      <c r="O295" s="129" t="n"/>
      <c r="P295" s="332" t="n"/>
      <c r="Q295" s="327" t="n"/>
      <c r="R295" s="150" t="n"/>
      <c r="S295" s="150" t="n"/>
      <c r="T295" s="150" t="n"/>
      <c r="U295" s="150" t="n"/>
      <c r="V295" s="328" t="n"/>
      <c r="W295" s="328" t="n"/>
      <c r="X295" s="152" t="n"/>
    </row>
    <row r="296" customFormat="1" s="145">
      <c r="A296" s="36">
        <f>ROW()-ROW(A$265)</f>
        <v/>
      </c>
      <c r="B296" s="156" t="n"/>
      <c r="C296" s="157" t="n"/>
      <c r="D296" s="54" t="n"/>
      <c r="E296" s="30" t="n"/>
      <c r="F296" s="30" t="n"/>
      <c r="G296" s="297" t="n"/>
      <c r="H296" s="297" t="n">
        <v>17.26</v>
      </c>
      <c r="I296" s="91" t="n"/>
      <c r="J296" s="329" t="n"/>
      <c r="K296" s="330" t="n"/>
      <c r="L296" s="126" t="n"/>
      <c r="M296" s="331" t="n"/>
      <c r="N296" s="128" t="n"/>
      <c r="O296" s="129" t="n"/>
      <c r="P296" s="332" t="n"/>
      <c r="Q296" s="327" t="n"/>
      <c r="R296" s="150" t="n"/>
      <c r="S296" s="150" t="n"/>
      <c r="T296" s="150" t="n"/>
      <c r="U296" s="150" t="n"/>
      <c r="V296" s="328" t="n"/>
      <c r="W296" s="328" t="n"/>
      <c r="X296" s="152" t="n"/>
    </row>
    <row r="297" customFormat="1" s="145">
      <c r="A297" s="36">
        <f>ROW()-ROW(A$265)</f>
        <v/>
      </c>
      <c r="B297" s="54" t="inlineStr">
        <is>
          <t>单台合计</t>
        </is>
      </c>
      <c r="C297" s="157" t="n"/>
      <c r="D297" s="54" t="n"/>
      <c r="E297" s="30" t="n"/>
      <c r="F297" s="30" t="n"/>
      <c r="G297" s="297" t="n"/>
      <c r="H297" s="297">
        <f>ROUND(SUM(H294:H295),2)</f>
        <v/>
      </c>
      <c r="I297" s="165" t="n"/>
      <c r="J297" s="329" t="n"/>
      <c r="K297" s="330">
        <f>ROUND(SUM(K294:K295),2)</f>
        <v/>
      </c>
      <c r="L297" s="166" t="n"/>
      <c r="M297" s="331" t="n"/>
      <c r="N297" s="167" t="n"/>
      <c r="O297" s="168" t="n"/>
      <c r="P297" s="332" t="n"/>
      <c r="Q297" s="327" t="n"/>
      <c r="R297" s="150" t="n"/>
      <c r="S297" s="150" t="n"/>
      <c r="T297" s="150" t="n"/>
      <c r="U297" s="150" t="n"/>
      <c r="V297" s="328" t="n"/>
      <c r="W297" s="328" t="n"/>
      <c r="X297" s="152" t="n"/>
    </row>
    <row r="298" customFormat="1" s="145">
      <c r="A298" s="158" t="inlineStr">
        <is>
          <t>总计</t>
        </is>
      </c>
      <c r="B298" s="159" t="n"/>
      <c r="C298" s="160" t="n"/>
      <c r="D298" s="161" t="n"/>
      <c r="E298" s="161" t="inlineStr">
        <is>
          <t>台</t>
        </is>
      </c>
      <c r="F298" s="161" t="n">
        <v>1</v>
      </c>
      <c r="G298" s="336">
        <f>ROUND(H297,2)</f>
        <v/>
      </c>
      <c r="H298" s="336">
        <f>ROUND(F298*G298,2)</f>
        <v/>
      </c>
      <c r="I298" s="169" t="n"/>
      <c r="J298" s="337" t="n"/>
      <c r="K298" s="338">
        <f>ROUND(K297*F298,2)</f>
        <v/>
      </c>
      <c r="L298" s="172" t="n"/>
      <c r="M298" s="339" t="n"/>
      <c r="N298" s="174" t="n"/>
      <c r="O298" s="175" t="n"/>
      <c r="P298" s="340" t="n"/>
      <c r="Q298" s="327" t="n"/>
      <c r="R298" s="150" t="n"/>
      <c r="S298" s="150" t="n"/>
      <c r="T298" s="150" t="n"/>
      <c r="U298" s="150" t="n"/>
      <c r="V298" s="328" t="n"/>
      <c r="W298" s="328" t="n"/>
      <c r="X298" s="152" t="n"/>
    </row>
    <row r="299" customFormat="1" s="146">
      <c r="A299" s="3" t="n"/>
      <c r="B299" s="117" t="n"/>
      <c r="C299" s="117" t="n"/>
      <c r="D299" s="117" t="n"/>
      <c r="E299" s="146" t="n"/>
      <c r="F299" s="146" t="n"/>
      <c r="G299" s="146" t="n"/>
      <c r="H299" s="146" t="n"/>
      <c r="Q299" s="144" t="n"/>
      <c r="R299" s="144" t="n"/>
      <c r="S299" s="144" t="n"/>
      <c r="T299" s="144" t="n"/>
      <c r="U299" s="144" t="n"/>
      <c r="X299" s="117" t="n"/>
    </row>
    <row r="300" customFormat="1" s="146">
      <c r="A300" s="3" t="n"/>
      <c r="B300" s="117" t="n"/>
      <c r="C300" s="117" t="n"/>
      <c r="D300" s="117" t="n"/>
      <c r="E300" s="146" t="n"/>
      <c r="F300" s="146" t="n"/>
      <c r="G300" s="146" t="n"/>
      <c r="H300" s="146" t="n"/>
      <c r="Q300" s="144" t="n"/>
      <c r="R300" s="144" t="n"/>
      <c r="S300" s="144" t="n"/>
      <c r="T300" s="144" t="n"/>
      <c r="U300" s="144" t="n"/>
      <c r="X300" s="117" t="n"/>
    </row>
    <row r="301" customFormat="1" s="145">
      <c r="A301" s="63">
        <f>CONCATENATE("报价人：",项目信息!$B$8)</f>
        <v/>
      </c>
      <c r="B301" s="63" t="n"/>
      <c r="C301" s="146" t="n"/>
      <c r="D301" s="146" t="n"/>
      <c r="E301" s="146" t="n"/>
      <c r="F301" s="146" t="n"/>
      <c r="G301" s="146" t="n"/>
      <c r="H301" s="163">
        <f>项目信息!$B$9</f>
        <v/>
      </c>
      <c r="Q301" s="144" t="n"/>
      <c r="R301" s="144" t="n"/>
      <c r="S301" s="144" t="n"/>
      <c r="T301" s="144" t="n"/>
      <c r="U301" s="144" t="n"/>
      <c r="X301" s="148" t="n"/>
    </row>
    <row r="302" customFormat="1" s="145">
      <c r="A302" s="5">
        <f>T(项目信息!$B$22)</f>
        <v/>
      </c>
      <c r="Q302" s="144" t="n"/>
      <c r="R302" s="144" t="n"/>
      <c r="S302" s="144" t="n"/>
      <c r="T302" s="144" t="n"/>
      <c r="U302" s="144" t="n"/>
      <c r="X302" s="145" t="n"/>
    </row>
    <row r="303" customFormat="1" s="145">
      <c r="A303" s="6">
        <f>T(项目信息!$B$23)</f>
        <v/>
      </c>
      <c r="Q303" s="144" t="n"/>
      <c r="R303" s="144" t="n"/>
      <c r="S303" s="144" t="n"/>
      <c r="T303" s="144" t="n"/>
      <c r="U303" s="144" t="n"/>
      <c r="X303" s="145" t="n"/>
    </row>
    <row r="304" customFormat="1" s="145">
      <c r="A304" s="68" t="inlineStr">
        <is>
          <t>成套产品报价明细表</t>
        </is>
      </c>
      <c r="B304" s="318" t="n"/>
      <c r="C304" s="318" t="n"/>
      <c r="D304" s="318" t="n"/>
      <c r="E304" s="318" t="n"/>
      <c r="F304" s="318" t="n"/>
      <c r="G304" s="318" t="n"/>
      <c r="H304" s="318" t="n"/>
      <c r="I304" s="318" t="n"/>
      <c r="Q304" s="144" t="n"/>
      <c r="R304" s="144" t="n"/>
      <c r="S304" s="144" t="n"/>
      <c r="T304" s="144" t="n"/>
      <c r="U304" s="144" t="n"/>
      <c r="X304" s="145" t="n"/>
    </row>
    <row r="305" customFormat="1" s="146">
      <c r="A305" s="69" t="inlineStr">
        <is>
          <t>柜号:</t>
        </is>
      </c>
      <c r="B305" s="70" t="inlineStr">
        <is>
          <t>2D5</t>
        </is>
      </c>
      <c r="C305" s="71" t="inlineStr">
        <is>
          <t>型号:</t>
        </is>
      </c>
      <c r="D305" s="70" t="inlineStr">
        <is>
          <t>Blokset</t>
        </is>
      </c>
      <c r="E305" s="319" t="n"/>
      <c r="F305" s="72" t="inlineStr">
        <is>
          <t>名称:</t>
        </is>
      </c>
      <c r="G305" s="70" t="inlineStr">
        <is>
          <t>出线柜</t>
        </is>
      </c>
      <c r="H305" s="319" t="n"/>
      <c r="I305" s="320" t="n"/>
      <c r="J305" s="116" t="inlineStr">
        <is>
          <t>箱柜尺寸:</t>
        </is>
      </c>
      <c r="K305" s="117" t="inlineStr">
        <is>
          <t>600W*1000D*2200H</t>
        </is>
      </c>
      <c r="L305" s="116" t="inlineStr">
        <is>
          <t>类别:</t>
        </is>
      </c>
      <c r="M305" s="117" t="n"/>
      <c r="N305" s="321" t="n"/>
      <c r="Q305" s="144" t="n"/>
      <c r="R305" s="144" t="n"/>
      <c r="S305" s="144" t="n"/>
      <c r="T305" s="144" t="n"/>
      <c r="U305" s="144" t="n"/>
      <c r="X305" s="146" t="n"/>
    </row>
    <row r="306" ht="20.1" customFormat="1" customHeight="1" s="145">
      <c r="A306" s="13" t="inlineStr">
        <is>
          <t>序号</t>
        </is>
      </c>
      <c r="B306" s="73" t="inlineStr">
        <is>
          <t>元件名称</t>
        </is>
      </c>
      <c r="C306" s="73" t="inlineStr">
        <is>
          <t>型号规格</t>
        </is>
      </c>
      <c r="D306" s="74" t="inlineStr">
        <is>
          <t>生产厂家</t>
        </is>
      </c>
      <c r="E306" s="15" t="inlineStr">
        <is>
          <t>单位</t>
        </is>
      </c>
      <c r="F306" s="15" t="inlineStr">
        <is>
          <t>数量</t>
        </is>
      </c>
      <c r="G306" s="287" t="inlineStr">
        <is>
          <t>单   价</t>
        </is>
      </c>
      <c r="H306" s="256" t="inlineStr">
        <is>
          <t>总   价</t>
        </is>
      </c>
      <c r="I306" s="119" t="inlineStr">
        <is>
          <t>备注</t>
        </is>
      </c>
      <c r="J306" s="322" t="inlineStr">
        <is>
          <t>成本单价</t>
        </is>
      </c>
      <c r="K306" s="322" t="inlineStr">
        <is>
          <t>成本总价</t>
        </is>
      </c>
      <c r="L306" s="121" t="inlineStr">
        <is>
          <t>报出
系数</t>
        </is>
      </c>
      <c r="M306" s="322" t="inlineStr">
        <is>
          <t>表价</t>
        </is>
      </c>
      <c r="N306" s="121" t="inlineStr">
        <is>
          <t>折扣
系数</t>
        </is>
      </c>
      <c r="O306" s="122" t="inlineStr">
        <is>
          <t>取费
系数</t>
        </is>
      </c>
      <c r="P306" s="322" t="inlineStr">
        <is>
          <t>成套费</t>
        </is>
      </c>
      <c r="Q306" s="147" t="inlineStr">
        <is>
          <t>类别</t>
        </is>
      </c>
      <c r="R306" s="147" t="inlineStr">
        <is>
          <t>物料编码</t>
        </is>
      </c>
      <c r="S306" s="147" t="inlineStr">
        <is>
          <t>产地</t>
        </is>
      </c>
      <c r="T306" s="147" t="inlineStr">
        <is>
          <t>加工费</t>
        </is>
      </c>
      <c r="U306" s="147" t="inlineStr">
        <is>
          <t>订货号</t>
        </is>
      </c>
      <c r="V306" s="147" t="inlineStr">
        <is>
          <t>人工</t>
        </is>
      </c>
      <c r="W306" s="147" t="inlineStr">
        <is>
          <t>辅料</t>
        </is>
      </c>
      <c r="X306" s="148" t="n"/>
    </row>
    <row r="307" customFormat="1" s="145">
      <c r="A307" s="36">
        <f>ROW()-ROW(A$306)</f>
        <v/>
      </c>
      <c r="B307" s="29" t="inlineStr">
        <is>
          <t>交流塑壳断路器</t>
        </is>
      </c>
      <c r="C307" s="25" t="inlineStr">
        <is>
          <t>NSX100N TMD 100 3P3D F</t>
        </is>
      </c>
      <c r="D307" s="29" t="inlineStr">
        <is>
          <t>甲供/施耐德电气</t>
        </is>
      </c>
      <c r="E307" s="30" t="inlineStr">
        <is>
          <t>只</t>
        </is>
      </c>
      <c r="F307" s="26" t="n">
        <v>1</v>
      </c>
      <c r="G307" s="297">
        <f>IF(AND(B307="",C307=""),"",ROUND(M307*L307*N307,2))</f>
        <v/>
      </c>
      <c r="H307" s="293">
        <f>IF(AND(B307="",C307=""),"",ROUND(F307*G307,2))</f>
        <v/>
      </c>
      <c r="I307" s="91" t="n"/>
      <c r="J307" s="329">
        <f>IF(AND(B307="",C307=""),"",ROUND(M307*N307,2))</f>
        <v/>
      </c>
      <c r="K307" s="330">
        <f>IF(AND(B307="",C307=""),"",ROUND(J307*F307,2))</f>
        <v/>
      </c>
      <c r="L307" s="126" t="n">
        <v>1</v>
      </c>
      <c r="M307" s="331" t="n">
        <v>1024.28</v>
      </c>
      <c r="N307" s="128" t="n">
        <v>0</v>
      </c>
      <c r="O307" s="129">
        <f t="array" ref="O307">IF(AND(B307="",C307=""),"",IF(G307&gt;=20000,0.05,IF(G307&gt;=10000,0.1,IF(G307&gt;=5000,0.2,IF(G307&gt;=1000,0.3,IF(G307&gt;=0,0.4,{0}))))))</f>
        <v/>
      </c>
      <c r="P307" s="332">
        <f>IF(AND(B307="",C307=""),"",ROUND(H307*O307,2))</f>
        <v/>
      </c>
      <c r="Q307" s="327" t="inlineStr">
        <is>
          <t>元件</t>
        </is>
      </c>
      <c r="R307" s="150" t="n"/>
      <c r="S307" s="150" t="n"/>
      <c r="T307" s="150" t="inlineStr">
        <is>
          <t>0</t>
        </is>
      </c>
      <c r="U307" s="150" t="inlineStr">
        <is>
          <t>C10N3TM100</t>
        </is>
      </c>
      <c r="V307" s="328" t="n"/>
      <c r="W307" s="328" t="n"/>
      <c r="X307" s="152" t="n"/>
    </row>
    <row r="308" customFormat="1" s="145">
      <c r="A308" s="36">
        <f>ROW()-ROW(A$306)</f>
        <v/>
      </c>
      <c r="B308" s="29" t="inlineStr">
        <is>
          <t>交流塑壳断路器</t>
        </is>
      </c>
      <c r="C308" s="25" t="inlineStr">
        <is>
          <t>NSX400N MIC 2.3 400 3P F</t>
        </is>
      </c>
      <c r="D308" s="29" t="inlineStr">
        <is>
          <t>甲供/施耐德电气</t>
        </is>
      </c>
      <c r="E308" s="30" t="inlineStr">
        <is>
          <t>只</t>
        </is>
      </c>
      <c r="F308" s="26" t="n">
        <v>2</v>
      </c>
      <c r="G308" s="293">
        <f>IF(AND(B308="",C308=""),"",ROUND(M308*L308*N308,2))</f>
        <v/>
      </c>
      <c r="H308" s="293">
        <f>IF(AND(B308="",C308=""),"",ROUND(F308*G308,2))</f>
        <v/>
      </c>
      <c r="I308" s="91" t="n"/>
      <c r="J308" s="329">
        <f>IF(AND(B308="",C308=""),"",ROUND(M308*N308,2))</f>
        <v/>
      </c>
      <c r="K308" s="330">
        <f>IF(AND(B308="",C308=""),"",ROUND(J308*F308,2))</f>
        <v/>
      </c>
      <c r="L308" s="126" t="n">
        <v>1</v>
      </c>
      <c r="M308" s="331" t="n">
        <v>3474.03</v>
      </c>
      <c r="N308" s="128" t="n">
        <v>0</v>
      </c>
      <c r="O308" s="129">
        <f t="array" ref="O308">IF(AND(B308="",C308=""),"",IF(G308&gt;=20000,0.05,IF(G308&gt;=10000,0.1,IF(G308&gt;=5000,0.2,IF(G308&gt;=1000,0.3,IF(G308&gt;=0,0.4,{0}))))))</f>
        <v/>
      </c>
      <c r="P308" s="332">
        <f>IF(AND(B308="",C308=""),"",ROUND(H308*O308,2))</f>
        <v/>
      </c>
      <c r="Q308" s="327" t="inlineStr">
        <is>
          <t>元件</t>
        </is>
      </c>
      <c r="R308" s="150" t="n"/>
      <c r="S308" s="150" t="n"/>
      <c r="T308" s="150" t="inlineStr">
        <is>
          <t>0</t>
        </is>
      </c>
      <c r="U308" s="150" t="inlineStr">
        <is>
          <t>C40N32D400</t>
        </is>
      </c>
      <c r="V308" s="328" t="n"/>
      <c r="W308" s="328" t="n"/>
      <c r="X308" s="152" t="n"/>
    </row>
    <row r="309" customFormat="1" s="145">
      <c r="A309" s="36">
        <f>ROW()-ROW(A$306)</f>
        <v/>
      </c>
      <c r="B309" s="29" t="inlineStr">
        <is>
          <t>交流塑壳断路器</t>
        </is>
      </c>
      <c r="C309" s="25" t="inlineStr">
        <is>
          <t>NSX630N MIC 2.3 630 3P F</t>
        </is>
      </c>
      <c r="D309" s="29" t="inlineStr">
        <is>
          <t>甲供/施耐德电气</t>
        </is>
      </c>
      <c r="E309" s="30" t="inlineStr">
        <is>
          <t>只</t>
        </is>
      </c>
      <c r="F309" s="26" t="n">
        <v>2</v>
      </c>
      <c r="G309" s="293">
        <f>IF(AND(B309="",C309=""),"",ROUND(M309*L309*N309,2))</f>
        <v/>
      </c>
      <c r="H309" s="293">
        <f>IF(AND(B309="",C309=""),"",ROUND(F309*G309,2))</f>
        <v/>
      </c>
      <c r="I309" s="91" t="n"/>
      <c r="J309" s="329">
        <f>IF(AND(B309="",C309=""),"",ROUND(M309*N309,2))</f>
        <v/>
      </c>
      <c r="K309" s="330">
        <f>IF(AND(B309="",C309=""),"",ROUND(J309*F309,2))</f>
        <v/>
      </c>
      <c r="L309" s="126" t="n">
        <v>1</v>
      </c>
      <c r="M309" s="331" t="n">
        <v>5950.31</v>
      </c>
      <c r="N309" s="128" t="n">
        <v>0</v>
      </c>
      <c r="O309" s="129">
        <f t="array" ref="O309">IF(AND(B309="",C309=""),"",IF(G309&gt;=20000,0.05,IF(G309&gt;=10000,0.1,IF(G309&gt;=5000,0.2,IF(G309&gt;=1000,0.3,IF(G309&gt;=0,0.4,{0}))))))</f>
        <v/>
      </c>
      <c r="P309" s="332">
        <f>IF(AND(B309="",C309=""),"",ROUND(H309*O309,2))</f>
        <v/>
      </c>
      <c r="Q309" s="327" t="inlineStr">
        <is>
          <t>元件</t>
        </is>
      </c>
      <c r="R309" s="150" t="n"/>
      <c r="S309" s="150" t="n"/>
      <c r="T309" s="150" t="inlineStr">
        <is>
          <t>0</t>
        </is>
      </c>
      <c r="U309" s="150" t="inlineStr">
        <is>
          <t>C63N32D630</t>
        </is>
      </c>
      <c r="V309" s="328" t="n"/>
      <c r="W309" s="328" t="n"/>
      <c r="X309" s="152" t="n"/>
    </row>
    <row r="310" customFormat="1" s="145">
      <c r="A310" s="36">
        <f>ROW()-ROW(A$306)</f>
        <v/>
      </c>
      <c r="B310" s="29" t="inlineStr">
        <is>
          <t>新外观延伸旋转手柄</t>
        </is>
      </c>
      <c r="C310" s="29" t="inlineStr">
        <is>
          <t>标准延伸旋转手柄/新外观延伸旋转手柄 100/160/250A</t>
        </is>
      </c>
      <c r="D310" s="29" t="inlineStr">
        <is>
          <t>甲供/施耐德电气</t>
        </is>
      </c>
      <c r="E310" s="30" t="inlineStr">
        <is>
          <t>只</t>
        </is>
      </c>
      <c r="F310" s="30" t="n">
        <v>1</v>
      </c>
      <c r="G310" s="297">
        <f>IF(AND(B310="",C310=""),"",ROUND(M310*L310*N310,2))</f>
        <v/>
      </c>
      <c r="H310" s="293">
        <f>IF(AND(B310="",C310=""),"",ROUND(F310*G310,2))</f>
        <v/>
      </c>
      <c r="I310" s="91" t="n"/>
      <c r="J310" s="329">
        <f>IF(AND(B310="",C310=""),"",ROUND(M310*N310,2))</f>
        <v/>
      </c>
      <c r="K310" s="330">
        <f>IF(AND(B310="",C310=""),"",ROUND(J310*F310,2))</f>
        <v/>
      </c>
      <c r="L310" s="126" t="n">
        <v>1</v>
      </c>
      <c r="M310" s="331" t="n">
        <v>189.75</v>
      </c>
      <c r="N310" s="128" t="n">
        <v>0</v>
      </c>
      <c r="O310" s="129">
        <f t="array" ref="O310">IF(AND(B310="",C310=""),"",IF(G310&gt;=20000,0.05,IF(G310&gt;=10000,0.1,IF(G310&gt;=5000,0.2,IF(G310&gt;=1000,0.3,IF(G310&gt;=0,0.4,{0}))))))</f>
        <v/>
      </c>
      <c r="P310" s="332">
        <f>IF(AND(B310="",C310=""),"",ROUND(H310*O310,2))</f>
        <v/>
      </c>
      <c r="Q310" s="327" t="inlineStr">
        <is>
          <t>元件</t>
        </is>
      </c>
      <c r="R310" s="150" t="n"/>
      <c r="S310" s="150" t="n"/>
      <c r="T310" s="150" t="inlineStr">
        <is>
          <t>0</t>
        </is>
      </c>
      <c r="U310" s="150" t="inlineStr">
        <is>
          <t>LV429338T</t>
        </is>
      </c>
      <c r="V310" s="328" t="n"/>
      <c r="W310" s="328" t="n"/>
      <c r="X310" s="152" t="n"/>
    </row>
    <row r="311" customFormat="1" s="145">
      <c r="A311" s="36">
        <f>ROW()-ROW(A$306)</f>
        <v/>
      </c>
      <c r="B311" s="29" t="inlineStr">
        <is>
          <t>新外观延伸旋转手柄</t>
        </is>
      </c>
      <c r="C311" s="29" t="inlineStr">
        <is>
          <t>标准延伸旋转手柄/新外观延伸旋转手柄 400/630A</t>
        </is>
      </c>
      <c r="D311" s="29" t="inlineStr">
        <is>
          <t>甲供/施耐德电气</t>
        </is>
      </c>
      <c r="E311" s="30" t="inlineStr">
        <is>
          <t>只</t>
        </is>
      </c>
      <c r="F311" s="30" t="n">
        <v>4</v>
      </c>
      <c r="G311" s="297">
        <f>IF(AND(B311="",C311=""),"",ROUND(M311*L311*N311,2))</f>
        <v/>
      </c>
      <c r="H311" s="297">
        <f>IF(AND(B311="",C311=""),"",ROUND(F311*G311,2))</f>
        <v/>
      </c>
      <c r="I311" s="135" t="n"/>
      <c r="J311" s="329">
        <f>IF(AND(B311="",C311=""),"",ROUND(M311*N311,2))</f>
        <v/>
      </c>
      <c r="K311" s="330">
        <f>IF(AND(B311="",C311=""),"",ROUND(J311*F311,2))</f>
        <v/>
      </c>
      <c r="L311" s="126" t="n">
        <v>1</v>
      </c>
      <c r="M311" s="331" t="n">
        <v>270.62</v>
      </c>
      <c r="N311" s="128" t="n">
        <v>0</v>
      </c>
      <c r="O311" s="129">
        <f t="array" ref="O311">IF(AND(B311="",C311=""),"",IF(G311&gt;=20000,0.05,IF(G311&gt;=10000,0.1,IF(G311&gt;=5000,0.2,IF(G311&gt;=1000,0.3,IF(G311&gt;=0,0.4,{0}))))))</f>
        <v/>
      </c>
      <c r="P311" s="332">
        <f>IF(AND(B311="",C311=""),"",ROUND(H311*O311,2))</f>
        <v/>
      </c>
      <c r="Q311" s="327" t="inlineStr">
        <is>
          <t>元件</t>
        </is>
      </c>
      <c r="R311" s="150" t="n"/>
      <c r="S311" s="150" t="n"/>
      <c r="T311" s="150" t="inlineStr">
        <is>
          <t>0</t>
        </is>
      </c>
      <c r="U311" s="150" t="inlineStr">
        <is>
          <t>LV432598T</t>
        </is>
      </c>
      <c r="V311" s="328" t="n"/>
      <c r="W311" s="328" t="n"/>
      <c r="X311" s="152" t="n"/>
    </row>
    <row r="312" customFormat="1" s="145">
      <c r="A312" s="36">
        <f>ROW()-ROW(A$306)</f>
        <v/>
      </c>
      <c r="B312" s="29" t="inlineStr">
        <is>
          <t>MX分励脱扣器</t>
        </is>
      </c>
      <c r="C312" s="29" t="inlineStr">
        <is>
          <t>MX分励AC220-240V/208-277V/100-630A</t>
        </is>
      </c>
      <c r="D312" s="29" t="inlineStr">
        <is>
          <t>甲供/施耐德电气</t>
        </is>
      </c>
      <c r="E312" s="30" t="inlineStr">
        <is>
          <t>只</t>
        </is>
      </c>
      <c r="F312" s="30" t="n">
        <v>5</v>
      </c>
      <c r="G312" s="297">
        <f>IF(AND(B312="",C312=""),"",ROUND(M312*L312*N312,2))</f>
        <v/>
      </c>
      <c r="H312" s="297">
        <f>IF(AND(B312="",C312=""),"",ROUND(F312*G312,2))</f>
        <v/>
      </c>
      <c r="I312" s="135" t="n"/>
      <c r="J312" s="329">
        <f>IF(AND(B312="",C312=""),"",ROUND(M312*N312,2))</f>
        <v/>
      </c>
      <c r="K312" s="330">
        <f>IF(AND(B312="",C312=""),"",ROUND(J312*F312,2))</f>
        <v/>
      </c>
      <c r="L312" s="126" t="n">
        <v>1</v>
      </c>
      <c r="M312" s="331" t="n">
        <v>314.03</v>
      </c>
      <c r="N312" s="128" t="n">
        <v>0</v>
      </c>
      <c r="O312" s="129">
        <f t="array" ref="O312">IF(AND(B312="",C312=""),"",IF(G312&gt;=20000,0.05,IF(G312&gt;=10000,0.1,IF(G312&gt;=5000,0.2,IF(G312&gt;=1000,0.3,IF(G312&gt;=0,0.4,{0}))))))</f>
        <v/>
      </c>
      <c r="P312" s="332">
        <f>IF(AND(B312="",C312=""),"",ROUND(H312*O312,2))</f>
        <v/>
      </c>
      <c r="Q312" s="327" t="inlineStr">
        <is>
          <t>元件</t>
        </is>
      </c>
      <c r="R312" s="150" t="n"/>
      <c r="S312" s="150" t="n"/>
      <c r="T312" s="150" t="inlineStr">
        <is>
          <t>0</t>
        </is>
      </c>
      <c r="U312" s="150" t="inlineStr">
        <is>
          <t>LV429387</t>
        </is>
      </c>
      <c r="V312" s="328" t="n"/>
      <c r="W312" s="328" t="n"/>
      <c r="X312" s="152" t="n"/>
    </row>
    <row r="313" customFormat="1" s="145">
      <c r="A313" s="36">
        <f>ROW()-ROW(A$306)</f>
        <v/>
      </c>
      <c r="B313" s="29" t="inlineStr">
        <is>
          <t>辅助触点OF</t>
        </is>
      </c>
      <c r="C313" s="25" t="inlineStr">
        <is>
          <t>OF</t>
        </is>
      </c>
      <c r="D313" s="29" t="inlineStr">
        <is>
          <t>甲供/施耐德电气</t>
        </is>
      </c>
      <c r="E313" s="30" t="inlineStr">
        <is>
          <t>只</t>
        </is>
      </c>
      <c r="F313" s="30" t="n">
        <v>10</v>
      </c>
      <c r="G313" s="297">
        <f>IF(AND(B313="",C313=""),"",ROUND(M313*L313*N313,2))</f>
        <v/>
      </c>
      <c r="H313" s="297">
        <f>IF(AND(B313="",C313=""),"",ROUND(F313*G313,2))</f>
        <v/>
      </c>
      <c r="I313" s="135" t="n"/>
      <c r="J313" s="329">
        <f>IF(AND(B313="",C313=""),"",ROUND(M313*N313,2))</f>
        <v/>
      </c>
      <c r="K313" s="330">
        <f>IF(AND(B313="",C313=""),"",ROUND(J313*F313,2))</f>
        <v/>
      </c>
      <c r="L313" s="126" t="n">
        <v>1</v>
      </c>
      <c r="M313" s="331" t="n">
        <v>174.01</v>
      </c>
      <c r="N313" s="128" t="n">
        <v>0</v>
      </c>
      <c r="O313" s="129">
        <f t="array" ref="O313">IF(AND(B313="",C313=""),"",IF(G313&gt;=20000,0.05,IF(G313&gt;=10000,0.1,IF(G313&gt;=5000,0.2,IF(G313&gt;=1000,0.3,IF(G313&gt;=0,0.4,{0}))))))</f>
        <v/>
      </c>
      <c r="P313" s="332">
        <f>IF(AND(B313="",C313=""),"",ROUND(H313*O313,2))</f>
        <v/>
      </c>
      <c r="Q313" s="327" t="inlineStr">
        <is>
          <t>元件</t>
        </is>
      </c>
      <c r="R313" s="150" t="n"/>
      <c r="S313" s="150" t="n"/>
      <c r="T313" s="150" t="inlineStr">
        <is>
          <t>0</t>
        </is>
      </c>
      <c r="U313" s="150" t="inlineStr">
        <is>
          <t>29450</t>
        </is>
      </c>
      <c r="V313" s="328" t="n"/>
      <c r="W313" s="328" t="n"/>
      <c r="X313" s="152" t="n"/>
    </row>
    <row r="314" customFormat="1" s="145">
      <c r="A314" s="36">
        <f>ROW()-ROW(A$306)</f>
        <v/>
      </c>
      <c r="B314" s="29" t="inlineStr">
        <is>
          <t>测量电流互感器</t>
        </is>
      </c>
      <c r="C314" s="25" t="inlineStr">
        <is>
          <t>SD-0.66-M8 100/5A</t>
        </is>
      </c>
      <c r="D314" s="29" t="inlineStr">
        <is>
          <t>杭州桑迪</t>
        </is>
      </c>
      <c r="E314" s="30" t="inlineStr">
        <is>
          <t>只</t>
        </is>
      </c>
      <c r="F314" s="30" t="n">
        <v>3</v>
      </c>
      <c r="G314" s="297">
        <f>IF(AND(B314="",C314=""),"",ROUND(M314*L314*N314,2))</f>
        <v/>
      </c>
      <c r="H314" s="297">
        <f>IF(AND(B314="",C314=""),"",ROUND(F314*G314,2))</f>
        <v/>
      </c>
      <c r="I314" s="135" t="n"/>
      <c r="J314" s="329">
        <f>IF(AND(B314="",C314=""),"",ROUND(M314*N314,2))</f>
        <v/>
      </c>
      <c r="K314" s="330">
        <f>IF(AND(B314="",C314=""),"",ROUND(J314*F314,2))</f>
        <v/>
      </c>
      <c r="L314" s="126" t="n">
        <v>1</v>
      </c>
      <c r="M314" s="331" t="n">
        <v>61.75</v>
      </c>
      <c r="N314" s="128" t="n">
        <v>1</v>
      </c>
      <c r="O314" s="129">
        <f t="array" ref="O314">IF(AND(B314="",C314=""),"",IF(G314&gt;=20000,0.05,IF(G314&gt;=10000,0.1,IF(G314&gt;=5000,0.2,IF(G314&gt;=1000,0.3,IF(G314&gt;=0,0.4,{0}))))))</f>
        <v/>
      </c>
      <c r="P314" s="332">
        <f>IF(AND(B314="",C314=""),"",ROUND(H314*O314,2))</f>
        <v/>
      </c>
      <c r="Q314" s="327" t="inlineStr">
        <is>
          <t>元件</t>
        </is>
      </c>
      <c r="R314" s="150" t="n"/>
      <c r="S314" s="150" t="n"/>
      <c r="T314" s="150" t="inlineStr">
        <is>
          <t>0</t>
        </is>
      </c>
      <c r="U314" s="150" t="n"/>
      <c r="V314" s="328" t="n"/>
      <c r="W314" s="328" t="n"/>
      <c r="X314" s="152" t="n"/>
    </row>
    <row r="315" customFormat="1" s="145">
      <c r="A315" s="36">
        <f>ROW()-ROW(A$306)</f>
        <v/>
      </c>
      <c r="B315" s="29" t="inlineStr">
        <is>
          <t>测量电流互感器</t>
        </is>
      </c>
      <c r="C315" s="29" t="inlineStr">
        <is>
          <t>SD-0.66-40II-C 400/5A</t>
        </is>
      </c>
      <c r="D315" s="29" t="inlineStr">
        <is>
          <t>杭州桑迪</t>
        </is>
      </c>
      <c r="E315" s="30" t="inlineStr">
        <is>
          <t>只</t>
        </is>
      </c>
      <c r="F315" s="30" t="n">
        <v>6</v>
      </c>
      <c r="G315" s="297">
        <f>IF(AND(B315="",C315=""),"",ROUND(M315*L315*N315,2))</f>
        <v/>
      </c>
      <c r="H315" s="297">
        <f>IF(AND(B315="",C315=""),"",ROUND(F315*G315,2))</f>
        <v/>
      </c>
      <c r="I315" s="135" t="n"/>
      <c r="J315" s="329">
        <f>IF(AND(B315="",C315=""),"",ROUND(M315*N315,2))</f>
        <v/>
      </c>
      <c r="K315" s="330">
        <f>IF(AND(B315="",C315=""),"",ROUND(J315*F315,2))</f>
        <v/>
      </c>
      <c r="L315" s="126" t="n">
        <v>1</v>
      </c>
      <c r="M315" s="331" t="n">
        <v>52</v>
      </c>
      <c r="N315" s="128" t="n">
        <v>1</v>
      </c>
      <c r="O315" s="129">
        <f t="array" ref="O315">IF(AND(B315="",C315=""),"",IF(G315&gt;=20000,0.05,IF(G315&gt;=10000,0.1,IF(G315&gt;=5000,0.2,IF(G315&gt;=1000,0.3,IF(G315&gt;=0,0.4,{0}))))))</f>
        <v/>
      </c>
      <c r="P315" s="332">
        <f>IF(AND(B315="",C315=""),"",ROUND(H315*O315,2))</f>
        <v/>
      </c>
      <c r="Q315" s="327" t="inlineStr">
        <is>
          <t>元件</t>
        </is>
      </c>
      <c r="R315" s="150" t="n"/>
      <c r="S315" s="150" t="n"/>
      <c r="T315" s="150" t="inlineStr">
        <is>
          <t>0</t>
        </is>
      </c>
      <c r="U315" s="150" t="n"/>
      <c r="V315" s="328" t="n"/>
      <c r="W315" s="328" t="n"/>
      <c r="X315" s="152" t="n"/>
    </row>
    <row r="316" customFormat="1" s="145">
      <c r="A316" s="36">
        <f>ROW()-ROW(A$306)</f>
        <v/>
      </c>
      <c r="B316" s="29" t="inlineStr">
        <is>
          <t>测量电流互感器</t>
        </is>
      </c>
      <c r="C316" s="29" t="inlineStr">
        <is>
          <t>SD-0.66-60II-C 600/5A</t>
        </is>
      </c>
      <c r="D316" s="29" t="inlineStr">
        <is>
          <t>杭州桑迪</t>
        </is>
      </c>
      <c r="E316" s="30" t="inlineStr">
        <is>
          <t>只</t>
        </is>
      </c>
      <c r="F316" s="30" t="n">
        <v>6</v>
      </c>
      <c r="G316" s="297">
        <f>IF(AND(B316="",C316=""),"",ROUND(M316*L316*N316,2))</f>
        <v/>
      </c>
      <c r="H316" s="297">
        <f>IF(AND(B316="",C316=""),"",ROUND(F316*G316,2))</f>
        <v/>
      </c>
      <c r="I316" s="135" t="n"/>
      <c r="J316" s="329">
        <f>IF(AND(B316="",C316=""),"",ROUND(M316*N316,2))</f>
        <v/>
      </c>
      <c r="K316" s="330">
        <f>IF(AND(B316="",C316=""),"",ROUND(J316*F316,2))</f>
        <v/>
      </c>
      <c r="L316" s="126" t="n">
        <v>1</v>
      </c>
      <c r="M316" s="331" t="n">
        <v>76.7</v>
      </c>
      <c r="N316" s="128" t="n">
        <v>1</v>
      </c>
      <c r="O316" s="129">
        <f t="array" ref="O316">IF(AND(B316="",C316=""),"",IF(G316&gt;=20000,0.05,IF(G316&gt;=10000,0.1,IF(G316&gt;=5000,0.2,IF(G316&gt;=1000,0.3,IF(G316&gt;=0,0.4,{0}))))))</f>
        <v/>
      </c>
      <c r="P316" s="332">
        <f>IF(AND(B316="",C316=""),"",ROUND(H316*O316,2))</f>
        <v/>
      </c>
      <c r="Q316" s="327" t="inlineStr">
        <is>
          <t>元件</t>
        </is>
      </c>
      <c r="R316" s="150" t="n"/>
      <c r="S316" s="150" t="n"/>
      <c r="T316" s="150" t="inlineStr">
        <is>
          <t>0</t>
        </is>
      </c>
      <c r="U316" s="150" t="n"/>
      <c r="V316" s="328" t="n"/>
      <c r="W316" s="328" t="n"/>
      <c r="X316" s="152" t="n"/>
    </row>
    <row r="317" customFormat="1" s="145">
      <c r="A317" s="36">
        <f>ROW()-ROW(A$306)</f>
        <v/>
      </c>
      <c r="B317" s="25" t="inlineStr">
        <is>
          <t>多功能表</t>
        </is>
      </c>
      <c r="C317" s="25" t="inlineStr">
        <is>
          <t>PM4101</t>
        </is>
      </c>
      <c r="D317" s="25" t="inlineStr">
        <is>
          <t>甲供/施耐德电气</t>
        </is>
      </c>
      <c r="E317" s="30" t="inlineStr">
        <is>
          <t>只</t>
        </is>
      </c>
      <c r="F317" s="26" t="n">
        <v>5</v>
      </c>
      <c r="G317" s="293">
        <f>IF(AND(B317="",C317=""),"",ROUND(M317*L317*N317,2))</f>
        <v/>
      </c>
      <c r="H317" s="293">
        <f>IF(AND(B317="",C317=""),"",ROUND(F317*G317,2))</f>
        <v/>
      </c>
      <c r="I317" s="91" t="n"/>
      <c r="J317" s="329">
        <f>IF(AND(B317="",C317=""),"",ROUND(M317*N317,2))</f>
        <v/>
      </c>
      <c r="K317" s="330">
        <f>IF(AND(B317="",C317=""),"",ROUND(J317*F317,2))</f>
        <v/>
      </c>
      <c r="L317" s="126" t="n">
        <v>1</v>
      </c>
      <c r="M317" s="331" t="n">
        <v>1e-07</v>
      </c>
      <c r="N317" s="128" t="n">
        <v>0</v>
      </c>
      <c r="O317" s="129">
        <f t="array" ref="O317">IF(AND(B317="",C317=""),"",IF(G317&gt;=20000,0.05,IF(G317&gt;=10000,0.1,IF(G317&gt;=5000,0.2,IF(G317&gt;=1000,0.3,IF(G317&gt;=0,0.4,{0}))))))</f>
        <v/>
      </c>
      <c r="P317" s="332">
        <f>IF(AND(B317="",C317=""),"",ROUND(H317*O317,2))</f>
        <v/>
      </c>
      <c r="Q317" s="327" t="inlineStr">
        <is>
          <t>元件</t>
        </is>
      </c>
      <c r="R317" s="150" t="n"/>
      <c r="S317" s="150" t="n"/>
      <c r="T317" s="150" t="inlineStr">
        <is>
          <t>0</t>
        </is>
      </c>
      <c r="U317" s="150" t="n"/>
      <c r="V317" s="328" t="n"/>
      <c r="W317" s="328" t="n"/>
      <c r="X317" s="152" t="n"/>
    </row>
    <row r="318" customFormat="1" s="145">
      <c r="A318" s="36">
        <f>ROW()-ROW(A$306)</f>
        <v/>
      </c>
      <c r="B318" s="29" t="inlineStr">
        <is>
          <t>指示灯</t>
        </is>
      </c>
      <c r="C318" s="29" t="inlineStr">
        <is>
          <t>XA2EVM3LC</t>
        </is>
      </c>
      <c r="D318" s="29" t="inlineStr">
        <is>
          <t>施耐德电气</t>
        </is>
      </c>
      <c r="E318" s="30" t="inlineStr">
        <is>
          <t>只</t>
        </is>
      </c>
      <c r="F318" s="30" t="n">
        <v>5</v>
      </c>
      <c r="G318" s="297">
        <f>IF(AND(B318="",C318=""),"",ROUND(M318*L318*N318,2))</f>
        <v/>
      </c>
      <c r="H318" s="297">
        <f>IF(AND(B318="",C318=""),"",ROUND(F318*G318,2))</f>
        <v/>
      </c>
      <c r="I318" s="136" t="n"/>
      <c r="J318" s="329">
        <f>IF(AND(B318="",C318=""),"",ROUND(M318*N318,2))</f>
        <v/>
      </c>
      <c r="K318" s="330">
        <f>IF(AND(B318="",C318=""),"",ROUND(J318*F318,2))</f>
        <v/>
      </c>
      <c r="L318" s="126" t="n">
        <v>1</v>
      </c>
      <c r="M318" s="331" t="n">
        <v>16.43</v>
      </c>
      <c r="N318" s="137" t="n">
        <v>0.5</v>
      </c>
      <c r="O318" s="138">
        <f t="array" ref="O318">IF(AND(B318="",C318=""),"",IF(G318&gt;=20000,0.05,IF(G318&gt;=10000,0.1,IF(G318&gt;=5000,0.2,IF(G318&gt;=1000,0.3,IF(G318&gt;=0,0.4,{0}))))))</f>
        <v/>
      </c>
      <c r="P318" s="333">
        <f>IF(AND(B318="",C318=""),"",ROUND(H318*O318,2))</f>
        <v/>
      </c>
      <c r="Q318" s="334" t="inlineStr">
        <is>
          <t>元件</t>
        </is>
      </c>
      <c r="R318" s="154" t="n"/>
      <c r="S318" s="154" t="n"/>
      <c r="T318" s="154" t="inlineStr">
        <is>
          <t>0</t>
        </is>
      </c>
      <c r="U318" s="154" t="inlineStr">
        <is>
          <t>XA2EVM3LC</t>
        </is>
      </c>
      <c r="V318" s="335" t="n"/>
      <c r="W318" s="335" t="n"/>
      <c r="X318" s="152" t="n"/>
    </row>
    <row r="319" customFormat="1" s="145">
      <c r="A319" s="36">
        <f>ROW()-ROW(A$306)</f>
        <v/>
      </c>
      <c r="B319" s="29" t="inlineStr">
        <is>
          <t>指示灯</t>
        </is>
      </c>
      <c r="C319" s="25" t="inlineStr">
        <is>
          <t>XA2EVM4LC</t>
        </is>
      </c>
      <c r="D319" s="29" t="inlineStr">
        <is>
          <t>施耐德电气</t>
        </is>
      </c>
      <c r="E319" s="30" t="inlineStr">
        <is>
          <t>只</t>
        </is>
      </c>
      <c r="F319" s="30" t="n">
        <v>5</v>
      </c>
      <c r="G319" s="297">
        <f>IF(AND(B319="",C319=""),"",ROUND(M319*L319*N319,2))</f>
        <v/>
      </c>
      <c r="H319" s="297">
        <f>IF(AND(B319="",C319=""),"",ROUND(F319*G319,2))</f>
        <v/>
      </c>
      <c r="I319" s="136" t="n"/>
      <c r="J319" s="329">
        <f>IF(AND(B319="",C319=""),"",ROUND(M319*N319,2))</f>
        <v/>
      </c>
      <c r="K319" s="330">
        <f>IF(AND(B319="",C319=""),"",ROUND(J319*F319,2))</f>
        <v/>
      </c>
      <c r="L319" s="126" t="n">
        <v>1</v>
      </c>
      <c r="M319" s="331" t="n">
        <v>16.43</v>
      </c>
      <c r="N319" s="137" t="n">
        <v>0.5</v>
      </c>
      <c r="O319" s="138">
        <f t="array" ref="O319">IF(AND(B319="",C319=""),"",IF(G319&gt;=20000,0.05,IF(G319&gt;=10000,0.1,IF(G319&gt;=5000,0.2,IF(G319&gt;=1000,0.3,IF(G319&gt;=0,0.4,{0}))))))</f>
        <v/>
      </c>
      <c r="P319" s="333">
        <f>IF(AND(B319="",C319=""),"",ROUND(H319*O319,2))</f>
        <v/>
      </c>
      <c r="Q319" s="334" t="inlineStr">
        <is>
          <t>元件</t>
        </is>
      </c>
      <c r="R319" s="154" t="n"/>
      <c r="S319" s="154" t="n"/>
      <c r="T319" s="154" t="inlineStr">
        <is>
          <t>0</t>
        </is>
      </c>
      <c r="U319" s="154" t="inlineStr">
        <is>
          <t>XA2EVM4LC</t>
        </is>
      </c>
      <c r="V319" s="335" t="n"/>
      <c r="W319" s="335" t="n"/>
      <c r="X319" s="152" t="n"/>
    </row>
    <row r="320" customFormat="1" s="145">
      <c r="A320" s="36">
        <f>ROW()-ROW(A$306)</f>
        <v/>
      </c>
      <c r="B320" s="25" t="inlineStr">
        <is>
          <t>中间继电器</t>
        </is>
      </c>
      <c r="C320" s="25" t="inlineStr">
        <is>
          <t>RXM4AB2P7+RXZE1M4C+RXZ410</t>
        </is>
      </c>
      <c r="D320" s="25" t="inlineStr">
        <is>
          <t>甲供/施耐德电气</t>
        </is>
      </c>
      <c r="E320" s="26" t="inlineStr">
        <is>
          <t>只</t>
        </is>
      </c>
      <c r="F320" s="26" t="n">
        <v>5</v>
      </c>
      <c r="G320" s="292">
        <f>IF(AND(B320="",C320=""),"",ROUND(M320*L320*N320,2))</f>
        <v/>
      </c>
      <c r="H320" s="297">
        <f>IF(AND(B320="",C320=""),"",ROUND(F320*G320,2))</f>
        <v/>
      </c>
      <c r="I320" s="135" t="n"/>
      <c r="J320" s="329">
        <f>IF(AND(B320="",C320=""),"",ROUND(M320*N320,2))</f>
        <v/>
      </c>
      <c r="K320" s="330">
        <f>IF(AND(B320="",C320=""),"",ROUND(J320*F320,2))</f>
        <v/>
      </c>
      <c r="L320" s="126" t="n">
        <v>1</v>
      </c>
      <c r="M320" s="331" t="n">
        <v>1e-07</v>
      </c>
      <c r="N320" s="128" t="n">
        <v>0</v>
      </c>
      <c r="O320" s="129">
        <f t="array" ref="O320">IF(AND(B320="",C320=""),"",IF(G320&gt;=20000,0.05,IF(G320&gt;=10000,0.1,IF(G320&gt;=5000,0.2,IF(G320&gt;=1000,0.3,IF(G320&gt;=0,0.4,{0}))))))</f>
        <v/>
      </c>
      <c r="P320" s="332">
        <f>IF(AND(B320="",C320=""),"",ROUND(H320*O320,2))</f>
        <v/>
      </c>
      <c r="Q320" s="327" t="inlineStr">
        <is>
          <t>元件</t>
        </is>
      </c>
      <c r="R320" s="150" t="n"/>
      <c r="S320" s="150" t="n"/>
      <c r="T320" s="150" t="inlineStr">
        <is>
          <t>0</t>
        </is>
      </c>
      <c r="U320" s="150" t="n"/>
      <c r="V320" s="328" t="n"/>
      <c r="W320" s="328" t="n"/>
      <c r="X320" s="152" t="n"/>
    </row>
    <row r="321" customFormat="1" s="145">
      <c r="A321" s="36">
        <f>ROW()-ROW(A$306)</f>
        <v/>
      </c>
      <c r="B321" s="29" t="inlineStr">
        <is>
          <t>熔断器</t>
        </is>
      </c>
      <c r="C321" s="29" t="inlineStr">
        <is>
          <t>UK5-HESI</t>
        </is>
      </c>
      <c r="D321" s="25" t="inlineStr">
        <is>
          <t>菲尼克斯</t>
        </is>
      </c>
      <c r="E321" s="26" t="inlineStr">
        <is>
          <t>只</t>
        </is>
      </c>
      <c r="F321" s="26" t="n">
        <v>20</v>
      </c>
      <c r="G321" s="293">
        <f>IF(AND(B321="",C321=""),"",ROUND(M321*L321*N321,2))</f>
        <v/>
      </c>
      <c r="H321" s="297">
        <f>IF(AND(B321="",C321=""),"",ROUND(F321*G321,2))</f>
        <v/>
      </c>
      <c r="I321" s="136" t="n"/>
      <c r="J321" s="329">
        <f>IF(AND(B321="",C321=""),"",ROUND(M321*N321,2))</f>
        <v/>
      </c>
      <c r="K321" s="330">
        <f>IF(AND(B321="",C321=""),"",ROUND(J321*F321,2))</f>
        <v/>
      </c>
      <c r="L321" s="126" t="n">
        <v>1</v>
      </c>
      <c r="M321" s="331" t="n">
        <v>7</v>
      </c>
      <c r="N321" s="128" t="n">
        <v>1</v>
      </c>
      <c r="O321" s="129">
        <f t="array" ref="O321">IF(AND(B321="",C321=""),"",IF(G321&gt;=20000,0.05,IF(G321&gt;=10000,0.1,IF(G321&gt;=5000,0.2,IF(G321&gt;=1000,0.3,IF(G321&gt;=0,0.4,{0}))))))</f>
        <v/>
      </c>
      <c r="P321" s="332">
        <f>IF(AND(B321="",C321=""),"",ROUND(H321*O321,2))</f>
        <v/>
      </c>
      <c r="Q321" s="327" t="inlineStr">
        <is>
          <t>元件</t>
        </is>
      </c>
      <c r="R321" s="150" t="n"/>
      <c r="S321" s="150" t="n"/>
      <c r="T321" s="150" t="inlineStr">
        <is>
          <t>0</t>
        </is>
      </c>
      <c r="U321" s="150" t="n"/>
      <c r="V321" s="328" t="n"/>
      <c r="W321" s="328" t="n"/>
      <c r="X321" s="152" t="n"/>
    </row>
    <row r="322" customFormat="1" s="145">
      <c r="A322" s="36">
        <f>ROW()-ROW(A$306)</f>
        <v/>
      </c>
      <c r="B322" s="29" t="inlineStr">
        <is>
          <t>SP元件</t>
        </is>
      </c>
      <c r="C322" s="25" t="inlineStr">
        <is>
          <t>智能网关 PAS700</t>
        </is>
      </c>
      <c r="D322" s="25" t="inlineStr">
        <is>
          <t>甲供/施耐德电气</t>
        </is>
      </c>
      <c r="E322" s="30" t="inlineStr">
        <is>
          <t>只</t>
        </is>
      </c>
      <c r="F322" s="30">
        <f>IF(AND(B322="",C322=""),"",1)</f>
        <v/>
      </c>
      <c r="G322" s="297">
        <f>IF(AND(B322="",C322=""),"",ROUND(M322*L322*N322,2))</f>
        <v/>
      </c>
      <c r="H322" s="297">
        <f>IF(AND(B322="",C322=""),"",ROUND(F322*G322,2))</f>
        <v/>
      </c>
      <c r="I322" s="135" t="n"/>
      <c r="J322" s="329">
        <f>IF(AND(B322="",C322=""),"",ROUND(M322*N322,2))</f>
        <v/>
      </c>
      <c r="K322" s="330">
        <f>IF(AND(B322="",C322=""),"",ROUND(J322*F322,2))</f>
        <v/>
      </c>
      <c r="L322" s="126" t="n">
        <v>1</v>
      </c>
      <c r="M322" s="331" t="n">
        <v>1e-07</v>
      </c>
      <c r="N322" s="128" t="n">
        <v>0</v>
      </c>
      <c r="O322" s="129">
        <f t="array" ref="O322">IF(AND(B322="",C322=""),"",IF(G322&gt;=20000,0.05,IF(G322&gt;=10000,0.1,IF(G322&gt;=5000,0.2,IF(G322&gt;=1000,0.3,IF(G322&gt;=0,0.4,{0}))))))</f>
        <v/>
      </c>
      <c r="P322" s="332">
        <f>IF(AND(B322="",C322=""),"",ROUND(H322*O322,2))</f>
        <v/>
      </c>
      <c r="Q322" s="327" t="inlineStr">
        <is>
          <t>元件</t>
        </is>
      </c>
      <c r="R322" s="150" t="n"/>
      <c r="S322" s="150" t="n"/>
      <c r="T322" s="150" t="inlineStr">
        <is>
          <t>0</t>
        </is>
      </c>
      <c r="U322" s="150" t="n"/>
      <c r="V322" s="328" t="n"/>
      <c r="W322" s="328" t="n"/>
      <c r="X322" s="152" t="n"/>
    </row>
    <row r="323" customFormat="1" s="145">
      <c r="A323" s="36">
        <f>ROW()-ROW(A$306)</f>
        <v/>
      </c>
      <c r="B323" s="25" t="inlineStr">
        <is>
          <t>水平排2500A</t>
        </is>
      </c>
      <c r="C323" s="25" t="inlineStr">
        <is>
          <t>TMY 3*(2*125*5)+1*125*5+2*50*5</t>
        </is>
      </c>
      <c r="D323" s="25" t="inlineStr">
        <is>
          <t>国产优质</t>
        </is>
      </c>
      <c r="E323" s="26" t="inlineStr">
        <is>
          <t>米</t>
        </is>
      </c>
      <c r="F323" s="30" t="n">
        <v>0.6</v>
      </c>
      <c r="G323" s="297">
        <f>IF(AND(B323="",C323=""),"",ROUND(M323*L323*N323,2))</f>
        <v/>
      </c>
      <c r="H323" s="297">
        <f>IF(AND(B323="",C323=""),"",ROUND(F323*G323,2))</f>
        <v/>
      </c>
      <c r="I323" s="135" t="n"/>
      <c r="J323" s="329">
        <f>IF(AND(B323="",C323=""),"",ROUND(M323*N323,2))</f>
        <v/>
      </c>
      <c r="K323" s="330">
        <f>IF(AND(B323="",C323=""),"",ROUND(J323*F323,2))</f>
        <v/>
      </c>
      <c r="L323" s="126" t="n">
        <v>1</v>
      </c>
      <c r="M323" s="331" t="n">
        <v>3633.9200625</v>
      </c>
      <c r="N323" s="128" t="n">
        <v>1</v>
      </c>
      <c r="O323" s="129">
        <f t="array" ref="O323">IF(AND(B323="",C323=""),"",IF(G323&gt;=20000,0.05,IF(G323&gt;=10000,0.1,IF(G323&gt;=5000,0.2,IF(G323&gt;=1000,0.3,IF(G323&gt;=0,0.4,{0}))))))</f>
        <v/>
      </c>
      <c r="P323" s="332">
        <f>IF(AND(B323="",C323=""),"",ROUND(H323*O323,2))</f>
        <v/>
      </c>
      <c r="Q323" s="327" t="inlineStr">
        <is>
          <t>母排</t>
        </is>
      </c>
      <c r="R323" s="150" t="n"/>
      <c r="S323" s="150" t="n"/>
      <c r="T323" s="150" t="inlineStr">
        <is>
          <t>0</t>
        </is>
      </c>
      <c r="U323" s="150" t="n"/>
      <c r="V323" s="328" t="n"/>
      <c r="W323" s="328" t="n"/>
      <c r="X323" s="152" t="n"/>
    </row>
    <row r="324" customFormat="1" s="145">
      <c r="A324" s="36">
        <f>ROW()-ROW(A$306)</f>
        <v/>
      </c>
      <c r="B324" s="25" t="inlineStr">
        <is>
          <t>垂直排</t>
        </is>
      </c>
      <c r="C324" s="25" t="inlineStr">
        <is>
          <t>TMY 100*10</t>
        </is>
      </c>
      <c r="D324" s="25" t="inlineStr">
        <is>
          <t>国产优质</t>
        </is>
      </c>
      <c r="E324" s="26" t="inlineStr">
        <is>
          <t>米</t>
        </is>
      </c>
      <c r="F324" s="30" t="n">
        <v>5.7</v>
      </c>
      <c r="G324" s="297">
        <f>IF(AND(B324="",C324=""),"",ROUND(M324*L324*N324,2))</f>
        <v/>
      </c>
      <c r="H324" s="297">
        <f>IF(AND(B324="",C324=""),"",ROUND(F324*G324,2))</f>
        <v/>
      </c>
      <c r="I324" s="135" t="n"/>
      <c r="J324" s="329">
        <f>IF(AND(B324="",C324=""),"",ROUND(M324*N324,2))</f>
        <v/>
      </c>
      <c r="K324" s="330">
        <f>IF(AND(B324="",C324=""),"",ROUND(J324*F324,2))</f>
        <v/>
      </c>
      <c r="L324" s="126" t="n">
        <v>1</v>
      </c>
      <c r="M324" s="331" t="n">
        <v>745.4195</v>
      </c>
      <c r="N324" s="128" t="n">
        <v>1</v>
      </c>
      <c r="O324" s="129">
        <f t="array" ref="O324">IF(AND(B324="",C324=""),"",IF(G324&gt;=20000,0.05,IF(G324&gt;=10000,0.1,IF(G324&gt;=5000,0.2,IF(G324&gt;=1000,0.3,IF(G324&gt;=0,0.4,{0}))))))</f>
        <v/>
      </c>
      <c r="P324" s="332">
        <f>IF(AND(B324="",C324=""),"",ROUND(H324*O324,2))</f>
        <v/>
      </c>
      <c r="Q324" s="327" t="inlineStr">
        <is>
          <t>母排</t>
        </is>
      </c>
      <c r="R324" s="150" t="n"/>
      <c r="S324" s="150" t="n"/>
      <c r="T324" s="150" t="inlineStr">
        <is>
          <t>0</t>
        </is>
      </c>
      <c r="U324" s="150" t="n"/>
      <c r="V324" s="328" t="n"/>
      <c r="W324" s="328" t="n"/>
      <c r="X324" s="152" t="n"/>
    </row>
    <row r="325" customFormat="1" s="145">
      <c r="A325" s="36">
        <f>ROW()-ROW(A$306)</f>
        <v/>
      </c>
      <c r="B325" s="25" t="inlineStr">
        <is>
          <t>连接排</t>
        </is>
      </c>
      <c r="C325" s="25" t="inlineStr">
        <is>
          <t>TMY 50*10</t>
        </is>
      </c>
      <c r="D325" s="25" t="inlineStr">
        <is>
          <t>国产优质</t>
        </is>
      </c>
      <c r="E325" s="26" t="inlineStr">
        <is>
          <t>米</t>
        </is>
      </c>
      <c r="F325" s="30" t="n">
        <v>4.9</v>
      </c>
      <c r="G325" s="297">
        <f>IF(AND(B325="",C325=""),"",ROUND(M325*L325*N325,2))</f>
        <v/>
      </c>
      <c r="H325" s="297">
        <f>IF(AND(B325="",C325=""),"",ROUND(F325*G325,2))</f>
        <v/>
      </c>
      <c r="I325" s="135" t="n"/>
      <c r="J325" s="329">
        <f>IF(AND(B325="",C325=""),"",ROUND(M325*N325,2))</f>
        <v/>
      </c>
      <c r="K325" s="330">
        <f>IF(AND(B325="",C325=""),"",ROUND(J325*F325,2))</f>
        <v/>
      </c>
      <c r="L325" s="126" t="n">
        <v>1</v>
      </c>
      <c r="M325" s="331" t="n">
        <v>372.70975</v>
      </c>
      <c r="N325" s="128" t="n">
        <v>1</v>
      </c>
      <c r="O325" s="129">
        <f t="array" ref="O325">IF(AND(B325="",C325=""),"",IF(G325&gt;=20000,0.05,IF(G325&gt;=10000,0.1,IF(G325&gt;=5000,0.2,IF(G325&gt;=1000,0.3,IF(G325&gt;=0,0.4,{0}))))))</f>
        <v/>
      </c>
      <c r="P325" s="332">
        <f>IF(AND(B325="",C325=""),"",ROUND(H325*O325,2))</f>
        <v/>
      </c>
      <c r="Q325" s="327" t="inlineStr">
        <is>
          <t>母排</t>
        </is>
      </c>
      <c r="R325" s="150" t="n"/>
      <c r="S325" s="150" t="n"/>
      <c r="T325" s="150" t="inlineStr">
        <is>
          <t>0</t>
        </is>
      </c>
      <c r="U325" s="150" t="n"/>
      <c r="V325" s="328" t="n"/>
      <c r="W325" s="328" t="n"/>
      <c r="X325" s="152" t="n"/>
    </row>
    <row r="326" customFormat="1" s="145">
      <c r="A326" s="36">
        <f>ROW()-ROW(A$306)</f>
        <v/>
      </c>
      <c r="B326" s="25" t="inlineStr">
        <is>
          <t>N排</t>
        </is>
      </c>
      <c r="C326" s="25" t="inlineStr">
        <is>
          <t>TMY 50*10</t>
        </is>
      </c>
      <c r="D326" s="25" t="inlineStr">
        <is>
          <t>国产优质</t>
        </is>
      </c>
      <c r="E326" s="26" t="inlineStr">
        <is>
          <t>米</t>
        </is>
      </c>
      <c r="F326" s="30" t="n">
        <v>3.3</v>
      </c>
      <c r="G326" s="297">
        <f>IF(AND(B326="",C326=""),"",ROUND(M326*L326*N326,2))</f>
        <v/>
      </c>
      <c r="H326" s="297">
        <f>IF(AND(B326="",C326=""),"",ROUND(F326*G326,2))</f>
        <v/>
      </c>
      <c r="I326" s="135" t="n"/>
      <c r="J326" s="329">
        <f>IF(AND(B326="",C326=""),"",ROUND(M326*N326,2))</f>
        <v/>
      </c>
      <c r="K326" s="330">
        <f>IF(AND(B326="",C326=""),"",ROUND(J326*F326,2))</f>
        <v/>
      </c>
      <c r="L326" s="126" t="n">
        <v>1</v>
      </c>
      <c r="M326" s="331" t="n">
        <v>372.70975</v>
      </c>
      <c r="N326" s="128" t="n">
        <v>1</v>
      </c>
      <c r="O326" s="129">
        <f t="array" ref="O326">IF(AND(B326="",C326=""),"",IF(G326&gt;=20000,0.05,IF(G326&gt;=10000,0.1,IF(G326&gt;=5000,0.2,IF(G326&gt;=1000,0.3,IF(G326&gt;=0,0.4,{0}))))))</f>
        <v/>
      </c>
      <c r="P326" s="332">
        <f>IF(AND(B326="",C326=""),"",ROUND(H326*O326,2))</f>
        <v/>
      </c>
      <c r="Q326" s="327" t="inlineStr">
        <is>
          <t>母排</t>
        </is>
      </c>
      <c r="R326" s="150" t="n"/>
      <c r="S326" s="150" t="n"/>
      <c r="T326" s="150" t="inlineStr">
        <is>
          <t>0</t>
        </is>
      </c>
      <c r="U326" s="150" t="n"/>
      <c r="V326" s="328" t="n"/>
      <c r="W326" s="328" t="n"/>
      <c r="X326" s="152" t="n"/>
    </row>
    <row r="327" customFormat="1" s="145">
      <c r="A327" s="36">
        <f>ROW()-ROW(A$306)</f>
        <v/>
      </c>
      <c r="B327" s="25" t="inlineStr">
        <is>
          <t>400A连接排</t>
        </is>
      </c>
      <c r="C327" s="25" t="inlineStr">
        <is>
          <t>TMY 30*8</t>
        </is>
      </c>
      <c r="D327" s="25" t="inlineStr">
        <is>
          <t>国产优质</t>
        </is>
      </c>
      <c r="E327" s="26" t="inlineStr">
        <is>
          <t>米</t>
        </is>
      </c>
      <c r="F327" s="30">
        <f>3.2*2</f>
        <v/>
      </c>
      <c r="G327" s="297">
        <f>IF(AND(B327="",C327=""),"",ROUND(M327*L327*N327,2))</f>
        <v/>
      </c>
      <c r="H327" s="297">
        <f>IF(AND(B327="",C327=""),"",ROUND(F327*G327,2))</f>
        <v/>
      </c>
      <c r="I327" s="135" t="n"/>
      <c r="J327" s="329">
        <f>IF(AND(B327="",C327=""),"",ROUND(M327*N327,2))</f>
        <v/>
      </c>
      <c r="K327" s="330">
        <f>IF(AND(B327="",C327=""),"",ROUND(J327*F327,2))</f>
        <v/>
      </c>
      <c r="L327" s="126" t="n">
        <v>1</v>
      </c>
      <c r="M327" s="331" t="n">
        <v>178.90068</v>
      </c>
      <c r="N327" s="128" t="n">
        <v>1</v>
      </c>
      <c r="O327" s="129">
        <f t="array" ref="O327">IF(AND(B327="",C327=""),"",IF(G327&gt;=20000,0.05,IF(G327&gt;=10000,0.1,IF(G327&gt;=5000,0.2,IF(G327&gt;=1000,0.3,IF(G327&gt;=0,0.4,{0}))))))</f>
        <v/>
      </c>
      <c r="P327" s="332">
        <f>IF(AND(B327="",C327=""),"",ROUND(H327*O327,2))</f>
        <v/>
      </c>
      <c r="Q327" s="327" t="inlineStr">
        <is>
          <t>母排</t>
        </is>
      </c>
      <c r="R327" s="150" t="n"/>
      <c r="S327" s="150" t="n"/>
      <c r="T327" s="150" t="inlineStr">
        <is>
          <t>0</t>
        </is>
      </c>
      <c r="U327" s="150" t="n"/>
      <c r="V327" s="328" t="n"/>
      <c r="W327" s="328" t="n"/>
      <c r="X327" s="152" t="n"/>
    </row>
    <row r="328" customFormat="1" s="145">
      <c r="A328" s="36">
        <f>ROW()-ROW(A$306)</f>
        <v/>
      </c>
      <c r="B328" s="25" t="inlineStr">
        <is>
          <t>630A连接排</t>
        </is>
      </c>
      <c r="C328" s="25" t="inlineStr">
        <is>
          <t>TMY 30*10</t>
        </is>
      </c>
      <c r="D328" s="25" t="inlineStr">
        <is>
          <t>国产优质</t>
        </is>
      </c>
      <c r="E328" s="26" t="inlineStr">
        <is>
          <t>米</t>
        </is>
      </c>
      <c r="F328" s="30">
        <f>3.2*2</f>
        <v/>
      </c>
      <c r="G328" s="297">
        <f>IF(AND(B328="",C328=""),"",ROUND(M328*L328*N328,2))</f>
        <v/>
      </c>
      <c r="H328" s="297">
        <f>IF(AND(B328="",C328=""),"",ROUND(F328*G328,2))</f>
        <v/>
      </c>
      <c r="I328" s="135" t="n"/>
      <c r="J328" s="329">
        <f>IF(AND(B328="",C328=""),"",ROUND(M328*N328,2))</f>
        <v/>
      </c>
      <c r="K328" s="330">
        <f>IF(AND(B328="",C328=""),"",ROUND(J328*F328,2))</f>
        <v/>
      </c>
      <c r="L328" s="126" t="n">
        <v>1</v>
      </c>
      <c r="M328" s="331" t="n">
        <v>223.62585</v>
      </c>
      <c r="N328" s="128" t="n">
        <v>1</v>
      </c>
      <c r="O328" s="129">
        <f t="array" ref="O328">IF(AND(B328="",C328=""),"",IF(G328&gt;=20000,0.05,IF(G328&gt;=10000,0.1,IF(G328&gt;=5000,0.2,IF(G328&gt;=1000,0.3,IF(G328&gt;=0,0.4,{0}))))))</f>
        <v/>
      </c>
      <c r="P328" s="332">
        <f>IF(AND(B328="",C328=""),"",ROUND(H328*O328,2))</f>
        <v/>
      </c>
      <c r="Q328" s="327" t="inlineStr">
        <is>
          <t>母排</t>
        </is>
      </c>
      <c r="R328" s="150" t="n"/>
      <c r="S328" s="150" t="n"/>
      <c r="T328" s="150" t="inlineStr">
        <is>
          <t>0</t>
        </is>
      </c>
      <c r="U328" s="150" t="n"/>
      <c r="V328" s="328" t="n"/>
      <c r="W328" s="328" t="n"/>
      <c r="X328" s="152" t="n"/>
    </row>
    <row r="329" customFormat="1" s="145">
      <c r="A329" s="36">
        <f>ROW()-ROW(A$306)</f>
        <v/>
      </c>
      <c r="B329" s="25" t="inlineStr">
        <is>
          <t>导线及辅料</t>
        </is>
      </c>
      <c r="C329" s="25" t="n"/>
      <c r="D329" s="25" t="inlineStr">
        <is>
          <t>国产优质</t>
        </is>
      </c>
      <c r="E329" s="26" t="inlineStr">
        <is>
          <t>套</t>
        </is>
      </c>
      <c r="F329" s="26" t="n">
        <v>1</v>
      </c>
      <c r="G329" s="293">
        <f>IF(AND(B329="",C329=""),"",ROUND(M329*L329*N329,2))</f>
        <v/>
      </c>
      <c r="H329" s="293">
        <f>IF(AND(B329="",C329=""),"",ROUND(F329*G329,2))</f>
        <v/>
      </c>
      <c r="I329" s="164" t="n"/>
      <c r="J329" s="329">
        <f>IF(AND(B329="",C329=""),"",ROUND(M329*N329,2))</f>
        <v/>
      </c>
      <c r="K329" s="330">
        <f>IF(AND(B329="",C329=""),"",ROUND(J329*F329,2))</f>
        <v/>
      </c>
      <c r="L329" s="126" t="n">
        <v>1</v>
      </c>
      <c r="M329" s="331" t="n">
        <v>783</v>
      </c>
      <c r="N329" s="137" t="n">
        <v>1</v>
      </c>
      <c r="O329" s="138">
        <f t="array" ref="O329">IF(AND(B329="",C329=""),"",IF(G329&gt;=20000,0.05,IF(G329&gt;=10000,0.1,IF(G329&gt;=5000,0.2,IF(G329&gt;=1000,0.3,IF(G329&gt;=0,0.4,{0}))))))</f>
        <v/>
      </c>
      <c r="P329" s="333">
        <f>IF(AND(B329="",C329=""),"",ROUND(H329*O329,2))</f>
        <v/>
      </c>
      <c r="Q329" s="334" t="inlineStr">
        <is>
          <t>辅料</t>
        </is>
      </c>
      <c r="R329" s="154" t="n"/>
      <c r="S329" s="154" t="n"/>
      <c r="T329" s="154" t="inlineStr">
        <is>
          <t>0</t>
        </is>
      </c>
      <c r="U329" s="154" t="n"/>
      <c r="V329" s="335" t="n"/>
      <c r="W329" s="335" t="n"/>
      <c r="X329" s="152" t="n"/>
    </row>
    <row r="330" customFormat="1" s="145">
      <c r="A330" s="36">
        <f>ROW()-ROW(A$306)</f>
        <v/>
      </c>
      <c r="B330" s="29" t="inlineStr">
        <is>
          <t>Blokset柜</t>
        </is>
      </c>
      <c r="C330" s="25" t="inlineStr">
        <is>
          <t>600W*1000D*2200H</t>
        </is>
      </c>
      <c r="D330" s="25" t="inlineStr">
        <is>
          <t>清科</t>
        </is>
      </c>
      <c r="E330" s="30" t="inlineStr">
        <is>
          <t>台</t>
        </is>
      </c>
      <c r="F330" s="30" t="n">
        <v>1</v>
      </c>
      <c r="G330" s="297">
        <f>IF(AND(B330="",C330=""),"",ROUND(M330*L330*N330,2))</f>
        <v/>
      </c>
      <c r="H330" s="297">
        <f>IF(AND(B330="",C330=""),"",ROUND(F330*G330,2))</f>
        <v/>
      </c>
      <c r="I330" s="135" t="n"/>
      <c r="J330" s="329">
        <f>IF(AND(B330="",C330=""),"",ROUND(M330*N330,2))</f>
        <v/>
      </c>
      <c r="K330" s="330">
        <f>IF(AND(B330="",C330=""),"",ROUND(J330*F330,2))</f>
        <v/>
      </c>
      <c r="L330" s="126" t="n">
        <v>1</v>
      </c>
      <c r="M330" s="331" t="n">
        <v>7799</v>
      </c>
      <c r="N330" s="137" t="n">
        <v>1</v>
      </c>
      <c r="O330" s="138">
        <f t="array" ref="O330">IF(AND(B330="",C330=""),"",IF(G330&gt;=20000,0.05,IF(G330&gt;=10000,0.1,IF(G330&gt;=5000,0.2,IF(G330&gt;=1000,0.3,IF(G330&gt;=0,0.4,{0}))))))</f>
        <v/>
      </c>
      <c r="P330" s="333">
        <f>IF(AND(B330="",C330=""),"",ROUND(H330*O330,2))</f>
        <v/>
      </c>
      <c r="Q330" s="334" t="inlineStr">
        <is>
          <t>箱体</t>
        </is>
      </c>
      <c r="R330" s="154" t="n"/>
      <c r="S330" s="154" t="n"/>
      <c r="T330" s="154" t="inlineStr">
        <is>
          <t>0</t>
        </is>
      </c>
      <c r="U330" s="154" t="n"/>
      <c r="V330" s="335" t="n"/>
      <c r="W330" s="335" t="n"/>
      <c r="X330" s="152" t="n"/>
    </row>
    <row r="331" customFormat="1" s="145">
      <c r="A331" s="36">
        <f>ROW()-ROW(A$306)</f>
        <v/>
      </c>
      <c r="B331" s="25" t="n"/>
      <c r="C331" s="25" t="n"/>
      <c r="D331" s="25" t="n"/>
      <c r="E331" s="26" t="n"/>
      <c r="F331" s="26">
        <f>IF(AND(B331="",C331=""),"",1)</f>
        <v/>
      </c>
      <c r="G331" s="293">
        <f>IF(AND(B331="",C331=""),"",ROUND(M331*L331*N331,2))</f>
        <v/>
      </c>
      <c r="H331" s="293">
        <f>IF(AND(B331="",C331=""),"",ROUND(F331*G331,2))</f>
        <v/>
      </c>
      <c r="I331" s="91" t="n"/>
      <c r="J331" s="329">
        <f>IF(AND(B331="",C331=""),"",ROUND(M331*N331,2))</f>
        <v/>
      </c>
      <c r="K331" s="330">
        <f>IF(AND(B331="",C331=""),"",ROUND(J331*F331,2))</f>
        <v/>
      </c>
      <c r="L331" s="126">
        <f>IF(AND(B331="",C331=""),"",1)</f>
        <v/>
      </c>
      <c r="M331" s="331" t="n"/>
      <c r="N331" s="128">
        <f>IF(AND(B331="",C331=""),"",1)</f>
        <v/>
      </c>
      <c r="O331" s="129">
        <f t="array" ref="O331">IF(AND(B331="",C331=""),"",IF(G331&gt;=20000,0.05,IF(G331&gt;=10000,0.1,IF(G331&gt;=5000,0.2,IF(G331&gt;=1000,0.3,IF(G331&gt;=0,0.4,{0}))))))</f>
        <v/>
      </c>
      <c r="P331" s="332">
        <f>IF(AND(B331="",C331=""),"",ROUND(H331*O331,2))</f>
        <v/>
      </c>
      <c r="Q331" s="327">
        <f>IF(AND(B331="",C331=""),"","元件")</f>
        <v/>
      </c>
      <c r="R331" s="150" t="n"/>
      <c r="S331" s="150" t="n"/>
      <c r="T331" s="150" t="n"/>
      <c r="U331" s="150" t="n"/>
      <c r="V331" s="328" t="n"/>
      <c r="W331" s="328" t="n"/>
      <c r="X331" s="152" t="n"/>
    </row>
    <row r="332" customFormat="1" s="145">
      <c r="A332" s="36">
        <f>ROW()-ROW(A$306)</f>
        <v/>
      </c>
      <c r="B332" s="29" t="n"/>
      <c r="C332" s="29" t="n"/>
      <c r="D332" s="29" t="n"/>
      <c r="E332" s="30" t="n"/>
      <c r="F332" s="30">
        <f>IF(AND(B332="",C332=""),"",1)</f>
        <v/>
      </c>
      <c r="G332" s="297">
        <f>IF(AND(B332="",C332=""),"",ROUND(M332*L332*N332,2))</f>
        <v/>
      </c>
      <c r="H332" s="293">
        <f>IF(AND(B332="",C332=""),"",ROUND(F332*G332,2))</f>
        <v/>
      </c>
      <c r="I332" s="91" t="n"/>
      <c r="J332" s="329">
        <f>IF(AND(B332="",C332=""),"",ROUND(M332*N332,2))</f>
        <v/>
      </c>
      <c r="K332" s="330">
        <f>IF(AND(B332="",C332=""),"",ROUND(J332*F332,2))</f>
        <v/>
      </c>
      <c r="L332" s="126">
        <f>IF(AND(B332="",C332=""),"",1)</f>
        <v/>
      </c>
      <c r="M332" s="331" t="n"/>
      <c r="N332" s="128">
        <f>IF(AND(B332="",C332=""),"",1)</f>
        <v/>
      </c>
      <c r="O332" s="129">
        <f t="array" ref="O332">IF(AND(B332="",C332=""),"",IF(G332&gt;=20000,0.05,IF(G332&gt;=10000,0.1,IF(G332&gt;=5000,0.2,IF(G332&gt;=1000,0.3,IF(G332&gt;=0,0.4,{0}))))))</f>
        <v/>
      </c>
      <c r="P332" s="332">
        <f>IF(AND(B332="",C332=""),"",ROUND(H332*O332,2))</f>
        <v/>
      </c>
      <c r="Q332" s="327">
        <f>IF(AND(B332="",C332=""),"","元件")</f>
        <v/>
      </c>
      <c r="R332" s="150" t="n"/>
      <c r="S332" s="150" t="n"/>
      <c r="T332" s="150" t="n"/>
      <c r="U332" s="150" t="n"/>
      <c r="V332" s="328" t="n"/>
      <c r="W332" s="328" t="n"/>
      <c r="X332" s="152" t="n"/>
    </row>
    <row r="333" customFormat="1" s="145">
      <c r="A333" s="36">
        <f>ROW()-ROW(A$306)</f>
        <v/>
      </c>
      <c r="B333" s="156" t="inlineStr">
        <is>
          <t>小计</t>
        </is>
      </c>
      <c r="C333" s="157" t="n"/>
      <c r="D333" s="54" t="n"/>
      <c r="E333" s="30" t="n"/>
      <c r="F333" s="30" t="n"/>
      <c r="G333" s="297" t="n"/>
      <c r="H333" s="297">
        <f>ROUND(SUM(H306:INDEX(H:H,ROW()-1)),2)</f>
        <v/>
      </c>
      <c r="I333" s="91" t="n"/>
      <c r="J333" s="329" t="n"/>
      <c r="K333" s="330">
        <f>ROUND(SUM(K306:INDEX(K:K,ROW()-1)),2)</f>
        <v/>
      </c>
      <c r="L333" s="126" t="n"/>
      <c r="M333" s="331" t="n"/>
      <c r="N333" s="128" t="n"/>
      <c r="O333" s="129" t="n"/>
      <c r="P333" s="332" t="n"/>
      <c r="Q333" s="327" t="n"/>
      <c r="R333" s="150" t="n"/>
      <c r="S333" s="150" t="n"/>
      <c r="T333" s="150" t="n"/>
      <c r="U333" s="150" t="n"/>
      <c r="V333" s="328">
        <f t="array" ref="V333">ROUND(SUMPRODUCT(F306:INDEX(F:F,ROW()-1),V306:INDEX(V:V,ROW()-1)),2)</f>
        <v/>
      </c>
      <c r="W333" s="328">
        <f t="array" ref="W333">ROUND(SUMPRODUCT(F306:INDEX(F:F,ROW()-1),W306:INDEX(W:W,ROW()-1)),2)</f>
        <v/>
      </c>
      <c r="X333" s="152" t="n"/>
    </row>
    <row r="334" customFormat="1" s="145">
      <c r="A334" s="36">
        <f>ROW()-ROW(A$306)</f>
        <v/>
      </c>
      <c r="B334" s="156" t="inlineStr">
        <is>
          <t>成套费</t>
        </is>
      </c>
      <c r="C334" s="157" t="n"/>
      <c r="D334" s="54" t="n"/>
      <c r="E334" s="30" t="n"/>
      <c r="F334" s="30" t="n"/>
      <c r="G334" s="297" t="n"/>
      <c r="H334" s="297" t="n">
        <v>944.76</v>
      </c>
      <c r="I334" s="91" t="n"/>
      <c r="J334" s="329" t="n"/>
      <c r="K334" s="330" t="n">
        <v>944.76</v>
      </c>
      <c r="L334" s="126" t="n"/>
      <c r="M334" s="331" t="n"/>
      <c r="N334" s="128" t="n"/>
      <c r="O334" s="129" t="n"/>
      <c r="P334" s="332" t="n"/>
      <c r="Q334" s="327" t="n"/>
      <c r="R334" s="150" t="n"/>
      <c r="S334" s="150" t="n"/>
      <c r="T334" s="150" t="n"/>
      <c r="U334" s="150" t="n"/>
      <c r="V334" s="328" t="n"/>
      <c r="W334" s="328" t="n"/>
      <c r="X334" s="152" t="n"/>
    </row>
    <row r="335" customFormat="1" s="145">
      <c r="A335" s="36">
        <f>ROW()-ROW(A$306)</f>
        <v/>
      </c>
      <c r="B335" s="156" t="n"/>
      <c r="C335" s="157" t="n"/>
      <c r="D335" s="54" t="n"/>
      <c r="E335" s="30" t="n"/>
      <c r="F335" s="30" t="n"/>
      <c r="G335" s="297" t="n"/>
      <c r="H335" s="297" t="n">
        <v>17.26</v>
      </c>
      <c r="I335" s="91" t="n"/>
      <c r="J335" s="329" t="n"/>
      <c r="K335" s="330" t="n"/>
      <c r="L335" s="126" t="n"/>
      <c r="M335" s="331" t="n"/>
      <c r="N335" s="128" t="n"/>
      <c r="O335" s="129" t="n"/>
      <c r="P335" s="332" t="n"/>
      <c r="Q335" s="327" t="n"/>
      <c r="R335" s="150" t="n"/>
      <c r="S335" s="150" t="n"/>
      <c r="T335" s="150" t="n"/>
      <c r="U335" s="150" t="n"/>
      <c r="V335" s="328" t="n"/>
      <c r="W335" s="328" t="n"/>
      <c r="X335" s="152" t="n"/>
    </row>
    <row r="336" customFormat="1" s="145">
      <c r="A336" s="36">
        <f>ROW()-ROW(A$306)</f>
        <v/>
      </c>
      <c r="B336" s="54" t="inlineStr">
        <is>
          <t>单台合计</t>
        </is>
      </c>
      <c r="C336" s="157" t="n"/>
      <c r="D336" s="54" t="n"/>
      <c r="E336" s="30" t="n"/>
      <c r="F336" s="30" t="n"/>
      <c r="G336" s="297" t="n"/>
      <c r="H336" s="297">
        <f>ROUND(SUM(H333:H334),2)</f>
        <v/>
      </c>
      <c r="I336" s="165" t="n"/>
      <c r="J336" s="329" t="n"/>
      <c r="K336" s="330">
        <f>ROUND(SUM(K333:K334),2)</f>
        <v/>
      </c>
      <c r="L336" s="166" t="n"/>
      <c r="M336" s="331" t="n"/>
      <c r="N336" s="167" t="n"/>
      <c r="O336" s="168" t="n"/>
      <c r="P336" s="332" t="n"/>
      <c r="Q336" s="327" t="n"/>
      <c r="R336" s="150" t="n"/>
      <c r="S336" s="150" t="n"/>
      <c r="T336" s="150" t="n"/>
      <c r="U336" s="150" t="n"/>
      <c r="V336" s="328" t="n"/>
      <c r="W336" s="328" t="n"/>
      <c r="X336" s="152" t="n"/>
    </row>
    <row r="337" customFormat="1" s="145">
      <c r="A337" s="158" t="inlineStr">
        <is>
          <t>总计</t>
        </is>
      </c>
      <c r="B337" s="159" t="n"/>
      <c r="C337" s="160" t="n"/>
      <c r="D337" s="161" t="n"/>
      <c r="E337" s="161" t="inlineStr">
        <is>
          <t>台</t>
        </is>
      </c>
      <c r="F337" s="161" t="n">
        <v>1</v>
      </c>
      <c r="G337" s="336">
        <f>ROUND(H336,2)</f>
        <v/>
      </c>
      <c r="H337" s="336">
        <f>ROUND(F337*G337,2)</f>
        <v/>
      </c>
      <c r="I337" s="169" t="n"/>
      <c r="J337" s="337" t="n"/>
      <c r="K337" s="338">
        <f>ROUND(K336*F337,2)</f>
        <v/>
      </c>
      <c r="L337" s="172" t="n"/>
      <c r="M337" s="339" t="n"/>
      <c r="N337" s="174" t="n"/>
      <c r="O337" s="175" t="n"/>
      <c r="P337" s="340" t="n"/>
      <c r="Q337" s="327" t="n"/>
      <c r="R337" s="150" t="n"/>
      <c r="S337" s="150" t="n"/>
      <c r="T337" s="150" t="n"/>
      <c r="U337" s="150" t="n"/>
      <c r="V337" s="328" t="n"/>
      <c r="W337" s="328" t="n"/>
      <c r="X337" s="152" t="n"/>
    </row>
    <row r="338" customFormat="1" s="146">
      <c r="A338" s="3" t="n"/>
      <c r="B338" s="117" t="n"/>
      <c r="C338" s="117" t="n"/>
      <c r="D338" s="117" t="n"/>
      <c r="E338" s="146" t="n"/>
      <c r="F338" s="146" t="n"/>
      <c r="G338" s="146" t="n"/>
      <c r="H338" s="146" t="n"/>
      <c r="Q338" s="144" t="n"/>
      <c r="R338" s="144" t="n"/>
      <c r="S338" s="144" t="n"/>
      <c r="T338" s="144" t="n"/>
      <c r="U338" s="144" t="n"/>
      <c r="X338" s="117" t="n"/>
    </row>
    <row r="339" customFormat="1" s="146">
      <c r="A339" s="3" t="n"/>
      <c r="B339" s="117" t="n"/>
      <c r="C339" s="117" t="n"/>
      <c r="D339" s="117" t="n"/>
      <c r="E339" s="146" t="n"/>
      <c r="F339" s="146" t="n"/>
      <c r="G339" s="146" t="n"/>
      <c r="H339" s="146" t="n"/>
      <c r="Q339" s="144" t="n"/>
      <c r="R339" s="144" t="n"/>
      <c r="S339" s="144" t="n"/>
      <c r="T339" s="144" t="n"/>
      <c r="U339" s="144" t="n"/>
      <c r="X339" s="117" t="n"/>
    </row>
    <row r="340" customFormat="1" s="145">
      <c r="A340" s="63">
        <f>CONCATENATE("报价人：",项目信息!$B$8)</f>
        <v/>
      </c>
      <c r="B340" s="63" t="n"/>
      <c r="C340" s="146" t="n"/>
      <c r="D340" s="146" t="n"/>
      <c r="E340" s="146" t="n"/>
      <c r="F340" s="146" t="n"/>
      <c r="G340" s="146" t="n"/>
      <c r="H340" s="163">
        <f>项目信息!$B$9</f>
        <v/>
      </c>
      <c r="Q340" s="144" t="n"/>
      <c r="R340" s="144" t="n"/>
      <c r="S340" s="144" t="n"/>
      <c r="T340" s="144" t="n"/>
      <c r="U340" s="144" t="n"/>
      <c r="X340" s="148" t="n"/>
    </row>
    <row r="341" customFormat="1" s="145">
      <c r="A341" s="5">
        <f>T(项目信息!$B$22)</f>
        <v/>
      </c>
      <c r="Q341" s="144" t="n"/>
      <c r="R341" s="144" t="n"/>
      <c r="S341" s="144" t="n"/>
      <c r="T341" s="144" t="n"/>
      <c r="U341" s="144" t="n"/>
      <c r="X341" s="145" t="n"/>
    </row>
    <row r="342" customFormat="1" s="145">
      <c r="A342" s="6">
        <f>T(项目信息!$B$23)</f>
        <v/>
      </c>
      <c r="Q342" s="144" t="n"/>
      <c r="R342" s="144" t="n"/>
      <c r="S342" s="144" t="n"/>
      <c r="T342" s="144" t="n"/>
      <c r="U342" s="144" t="n"/>
      <c r="X342" s="145" t="n"/>
    </row>
    <row r="343" customFormat="1" s="145">
      <c r="A343" s="68" t="inlineStr">
        <is>
          <t>成套产品报价明细表</t>
        </is>
      </c>
      <c r="B343" s="318" t="n"/>
      <c r="C343" s="318" t="n"/>
      <c r="D343" s="318" t="n"/>
      <c r="E343" s="318" t="n"/>
      <c r="F343" s="318" t="n"/>
      <c r="G343" s="318" t="n"/>
      <c r="H343" s="318" t="n"/>
      <c r="I343" s="318" t="n"/>
      <c r="Q343" s="144" t="n"/>
      <c r="R343" s="144" t="n"/>
      <c r="S343" s="144" t="n"/>
      <c r="T343" s="144" t="n"/>
      <c r="U343" s="144" t="n"/>
      <c r="X343" s="145" t="n"/>
    </row>
    <row r="344" customFormat="1" s="146">
      <c r="A344" s="69" t="inlineStr">
        <is>
          <t>柜号:</t>
        </is>
      </c>
      <c r="B344" s="70" t="inlineStr">
        <is>
          <t>2D1</t>
        </is>
      </c>
      <c r="C344" s="71" t="inlineStr">
        <is>
          <t>型号:</t>
        </is>
      </c>
      <c r="D344" s="70" t="inlineStr">
        <is>
          <t>Blokset</t>
        </is>
      </c>
      <c r="E344" s="319" t="n"/>
      <c r="F344" s="72" t="inlineStr">
        <is>
          <t>名称:</t>
        </is>
      </c>
      <c r="G344" s="70" t="inlineStr">
        <is>
          <t>进线柜</t>
        </is>
      </c>
      <c r="H344" s="319" t="n"/>
      <c r="I344" s="320" t="n"/>
      <c r="J344" s="116" t="inlineStr">
        <is>
          <t>箱柜尺寸:</t>
        </is>
      </c>
      <c r="K344" s="117" t="inlineStr">
        <is>
          <t>900W*1000D*2200H</t>
        </is>
      </c>
      <c r="L344" s="116" t="inlineStr">
        <is>
          <t>类别:</t>
        </is>
      </c>
      <c r="M344" s="117" t="n"/>
      <c r="N344" s="321" t="n"/>
      <c r="Q344" s="144" t="n"/>
      <c r="R344" s="144" t="n"/>
      <c r="S344" s="144" t="n"/>
      <c r="T344" s="144" t="n"/>
      <c r="U344" s="144" t="n"/>
      <c r="X344" s="146" t="n"/>
    </row>
    <row r="345" ht="20.1" customFormat="1" customHeight="1" s="145">
      <c r="A345" s="13" t="inlineStr">
        <is>
          <t>序号</t>
        </is>
      </c>
      <c r="B345" s="73" t="inlineStr">
        <is>
          <t>元件名称</t>
        </is>
      </c>
      <c r="C345" s="73" t="inlineStr">
        <is>
          <t>型号规格</t>
        </is>
      </c>
      <c r="D345" s="74" t="inlineStr">
        <is>
          <t>生产厂家</t>
        </is>
      </c>
      <c r="E345" s="15" t="inlineStr">
        <is>
          <t>单位</t>
        </is>
      </c>
      <c r="F345" s="15" t="inlineStr">
        <is>
          <t>数量</t>
        </is>
      </c>
      <c r="G345" s="287" t="inlineStr">
        <is>
          <t>单   价</t>
        </is>
      </c>
      <c r="H345" s="256" t="inlineStr">
        <is>
          <t>总   价</t>
        </is>
      </c>
      <c r="I345" s="119" t="inlineStr">
        <is>
          <t>备注</t>
        </is>
      </c>
      <c r="J345" s="322" t="inlineStr">
        <is>
          <t>成本单价</t>
        </is>
      </c>
      <c r="K345" s="322" t="inlineStr">
        <is>
          <t>成本总价</t>
        </is>
      </c>
      <c r="L345" s="121" t="inlineStr">
        <is>
          <t>报出
系数</t>
        </is>
      </c>
      <c r="M345" s="322" t="inlineStr">
        <is>
          <t>表价</t>
        </is>
      </c>
      <c r="N345" s="121" t="inlineStr">
        <is>
          <t>折扣
系数</t>
        </is>
      </c>
      <c r="O345" s="122" t="inlineStr">
        <is>
          <t>取费
系数</t>
        </is>
      </c>
      <c r="P345" s="322" t="inlineStr">
        <is>
          <t>成套费</t>
        </is>
      </c>
      <c r="Q345" s="147" t="inlineStr">
        <is>
          <t>类别</t>
        </is>
      </c>
      <c r="R345" s="147" t="inlineStr">
        <is>
          <t>物料编码</t>
        </is>
      </c>
      <c r="S345" s="147" t="inlineStr">
        <is>
          <t>产地</t>
        </is>
      </c>
      <c r="T345" s="147" t="inlineStr">
        <is>
          <t>加工费</t>
        </is>
      </c>
      <c r="U345" s="147" t="inlineStr">
        <is>
          <t>订货号</t>
        </is>
      </c>
      <c r="V345" s="147" t="inlineStr">
        <is>
          <t>人工</t>
        </is>
      </c>
      <c r="W345" s="147" t="inlineStr">
        <is>
          <t>辅料</t>
        </is>
      </c>
      <c r="X345" s="148" t="n"/>
    </row>
    <row r="346" customFormat="1" s="145">
      <c r="A346" s="36">
        <f>ROW()-ROW(A$345)</f>
        <v/>
      </c>
      <c r="B346" s="25" t="inlineStr">
        <is>
          <t>双电源开关ATMT</t>
        </is>
      </c>
      <c r="C346" s="25" t="inlineStr">
        <is>
          <t>ATMT25 H1 4P MIC5.0E 带通讯</t>
        </is>
      </c>
      <c r="D346" s="29" t="inlineStr">
        <is>
          <t>甲供/施耐德万高</t>
        </is>
      </c>
      <c r="E346" s="30" t="inlineStr">
        <is>
          <t>套</t>
        </is>
      </c>
      <c r="F346" s="26" t="n">
        <v>0.33</v>
      </c>
      <c r="G346" s="297">
        <f>IF(AND(B346="",C346=""),"",ROUND(M346*L346*N346,2))</f>
        <v/>
      </c>
      <c r="H346" s="293">
        <f>IF(AND(B346="",C346=""),"",ROUND(F346*G346,2))</f>
        <v/>
      </c>
      <c r="I346" s="91" t="n"/>
      <c r="J346" s="329">
        <f>IF(AND(B346="",C346=""),"",ROUND(M346*N346,2))</f>
        <v/>
      </c>
      <c r="K346" s="330">
        <f>IF(AND(B346="",C346=""),"",ROUND(J346*F346,2))</f>
        <v/>
      </c>
      <c r="L346" s="126" t="n">
        <v>1</v>
      </c>
      <c r="M346" s="331" t="n">
        <v>1e-07</v>
      </c>
      <c r="N346" s="128" t="n">
        <v>0</v>
      </c>
      <c r="O346" s="129">
        <f t="array" ref="O346">IF(AND(B346="",C346=""),"",IF(G346&gt;=20000,0.05,IF(G346&gt;=10000,0.1,IF(G346&gt;=5000,0.2,IF(G346&gt;=1000,0.3,IF(G346&gt;=0,0.4,{0}))))))</f>
        <v/>
      </c>
      <c r="P346" s="332">
        <f>IF(AND(B346="",C346=""),"",ROUND(H346*O346,2))</f>
        <v/>
      </c>
      <c r="Q346" s="327" t="inlineStr">
        <is>
          <t>元件</t>
        </is>
      </c>
      <c r="R346" s="150" t="n"/>
      <c r="S346" s="150" t="n"/>
      <c r="T346" s="150" t="inlineStr">
        <is>
          <t>0</t>
        </is>
      </c>
      <c r="U346" s="150" t="n"/>
      <c r="V346" s="328" t="n"/>
      <c r="W346" s="328" t="n"/>
      <c r="X346" s="152" t="n"/>
    </row>
    <row r="347" customFormat="1" s="145">
      <c r="A347" s="36">
        <f>ROW()-ROW(A$345)</f>
        <v/>
      </c>
      <c r="B347" s="29" t="inlineStr">
        <is>
          <t>测量电流互感器</t>
        </is>
      </c>
      <c r="C347" s="25" t="inlineStr">
        <is>
          <t>SD-0.66-100II-C 2500/5</t>
        </is>
      </c>
      <c r="D347" s="29" t="inlineStr">
        <is>
          <t>杭州桑迪</t>
        </is>
      </c>
      <c r="E347" s="30" t="inlineStr">
        <is>
          <t>只</t>
        </is>
      </c>
      <c r="F347" s="26" t="n">
        <v>6</v>
      </c>
      <c r="G347" s="293">
        <f>IF(AND(B347="",C347=""),"",ROUND(M347*L347*N347,2))</f>
        <v/>
      </c>
      <c r="H347" s="293">
        <f>IF(AND(B347="",C347=""),"",ROUND(F347*G347,2))</f>
        <v/>
      </c>
      <c r="I347" s="91" t="n"/>
      <c r="J347" s="329">
        <f>IF(AND(B347="",C347=""),"",ROUND(M347*N347,2))</f>
        <v/>
      </c>
      <c r="K347" s="330">
        <f>IF(AND(B347="",C347=""),"",ROUND(J347*F347,2))</f>
        <v/>
      </c>
      <c r="L347" s="126" t="n">
        <v>1</v>
      </c>
      <c r="M347" s="331" t="n">
        <v>161.85</v>
      </c>
      <c r="N347" s="128" t="n">
        <v>1</v>
      </c>
      <c r="O347" s="129">
        <f t="array" ref="O347">IF(AND(B347="",C347=""),"",IF(G347&gt;=20000,0.05,IF(G347&gt;=10000,0.1,IF(G347&gt;=5000,0.2,IF(G347&gt;=1000,0.3,IF(G347&gt;=0,0.4,{0}))))))</f>
        <v/>
      </c>
      <c r="P347" s="332">
        <f>IF(AND(B347="",C347=""),"",ROUND(H347*O347,2))</f>
        <v/>
      </c>
      <c r="Q347" s="327" t="inlineStr">
        <is>
          <t>元件</t>
        </is>
      </c>
      <c r="R347" s="150" t="n"/>
      <c r="S347" s="150" t="n"/>
      <c r="T347" s="150" t="inlineStr">
        <is>
          <t>0</t>
        </is>
      </c>
      <c r="U347" s="150" t="n"/>
      <c r="V347" s="328" t="n"/>
      <c r="W347" s="328" t="n"/>
      <c r="X347" s="152" t="n"/>
    </row>
    <row r="348" customFormat="1" s="145">
      <c r="A348" s="36">
        <f>ROW()-ROW(A$345)</f>
        <v/>
      </c>
      <c r="B348" s="25" t="inlineStr">
        <is>
          <t>多功能表</t>
        </is>
      </c>
      <c r="C348" s="25" t="inlineStr">
        <is>
          <t>PM4633</t>
        </is>
      </c>
      <c r="D348" s="25" t="inlineStr">
        <is>
          <t>甲供/施耐德电气</t>
        </is>
      </c>
      <c r="E348" s="30" t="inlineStr">
        <is>
          <t>只</t>
        </is>
      </c>
      <c r="F348" s="26">
        <f>IF(AND(B348="",C348=""),"",1)</f>
        <v/>
      </c>
      <c r="G348" s="293">
        <f>IF(AND(B348="",C348=""),"",ROUND(M348*L348*N348,2))</f>
        <v/>
      </c>
      <c r="H348" s="293">
        <f>IF(AND(B348="",C348=""),"",ROUND(F348*G348,2))</f>
        <v/>
      </c>
      <c r="I348" s="91" t="n"/>
      <c r="J348" s="329">
        <f>IF(AND(B348="",C348=""),"",ROUND(M348*N348,2))</f>
        <v/>
      </c>
      <c r="K348" s="330">
        <f>IF(AND(B348="",C348=""),"",ROUND(J348*F348,2))</f>
        <v/>
      </c>
      <c r="L348" s="126" t="n">
        <v>1</v>
      </c>
      <c r="M348" s="331" t="n">
        <v>1e-07</v>
      </c>
      <c r="N348" s="128" t="n">
        <v>0</v>
      </c>
      <c r="O348" s="129">
        <f t="array" ref="O348">IF(AND(B348="",C348=""),"",IF(G348&gt;=20000,0.05,IF(G348&gt;=10000,0.1,IF(G348&gt;=5000,0.2,IF(G348&gt;=1000,0.3,IF(G348&gt;=0,0.4,{0}))))))</f>
        <v/>
      </c>
      <c r="P348" s="332">
        <f>IF(AND(B348="",C348=""),"",ROUND(H348*O348,2))</f>
        <v/>
      </c>
      <c r="Q348" s="327" t="inlineStr">
        <is>
          <t>元件</t>
        </is>
      </c>
      <c r="R348" s="150" t="n"/>
      <c r="S348" s="150" t="n"/>
      <c r="T348" s="150" t="inlineStr">
        <is>
          <t>0</t>
        </is>
      </c>
      <c r="U348" s="150" t="n"/>
      <c r="V348" s="328" t="n"/>
      <c r="W348" s="328" t="n"/>
      <c r="X348" s="152" t="n"/>
    </row>
    <row r="349" customFormat="1" s="145">
      <c r="A349" s="36">
        <f>ROW()-ROW(A$345)</f>
        <v/>
      </c>
      <c r="B349" s="29" t="inlineStr">
        <is>
          <t>SPD断路器</t>
        </is>
      </c>
      <c r="C349" s="25" t="inlineStr">
        <is>
          <t>iSCB1 25L1 4P</t>
        </is>
      </c>
      <c r="D349" s="29" t="inlineStr">
        <is>
          <t>甲供/施耐德万高</t>
        </is>
      </c>
      <c r="E349" s="30" t="inlineStr">
        <is>
          <t>只</t>
        </is>
      </c>
      <c r="F349" s="30">
        <f>IF(AND(B349="",C349=""),"",1)</f>
        <v/>
      </c>
      <c r="G349" s="297">
        <f>IF(AND(B349="",C349=""),"",ROUND(M349*L349*N349,2))</f>
        <v/>
      </c>
      <c r="H349" s="293">
        <f>IF(AND(B349="",C349=""),"",ROUND(F349*G349,2))</f>
        <v/>
      </c>
      <c r="I349" s="91" t="n"/>
      <c r="J349" s="329">
        <f>IF(AND(B349="",C349=""),"",ROUND(M349*N349,2))</f>
        <v/>
      </c>
      <c r="K349" s="330">
        <f>IF(AND(B349="",C349=""),"",ROUND(J349*F349,2))</f>
        <v/>
      </c>
      <c r="L349" s="126" t="n">
        <v>1</v>
      </c>
      <c r="M349" s="331" t="n">
        <v>1e-07</v>
      </c>
      <c r="N349" s="128" t="n">
        <v>0</v>
      </c>
      <c r="O349" s="129">
        <f t="array" ref="O349">IF(AND(B349="",C349=""),"",IF(G349&gt;=20000,0.05,IF(G349&gt;=10000,0.1,IF(G349&gt;=5000,0.2,IF(G349&gt;=1000,0.3,IF(G349&gt;=0,0.4,{0}))))))</f>
        <v/>
      </c>
      <c r="P349" s="332">
        <f>IF(AND(B349="",C349=""),"",ROUND(H349*O349,2))</f>
        <v/>
      </c>
      <c r="Q349" s="327" t="inlineStr">
        <is>
          <t>元件</t>
        </is>
      </c>
      <c r="R349" s="150" t="n"/>
      <c r="S349" s="150" t="n"/>
      <c r="T349" s="150" t="inlineStr">
        <is>
          <t>0</t>
        </is>
      </c>
      <c r="U349" s="150" t="n"/>
      <c r="V349" s="328" t="n"/>
      <c r="W349" s="328" t="n"/>
      <c r="X349" s="152" t="n"/>
    </row>
    <row r="350" customFormat="1" s="145">
      <c r="A350" s="36">
        <f>ROW()-ROW(A$345)</f>
        <v/>
      </c>
      <c r="B350" s="29" t="inlineStr">
        <is>
          <t>浪涌保护器</t>
        </is>
      </c>
      <c r="C350" s="25" t="inlineStr">
        <is>
          <t>iPRF1 12.5r 3P+N</t>
        </is>
      </c>
      <c r="D350" s="29" t="inlineStr">
        <is>
          <t>甲供/施耐德万高</t>
        </is>
      </c>
      <c r="E350" s="30" t="inlineStr">
        <is>
          <t>只</t>
        </is>
      </c>
      <c r="F350" s="30">
        <f>IF(AND(B350="",C350=""),"",1)</f>
        <v/>
      </c>
      <c r="G350" s="297">
        <f>IF(AND(B350="",C350=""),"",ROUND(M350*L350*N350,2))</f>
        <v/>
      </c>
      <c r="H350" s="293">
        <f>IF(AND(B350="",C350=""),"",ROUND(F350*G350,2))</f>
        <v/>
      </c>
      <c r="I350" s="91" t="n"/>
      <c r="J350" s="329">
        <f>IF(AND(B350="",C350=""),"",ROUND(M350*N350,2))</f>
        <v/>
      </c>
      <c r="K350" s="330">
        <f>IF(AND(B350="",C350=""),"",ROUND(J350*F350,2))</f>
        <v/>
      </c>
      <c r="L350" s="126" t="n">
        <v>1</v>
      </c>
      <c r="M350" s="331" t="n">
        <v>1e-07</v>
      </c>
      <c r="N350" s="128" t="n">
        <v>0</v>
      </c>
      <c r="O350" s="129">
        <f t="array" ref="O350">IF(AND(B350="",C350=""),"",IF(G350&gt;=20000,0.05,IF(G350&gt;=10000,0.1,IF(G350&gt;=5000,0.2,IF(G350&gt;=1000,0.3,IF(G350&gt;=0,0.4,{0}))))))</f>
        <v/>
      </c>
      <c r="P350" s="332">
        <f>IF(AND(B350="",C350=""),"",ROUND(H350*O350,2))</f>
        <v/>
      </c>
      <c r="Q350" s="327" t="inlineStr">
        <is>
          <t>元件</t>
        </is>
      </c>
      <c r="R350" s="150" t="n"/>
      <c r="S350" s="150" t="n"/>
      <c r="T350" s="150" t="inlineStr">
        <is>
          <t>0</t>
        </is>
      </c>
      <c r="U350" s="150" t="n"/>
      <c r="V350" s="328" t="n"/>
      <c r="W350" s="328" t="n"/>
      <c r="X350" s="152" t="n"/>
    </row>
    <row r="351" customFormat="1" s="145">
      <c r="A351" s="36">
        <f>ROW()-ROW(A$345)</f>
        <v/>
      </c>
      <c r="B351" s="29" t="inlineStr">
        <is>
          <t>SP元件</t>
        </is>
      </c>
      <c r="C351" s="25" t="inlineStr">
        <is>
          <t>智能网关 PAS700</t>
        </is>
      </c>
      <c r="D351" s="25" t="inlineStr">
        <is>
          <t>甲供/施耐德电气</t>
        </is>
      </c>
      <c r="E351" s="30" t="inlineStr">
        <is>
          <t>只</t>
        </is>
      </c>
      <c r="F351" s="30">
        <f>IF(AND(B351="",C351=""),"",1)</f>
        <v/>
      </c>
      <c r="G351" s="297">
        <f>IF(AND(B351="",C351=""),"",ROUND(M351*L351*N351,2))</f>
        <v/>
      </c>
      <c r="H351" s="297">
        <f>IF(AND(B351="",C351=""),"",ROUND(F351*G351,2))</f>
        <v/>
      </c>
      <c r="I351" s="135" t="n"/>
      <c r="J351" s="329">
        <f>IF(AND(B351="",C351=""),"",ROUND(M351*N351,2))</f>
        <v/>
      </c>
      <c r="K351" s="330">
        <f>IF(AND(B351="",C351=""),"",ROUND(J351*F351,2))</f>
        <v/>
      </c>
      <c r="L351" s="126" t="n">
        <v>1</v>
      </c>
      <c r="M351" s="331" t="n">
        <v>1e-07</v>
      </c>
      <c r="N351" s="128" t="n">
        <v>0</v>
      </c>
      <c r="O351" s="129">
        <f t="array" ref="O351">IF(AND(B351="",C351=""),"",IF(G351&gt;=20000,0.05,IF(G351&gt;=10000,0.1,IF(G351&gt;=5000,0.2,IF(G351&gt;=1000,0.3,IF(G351&gt;=0,0.4,{0}))))))</f>
        <v/>
      </c>
      <c r="P351" s="332">
        <f>IF(AND(B351="",C351=""),"",ROUND(H351*O351,2))</f>
        <v/>
      </c>
      <c r="Q351" s="327" t="inlineStr">
        <is>
          <t>元件</t>
        </is>
      </c>
      <c r="R351" s="150" t="n"/>
      <c r="S351" s="150" t="n"/>
      <c r="T351" s="150" t="inlineStr">
        <is>
          <t>0</t>
        </is>
      </c>
      <c r="U351" s="150" t="n"/>
      <c r="V351" s="328" t="n"/>
      <c r="W351" s="328" t="n"/>
      <c r="X351" s="152" t="n"/>
    </row>
    <row r="352" customFormat="1" s="145">
      <c r="A352" s="36">
        <f>ROW()-ROW(A$345)</f>
        <v/>
      </c>
      <c r="B352" s="29" t="inlineStr">
        <is>
          <t>指示灯</t>
        </is>
      </c>
      <c r="C352" s="29" t="inlineStr">
        <is>
          <t>XA2EVM3LC</t>
        </is>
      </c>
      <c r="D352" s="29" t="inlineStr">
        <is>
          <t>施耐德电气</t>
        </is>
      </c>
      <c r="E352" s="30" t="inlineStr">
        <is>
          <t>只</t>
        </is>
      </c>
      <c r="F352" s="30" t="n">
        <v>1</v>
      </c>
      <c r="G352" s="297">
        <f>IF(AND(B352="",C352=""),"",ROUND(M352*L352*N352,2))</f>
        <v/>
      </c>
      <c r="H352" s="297">
        <f>IF(AND(B352="",C352=""),"",ROUND(F352*G352,2))</f>
        <v/>
      </c>
      <c r="I352" s="136" t="n"/>
      <c r="J352" s="329">
        <f>IF(AND(B352="",C352=""),"",ROUND(M352*N352,2))</f>
        <v/>
      </c>
      <c r="K352" s="330">
        <f>IF(AND(B352="",C352=""),"",ROUND(J352*F352,2))</f>
        <v/>
      </c>
      <c r="L352" s="126" t="n">
        <v>1</v>
      </c>
      <c r="M352" s="331" t="n">
        <v>16.43</v>
      </c>
      <c r="N352" s="137" t="n">
        <v>0.5</v>
      </c>
      <c r="O352" s="138">
        <f t="array" ref="O352">IF(AND(B352="",C352=""),"",IF(G352&gt;=20000,0.05,IF(G352&gt;=10000,0.1,IF(G352&gt;=5000,0.2,IF(G352&gt;=1000,0.3,IF(G352&gt;=0,0.4,{0}))))))</f>
        <v/>
      </c>
      <c r="P352" s="333">
        <f>IF(AND(B352="",C352=""),"",ROUND(H352*O352,2))</f>
        <v/>
      </c>
      <c r="Q352" s="334" t="inlineStr">
        <is>
          <t>元件</t>
        </is>
      </c>
      <c r="R352" s="154" t="n"/>
      <c r="S352" s="154" t="n"/>
      <c r="T352" s="154" t="inlineStr">
        <is>
          <t>0</t>
        </is>
      </c>
      <c r="U352" s="154" t="inlineStr">
        <is>
          <t>XA2EVM3LC</t>
        </is>
      </c>
      <c r="V352" s="335" t="n"/>
      <c r="W352" s="335" t="n"/>
      <c r="X352" s="152" t="n"/>
    </row>
    <row r="353" customFormat="1" s="145">
      <c r="A353" s="36">
        <f>ROW()-ROW(A$345)</f>
        <v/>
      </c>
      <c r="B353" s="29" t="inlineStr">
        <is>
          <t>指示灯</t>
        </is>
      </c>
      <c r="C353" s="25" t="inlineStr">
        <is>
          <t>XA2EVM4LC</t>
        </is>
      </c>
      <c r="D353" s="29" t="inlineStr">
        <is>
          <t>施耐德电气</t>
        </is>
      </c>
      <c r="E353" s="30" t="inlineStr">
        <is>
          <t>只</t>
        </is>
      </c>
      <c r="F353" s="30" t="n">
        <v>1</v>
      </c>
      <c r="G353" s="297">
        <f>IF(AND(B353="",C353=""),"",ROUND(M353*L353*N353,2))</f>
        <v/>
      </c>
      <c r="H353" s="297">
        <f>IF(AND(B353="",C353=""),"",ROUND(F353*G353,2))</f>
        <v/>
      </c>
      <c r="I353" s="136" t="n"/>
      <c r="J353" s="329">
        <f>IF(AND(B353="",C353=""),"",ROUND(M353*N353,2))</f>
        <v/>
      </c>
      <c r="K353" s="330">
        <f>IF(AND(B353="",C353=""),"",ROUND(J353*F353,2))</f>
        <v/>
      </c>
      <c r="L353" s="126" t="n">
        <v>1</v>
      </c>
      <c r="M353" s="331" t="n">
        <v>16.43</v>
      </c>
      <c r="N353" s="137" t="n">
        <v>0.5</v>
      </c>
      <c r="O353" s="138">
        <f t="array" ref="O353">IF(AND(B353="",C353=""),"",IF(G353&gt;=20000,0.05,IF(G353&gt;=10000,0.1,IF(G353&gt;=5000,0.2,IF(G353&gt;=1000,0.3,IF(G353&gt;=0,0.4,{0}))))))</f>
        <v/>
      </c>
      <c r="P353" s="333">
        <f>IF(AND(B353="",C353=""),"",ROUND(H353*O353,2))</f>
        <v/>
      </c>
      <c r="Q353" s="334" t="inlineStr">
        <is>
          <t>元件</t>
        </is>
      </c>
      <c r="R353" s="154" t="n"/>
      <c r="S353" s="154" t="n"/>
      <c r="T353" s="154" t="inlineStr">
        <is>
          <t>0</t>
        </is>
      </c>
      <c r="U353" s="154" t="inlineStr">
        <is>
          <t>XA2EVM4LC</t>
        </is>
      </c>
      <c r="V353" s="335" t="n"/>
      <c r="W353" s="335" t="n"/>
      <c r="X353" s="152" t="n"/>
    </row>
    <row r="354" customFormat="1" s="145">
      <c r="A354" s="36">
        <f>ROW()-ROW(A$345)</f>
        <v/>
      </c>
      <c r="B354" s="29" t="inlineStr">
        <is>
          <t>指示灯</t>
        </is>
      </c>
      <c r="C354" s="29" t="inlineStr">
        <is>
          <t>XA2EVM5LC</t>
        </is>
      </c>
      <c r="D354" s="29" t="inlineStr">
        <is>
          <t>施耐德电气</t>
        </is>
      </c>
      <c r="E354" s="30" t="inlineStr">
        <is>
          <t>只</t>
        </is>
      </c>
      <c r="F354" s="30" t="n">
        <v>1</v>
      </c>
      <c r="G354" s="297">
        <f>IF(AND(B354="",C354=""),"",ROUND(M354*L354*N354,2))</f>
        <v/>
      </c>
      <c r="H354" s="297">
        <f>IF(AND(B354="",C354=""),"",ROUND(F354*G354,2))</f>
        <v/>
      </c>
      <c r="I354" s="136" t="n"/>
      <c r="J354" s="329">
        <f>IF(AND(B354="",C354=""),"",ROUND(M354*N354,2))</f>
        <v/>
      </c>
      <c r="K354" s="330">
        <f>IF(AND(B354="",C354=""),"",ROUND(J354*F354,2))</f>
        <v/>
      </c>
      <c r="L354" s="126" t="n">
        <v>1</v>
      </c>
      <c r="M354" s="331" t="n">
        <v>16.43</v>
      </c>
      <c r="N354" s="137" t="n">
        <v>0.5</v>
      </c>
      <c r="O354" s="138">
        <f t="array" ref="O354">IF(AND(B354="",C354=""),"",IF(G354&gt;=20000,0.05,IF(G354&gt;=10000,0.1,IF(G354&gt;=5000,0.2,IF(G354&gt;=1000,0.3,IF(G354&gt;=0,0.4,{0}))))))</f>
        <v/>
      </c>
      <c r="P354" s="333">
        <f>IF(AND(B354="",C354=""),"",ROUND(H354*O354,2))</f>
        <v/>
      </c>
      <c r="Q354" s="334" t="inlineStr">
        <is>
          <t>元件</t>
        </is>
      </c>
      <c r="R354" s="154" t="n"/>
      <c r="S354" s="154" t="n"/>
      <c r="T354" s="154" t="inlineStr">
        <is>
          <t>0</t>
        </is>
      </c>
      <c r="U354" s="154" t="inlineStr">
        <is>
          <t>XA2EVM5LC</t>
        </is>
      </c>
      <c r="V354" s="335" t="n"/>
      <c r="W354" s="335" t="n"/>
      <c r="X354" s="152" t="n"/>
    </row>
    <row r="355" customFormat="1" s="145">
      <c r="A355" s="36">
        <f>ROW()-ROW(A$345)</f>
        <v/>
      </c>
      <c r="B355" s="29" t="inlineStr">
        <is>
          <t>按钮</t>
        </is>
      </c>
      <c r="C355" s="29" t="inlineStr">
        <is>
          <t>XA2EA31</t>
        </is>
      </c>
      <c r="D355" s="29" t="inlineStr">
        <is>
          <t>施耐德电气</t>
        </is>
      </c>
      <c r="E355" s="30" t="inlineStr">
        <is>
          <t>只</t>
        </is>
      </c>
      <c r="F355" s="30" t="n">
        <v>1</v>
      </c>
      <c r="G355" s="297">
        <f>IF(AND(B355="",C355=""),"",ROUND(M355*L355*N355,2))</f>
        <v/>
      </c>
      <c r="H355" s="297">
        <f>IF(AND(B355="",C355=""),"",ROUND(F355*G355,2))</f>
        <v/>
      </c>
      <c r="I355" s="136" t="n"/>
      <c r="J355" s="329">
        <f>IF(AND(B355="",C355=""),"",ROUND(M355*N355,2))</f>
        <v/>
      </c>
      <c r="K355" s="330">
        <f>IF(AND(B355="",C355=""),"",ROUND(J355*F355,2))</f>
        <v/>
      </c>
      <c r="L355" s="126" t="n">
        <v>1</v>
      </c>
      <c r="M355" s="331" t="n">
        <v>15.55</v>
      </c>
      <c r="N355" s="137" t="n">
        <v>0.5</v>
      </c>
      <c r="O355" s="138">
        <f t="array" ref="O355">IF(AND(B355="",C355=""),"",IF(G355&gt;=20000,0.05,IF(G355&gt;=10000,0.1,IF(G355&gt;=5000,0.2,IF(G355&gt;=1000,0.3,IF(G355&gt;=0,0.4,{0}))))))</f>
        <v/>
      </c>
      <c r="P355" s="333">
        <f>IF(AND(B355="",C355=""),"",ROUND(H355*O355,2))</f>
        <v/>
      </c>
      <c r="Q355" s="334" t="inlineStr">
        <is>
          <t>元件</t>
        </is>
      </c>
      <c r="R355" s="154" t="n"/>
      <c r="S355" s="154" t="n"/>
      <c r="T355" s="154" t="inlineStr">
        <is>
          <t>0</t>
        </is>
      </c>
      <c r="U355" s="154" t="inlineStr">
        <is>
          <t>XA2EA31</t>
        </is>
      </c>
      <c r="V355" s="335" t="n"/>
      <c r="W355" s="335" t="n"/>
      <c r="X355" s="152" t="n"/>
    </row>
    <row r="356" customFormat="1" s="145">
      <c r="A356" s="36">
        <f>ROW()-ROW(A$345)</f>
        <v/>
      </c>
      <c r="B356" s="25" t="inlineStr">
        <is>
          <t>按钮</t>
        </is>
      </c>
      <c r="C356" s="25" t="inlineStr">
        <is>
          <t>XA2EA41</t>
        </is>
      </c>
      <c r="D356" s="25" t="inlineStr">
        <is>
          <t>施耐德电气</t>
        </is>
      </c>
      <c r="E356" s="26" t="inlineStr">
        <is>
          <t>只</t>
        </is>
      </c>
      <c r="F356" s="26" t="n">
        <v>1</v>
      </c>
      <c r="G356" s="293">
        <f>IF(AND(B356="",C356=""),"",ROUND(M356*L356*N356,2))</f>
        <v/>
      </c>
      <c r="H356" s="297">
        <f>IF(AND(B356="",C356=""),"",ROUND(F356*G356,2))</f>
        <v/>
      </c>
      <c r="I356" s="136" t="n"/>
      <c r="J356" s="329">
        <f>IF(AND(B356="",C356=""),"",ROUND(M356*N356,2))</f>
        <v/>
      </c>
      <c r="K356" s="330">
        <f>IF(AND(B356="",C356=""),"",ROUND(J356*F356,2))</f>
        <v/>
      </c>
      <c r="L356" s="126" t="n">
        <v>1</v>
      </c>
      <c r="M356" s="331" t="n">
        <v>15.55</v>
      </c>
      <c r="N356" s="137" t="n">
        <v>0.5</v>
      </c>
      <c r="O356" s="138">
        <f t="array" ref="O356">IF(AND(B356="",C356=""),"",IF(G356&gt;=20000,0.05,IF(G356&gt;=10000,0.1,IF(G356&gt;=5000,0.2,IF(G356&gt;=1000,0.3,IF(G356&gt;=0,0.4,{0}))))))</f>
        <v/>
      </c>
      <c r="P356" s="333">
        <f>IF(AND(B356="",C356=""),"",ROUND(H356*O356,2))</f>
        <v/>
      </c>
      <c r="Q356" s="334" t="inlineStr">
        <is>
          <t>元件</t>
        </is>
      </c>
      <c r="R356" s="154" t="n"/>
      <c r="S356" s="154" t="n"/>
      <c r="T356" s="154" t="inlineStr">
        <is>
          <t>0</t>
        </is>
      </c>
      <c r="U356" s="154" t="inlineStr">
        <is>
          <t>XA2EA41</t>
        </is>
      </c>
      <c r="V356" s="335" t="n"/>
      <c r="W356" s="335" t="n"/>
      <c r="X356" s="152" t="n"/>
    </row>
    <row r="357" customFormat="1" s="145">
      <c r="A357" s="36">
        <f>ROW()-ROW(A$345)</f>
        <v/>
      </c>
      <c r="B357" s="25" t="inlineStr">
        <is>
          <t>熔断器</t>
        </is>
      </c>
      <c r="C357" s="25" t="inlineStr">
        <is>
          <t>UK5-HESI</t>
        </is>
      </c>
      <c r="D357" s="25" t="inlineStr">
        <is>
          <t>菲尼克斯</t>
        </is>
      </c>
      <c r="E357" s="26" t="inlineStr">
        <is>
          <t>只</t>
        </is>
      </c>
      <c r="F357" s="26" t="n">
        <v>4</v>
      </c>
      <c r="G357" s="293">
        <f>IF(AND(B357="",C357=""),"",ROUND(M357*L357*N357,2))</f>
        <v/>
      </c>
      <c r="H357" s="297">
        <f>IF(AND(B357="",C357=""),"",ROUND(F357*G357,2))</f>
        <v/>
      </c>
      <c r="I357" s="136" t="n"/>
      <c r="J357" s="329">
        <f>IF(AND(B357="",C357=""),"",ROUND(M357*N357,2))</f>
        <v/>
      </c>
      <c r="K357" s="330">
        <f>IF(AND(B357="",C357=""),"",ROUND(J357*F357,2))</f>
        <v/>
      </c>
      <c r="L357" s="126" t="n">
        <v>1</v>
      </c>
      <c r="M357" s="331" t="n">
        <v>7</v>
      </c>
      <c r="N357" s="137" t="n">
        <v>1</v>
      </c>
      <c r="O357" s="138">
        <f t="array" ref="O357">IF(AND(B357="",C357=""),"",IF(G357&gt;=20000,0.05,IF(G357&gt;=10000,0.1,IF(G357&gt;=5000,0.2,IF(G357&gt;=1000,0.3,IF(G357&gt;=0,0.4,{0}))))))</f>
        <v/>
      </c>
      <c r="P357" s="333">
        <f>IF(AND(B357="",C357=""),"",ROUND(H357*O357,2))</f>
        <v/>
      </c>
      <c r="Q357" s="334" t="inlineStr">
        <is>
          <t>元件</t>
        </is>
      </c>
      <c r="R357" s="154" t="n"/>
      <c r="S357" s="154" t="n"/>
      <c r="T357" s="154" t="inlineStr">
        <is>
          <t>0</t>
        </is>
      </c>
      <c r="U357" s="154" t="n"/>
      <c r="V357" s="335" t="n"/>
      <c r="W357" s="335" t="n"/>
      <c r="X357" s="152" t="n"/>
    </row>
    <row r="358" customFormat="1" s="145">
      <c r="A358" s="36">
        <f>ROW()-ROW(A$345)</f>
        <v/>
      </c>
      <c r="B358" s="25" t="inlineStr">
        <is>
          <t>水平排2500A</t>
        </is>
      </c>
      <c r="C358" s="25" t="inlineStr">
        <is>
          <t>TMY 3*(2*125*5)+1*125*5+2*50*5</t>
        </is>
      </c>
      <c r="D358" s="25" t="inlineStr">
        <is>
          <t>国产优质</t>
        </is>
      </c>
      <c r="E358" s="26" t="inlineStr">
        <is>
          <t>米</t>
        </is>
      </c>
      <c r="F358" s="30" t="n">
        <v>0.9</v>
      </c>
      <c r="G358" s="297">
        <f>IF(AND(B358="",C358=""),"",ROUND(M358*L358*N358,2))</f>
        <v/>
      </c>
      <c r="H358" s="297">
        <f>IF(AND(B358="",C358=""),"",ROUND(F358*G358,2))</f>
        <v/>
      </c>
      <c r="I358" s="135" t="n"/>
      <c r="J358" s="329">
        <f>IF(AND(B358="",C358=""),"",ROUND(M358*N358,2))</f>
        <v/>
      </c>
      <c r="K358" s="330">
        <f>IF(AND(B358="",C358=""),"",ROUND(J358*F358,2))</f>
        <v/>
      </c>
      <c r="L358" s="126" t="n">
        <v>1</v>
      </c>
      <c r="M358" s="331" t="n">
        <v>3633.9200625</v>
      </c>
      <c r="N358" s="128" t="n">
        <v>1</v>
      </c>
      <c r="O358" s="129">
        <f t="array" ref="O358">IF(AND(B358="",C358=""),"",IF(G358&gt;=20000,0.05,IF(G358&gt;=10000,0.1,IF(G358&gt;=5000,0.2,IF(G358&gt;=1000,0.3,IF(G358&gt;=0,0.4,{0}))))))</f>
        <v/>
      </c>
      <c r="P358" s="332">
        <f>IF(AND(B358="",C358=""),"",ROUND(H358*O358,2))</f>
        <v/>
      </c>
      <c r="Q358" s="327" t="inlineStr">
        <is>
          <t>母排</t>
        </is>
      </c>
      <c r="R358" s="150" t="n"/>
      <c r="S358" s="150" t="n"/>
      <c r="T358" s="150" t="inlineStr">
        <is>
          <t>0</t>
        </is>
      </c>
      <c r="U358" s="150" t="n"/>
      <c r="V358" s="328" t="n"/>
      <c r="W358" s="328" t="n"/>
      <c r="X358" s="152" t="n"/>
    </row>
    <row r="359" customFormat="1" s="145">
      <c r="A359" s="36">
        <f>ROW()-ROW(A$345)</f>
        <v/>
      </c>
      <c r="B359" s="29" t="inlineStr">
        <is>
          <t>柜内铜排</t>
        </is>
      </c>
      <c r="C359" s="29" t="inlineStr">
        <is>
          <t>TMY</t>
        </is>
      </c>
      <c r="D359" s="25" t="inlineStr">
        <is>
          <t>国产优质</t>
        </is>
      </c>
      <c r="E359" s="26" t="inlineStr">
        <is>
          <t>kg</t>
        </is>
      </c>
      <c r="F359" s="30">
        <f>149.8*1.05</f>
        <v/>
      </c>
      <c r="G359" s="297">
        <f>IF(AND(B359="",C359=""),"",ROUND(M359*L359*N359,2))</f>
        <v/>
      </c>
      <c r="H359" s="297">
        <f>IF(AND(B359="",C359=""),"",ROUND(F359*G359,2))</f>
        <v/>
      </c>
      <c r="I359" s="135" t="n"/>
      <c r="J359" s="329">
        <f>IF(AND(B359="",C359=""),"",ROUND(M359*N359,2))</f>
        <v/>
      </c>
      <c r="K359" s="330">
        <f>IF(AND(B359="",C359=""),"",ROUND(J359*F359,2))</f>
        <v/>
      </c>
      <c r="L359" s="126" t="n">
        <v>1</v>
      </c>
      <c r="M359" s="331" t="n">
        <v>83.755</v>
      </c>
      <c r="N359" s="128" t="n">
        <v>1</v>
      </c>
      <c r="O359" s="129">
        <f t="array" ref="O359">IF(AND(B359="",C359=""),"",IF(G359&gt;=20000,0.05,IF(G359&gt;=10000,0.1,IF(G359&gt;=5000,0.2,IF(G359&gt;=1000,0.3,IF(G359&gt;=0,0.4,{0}))))))</f>
        <v/>
      </c>
      <c r="P359" s="332">
        <f>IF(AND(B359="",C359=""),"",ROUND(H359*O359,2))</f>
        <v/>
      </c>
      <c r="Q359" s="327" t="inlineStr">
        <is>
          <t>母排</t>
        </is>
      </c>
      <c r="R359" s="150" t="n"/>
      <c r="S359" s="150" t="n"/>
      <c r="T359" s="150" t="inlineStr">
        <is>
          <t>0</t>
        </is>
      </c>
      <c r="U359" s="150" t="n"/>
      <c r="V359" s="328" t="n"/>
      <c r="W359" s="328" t="n"/>
      <c r="X359" s="152" t="n"/>
    </row>
    <row r="360" customFormat="1" s="145">
      <c r="A360" s="36">
        <f>ROW()-ROW(A$345)</f>
        <v/>
      </c>
      <c r="B360" s="25" t="inlineStr">
        <is>
          <t>导线及辅料</t>
        </is>
      </c>
      <c r="C360" s="25" t="n"/>
      <c r="D360" s="25" t="inlineStr">
        <is>
          <t>国产优质</t>
        </is>
      </c>
      <c r="E360" s="26" t="inlineStr">
        <is>
          <t>套</t>
        </is>
      </c>
      <c r="F360" s="26" t="n">
        <v>1</v>
      </c>
      <c r="G360" s="293">
        <f>IF(AND(B360="",C360=""),"",ROUND(M360*L360*N360,2))</f>
        <v/>
      </c>
      <c r="H360" s="293">
        <f>IF(AND(B360="",C360=""),"",ROUND(F360*G360,2))</f>
        <v/>
      </c>
      <c r="I360" s="164" t="n"/>
      <c r="J360" s="329">
        <f>IF(AND(B360="",C360=""),"",ROUND(M360*N360,2))</f>
        <v/>
      </c>
      <c r="K360" s="330">
        <f>IF(AND(B360="",C360=""),"",ROUND(J360*F360,2))</f>
        <v/>
      </c>
      <c r="L360" s="126" t="n">
        <v>1</v>
      </c>
      <c r="M360" s="331" t="n">
        <v>500</v>
      </c>
      <c r="N360" s="137" t="n">
        <v>1</v>
      </c>
      <c r="O360" s="138">
        <f t="array" ref="O360">IF(AND(B360="",C360=""),"",IF(G360&gt;=20000,0.05,IF(G360&gt;=10000,0.1,IF(G360&gt;=5000,0.2,IF(G360&gt;=1000,0.3,IF(G360&gt;=0,0.4,{0}))))))</f>
        <v/>
      </c>
      <c r="P360" s="333">
        <f>IF(AND(B360="",C360=""),"",ROUND(H360*O360,2))</f>
        <v/>
      </c>
      <c r="Q360" s="334" t="inlineStr">
        <is>
          <t>辅料</t>
        </is>
      </c>
      <c r="R360" s="154" t="n"/>
      <c r="S360" s="154" t="n"/>
      <c r="T360" s="154" t="inlineStr">
        <is>
          <t>0</t>
        </is>
      </c>
      <c r="U360" s="154" t="n"/>
      <c r="V360" s="335" t="n"/>
      <c r="W360" s="335" t="n"/>
      <c r="X360" s="152" t="n"/>
    </row>
    <row r="361" customFormat="1" s="145">
      <c r="A361" s="36">
        <f>ROW()-ROW(A$345)</f>
        <v/>
      </c>
      <c r="B361" s="29" t="inlineStr">
        <is>
          <t>Blokset柜</t>
        </is>
      </c>
      <c r="C361" s="25" t="inlineStr">
        <is>
          <t>900W*1000D*2200H</t>
        </is>
      </c>
      <c r="D361" s="25" t="inlineStr">
        <is>
          <t>清科</t>
        </is>
      </c>
      <c r="E361" s="30" t="inlineStr">
        <is>
          <t>台</t>
        </is>
      </c>
      <c r="F361" s="30" t="n">
        <v>1</v>
      </c>
      <c r="G361" s="297">
        <f>IF(AND(B361="",C361=""),"",ROUND(M361*L361*N361,2))</f>
        <v/>
      </c>
      <c r="H361" s="297">
        <f>IF(AND(B361="",C361=""),"",ROUND(F361*G361,2))</f>
        <v/>
      </c>
      <c r="I361" s="135" t="n"/>
      <c r="J361" s="329">
        <f>IF(AND(B361="",C361=""),"",ROUND(M361*N361,2))</f>
        <v/>
      </c>
      <c r="K361" s="330">
        <f>IF(AND(B361="",C361=""),"",ROUND(J361*F361,2))</f>
        <v/>
      </c>
      <c r="L361" s="126" t="n">
        <v>1</v>
      </c>
      <c r="M361" s="331" t="n">
        <v>4010</v>
      </c>
      <c r="N361" s="137" t="n">
        <v>1</v>
      </c>
      <c r="O361" s="138">
        <f t="array" ref="O361">IF(AND(B361="",C361=""),"",IF(G361&gt;=20000,0.05,IF(G361&gt;=10000,0.1,IF(G361&gt;=5000,0.2,IF(G361&gt;=1000,0.3,IF(G361&gt;=0,0.4,{0}))))))</f>
        <v/>
      </c>
      <c r="P361" s="333">
        <f>IF(AND(B361="",C361=""),"",ROUND(H361*O361,2))</f>
        <v/>
      </c>
      <c r="Q361" s="334" t="inlineStr">
        <is>
          <t>箱体</t>
        </is>
      </c>
      <c r="R361" s="154" t="n"/>
      <c r="S361" s="154" t="n"/>
      <c r="T361" s="154" t="inlineStr">
        <is>
          <t>0</t>
        </is>
      </c>
      <c r="U361" s="154" t="n"/>
      <c r="V361" s="335" t="n"/>
      <c r="W361" s="335" t="n"/>
      <c r="X361" s="152" t="n"/>
    </row>
    <row r="362" customFormat="1" s="145">
      <c r="A362" s="36">
        <f>ROW()-ROW(A$345)</f>
        <v/>
      </c>
      <c r="B362" s="29" t="n"/>
      <c r="C362" s="29" t="n"/>
      <c r="D362" s="29" t="n"/>
      <c r="E362" s="30" t="n"/>
      <c r="F362" s="30">
        <f>IF(AND(B362="",C362=""),"",1)</f>
        <v/>
      </c>
      <c r="G362" s="297">
        <f>IF(AND(B362="",C362=""),"",ROUND(M362*L362*N362,2))</f>
        <v/>
      </c>
      <c r="H362" s="297">
        <f>IF(AND(B362="",C362=""),"",ROUND(F362*G362,2))</f>
        <v/>
      </c>
      <c r="I362" s="135" t="n"/>
      <c r="J362" s="329">
        <f>IF(AND(B362="",C362=""),"",ROUND(M362*N362,2))</f>
        <v/>
      </c>
      <c r="K362" s="330">
        <f>IF(AND(B362="",C362=""),"",ROUND(J362*F362,2))</f>
        <v/>
      </c>
      <c r="L362" s="126">
        <f>IF(AND(B362="",C362=""),"",1)</f>
        <v/>
      </c>
      <c r="M362" s="331" t="n"/>
      <c r="N362" s="128">
        <f>IF(AND(B362="",C362=""),"",1)</f>
        <v/>
      </c>
      <c r="O362" s="129">
        <f t="array" ref="O362">IF(AND(B362="",C362=""),"",IF(G362&gt;=20000,0.05,IF(G362&gt;=10000,0.1,IF(G362&gt;=5000,0.2,IF(G362&gt;=1000,0.3,IF(G362&gt;=0,0.4,{0}))))))</f>
        <v/>
      </c>
      <c r="P362" s="332">
        <f>IF(AND(B362="",C362=""),"",ROUND(H362*O362,2))</f>
        <v/>
      </c>
      <c r="Q362" s="327">
        <f>IF(AND(B362="",C362=""),"","元件")</f>
        <v/>
      </c>
      <c r="R362" s="150" t="n"/>
      <c r="S362" s="150" t="n"/>
      <c r="T362" s="150" t="n"/>
      <c r="U362" s="150" t="n"/>
      <c r="V362" s="328" t="n"/>
      <c r="W362" s="328" t="n"/>
      <c r="X362" s="152" t="n"/>
    </row>
    <row r="363" customFormat="1" s="145">
      <c r="A363" s="36">
        <f>ROW()-ROW(A$345)</f>
        <v/>
      </c>
      <c r="B363" s="29" t="n"/>
      <c r="C363" s="29" t="n"/>
      <c r="D363" s="29" t="n"/>
      <c r="E363" s="30" t="n"/>
      <c r="F363" s="30">
        <f>IF(AND(B363="",C363=""),"",1)</f>
        <v/>
      </c>
      <c r="G363" s="297">
        <f>IF(AND(B363="",C363=""),"",ROUND(M363*L363*N363,2))</f>
        <v/>
      </c>
      <c r="H363" s="297">
        <f>IF(AND(B363="",C363=""),"",ROUND(F363*G363,2))</f>
        <v/>
      </c>
      <c r="I363" s="135" t="n"/>
      <c r="J363" s="329">
        <f>IF(AND(B363="",C363=""),"",ROUND(M363*N363,2))</f>
        <v/>
      </c>
      <c r="K363" s="330">
        <f>IF(AND(B363="",C363=""),"",ROUND(J363*F363,2))</f>
        <v/>
      </c>
      <c r="L363" s="126">
        <f>IF(AND(B363="",C363=""),"",1)</f>
        <v/>
      </c>
      <c r="M363" s="331" t="n"/>
      <c r="N363" s="128">
        <f>IF(AND(B363="",C363=""),"",1)</f>
        <v/>
      </c>
      <c r="O363" s="129">
        <f t="array" ref="O363">IF(AND(B363="",C363=""),"",IF(G363&gt;=20000,0.05,IF(G363&gt;=10000,0.1,IF(G363&gt;=5000,0.2,IF(G363&gt;=1000,0.3,IF(G363&gt;=0,0.4,{0}))))))</f>
        <v/>
      </c>
      <c r="P363" s="332">
        <f>IF(AND(B363="",C363=""),"",ROUND(H363*O363,2))</f>
        <v/>
      </c>
      <c r="Q363" s="327">
        <f>IF(AND(B363="",C363=""),"","元件")</f>
        <v/>
      </c>
      <c r="R363" s="150" t="n"/>
      <c r="S363" s="150" t="n"/>
      <c r="T363" s="150" t="n"/>
      <c r="U363" s="150" t="n"/>
      <c r="V363" s="328" t="n"/>
      <c r="W363" s="328" t="n"/>
      <c r="X363" s="152" t="n"/>
    </row>
    <row r="364" customFormat="1" s="145">
      <c r="A364" s="36">
        <f>ROW()-ROW(A$345)</f>
        <v/>
      </c>
      <c r="B364" s="156" t="inlineStr">
        <is>
          <t>小计</t>
        </is>
      </c>
      <c r="C364" s="157" t="n"/>
      <c r="D364" s="54" t="n"/>
      <c r="E364" s="30" t="n"/>
      <c r="F364" s="30" t="n"/>
      <c r="G364" s="297" t="n"/>
      <c r="H364" s="297">
        <f>ROUND(SUM(H345:INDEX(H:H,ROW()-1)),2)</f>
        <v/>
      </c>
      <c r="I364" s="91" t="n"/>
      <c r="J364" s="329" t="n"/>
      <c r="K364" s="330">
        <f>ROUND(SUM(K345:INDEX(K:K,ROW()-1)),2)</f>
        <v/>
      </c>
      <c r="L364" s="126" t="n"/>
      <c r="M364" s="331" t="n"/>
      <c r="N364" s="128" t="n"/>
      <c r="O364" s="129" t="n"/>
      <c r="P364" s="332" t="n"/>
      <c r="Q364" s="327" t="n"/>
      <c r="R364" s="150" t="n"/>
      <c r="S364" s="150" t="n"/>
      <c r="T364" s="150" t="n"/>
      <c r="U364" s="150" t="n"/>
      <c r="V364" s="328">
        <f t="array" ref="V364">ROUND(SUMPRODUCT(F345:INDEX(F:F,ROW()-1),V345:INDEX(V:V,ROW()-1)),2)</f>
        <v/>
      </c>
      <c r="W364" s="328">
        <f t="array" ref="W364">ROUND(SUMPRODUCT(F345:INDEX(F:F,ROW()-1),W345:INDEX(W:W,ROW()-1)),2)</f>
        <v/>
      </c>
      <c r="X364" s="152" t="n"/>
    </row>
    <row r="365" customFormat="1" s="145">
      <c r="A365" s="36">
        <f>ROW()-ROW(A$345)</f>
        <v/>
      </c>
      <c r="B365" s="156" t="inlineStr">
        <is>
          <t>成套费</t>
        </is>
      </c>
      <c r="C365" s="157" t="n"/>
      <c r="D365" s="54" t="n"/>
      <c r="E365" s="30" t="n"/>
      <c r="F365" s="30" t="n"/>
      <c r="G365" s="297" t="n"/>
      <c r="H365" s="297" t="n">
        <v>944.76</v>
      </c>
      <c r="I365" s="91" t="n"/>
      <c r="J365" s="329" t="n"/>
      <c r="K365" s="330" t="n">
        <v>944.76</v>
      </c>
      <c r="L365" s="126" t="n"/>
      <c r="M365" s="331" t="n"/>
      <c r="N365" s="128" t="n"/>
      <c r="O365" s="129" t="n"/>
      <c r="P365" s="332" t="n"/>
      <c r="Q365" s="327" t="n"/>
      <c r="R365" s="150" t="n"/>
      <c r="S365" s="150" t="n"/>
      <c r="T365" s="150" t="n"/>
      <c r="U365" s="150" t="n"/>
      <c r="V365" s="328" t="n"/>
      <c r="W365" s="328" t="n"/>
      <c r="X365" s="152" t="n"/>
    </row>
    <row r="366" customFormat="1" s="145">
      <c r="A366" s="36">
        <f>ROW()-ROW(A$345)</f>
        <v/>
      </c>
      <c r="B366" s="156" t="n"/>
      <c r="C366" s="157" t="n"/>
      <c r="D366" s="54" t="n"/>
      <c r="E366" s="30" t="n"/>
      <c r="F366" s="30" t="n"/>
      <c r="G366" s="297" t="n"/>
      <c r="H366" s="297" t="n">
        <v>17.26</v>
      </c>
      <c r="I366" s="91" t="n"/>
      <c r="J366" s="329" t="n"/>
      <c r="K366" s="330" t="n"/>
      <c r="L366" s="126" t="n"/>
      <c r="M366" s="331" t="n"/>
      <c r="N366" s="128" t="n"/>
      <c r="O366" s="129" t="n"/>
      <c r="P366" s="332" t="n"/>
      <c r="Q366" s="327" t="n"/>
      <c r="R366" s="150" t="n"/>
      <c r="S366" s="150" t="n"/>
      <c r="T366" s="150" t="n"/>
      <c r="U366" s="150" t="n"/>
      <c r="V366" s="328" t="n"/>
      <c r="W366" s="328" t="n"/>
      <c r="X366" s="152" t="n"/>
    </row>
    <row r="367" customFormat="1" s="145">
      <c r="A367" s="36">
        <f>ROW()-ROW(A$345)</f>
        <v/>
      </c>
      <c r="B367" s="54" t="inlineStr">
        <is>
          <t>单台合计</t>
        </is>
      </c>
      <c r="C367" s="157" t="n"/>
      <c r="D367" s="54" t="n"/>
      <c r="E367" s="30" t="n"/>
      <c r="F367" s="30" t="n"/>
      <c r="G367" s="297" t="n"/>
      <c r="H367" s="297">
        <f>ROUND(SUM(H364:H365),2)</f>
        <v/>
      </c>
      <c r="I367" s="165" t="n"/>
      <c r="J367" s="329" t="n"/>
      <c r="K367" s="330">
        <f>ROUND(SUM(K364:K365),2)</f>
        <v/>
      </c>
      <c r="L367" s="166" t="n"/>
      <c r="M367" s="331" t="n"/>
      <c r="N367" s="167" t="n"/>
      <c r="O367" s="168" t="n"/>
      <c r="P367" s="332" t="n"/>
      <c r="Q367" s="327" t="n"/>
      <c r="R367" s="150" t="n"/>
      <c r="S367" s="150" t="n"/>
      <c r="T367" s="150" t="n"/>
      <c r="U367" s="150" t="n"/>
      <c r="V367" s="328" t="n"/>
      <c r="W367" s="328" t="n"/>
      <c r="X367" s="152" t="n"/>
    </row>
    <row r="368" customFormat="1" s="145">
      <c r="A368" s="158" t="inlineStr">
        <is>
          <t>总计</t>
        </is>
      </c>
      <c r="B368" s="159" t="n"/>
      <c r="C368" s="160" t="n"/>
      <c r="D368" s="161" t="n"/>
      <c r="E368" s="161" t="inlineStr">
        <is>
          <t>台</t>
        </is>
      </c>
      <c r="F368" s="161" t="n">
        <v>1</v>
      </c>
      <c r="G368" s="336">
        <f>ROUND(H367,2)</f>
        <v/>
      </c>
      <c r="H368" s="336">
        <f>ROUND(F368*G368,2)</f>
        <v/>
      </c>
      <c r="I368" s="169" t="n"/>
      <c r="J368" s="337" t="n"/>
      <c r="K368" s="338">
        <f>ROUND(K367*F368,2)</f>
        <v/>
      </c>
      <c r="L368" s="172" t="n"/>
      <c r="M368" s="339" t="n"/>
      <c r="N368" s="174" t="n"/>
      <c r="O368" s="175" t="n"/>
      <c r="P368" s="340" t="n"/>
      <c r="Q368" s="327" t="n"/>
      <c r="R368" s="150" t="n"/>
      <c r="S368" s="150" t="n"/>
      <c r="T368" s="150" t="n"/>
      <c r="U368" s="150" t="n"/>
      <c r="V368" s="328" t="n"/>
      <c r="W368" s="328" t="n"/>
      <c r="X368" s="152" t="n"/>
    </row>
    <row r="369" customFormat="1" s="146">
      <c r="A369" s="3" t="n"/>
      <c r="B369" s="117" t="n"/>
      <c r="C369" s="117" t="n"/>
      <c r="D369" s="117" t="n"/>
      <c r="E369" s="146" t="n"/>
      <c r="F369" s="146" t="n"/>
      <c r="G369" s="146" t="n"/>
      <c r="H369" s="146" t="n"/>
      <c r="Q369" s="144" t="n"/>
      <c r="R369" s="144" t="n"/>
      <c r="S369" s="144" t="n"/>
      <c r="T369" s="144" t="n"/>
      <c r="U369" s="144" t="n"/>
      <c r="X369" s="117" t="n"/>
    </row>
    <row r="370" customFormat="1" s="146">
      <c r="A370" s="3" t="n"/>
      <c r="B370" s="117" t="n"/>
      <c r="C370" s="117" t="n"/>
      <c r="D370" s="117" t="n"/>
      <c r="E370" s="146" t="n"/>
      <c r="F370" s="146" t="n"/>
      <c r="G370" s="146" t="n"/>
      <c r="H370" s="146" t="n"/>
      <c r="Q370" s="144" t="n"/>
      <c r="R370" s="144" t="n"/>
      <c r="S370" s="144" t="n"/>
      <c r="T370" s="144" t="n"/>
      <c r="U370" s="144" t="n"/>
      <c r="X370" s="117" t="n"/>
    </row>
    <row r="371" customFormat="1" s="145">
      <c r="A371" s="63">
        <f>CONCATENATE("报价人：",项目信息!$B$8)</f>
        <v/>
      </c>
      <c r="B371" s="63" t="n"/>
      <c r="C371" s="146" t="n"/>
      <c r="D371" s="146" t="n"/>
      <c r="E371" s="146" t="n"/>
      <c r="F371" s="146" t="n"/>
      <c r="G371" s="146" t="n"/>
      <c r="H371" s="163">
        <f>项目信息!$B$9</f>
        <v/>
      </c>
      <c r="Q371" s="144" t="n"/>
      <c r="R371" s="144" t="n"/>
      <c r="S371" s="144" t="n"/>
      <c r="T371" s="144" t="n"/>
      <c r="U371" s="144" t="n"/>
      <c r="X371" s="148" t="n"/>
    </row>
    <row r="372" customFormat="1" s="145">
      <c r="A372" s="5">
        <f>T(项目信息!$B$22)</f>
        <v/>
      </c>
      <c r="Q372" s="144" t="n"/>
      <c r="R372" s="144" t="n"/>
      <c r="S372" s="144" t="n"/>
      <c r="T372" s="144" t="n"/>
      <c r="U372" s="144" t="n"/>
      <c r="X372" s="145" t="n"/>
    </row>
    <row r="373" customFormat="1" s="145">
      <c r="A373" s="6">
        <f>T(项目信息!$B$23)</f>
        <v/>
      </c>
      <c r="Q373" s="144" t="n"/>
      <c r="R373" s="144" t="n"/>
      <c r="S373" s="144" t="n"/>
      <c r="T373" s="144" t="n"/>
      <c r="U373" s="144" t="n"/>
      <c r="X373" s="145" t="n"/>
    </row>
    <row r="374" customFormat="1" s="145">
      <c r="A374" s="68" t="inlineStr">
        <is>
          <t>成套产品报价明细表</t>
        </is>
      </c>
      <c r="B374" s="318" t="n"/>
      <c r="C374" s="318" t="n"/>
      <c r="D374" s="318" t="n"/>
      <c r="E374" s="318" t="n"/>
      <c r="F374" s="318" t="n"/>
      <c r="G374" s="318" t="n"/>
      <c r="H374" s="318" t="n"/>
      <c r="I374" s="318" t="n"/>
      <c r="Q374" s="144" t="n"/>
      <c r="R374" s="144" t="n"/>
      <c r="S374" s="144" t="n"/>
      <c r="T374" s="144" t="n"/>
      <c r="U374" s="144" t="n"/>
      <c r="X374" s="145" t="n"/>
    </row>
    <row r="375" customFormat="1" s="146">
      <c r="A375" s="69" t="inlineStr">
        <is>
          <t>柜号:</t>
        </is>
      </c>
      <c r="B375" s="70" t="inlineStr">
        <is>
          <t>3D1</t>
        </is>
      </c>
      <c r="C375" s="71" t="inlineStr">
        <is>
          <t>型号:</t>
        </is>
      </c>
      <c r="D375" s="70" t="inlineStr">
        <is>
          <t>Blokset</t>
        </is>
      </c>
      <c r="E375" s="319" t="n"/>
      <c r="F375" s="72" t="inlineStr">
        <is>
          <t>名称:</t>
        </is>
      </c>
      <c r="G375" s="70" t="inlineStr">
        <is>
          <t>进线柜</t>
        </is>
      </c>
      <c r="H375" s="319" t="n"/>
      <c r="I375" s="320" t="n"/>
      <c r="J375" s="116" t="inlineStr">
        <is>
          <t>箱柜尺寸:</t>
        </is>
      </c>
      <c r="K375" s="117" t="inlineStr">
        <is>
          <t>700W*1000D*2200H</t>
        </is>
      </c>
      <c r="L375" s="116" t="inlineStr">
        <is>
          <t>类别:</t>
        </is>
      </c>
      <c r="M375" s="117" t="n"/>
      <c r="N375" s="321" t="n"/>
      <c r="Q375" s="144" t="n"/>
      <c r="R375" s="144" t="n"/>
      <c r="S375" s="144" t="n"/>
      <c r="T375" s="144" t="n"/>
      <c r="U375" s="144" t="n"/>
      <c r="X375" s="146" t="n"/>
    </row>
    <row r="376" ht="20.1" customFormat="1" customHeight="1" s="145">
      <c r="A376" s="13" t="inlineStr">
        <is>
          <t>序号</t>
        </is>
      </c>
      <c r="B376" s="73" t="inlineStr">
        <is>
          <t>元件名称</t>
        </is>
      </c>
      <c r="C376" s="73" t="inlineStr">
        <is>
          <t>型号规格</t>
        </is>
      </c>
      <c r="D376" s="74" t="inlineStr">
        <is>
          <t>生产厂家</t>
        </is>
      </c>
      <c r="E376" s="15" t="inlineStr">
        <is>
          <t>单位</t>
        </is>
      </c>
      <c r="F376" s="15" t="inlineStr">
        <is>
          <t>数量</t>
        </is>
      </c>
      <c r="G376" s="287" t="inlineStr">
        <is>
          <t>单   价</t>
        </is>
      </c>
      <c r="H376" s="256" t="inlineStr">
        <is>
          <t>总   价</t>
        </is>
      </c>
      <c r="I376" s="119" t="inlineStr">
        <is>
          <t>备注</t>
        </is>
      </c>
      <c r="J376" s="322" t="inlineStr">
        <is>
          <t>成本单价</t>
        </is>
      </c>
      <c r="K376" s="322" t="inlineStr">
        <is>
          <t>成本总价</t>
        </is>
      </c>
      <c r="L376" s="121" t="inlineStr">
        <is>
          <t>报出
系数</t>
        </is>
      </c>
      <c r="M376" s="322" t="inlineStr">
        <is>
          <t>表价</t>
        </is>
      </c>
      <c r="N376" s="121" t="inlineStr">
        <is>
          <t>折扣
系数</t>
        </is>
      </c>
      <c r="O376" s="122" t="inlineStr">
        <is>
          <t>取费
系数</t>
        </is>
      </c>
      <c r="P376" s="322" t="inlineStr">
        <is>
          <t>成套费</t>
        </is>
      </c>
      <c r="Q376" s="147" t="inlineStr">
        <is>
          <t>类别</t>
        </is>
      </c>
      <c r="R376" s="147" t="inlineStr">
        <is>
          <t>物料编码</t>
        </is>
      </c>
      <c r="S376" s="147" t="inlineStr">
        <is>
          <t>产地</t>
        </is>
      </c>
      <c r="T376" s="147" t="inlineStr">
        <is>
          <t>加工费</t>
        </is>
      </c>
      <c r="U376" s="147" t="inlineStr">
        <is>
          <t>订货号</t>
        </is>
      </c>
      <c r="V376" s="147" t="inlineStr">
        <is>
          <t>人工</t>
        </is>
      </c>
      <c r="W376" s="147" t="inlineStr">
        <is>
          <t>辅料</t>
        </is>
      </c>
      <c r="X376" s="148" t="n"/>
    </row>
    <row r="377" customFormat="1" s="145">
      <c r="A377" s="36">
        <f>ROW()-ROW(A$376)</f>
        <v/>
      </c>
      <c r="B377" s="25" t="inlineStr">
        <is>
          <t>双电源开关ATMT</t>
        </is>
      </c>
      <c r="C377" s="25" t="inlineStr">
        <is>
          <t>ATMT40 H1 3P MIC5.0E 带通讯</t>
        </is>
      </c>
      <c r="D377" s="29" t="inlineStr">
        <is>
          <t>甲供/施耐德万高</t>
        </is>
      </c>
      <c r="E377" s="30" t="inlineStr">
        <is>
          <t>套</t>
        </is>
      </c>
      <c r="F377" s="26" t="n">
        <v>0.33</v>
      </c>
      <c r="G377" s="297">
        <f>IF(AND(B377="",C377=""),"",ROUND(M377*L377*N377,2))</f>
        <v/>
      </c>
      <c r="H377" s="293">
        <f>IF(AND(B377="",C377=""),"",ROUND(F377*G377,2))</f>
        <v/>
      </c>
      <c r="I377" s="91" t="n"/>
      <c r="J377" s="329">
        <f>IF(AND(B377="",C377=""),"",ROUND(M377*N377,2))</f>
        <v/>
      </c>
      <c r="K377" s="330">
        <f>IF(AND(B377="",C377=""),"",ROUND(J377*F377,2))</f>
        <v/>
      </c>
      <c r="L377" s="126" t="n">
        <v>1</v>
      </c>
      <c r="M377" s="331" t="n">
        <v>1e-07</v>
      </c>
      <c r="N377" s="128" t="n">
        <v>0</v>
      </c>
      <c r="O377" s="129">
        <f t="array" ref="O377">IF(AND(B377="",C377=""),"",IF(G377&gt;=20000,0.05,IF(G377&gt;=10000,0.1,IF(G377&gt;=5000,0.2,IF(G377&gt;=1000,0.3,IF(G377&gt;=0,0.4,{0}))))))</f>
        <v/>
      </c>
      <c r="P377" s="332">
        <f>IF(AND(B377="",C377=""),"",ROUND(H377*O377,2))</f>
        <v/>
      </c>
      <c r="Q377" s="327" t="inlineStr">
        <is>
          <t>元件</t>
        </is>
      </c>
      <c r="R377" s="150" t="n"/>
      <c r="S377" s="150" t="n"/>
      <c r="T377" s="150" t="inlineStr">
        <is>
          <t>0</t>
        </is>
      </c>
      <c r="U377" s="150" t="n"/>
      <c r="V377" s="328" t="n"/>
      <c r="W377" s="328" t="n"/>
      <c r="X377" s="152" t="n"/>
    </row>
    <row r="378" customFormat="1" s="145">
      <c r="A378" s="36">
        <f>ROW()-ROW(A$376)</f>
        <v/>
      </c>
      <c r="B378" s="29" t="inlineStr">
        <is>
          <t>测量电流互感器</t>
        </is>
      </c>
      <c r="C378" s="25" t="inlineStr">
        <is>
          <t>SD-0.66-130III-V 4000/5</t>
        </is>
      </c>
      <c r="D378" s="29" t="inlineStr">
        <is>
          <t>杭州桑迪</t>
        </is>
      </c>
      <c r="E378" s="30" t="inlineStr">
        <is>
          <t>只</t>
        </is>
      </c>
      <c r="F378" s="26" t="n">
        <v>6</v>
      </c>
      <c r="G378" s="293">
        <f>IF(AND(B378="",C378=""),"",ROUND(M378*L378*N378,2))</f>
        <v/>
      </c>
      <c r="H378" s="293">
        <f>IF(AND(B378="",C378=""),"",ROUND(F378*G378,2))</f>
        <v/>
      </c>
      <c r="I378" s="91" t="n"/>
      <c r="J378" s="329">
        <f>IF(AND(B378="",C378=""),"",ROUND(M378*N378,2))</f>
        <v/>
      </c>
      <c r="K378" s="330">
        <f>IF(AND(B378="",C378=""),"",ROUND(J378*F378,2))</f>
        <v/>
      </c>
      <c r="L378" s="126" t="n">
        <v>1</v>
      </c>
      <c r="M378" s="331" t="n">
        <v>217.75</v>
      </c>
      <c r="N378" s="128" t="n">
        <v>1</v>
      </c>
      <c r="O378" s="129">
        <f t="array" ref="O378">IF(AND(B378="",C378=""),"",IF(G378&gt;=20000,0.05,IF(G378&gt;=10000,0.1,IF(G378&gt;=5000,0.2,IF(G378&gt;=1000,0.3,IF(G378&gt;=0,0.4,{0}))))))</f>
        <v/>
      </c>
      <c r="P378" s="332">
        <f>IF(AND(B378="",C378=""),"",ROUND(H378*O378,2))</f>
        <v/>
      </c>
      <c r="Q378" s="327" t="inlineStr">
        <is>
          <t>元件</t>
        </is>
      </c>
      <c r="R378" s="150" t="n"/>
      <c r="S378" s="150" t="n"/>
      <c r="T378" s="150" t="inlineStr">
        <is>
          <t>0</t>
        </is>
      </c>
      <c r="U378" s="150" t="n"/>
      <c r="V378" s="328" t="n"/>
      <c r="W378" s="328" t="n"/>
      <c r="X378" s="152" t="n"/>
    </row>
    <row r="379" customFormat="1" s="145">
      <c r="A379" s="36">
        <f>ROW()-ROW(A$376)</f>
        <v/>
      </c>
      <c r="B379" s="25" t="inlineStr">
        <is>
          <t>多功能表</t>
        </is>
      </c>
      <c r="C379" s="25" t="inlineStr">
        <is>
          <t>PM4633</t>
        </is>
      </c>
      <c r="D379" s="25" t="inlineStr">
        <is>
          <t>甲供/施耐德电气</t>
        </is>
      </c>
      <c r="E379" s="30" t="inlineStr">
        <is>
          <t>只</t>
        </is>
      </c>
      <c r="F379" s="26">
        <f>IF(AND(B379="",C379=""),"",1)</f>
        <v/>
      </c>
      <c r="G379" s="293">
        <f>IF(AND(B379="",C379=""),"",ROUND(M379*L379*N379,2))</f>
        <v/>
      </c>
      <c r="H379" s="293">
        <f>IF(AND(B379="",C379=""),"",ROUND(F379*G379,2))</f>
        <v/>
      </c>
      <c r="I379" s="91" t="n"/>
      <c r="J379" s="329">
        <f>IF(AND(B379="",C379=""),"",ROUND(M379*N379,2))</f>
        <v/>
      </c>
      <c r="K379" s="330">
        <f>IF(AND(B379="",C379=""),"",ROUND(J379*F379,2))</f>
        <v/>
      </c>
      <c r="L379" s="126" t="n">
        <v>1</v>
      </c>
      <c r="M379" s="331" t="n">
        <v>1e-07</v>
      </c>
      <c r="N379" s="128" t="n">
        <v>0</v>
      </c>
      <c r="O379" s="129">
        <f t="array" ref="O379">IF(AND(B379="",C379=""),"",IF(G379&gt;=20000,0.05,IF(G379&gt;=10000,0.1,IF(G379&gt;=5000,0.2,IF(G379&gt;=1000,0.3,IF(G379&gt;=0,0.4,{0}))))))</f>
        <v/>
      </c>
      <c r="P379" s="332">
        <f>IF(AND(B379="",C379=""),"",ROUND(H379*O379,2))</f>
        <v/>
      </c>
      <c r="Q379" s="327" t="inlineStr">
        <is>
          <t>元件</t>
        </is>
      </c>
      <c r="R379" s="150" t="n"/>
      <c r="S379" s="150" t="n"/>
      <c r="T379" s="150" t="inlineStr">
        <is>
          <t>0</t>
        </is>
      </c>
      <c r="U379" s="150" t="n"/>
      <c r="V379" s="328" t="n"/>
      <c r="W379" s="328" t="n"/>
      <c r="X379" s="152" t="n"/>
    </row>
    <row r="380" customFormat="1" s="145">
      <c r="A380" s="36">
        <f>ROW()-ROW(A$376)</f>
        <v/>
      </c>
      <c r="B380" s="29" t="inlineStr">
        <is>
          <t>SPD断路器</t>
        </is>
      </c>
      <c r="C380" s="25" t="inlineStr">
        <is>
          <t>iSCB1 25L1 4P</t>
        </is>
      </c>
      <c r="D380" s="29" t="inlineStr">
        <is>
          <t>甲供/施耐德万高</t>
        </is>
      </c>
      <c r="E380" s="30" t="inlineStr">
        <is>
          <t>只</t>
        </is>
      </c>
      <c r="F380" s="30">
        <f>IF(AND(B380="",C380=""),"",1)</f>
        <v/>
      </c>
      <c r="G380" s="297">
        <f>IF(AND(B380="",C380=""),"",ROUND(M380*L380*N380,2))</f>
        <v/>
      </c>
      <c r="H380" s="293">
        <f>IF(AND(B380="",C380=""),"",ROUND(F380*G380,2))</f>
        <v/>
      </c>
      <c r="I380" s="91" t="n"/>
      <c r="J380" s="329">
        <f>IF(AND(B380="",C380=""),"",ROUND(M380*N380,2))</f>
        <v/>
      </c>
      <c r="K380" s="330">
        <f>IF(AND(B380="",C380=""),"",ROUND(J380*F380,2))</f>
        <v/>
      </c>
      <c r="L380" s="126" t="n">
        <v>1</v>
      </c>
      <c r="M380" s="331" t="n">
        <v>1e-07</v>
      </c>
      <c r="N380" s="128" t="n">
        <v>0</v>
      </c>
      <c r="O380" s="129">
        <f t="array" ref="O380">IF(AND(B380="",C380=""),"",IF(G380&gt;=20000,0.05,IF(G380&gt;=10000,0.1,IF(G380&gt;=5000,0.2,IF(G380&gt;=1000,0.3,IF(G380&gt;=0,0.4,{0}))))))</f>
        <v/>
      </c>
      <c r="P380" s="332">
        <f>IF(AND(B380="",C380=""),"",ROUND(H380*O380,2))</f>
        <v/>
      </c>
      <c r="Q380" s="327" t="inlineStr">
        <is>
          <t>元件</t>
        </is>
      </c>
      <c r="R380" s="150" t="n"/>
      <c r="S380" s="150" t="n"/>
      <c r="T380" s="150" t="inlineStr">
        <is>
          <t>0</t>
        </is>
      </c>
      <c r="U380" s="150" t="n"/>
      <c r="V380" s="328" t="n"/>
      <c r="W380" s="328" t="n"/>
      <c r="X380" s="152" t="n"/>
    </row>
    <row r="381" customFormat="1" s="145">
      <c r="A381" s="36">
        <f>ROW()-ROW(A$376)</f>
        <v/>
      </c>
      <c r="B381" s="29" t="inlineStr">
        <is>
          <t>浪涌保护器</t>
        </is>
      </c>
      <c r="C381" s="25" t="inlineStr">
        <is>
          <t>iPRF1 12.5r 3P+N</t>
        </is>
      </c>
      <c r="D381" s="29" t="inlineStr">
        <is>
          <t>甲供/施耐德万高</t>
        </is>
      </c>
      <c r="E381" s="30" t="inlineStr">
        <is>
          <t>只</t>
        </is>
      </c>
      <c r="F381" s="30">
        <f>IF(AND(B381="",C381=""),"",1)</f>
        <v/>
      </c>
      <c r="G381" s="297">
        <f>IF(AND(B381="",C381=""),"",ROUND(M381*L381*N381,2))</f>
        <v/>
      </c>
      <c r="H381" s="293">
        <f>IF(AND(B381="",C381=""),"",ROUND(F381*G381,2))</f>
        <v/>
      </c>
      <c r="I381" s="91" t="n"/>
      <c r="J381" s="329">
        <f>IF(AND(B381="",C381=""),"",ROUND(M381*N381,2))</f>
        <v/>
      </c>
      <c r="K381" s="330">
        <f>IF(AND(B381="",C381=""),"",ROUND(J381*F381,2))</f>
        <v/>
      </c>
      <c r="L381" s="126" t="n">
        <v>1</v>
      </c>
      <c r="M381" s="331" t="n">
        <v>1e-07</v>
      </c>
      <c r="N381" s="128" t="n">
        <v>0</v>
      </c>
      <c r="O381" s="129">
        <f t="array" ref="O381">IF(AND(B381="",C381=""),"",IF(G381&gt;=20000,0.05,IF(G381&gt;=10000,0.1,IF(G381&gt;=5000,0.2,IF(G381&gt;=1000,0.3,IF(G381&gt;=0,0.4,{0}))))))</f>
        <v/>
      </c>
      <c r="P381" s="332">
        <f>IF(AND(B381="",C381=""),"",ROUND(H381*O381,2))</f>
        <v/>
      </c>
      <c r="Q381" s="327" t="inlineStr">
        <is>
          <t>元件</t>
        </is>
      </c>
      <c r="R381" s="150" t="n"/>
      <c r="S381" s="150" t="n"/>
      <c r="T381" s="150" t="inlineStr">
        <is>
          <t>0</t>
        </is>
      </c>
      <c r="U381" s="150" t="n"/>
      <c r="V381" s="328" t="n"/>
      <c r="W381" s="328" t="n"/>
      <c r="X381" s="152" t="n"/>
    </row>
    <row r="382" customFormat="1" s="145">
      <c r="A382" s="36">
        <f>ROW()-ROW(A$376)</f>
        <v/>
      </c>
      <c r="B382" s="29" t="inlineStr">
        <is>
          <t>SP元件</t>
        </is>
      </c>
      <c r="C382" s="25" t="inlineStr">
        <is>
          <t>智能网关 PAS700</t>
        </is>
      </c>
      <c r="D382" s="25" t="inlineStr">
        <is>
          <t>甲供/施耐德电气</t>
        </is>
      </c>
      <c r="E382" s="30" t="inlineStr">
        <is>
          <t>只</t>
        </is>
      </c>
      <c r="F382" s="30">
        <f>IF(AND(B382="",C382=""),"",1)</f>
        <v/>
      </c>
      <c r="G382" s="297">
        <f>IF(AND(B382="",C382=""),"",ROUND(M382*L382*N382,2))</f>
        <v/>
      </c>
      <c r="H382" s="297">
        <f>IF(AND(B382="",C382=""),"",ROUND(F382*G382,2))</f>
        <v/>
      </c>
      <c r="I382" s="135" t="n"/>
      <c r="J382" s="329">
        <f>IF(AND(B382="",C382=""),"",ROUND(M382*N382,2))</f>
        <v/>
      </c>
      <c r="K382" s="330">
        <f>IF(AND(B382="",C382=""),"",ROUND(J382*F382,2))</f>
        <v/>
      </c>
      <c r="L382" s="126" t="n">
        <v>1</v>
      </c>
      <c r="M382" s="331" t="n">
        <v>1e-07</v>
      </c>
      <c r="N382" s="128" t="n">
        <v>0</v>
      </c>
      <c r="O382" s="129">
        <f t="array" ref="O382">IF(AND(B382="",C382=""),"",IF(G382&gt;=20000,0.05,IF(G382&gt;=10000,0.1,IF(G382&gt;=5000,0.2,IF(G382&gt;=1000,0.3,IF(G382&gt;=0,0.4,{0}))))))</f>
        <v/>
      </c>
      <c r="P382" s="332">
        <f>IF(AND(B382="",C382=""),"",ROUND(H382*O382,2))</f>
        <v/>
      </c>
      <c r="Q382" s="327" t="inlineStr">
        <is>
          <t>元件</t>
        </is>
      </c>
      <c r="R382" s="150" t="n"/>
      <c r="S382" s="150" t="n"/>
      <c r="T382" s="150" t="inlineStr">
        <is>
          <t>0</t>
        </is>
      </c>
      <c r="U382" s="150" t="n"/>
      <c r="V382" s="328" t="n"/>
      <c r="W382" s="328" t="n"/>
      <c r="X382" s="152" t="n"/>
    </row>
    <row r="383" customFormat="1" s="145">
      <c r="A383" s="36">
        <f>ROW()-ROW(A$376)</f>
        <v/>
      </c>
      <c r="B383" s="29" t="inlineStr">
        <is>
          <t>SP元件</t>
        </is>
      </c>
      <c r="C383" s="25" t="inlineStr">
        <is>
          <t>POI 站控专家 软件</t>
        </is>
      </c>
      <c r="D383" s="25" t="inlineStr">
        <is>
          <t>甲供/施耐德电气</t>
        </is>
      </c>
      <c r="E383" s="30" t="inlineStr">
        <is>
          <t>只</t>
        </is>
      </c>
      <c r="F383" s="30">
        <f>IF(AND(B383="",C383=""),"",1)</f>
        <v/>
      </c>
      <c r="G383" s="297">
        <f>IF(AND(B383="",C383=""),"",ROUND(M383*L383*N383,2))</f>
        <v/>
      </c>
      <c r="H383" s="297">
        <f>IF(AND(B383="",C383=""),"",ROUND(F383*G383,2))</f>
        <v/>
      </c>
      <c r="I383" s="135" t="n"/>
      <c r="J383" s="329">
        <f>IF(AND(B383="",C383=""),"",ROUND(M383*N383,2))</f>
        <v/>
      </c>
      <c r="K383" s="330">
        <f>IF(AND(B383="",C383=""),"",ROUND(J383*F383,2))</f>
        <v/>
      </c>
      <c r="L383" s="126" t="n">
        <v>1</v>
      </c>
      <c r="M383" s="331" t="n">
        <v>1e-07</v>
      </c>
      <c r="N383" s="128" t="n">
        <v>0</v>
      </c>
      <c r="O383" s="129">
        <f t="array" ref="O383">IF(AND(B383="",C383=""),"",IF(G383&gt;=20000,0.05,IF(G383&gt;=10000,0.1,IF(G383&gt;=5000,0.2,IF(G383&gt;=1000,0.3,IF(G383&gt;=0,0.4,{0}))))))</f>
        <v/>
      </c>
      <c r="P383" s="332">
        <f>IF(AND(B383="",C383=""),"",ROUND(H383*O383,2))</f>
        <v/>
      </c>
      <c r="Q383" s="327" t="inlineStr">
        <is>
          <t>元件</t>
        </is>
      </c>
      <c r="R383" s="150" t="n"/>
      <c r="S383" s="150" t="n"/>
      <c r="T383" s="150" t="inlineStr">
        <is>
          <t>0</t>
        </is>
      </c>
      <c r="U383" s="150" t="n"/>
      <c r="V383" s="328" t="n"/>
      <c r="W383" s="328" t="n"/>
      <c r="X383" s="152" t="n"/>
    </row>
    <row r="384" customFormat="1" s="145">
      <c r="A384" s="36">
        <f>ROW()-ROW(A$376)</f>
        <v/>
      </c>
      <c r="B384" s="29" t="inlineStr">
        <is>
          <t>SP元件</t>
        </is>
      </c>
      <c r="C384" s="25" t="inlineStr">
        <is>
          <t>POI 站控专家 硬件</t>
        </is>
      </c>
      <c r="D384" s="25" t="inlineStr">
        <is>
          <t>甲供/施耐德电气</t>
        </is>
      </c>
      <c r="E384" s="30" t="inlineStr">
        <is>
          <t>只</t>
        </is>
      </c>
      <c r="F384" s="30">
        <f>IF(AND(B384="",C384=""),"",1)</f>
        <v/>
      </c>
      <c r="G384" s="297">
        <f>IF(AND(B384="",C384=""),"",ROUND(M384*L384*N384,2))</f>
        <v/>
      </c>
      <c r="H384" s="297">
        <f>IF(AND(B384="",C384=""),"",ROUND(F384*G384,2))</f>
        <v/>
      </c>
      <c r="I384" s="135" t="n"/>
      <c r="J384" s="329">
        <f>IF(AND(B384="",C384=""),"",ROUND(M384*N384,2))</f>
        <v/>
      </c>
      <c r="K384" s="330">
        <f>IF(AND(B384="",C384=""),"",ROUND(J384*F384,2))</f>
        <v/>
      </c>
      <c r="L384" s="126" t="n">
        <v>1</v>
      </c>
      <c r="M384" s="331" t="n">
        <v>1e-07</v>
      </c>
      <c r="N384" s="128" t="n">
        <v>0</v>
      </c>
      <c r="O384" s="129">
        <f t="array" ref="O384">IF(AND(B384="",C384=""),"",IF(G384&gt;=20000,0.05,IF(G384&gt;=10000,0.1,IF(G384&gt;=5000,0.2,IF(G384&gt;=1000,0.3,IF(G384&gt;=0,0.4,{0}))))))</f>
        <v/>
      </c>
      <c r="P384" s="332">
        <f>IF(AND(B384="",C384=""),"",ROUND(H384*O384,2))</f>
        <v/>
      </c>
      <c r="Q384" s="327" t="inlineStr">
        <is>
          <t>元件</t>
        </is>
      </c>
      <c r="R384" s="150" t="n"/>
      <c r="S384" s="150" t="n"/>
      <c r="T384" s="150" t="inlineStr">
        <is>
          <t>0</t>
        </is>
      </c>
      <c r="U384" s="150" t="n"/>
      <c r="V384" s="328" t="n"/>
      <c r="W384" s="328" t="n"/>
      <c r="X384" s="152" t="n"/>
    </row>
    <row r="385" customFormat="1" s="145">
      <c r="A385" s="36">
        <f>ROW()-ROW(A$376)</f>
        <v/>
      </c>
      <c r="B385" s="29" t="inlineStr">
        <is>
          <t>指示灯</t>
        </is>
      </c>
      <c r="C385" s="29" t="inlineStr">
        <is>
          <t>XA2EVM3LC</t>
        </is>
      </c>
      <c r="D385" s="29" t="inlineStr">
        <is>
          <t>施耐德电气</t>
        </is>
      </c>
      <c r="E385" s="30" t="inlineStr">
        <is>
          <t>只</t>
        </is>
      </c>
      <c r="F385" s="30" t="n">
        <v>1</v>
      </c>
      <c r="G385" s="297">
        <f>IF(AND(B385="",C385=""),"",ROUND(M385*L385*N385,2))</f>
        <v/>
      </c>
      <c r="H385" s="297">
        <f>IF(AND(B385="",C385=""),"",ROUND(F385*G385,2))</f>
        <v/>
      </c>
      <c r="I385" s="136" t="n"/>
      <c r="J385" s="329">
        <f>IF(AND(B385="",C385=""),"",ROUND(M385*N385,2))</f>
        <v/>
      </c>
      <c r="K385" s="330">
        <f>IF(AND(B385="",C385=""),"",ROUND(J385*F385,2))</f>
        <v/>
      </c>
      <c r="L385" s="126" t="n">
        <v>1</v>
      </c>
      <c r="M385" s="331" t="n">
        <v>16.43</v>
      </c>
      <c r="N385" s="137" t="n">
        <v>0.5</v>
      </c>
      <c r="O385" s="138">
        <f t="array" ref="O385">IF(AND(B385="",C385=""),"",IF(G385&gt;=20000,0.05,IF(G385&gt;=10000,0.1,IF(G385&gt;=5000,0.2,IF(G385&gt;=1000,0.3,IF(G385&gt;=0,0.4,{0}))))))</f>
        <v/>
      </c>
      <c r="P385" s="333">
        <f>IF(AND(B385="",C385=""),"",ROUND(H385*O385,2))</f>
        <v/>
      </c>
      <c r="Q385" s="334" t="inlineStr">
        <is>
          <t>元件</t>
        </is>
      </c>
      <c r="R385" s="154" t="n"/>
      <c r="S385" s="154" t="n"/>
      <c r="T385" s="154" t="inlineStr">
        <is>
          <t>0</t>
        </is>
      </c>
      <c r="U385" s="154" t="inlineStr">
        <is>
          <t>XA2EVM3LC</t>
        </is>
      </c>
      <c r="V385" s="335" t="n"/>
      <c r="W385" s="335" t="n"/>
      <c r="X385" s="152" t="n"/>
    </row>
    <row r="386" customFormat="1" s="145">
      <c r="A386" s="36">
        <f>ROW()-ROW(A$376)</f>
        <v/>
      </c>
      <c r="B386" s="29" t="inlineStr">
        <is>
          <t>指示灯</t>
        </is>
      </c>
      <c r="C386" s="25" t="inlineStr">
        <is>
          <t>XA2EVM4LC</t>
        </is>
      </c>
      <c r="D386" s="29" t="inlineStr">
        <is>
          <t>施耐德电气</t>
        </is>
      </c>
      <c r="E386" s="30" t="inlineStr">
        <is>
          <t>只</t>
        </is>
      </c>
      <c r="F386" s="30" t="n">
        <v>1</v>
      </c>
      <c r="G386" s="297">
        <f>IF(AND(B386="",C386=""),"",ROUND(M386*L386*N386,2))</f>
        <v/>
      </c>
      <c r="H386" s="297">
        <f>IF(AND(B386="",C386=""),"",ROUND(F386*G386,2))</f>
        <v/>
      </c>
      <c r="I386" s="136" t="n"/>
      <c r="J386" s="329">
        <f>IF(AND(B386="",C386=""),"",ROUND(M386*N386,2))</f>
        <v/>
      </c>
      <c r="K386" s="330">
        <f>IF(AND(B386="",C386=""),"",ROUND(J386*F386,2))</f>
        <v/>
      </c>
      <c r="L386" s="126" t="n">
        <v>1</v>
      </c>
      <c r="M386" s="331" t="n">
        <v>16.43</v>
      </c>
      <c r="N386" s="137" t="n">
        <v>0.5</v>
      </c>
      <c r="O386" s="138">
        <f t="array" ref="O386">IF(AND(B386="",C386=""),"",IF(G386&gt;=20000,0.05,IF(G386&gt;=10000,0.1,IF(G386&gt;=5000,0.2,IF(G386&gt;=1000,0.3,IF(G386&gt;=0,0.4,{0}))))))</f>
        <v/>
      </c>
      <c r="P386" s="333">
        <f>IF(AND(B386="",C386=""),"",ROUND(H386*O386,2))</f>
        <v/>
      </c>
      <c r="Q386" s="334" t="inlineStr">
        <is>
          <t>元件</t>
        </is>
      </c>
      <c r="R386" s="154" t="n"/>
      <c r="S386" s="154" t="n"/>
      <c r="T386" s="154" t="inlineStr">
        <is>
          <t>0</t>
        </is>
      </c>
      <c r="U386" s="154" t="inlineStr">
        <is>
          <t>XA2EVM4LC</t>
        </is>
      </c>
      <c r="V386" s="335" t="n"/>
      <c r="W386" s="335" t="n"/>
      <c r="X386" s="152" t="n"/>
    </row>
    <row r="387" customFormat="1" s="145">
      <c r="A387" s="36">
        <f>ROW()-ROW(A$376)</f>
        <v/>
      </c>
      <c r="B387" s="29" t="inlineStr">
        <is>
          <t>指示灯</t>
        </is>
      </c>
      <c r="C387" s="29" t="inlineStr">
        <is>
          <t>XA2EVM5LC</t>
        </is>
      </c>
      <c r="D387" s="29" t="inlineStr">
        <is>
          <t>施耐德电气</t>
        </is>
      </c>
      <c r="E387" s="30" t="inlineStr">
        <is>
          <t>只</t>
        </is>
      </c>
      <c r="F387" s="30" t="n">
        <v>1</v>
      </c>
      <c r="G387" s="297">
        <f>IF(AND(B387="",C387=""),"",ROUND(M387*L387*N387,2))</f>
        <v/>
      </c>
      <c r="H387" s="297">
        <f>IF(AND(B387="",C387=""),"",ROUND(F387*G387,2))</f>
        <v/>
      </c>
      <c r="I387" s="136" t="n"/>
      <c r="J387" s="329">
        <f>IF(AND(B387="",C387=""),"",ROUND(M387*N387,2))</f>
        <v/>
      </c>
      <c r="K387" s="330">
        <f>IF(AND(B387="",C387=""),"",ROUND(J387*F387,2))</f>
        <v/>
      </c>
      <c r="L387" s="126" t="n">
        <v>1</v>
      </c>
      <c r="M387" s="331" t="n">
        <v>16.43</v>
      </c>
      <c r="N387" s="137" t="n">
        <v>0.5</v>
      </c>
      <c r="O387" s="138">
        <f t="array" ref="O387">IF(AND(B387="",C387=""),"",IF(G387&gt;=20000,0.05,IF(G387&gt;=10000,0.1,IF(G387&gt;=5000,0.2,IF(G387&gt;=1000,0.3,IF(G387&gt;=0,0.4,{0}))))))</f>
        <v/>
      </c>
      <c r="P387" s="333">
        <f>IF(AND(B387="",C387=""),"",ROUND(H387*O387,2))</f>
        <v/>
      </c>
      <c r="Q387" s="334" t="inlineStr">
        <is>
          <t>元件</t>
        </is>
      </c>
      <c r="R387" s="154" t="n"/>
      <c r="S387" s="154" t="n"/>
      <c r="T387" s="154" t="inlineStr">
        <is>
          <t>0</t>
        </is>
      </c>
      <c r="U387" s="154" t="inlineStr">
        <is>
          <t>XA2EVM5LC</t>
        </is>
      </c>
      <c r="V387" s="335" t="n"/>
      <c r="W387" s="335" t="n"/>
      <c r="X387" s="152" t="n"/>
    </row>
    <row r="388" customFormat="1" s="145">
      <c r="A388" s="36">
        <f>ROW()-ROW(A$376)</f>
        <v/>
      </c>
      <c r="B388" s="29" t="inlineStr">
        <is>
          <t>按钮</t>
        </is>
      </c>
      <c r="C388" s="29" t="inlineStr">
        <is>
          <t>XA2EA31</t>
        </is>
      </c>
      <c r="D388" s="29" t="inlineStr">
        <is>
          <t>施耐德电气</t>
        </is>
      </c>
      <c r="E388" s="30" t="inlineStr">
        <is>
          <t>只</t>
        </is>
      </c>
      <c r="F388" s="30" t="n">
        <v>1</v>
      </c>
      <c r="G388" s="297">
        <f>IF(AND(B388="",C388=""),"",ROUND(M388*L388*N388,2))</f>
        <v/>
      </c>
      <c r="H388" s="297">
        <f>IF(AND(B388="",C388=""),"",ROUND(F388*G388,2))</f>
        <v/>
      </c>
      <c r="I388" s="136" t="n"/>
      <c r="J388" s="329">
        <f>IF(AND(B388="",C388=""),"",ROUND(M388*N388,2))</f>
        <v/>
      </c>
      <c r="K388" s="330">
        <f>IF(AND(B388="",C388=""),"",ROUND(J388*F388,2))</f>
        <v/>
      </c>
      <c r="L388" s="126" t="n">
        <v>1</v>
      </c>
      <c r="M388" s="331" t="n">
        <v>15.55</v>
      </c>
      <c r="N388" s="137" t="n">
        <v>0.5</v>
      </c>
      <c r="O388" s="138">
        <f t="array" ref="O388">IF(AND(B388="",C388=""),"",IF(G388&gt;=20000,0.05,IF(G388&gt;=10000,0.1,IF(G388&gt;=5000,0.2,IF(G388&gt;=1000,0.3,IF(G388&gt;=0,0.4,{0}))))))</f>
        <v/>
      </c>
      <c r="P388" s="333">
        <f>IF(AND(B388="",C388=""),"",ROUND(H388*O388,2))</f>
        <v/>
      </c>
      <c r="Q388" s="334" t="inlineStr">
        <is>
          <t>元件</t>
        </is>
      </c>
      <c r="R388" s="154" t="n"/>
      <c r="S388" s="154" t="n"/>
      <c r="T388" s="154" t="inlineStr">
        <is>
          <t>0</t>
        </is>
      </c>
      <c r="U388" s="154" t="inlineStr">
        <is>
          <t>XA2EA31</t>
        </is>
      </c>
      <c r="V388" s="335" t="n"/>
      <c r="W388" s="335" t="n"/>
      <c r="X388" s="152" t="n"/>
    </row>
    <row r="389" customFormat="1" s="145">
      <c r="A389" s="36">
        <f>ROW()-ROW(A$376)</f>
        <v/>
      </c>
      <c r="B389" s="25" t="inlineStr">
        <is>
          <t>按钮</t>
        </is>
      </c>
      <c r="C389" s="25" t="inlineStr">
        <is>
          <t>XA2EA41</t>
        </is>
      </c>
      <c r="D389" s="25" t="inlineStr">
        <is>
          <t>施耐德电气</t>
        </is>
      </c>
      <c r="E389" s="26" t="inlineStr">
        <is>
          <t>只</t>
        </is>
      </c>
      <c r="F389" s="26" t="n">
        <v>1</v>
      </c>
      <c r="G389" s="293">
        <f>IF(AND(B389="",C389=""),"",ROUND(M389*L389*N389,2))</f>
        <v/>
      </c>
      <c r="H389" s="297">
        <f>IF(AND(B389="",C389=""),"",ROUND(F389*G389,2))</f>
        <v/>
      </c>
      <c r="I389" s="136" t="n"/>
      <c r="J389" s="329">
        <f>IF(AND(B389="",C389=""),"",ROUND(M389*N389,2))</f>
        <v/>
      </c>
      <c r="K389" s="330">
        <f>IF(AND(B389="",C389=""),"",ROUND(J389*F389,2))</f>
        <v/>
      </c>
      <c r="L389" s="126" t="n">
        <v>1</v>
      </c>
      <c r="M389" s="331" t="n">
        <v>15.55</v>
      </c>
      <c r="N389" s="137" t="n">
        <v>0.5</v>
      </c>
      <c r="O389" s="138">
        <f t="array" ref="O389">IF(AND(B389="",C389=""),"",IF(G389&gt;=20000,0.05,IF(G389&gt;=10000,0.1,IF(G389&gt;=5000,0.2,IF(G389&gt;=1000,0.3,IF(G389&gt;=0,0.4,{0}))))))</f>
        <v/>
      </c>
      <c r="P389" s="333">
        <f>IF(AND(B389="",C389=""),"",ROUND(H389*O389,2))</f>
        <v/>
      </c>
      <c r="Q389" s="334" t="inlineStr">
        <is>
          <t>元件</t>
        </is>
      </c>
      <c r="R389" s="154" t="n"/>
      <c r="S389" s="154" t="n"/>
      <c r="T389" s="154" t="inlineStr">
        <is>
          <t>0</t>
        </is>
      </c>
      <c r="U389" s="154" t="inlineStr">
        <is>
          <t>XA2EA41</t>
        </is>
      </c>
      <c r="V389" s="335" t="n"/>
      <c r="W389" s="335" t="n"/>
      <c r="X389" s="152" t="n"/>
    </row>
    <row r="390" customFormat="1" s="145">
      <c r="A390" s="36">
        <f>ROW()-ROW(A$376)</f>
        <v/>
      </c>
      <c r="B390" s="25" t="inlineStr">
        <is>
          <t>熔断器</t>
        </is>
      </c>
      <c r="C390" s="25" t="inlineStr">
        <is>
          <t>UK5-HESI</t>
        </is>
      </c>
      <c r="D390" s="25" t="inlineStr">
        <is>
          <t>菲尼克斯</t>
        </is>
      </c>
      <c r="E390" s="26" t="inlineStr">
        <is>
          <t>只</t>
        </is>
      </c>
      <c r="F390" s="26" t="n">
        <v>4</v>
      </c>
      <c r="G390" s="293">
        <f>IF(AND(B390="",C390=""),"",ROUND(M390*L390*N390,2))</f>
        <v/>
      </c>
      <c r="H390" s="297">
        <f>IF(AND(B390="",C390=""),"",ROUND(F390*G390,2))</f>
        <v/>
      </c>
      <c r="I390" s="136" t="n"/>
      <c r="J390" s="329">
        <f>IF(AND(B390="",C390=""),"",ROUND(M390*N390,2))</f>
        <v/>
      </c>
      <c r="K390" s="330">
        <f>IF(AND(B390="",C390=""),"",ROUND(J390*F390,2))</f>
        <v/>
      </c>
      <c r="L390" s="126" t="n">
        <v>1</v>
      </c>
      <c r="M390" s="331" t="n">
        <v>7</v>
      </c>
      <c r="N390" s="137" t="n">
        <v>1</v>
      </c>
      <c r="O390" s="138">
        <f t="array" ref="O390">IF(AND(B390="",C390=""),"",IF(G390&gt;=20000,0.05,IF(G390&gt;=10000,0.1,IF(G390&gt;=5000,0.2,IF(G390&gt;=1000,0.3,IF(G390&gt;=0,0.4,{0}))))))</f>
        <v/>
      </c>
      <c r="P390" s="333">
        <f>IF(AND(B390="",C390=""),"",ROUND(H390*O390,2))</f>
        <v/>
      </c>
      <c r="Q390" s="334" t="inlineStr">
        <is>
          <t>元件</t>
        </is>
      </c>
      <c r="R390" s="154" t="n"/>
      <c r="S390" s="154" t="n"/>
      <c r="T390" s="154" t="inlineStr">
        <is>
          <t>0</t>
        </is>
      </c>
      <c r="U390" s="154" t="n"/>
      <c r="V390" s="335" t="n"/>
      <c r="W390" s="335" t="n"/>
      <c r="X390" s="152" t="n"/>
    </row>
    <row r="391" customFormat="1" s="145">
      <c r="A391" s="36">
        <f>ROW()-ROW(A$376)</f>
        <v/>
      </c>
      <c r="B391" s="25" t="inlineStr">
        <is>
          <t>水平排4000A</t>
        </is>
      </c>
      <c r="C391" s="25" t="inlineStr">
        <is>
          <t>TMY 3*(4*125*5)+2*125*5+2*50*5</t>
        </is>
      </c>
      <c r="D391" s="25" t="inlineStr">
        <is>
          <t>国产优质</t>
        </is>
      </c>
      <c r="E391" s="26" t="inlineStr">
        <is>
          <t>米</t>
        </is>
      </c>
      <c r="F391" s="30" t="n">
        <v>0.7</v>
      </c>
      <c r="G391" s="297">
        <f>IF(AND(B391="",C391=""),"",ROUND(M391*L391*N391,2))</f>
        <v/>
      </c>
      <c r="H391" s="297">
        <f>IF(AND(B391="",C391=""),"",ROUND(F391*G391,2))</f>
        <v/>
      </c>
      <c r="I391" s="135" t="n"/>
      <c r="J391" s="329">
        <f>IF(AND(B391="",C391=""),"",ROUND(M391*N391,2))</f>
        <v/>
      </c>
      <c r="K391" s="330">
        <f>IF(AND(B391="",C391=""),"",ROUND(J391*F391,2))</f>
        <v/>
      </c>
      <c r="L391" s="126" t="n">
        <v>1</v>
      </c>
      <c r="M391" s="331" t="n">
        <v>6895.130375</v>
      </c>
      <c r="N391" s="128" t="n">
        <v>1</v>
      </c>
      <c r="O391" s="129">
        <f t="array" ref="O391">IF(AND(B391="",C391=""),"",IF(G391&gt;=20000,0.05,IF(G391&gt;=10000,0.1,IF(G391&gt;=5000,0.2,IF(G391&gt;=1000,0.3,IF(G391&gt;=0,0.4,{0}))))))</f>
        <v/>
      </c>
      <c r="P391" s="332">
        <f>IF(AND(B391="",C391=""),"",ROUND(H391*O391,2))</f>
        <v/>
      </c>
      <c r="Q391" s="327" t="inlineStr">
        <is>
          <t>母排</t>
        </is>
      </c>
      <c r="R391" s="150" t="n"/>
      <c r="S391" s="150" t="n"/>
      <c r="T391" s="150" t="inlineStr">
        <is>
          <t>0</t>
        </is>
      </c>
      <c r="U391" s="150" t="n"/>
      <c r="V391" s="328" t="n"/>
      <c r="W391" s="328" t="n"/>
      <c r="X391" s="152" t="n"/>
    </row>
    <row r="392" customFormat="1" s="145">
      <c r="A392" s="36">
        <f>ROW()-ROW(A$376)</f>
        <v/>
      </c>
      <c r="B392" s="29" t="inlineStr">
        <is>
          <t>柜内铜排</t>
        </is>
      </c>
      <c r="C392" s="29" t="inlineStr">
        <is>
          <t>TMY</t>
        </is>
      </c>
      <c r="D392" s="25" t="inlineStr">
        <is>
          <t>国产优质</t>
        </is>
      </c>
      <c r="E392" s="26" t="inlineStr">
        <is>
          <t>kg</t>
        </is>
      </c>
      <c r="F392" s="30">
        <f>196.9*1.05</f>
        <v/>
      </c>
      <c r="G392" s="297">
        <f>IF(AND(B392="",C392=""),"",ROUND(M392*L392*N392,2))</f>
        <v/>
      </c>
      <c r="H392" s="297">
        <f>IF(AND(B392="",C392=""),"",ROUND(F392*G392,2))</f>
        <v/>
      </c>
      <c r="I392" s="135" t="n"/>
      <c r="J392" s="329">
        <f>IF(AND(B392="",C392=""),"",ROUND(M392*N392,2))</f>
        <v/>
      </c>
      <c r="K392" s="330">
        <f>IF(AND(B392="",C392=""),"",ROUND(J392*F392,2))</f>
        <v/>
      </c>
      <c r="L392" s="126" t="n">
        <v>1</v>
      </c>
      <c r="M392" s="331" t="n">
        <v>83.755</v>
      </c>
      <c r="N392" s="128" t="n">
        <v>1</v>
      </c>
      <c r="O392" s="129">
        <f t="array" ref="O392">IF(AND(B392="",C392=""),"",IF(G392&gt;=20000,0.05,IF(G392&gt;=10000,0.1,IF(G392&gt;=5000,0.2,IF(G392&gt;=1000,0.3,IF(G392&gt;=0,0.4,{0}))))))</f>
        <v/>
      </c>
      <c r="P392" s="332">
        <f>IF(AND(B392="",C392=""),"",ROUND(H392*O392,2))</f>
        <v/>
      </c>
      <c r="Q392" s="327" t="inlineStr">
        <is>
          <t>母排</t>
        </is>
      </c>
      <c r="R392" s="150" t="n"/>
      <c r="S392" s="150" t="n"/>
      <c r="T392" s="150" t="inlineStr">
        <is>
          <t>0</t>
        </is>
      </c>
      <c r="U392" s="150" t="n"/>
      <c r="V392" s="328" t="n"/>
      <c r="W392" s="328" t="n"/>
      <c r="X392" s="152" t="n"/>
    </row>
    <row r="393" customFormat="1" s="145">
      <c r="A393" s="36">
        <f>ROW()-ROW(A$376)</f>
        <v/>
      </c>
      <c r="B393" s="29" t="inlineStr">
        <is>
          <t>L型端子</t>
        </is>
      </c>
      <c r="C393" s="29" t="inlineStr">
        <is>
          <t>GH100710</t>
        </is>
      </c>
      <c r="D393" s="25" t="inlineStr">
        <is>
          <t>施耐德电气</t>
        </is>
      </c>
      <c r="E393" s="26" t="inlineStr">
        <is>
          <t>个</t>
        </is>
      </c>
      <c r="F393" s="30" t="n">
        <v>3</v>
      </c>
      <c r="G393" s="297">
        <f>IF(AND(B393="",C393=""),"",ROUND(M393*L393*N393,2))</f>
        <v/>
      </c>
      <c r="H393" s="297">
        <f>IF(AND(B393="",C393=""),"",ROUND(F393*G393,2))</f>
        <v/>
      </c>
      <c r="I393" s="135" t="n"/>
      <c r="J393" s="329">
        <f>IF(AND(B393="",C393=""),"",ROUND(M393*N393,2))</f>
        <v/>
      </c>
      <c r="K393" s="330">
        <f>IF(AND(B393="",C393=""),"",ROUND(J393*F393,2))</f>
        <v/>
      </c>
      <c r="L393" s="126" t="n">
        <v>1</v>
      </c>
      <c r="M393" s="331" t="n">
        <v>441</v>
      </c>
      <c r="N393" s="128" t="n">
        <v>1</v>
      </c>
      <c r="O393" s="129">
        <f t="array" ref="O393">IF(AND(B393="",C393=""),"",IF(G393&gt;=20000,0.05,IF(G393&gt;=10000,0.1,IF(G393&gt;=5000,0.2,IF(G393&gt;=1000,0.3,IF(G393&gt;=0,0.4,{0}))))))</f>
        <v/>
      </c>
      <c r="P393" s="332">
        <f>IF(AND(B393="",C393=""),"",ROUND(H393*O393,2))</f>
        <v/>
      </c>
      <c r="Q393" s="327" t="inlineStr">
        <is>
          <t>元件</t>
        </is>
      </c>
      <c r="R393" s="150" t="n"/>
      <c r="S393" s="150" t="n"/>
      <c r="T393" s="150" t="inlineStr">
        <is>
          <t>0</t>
        </is>
      </c>
      <c r="U393" s="150" t="n"/>
      <c r="V393" s="328" t="n"/>
      <c r="W393" s="328" t="n"/>
      <c r="X393" s="152" t="n"/>
    </row>
    <row r="394" customFormat="1" s="145">
      <c r="A394" s="36">
        <f>ROW()-ROW(A$376)</f>
        <v/>
      </c>
      <c r="B394" s="25" t="inlineStr">
        <is>
          <t>导线及辅料</t>
        </is>
      </c>
      <c r="C394" s="25" t="n"/>
      <c r="D394" s="25" t="inlineStr">
        <is>
          <t>国产优质</t>
        </is>
      </c>
      <c r="E394" s="26" t="inlineStr">
        <is>
          <t>套</t>
        </is>
      </c>
      <c r="F394" s="26" t="n">
        <v>1</v>
      </c>
      <c r="G394" s="293">
        <f>IF(AND(B394="",C394=""),"",ROUND(M394*L394*N394,2))</f>
        <v/>
      </c>
      <c r="H394" s="293">
        <f>IF(AND(B394="",C394=""),"",ROUND(F394*G394,2))</f>
        <v/>
      </c>
      <c r="I394" s="164" t="n"/>
      <c r="J394" s="329">
        <f>IF(AND(B394="",C394=""),"",ROUND(M394*N394,2))</f>
        <v/>
      </c>
      <c r="K394" s="330">
        <f>IF(AND(B394="",C394=""),"",ROUND(J394*F394,2))</f>
        <v/>
      </c>
      <c r="L394" s="126" t="n">
        <v>1</v>
      </c>
      <c r="M394" s="331" t="n">
        <v>500</v>
      </c>
      <c r="N394" s="137" t="n">
        <v>1</v>
      </c>
      <c r="O394" s="138">
        <f t="array" ref="O394">IF(AND(B394="",C394=""),"",IF(G394&gt;=20000,0.05,IF(G394&gt;=10000,0.1,IF(G394&gt;=5000,0.2,IF(G394&gt;=1000,0.3,IF(G394&gt;=0,0.4,{0}))))))</f>
        <v/>
      </c>
      <c r="P394" s="333">
        <f>IF(AND(B394="",C394=""),"",ROUND(H394*O394,2))</f>
        <v/>
      </c>
      <c r="Q394" s="334" t="inlineStr">
        <is>
          <t>辅料</t>
        </is>
      </c>
      <c r="R394" s="154" t="n"/>
      <c r="S394" s="154" t="n"/>
      <c r="T394" s="154" t="inlineStr">
        <is>
          <t>0</t>
        </is>
      </c>
      <c r="U394" s="154" t="n"/>
      <c r="V394" s="335" t="n"/>
      <c r="W394" s="335" t="n"/>
      <c r="X394" s="152" t="n"/>
    </row>
    <row r="395" customFormat="1" s="145">
      <c r="A395" s="36">
        <f>ROW()-ROW(A$376)</f>
        <v/>
      </c>
      <c r="B395" s="25" t="inlineStr">
        <is>
          <t>风机</t>
        </is>
      </c>
      <c r="C395" s="25" t="n"/>
      <c r="D395" s="25" t="inlineStr">
        <is>
          <t>KAKU</t>
        </is>
      </c>
      <c r="E395" s="26" t="inlineStr">
        <is>
          <t>套</t>
        </is>
      </c>
      <c r="F395" s="26" t="n">
        <v>4</v>
      </c>
      <c r="G395" s="293">
        <f>IF(AND(B395="",C395=""),"",ROUND(M395*L395*N395,2))</f>
        <v/>
      </c>
      <c r="H395" s="293">
        <f>IF(AND(B395="",C395=""),"",ROUND(F395*G395,2))</f>
        <v/>
      </c>
      <c r="I395" s="164" t="n"/>
      <c r="J395" s="329">
        <f>IF(AND(B395="",C395=""),"",ROUND(M395*N395,2))</f>
        <v/>
      </c>
      <c r="K395" s="330">
        <f>IF(AND(B395="",C395=""),"",ROUND(J395*F395,2))</f>
        <v/>
      </c>
      <c r="L395" s="126">
        <f>IF(AND(B395="",C395=""),"",1)</f>
        <v/>
      </c>
      <c r="M395" s="331" t="n">
        <v>229</v>
      </c>
      <c r="N395" s="137">
        <f>IF(AND(B395="",C395=""),"",1)</f>
        <v/>
      </c>
      <c r="O395" s="138">
        <f t="array" ref="O395">IF(AND(B395="",C395=""),"",IF(G395&gt;=20000,0.05,IF(G395&gt;=10000,0.1,IF(G395&gt;=5000,0.2,IF(G395&gt;=1000,0.3,IF(G395&gt;=0,0.4,{0}))))))</f>
        <v/>
      </c>
      <c r="P395" s="333">
        <f>IF(AND(B395="",C395=""),"",ROUND(H395*O395,2))</f>
        <v/>
      </c>
      <c r="Q395" s="334">
        <f>IF(AND(B395="",C395=""),"","元件")</f>
        <v/>
      </c>
      <c r="R395" s="154" t="n"/>
      <c r="S395" s="154" t="n"/>
      <c r="T395" s="154" t="n"/>
      <c r="U395" s="154" t="n"/>
      <c r="V395" s="335" t="n"/>
      <c r="W395" s="335" t="n"/>
      <c r="X395" s="152" t="n"/>
    </row>
    <row r="396" customFormat="1" s="145">
      <c r="A396" s="36">
        <f>ROW()-ROW(A$376)</f>
        <v/>
      </c>
      <c r="B396" s="25" t="inlineStr">
        <is>
          <t>通风顶盖</t>
        </is>
      </c>
      <c r="C396" s="25" t="n"/>
      <c r="D396" s="25" t="inlineStr">
        <is>
          <t>清科</t>
        </is>
      </c>
      <c r="E396" s="30" t="inlineStr">
        <is>
          <t>台</t>
        </is>
      </c>
      <c r="F396" s="26">
        <f>IF(AND(B396="",C396=""),"",1)</f>
        <v/>
      </c>
      <c r="G396" s="293">
        <f>IF(AND(B396="",C396=""),"",ROUND(M396*L396*N396,2))</f>
        <v/>
      </c>
      <c r="H396" s="293">
        <f>IF(AND(B396="",C396=""),"",ROUND(F396*G396,2))</f>
        <v/>
      </c>
      <c r="I396" s="164" t="n"/>
      <c r="J396" s="329">
        <f>IF(AND(B396="",C396=""),"",ROUND(M396*N396,2))</f>
        <v/>
      </c>
      <c r="K396" s="330">
        <f>IF(AND(B396="",C396=""),"",ROUND(J396*F396,2))</f>
        <v/>
      </c>
      <c r="L396" s="126">
        <f>IF(AND(B396="",C396=""),"",1)</f>
        <v/>
      </c>
      <c r="M396" s="331" t="n">
        <v>138</v>
      </c>
      <c r="N396" s="137">
        <f>IF(AND(B396="",C396=""),"",1)</f>
        <v/>
      </c>
      <c r="O396" s="138">
        <f t="array" ref="O396">IF(AND(B396="",C396=""),"",IF(G396&gt;=20000,0.05,IF(G396&gt;=10000,0.1,IF(G396&gt;=5000,0.2,IF(G396&gt;=1000,0.3,IF(G396&gt;=0,0.4,{0}))))))</f>
        <v/>
      </c>
      <c r="P396" s="333">
        <f>IF(AND(B396="",C396=""),"",ROUND(H396*O396,2))</f>
        <v/>
      </c>
      <c r="Q396" s="334">
        <f>IF(AND(B396="",C396=""),"","元件")</f>
        <v/>
      </c>
      <c r="R396" s="154" t="n"/>
      <c r="S396" s="154" t="n"/>
      <c r="T396" s="154" t="n"/>
      <c r="U396" s="154" t="n"/>
      <c r="V396" s="335" t="n"/>
      <c r="W396" s="335" t="n"/>
      <c r="X396" s="152" t="n"/>
    </row>
    <row r="397" customFormat="1" s="145">
      <c r="A397" s="36">
        <f>ROW()-ROW(A$376)</f>
        <v/>
      </c>
      <c r="B397" s="29" t="inlineStr">
        <is>
          <t>Blokset柜</t>
        </is>
      </c>
      <c r="C397" s="25" t="inlineStr">
        <is>
          <t>700W*1000D*2200H</t>
        </is>
      </c>
      <c r="D397" s="25" t="inlineStr">
        <is>
          <t>清科</t>
        </is>
      </c>
      <c r="E397" s="30" t="inlineStr">
        <is>
          <t>台</t>
        </is>
      </c>
      <c r="F397" s="30" t="n">
        <v>1</v>
      </c>
      <c r="G397" s="297">
        <f>IF(AND(B397="",C397=""),"",ROUND(M397*L397*N397,2))</f>
        <v/>
      </c>
      <c r="H397" s="297">
        <f>IF(AND(B397="",C397=""),"",ROUND(F397*G397,2))</f>
        <v/>
      </c>
      <c r="I397" s="135" t="n"/>
      <c r="J397" s="329">
        <f>IF(AND(B397="",C397=""),"",ROUND(M397*N397,2))</f>
        <v/>
      </c>
      <c r="K397" s="330">
        <f>IF(AND(B397="",C397=""),"",ROUND(J397*F397,2))</f>
        <v/>
      </c>
      <c r="L397" s="126" t="n">
        <v>1</v>
      </c>
      <c r="M397" s="331" t="n">
        <v>4010</v>
      </c>
      <c r="N397" s="137" t="n">
        <v>1</v>
      </c>
      <c r="O397" s="138">
        <f t="array" ref="O397">IF(AND(B397="",C397=""),"",IF(G397&gt;=20000,0.05,IF(G397&gt;=10000,0.1,IF(G397&gt;=5000,0.2,IF(G397&gt;=1000,0.3,IF(G397&gt;=0,0.4,{0}))))))</f>
        <v/>
      </c>
      <c r="P397" s="333">
        <f>IF(AND(B397="",C397=""),"",ROUND(H397*O397,2))</f>
        <v/>
      </c>
      <c r="Q397" s="334" t="inlineStr">
        <is>
          <t>箱体</t>
        </is>
      </c>
      <c r="R397" s="154" t="n"/>
      <c r="S397" s="154" t="n"/>
      <c r="T397" s="154" t="inlineStr">
        <is>
          <t>0</t>
        </is>
      </c>
      <c r="U397" s="154" t="n"/>
      <c r="V397" s="335" t="n"/>
      <c r="W397" s="335" t="n"/>
      <c r="X397" s="152" t="n"/>
    </row>
    <row r="398" customFormat="1" s="145">
      <c r="A398" s="36">
        <f>ROW()-ROW(A$376)</f>
        <v/>
      </c>
      <c r="B398" s="29" t="n"/>
      <c r="C398" s="29" t="n"/>
      <c r="D398" s="29" t="n"/>
      <c r="E398" s="30" t="n"/>
      <c r="F398" s="30">
        <f>IF(AND(B398="",C398=""),"",1)</f>
        <v/>
      </c>
      <c r="G398" s="297">
        <f>IF(AND(B398="",C398=""),"",ROUND(M398*L398*N398,2))</f>
        <v/>
      </c>
      <c r="H398" s="297">
        <f>IF(AND(B398="",C398=""),"",ROUND(F398*G398,2))</f>
        <v/>
      </c>
      <c r="I398" s="135" t="n"/>
      <c r="J398" s="329">
        <f>IF(AND(B398="",C398=""),"",ROUND(M398*N398,2))</f>
        <v/>
      </c>
      <c r="K398" s="330">
        <f>IF(AND(B398="",C398=""),"",ROUND(J398*F398,2))</f>
        <v/>
      </c>
      <c r="L398" s="126">
        <f>IF(AND(B398="",C398=""),"",1)</f>
        <v/>
      </c>
      <c r="M398" s="331" t="n"/>
      <c r="N398" s="128">
        <f>IF(AND(B398="",C398=""),"",1)</f>
        <v/>
      </c>
      <c r="O398" s="129">
        <f t="array" ref="O398">IF(AND(B398="",C398=""),"",IF(G398&gt;=20000,0.05,IF(G398&gt;=10000,0.1,IF(G398&gt;=5000,0.2,IF(G398&gt;=1000,0.3,IF(G398&gt;=0,0.4,{0}))))))</f>
        <v/>
      </c>
      <c r="P398" s="332">
        <f>IF(AND(B398="",C398=""),"",ROUND(H398*O398,2))</f>
        <v/>
      </c>
      <c r="Q398" s="327">
        <f>IF(AND(B398="",C398=""),"","元件")</f>
        <v/>
      </c>
      <c r="R398" s="150" t="n"/>
      <c r="S398" s="150" t="n"/>
      <c r="T398" s="150" t="n"/>
      <c r="U398" s="150" t="n"/>
      <c r="V398" s="328" t="n"/>
      <c r="W398" s="328" t="n"/>
      <c r="X398" s="152" t="n"/>
    </row>
    <row r="399" customFormat="1" s="145">
      <c r="A399" s="36">
        <f>ROW()-ROW(A$376)</f>
        <v/>
      </c>
      <c r="B399" s="29" t="n"/>
      <c r="C399" s="29" t="n"/>
      <c r="D399" s="29" t="n"/>
      <c r="E399" s="30" t="n"/>
      <c r="F399" s="30">
        <f>IF(AND(B399="",C399=""),"",1)</f>
        <v/>
      </c>
      <c r="G399" s="297">
        <f>IF(AND(B399="",C399=""),"",ROUND(M399*L399*N399,2))</f>
        <v/>
      </c>
      <c r="H399" s="297">
        <f>IF(AND(B399="",C399=""),"",ROUND(F399*G399,2))</f>
        <v/>
      </c>
      <c r="I399" s="135" t="n"/>
      <c r="J399" s="329">
        <f>IF(AND(B399="",C399=""),"",ROUND(M399*N399,2))</f>
        <v/>
      </c>
      <c r="K399" s="330">
        <f>IF(AND(B399="",C399=""),"",ROUND(J399*F399,2))</f>
        <v/>
      </c>
      <c r="L399" s="126">
        <f>IF(AND(B399="",C399=""),"",1)</f>
        <v/>
      </c>
      <c r="M399" s="331" t="n"/>
      <c r="N399" s="128">
        <f>IF(AND(B399="",C399=""),"",1)</f>
        <v/>
      </c>
      <c r="O399" s="129">
        <f t="array" ref="O399">IF(AND(B399="",C399=""),"",IF(G399&gt;=20000,0.05,IF(G399&gt;=10000,0.1,IF(G399&gt;=5000,0.2,IF(G399&gt;=1000,0.3,IF(G399&gt;=0,0.4,{0}))))))</f>
        <v/>
      </c>
      <c r="P399" s="332">
        <f>IF(AND(B399="",C399=""),"",ROUND(H399*O399,2))</f>
        <v/>
      </c>
      <c r="Q399" s="327">
        <f>IF(AND(B399="",C399=""),"","元件")</f>
        <v/>
      </c>
      <c r="R399" s="150" t="n"/>
      <c r="S399" s="150" t="n"/>
      <c r="T399" s="150" t="n"/>
      <c r="U399" s="150" t="n"/>
      <c r="V399" s="328" t="n"/>
      <c r="W399" s="328" t="n"/>
      <c r="X399" s="152" t="n"/>
    </row>
    <row r="400" customFormat="1" s="145">
      <c r="A400" s="36">
        <f>ROW()-ROW(A$376)</f>
        <v/>
      </c>
      <c r="B400" s="156" t="inlineStr">
        <is>
          <t>小计</t>
        </is>
      </c>
      <c r="C400" s="157" t="n"/>
      <c r="D400" s="54" t="n"/>
      <c r="E400" s="30" t="n"/>
      <c r="F400" s="30" t="n"/>
      <c r="G400" s="297" t="n"/>
      <c r="H400" s="297">
        <f>ROUND(SUM(H376:INDEX(H:H,ROW()-1)),2)</f>
        <v/>
      </c>
      <c r="I400" s="91" t="n"/>
      <c r="J400" s="329" t="n"/>
      <c r="K400" s="330">
        <f>ROUND(SUM(K376:INDEX(K:K,ROW()-1)),2)</f>
        <v/>
      </c>
      <c r="L400" s="126" t="n"/>
      <c r="M400" s="331" t="n"/>
      <c r="N400" s="128" t="n"/>
      <c r="O400" s="129" t="n"/>
      <c r="P400" s="332" t="n"/>
      <c r="Q400" s="327" t="n"/>
      <c r="R400" s="150" t="n"/>
      <c r="S400" s="150" t="n"/>
      <c r="T400" s="150" t="n"/>
      <c r="U400" s="150" t="n"/>
      <c r="V400" s="328">
        <f t="array" ref="V400">ROUND(SUMPRODUCT(F376:INDEX(F:F,ROW()-1),V376:INDEX(V:V,ROW()-1)),2)</f>
        <v/>
      </c>
      <c r="W400" s="328">
        <f t="array" ref="W400">ROUND(SUMPRODUCT(F376:INDEX(F:F,ROW()-1),W376:INDEX(W:W,ROW()-1)),2)</f>
        <v/>
      </c>
      <c r="X400" s="152" t="n"/>
    </row>
    <row r="401" customFormat="1" s="145">
      <c r="A401" s="36">
        <f>ROW()-ROW(A$376)</f>
        <v/>
      </c>
      <c r="B401" s="156" t="inlineStr">
        <is>
          <t>成套费</t>
        </is>
      </c>
      <c r="C401" s="157" t="n"/>
      <c r="D401" s="54" t="n"/>
      <c r="E401" s="30" t="n"/>
      <c r="F401" s="30" t="n"/>
      <c r="G401" s="297" t="n"/>
      <c r="H401" s="297" t="n">
        <v>944.76</v>
      </c>
      <c r="I401" s="91" t="n"/>
      <c r="J401" s="329" t="n"/>
      <c r="K401" s="330" t="n">
        <v>944.76</v>
      </c>
      <c r="L401" s="126" t="n"/>
      <c r="M401" s="331" t="n"/>
      <c r="N401" s="128" t="n"/>
      <c r="O401" s="129" t="n"/>
      <c r="P401" s="332" t="n"/>
      <c r="Q401" s="327" t="n"/>
      <c r="R401" s="150" t="n"/>
      <c r="S401" s="150" t="n"/>
      <c r="T401" s="150" t="n"/>
      <c r="U401" s="150" t="n"/>
      <c r="V401" s="328" t="n"/>
      <c r="W401" s="328" t="n"/>
      <c r="X401" s="152" t="n"/>
    </row>
    <row r="402" customFormat="1" s="145">
      <c r="A402" s="36">
        <f>ROW()-ROW(A$376)</f>
        <v/>
      </c>
      <c r="B402" s="156" t="n"/>
      <c r="C402" s="157" t="n"/>
      <c r="D402" s="54" t="n"/>
      <c r="E402" s="30" t="n"/>
      <c r="F402" s="30" t="n"/>
      <c r="G402" s="297" t="n"/>
      <c r="H402" s="297" t="n">
        <v>17.26</v>
      </c>
      <c r="I402" s="91" t="n"/>
      <c r="J402" s="329" t="n"/>
      <c r="K402" s="330" t="n"/>
      <c r="L402" s="126" t="n"/>
      <c r="M402" s="331" t="n"/>
      <c r="N402" s="128" t="n"/>
      <c r="O402" s="129" t="n"/>
      <c r="P402" s="332" t="n"/>
      <c r="Q402" s="327" t="n"/>
      <c r="R402" s="150" t="n"/>
      <c r="S402" s="150" t="n"/>
      <c r="T402" s="150" t="n"/>
      <c r="U402" s="150" t="n"/>
      <c r="V402" s="328" t="n"/>
      <c r="W402" s="328" t="n"/>
      <c r="X402" s="152" t="n"/>
    </row>
    <row r="403" customFormat="1" s="145">
      <c r="A403" s="36">
        <f>ROW()-ROW(A$376)</f>
        <v/>
      </c>
      <c r="B403" s="54" t="inlineStr">
        <is>
          <t>单台合计</t>
        </is>
      </c>
      <c r="C403" s="157" t="n"/>
      <c r="D403" s="54" t="n"/>
      <c r="E403" s="30" t="n"/>
      <c r="F403" s="30" t="n"/>
      <c r="G403" s="297" t="n"/>
      <c r="H403" s="297">
        <f>ROUND(SUM(H400:H401),2)</f>
        <v/>
      </c>
      <c r="I403" s="165" t="n"/>
      <c r="J403" s="329" t="n"/>
      <c r="K403" s="330">
        <f>ROUND(SUM(K400:K401),2)</f>
        <v/>
      </c>
      <c r="L403" s="166" t="n"/>
      <c r="M403" s="331" t="n"/>
      <c r="N403" s="167" t="n"/>
      <c r="O403" s="168" t="n"/>
      <c r="P403" s="332" t="n"/>
      <c r="Q403" s="327" t="n"/>
      <c r="R403" s="150" t="n"/>
      <c r="S403" s="150" t="n"/>
      <c r="T403" s="150" t="n"/>
      <c r="U403" s="150" t="n"/>
      <c r="V403" s="328" t="n"/>
      <c r="W403" s="328" t="n"/>
      <c r="X403" s="152" t="n"/>
    </row>
    <row r="404" customFormat="1" s="145">
      <c r="A404" s="158" t="inlineStr">
        <is>
          <t>总计</t>
        </is>
      </c>
      <c r="B404" s="159" t="n"/>
      <c r="C404" s="160" t="n"/>
      <c r="D404" s="161" t="n"/>
      <c r="E404" s="161" t="inlineStr">
        <is>
          <t>台</t>
        </is>
      </c>
      <c r="F404" s="161" t="n">
        <v>1</v>
      </c>
      <c r="G404" s="336">
        <f>ROUND(H403,2)</f>
        <v/>
      </c>
      <c r="H404" s="336">
        <f>ROUND(F404*G404,2)</f>
        <v/>
      </c>
      <c r="I404" s="169" t="n"/>
      <c r="J404" s="337" t="n"/>
      <c r="K404" s="338">
        <f>ROUND(K403*F404,2)</f>
        <v/>
      </c>
      <c r="L404" s="172" t="n"/>
      <c r="M404" s="339" t="n"/>
      <c r="N404" s="174" t="n"/>
      <c r="O404" s="175" t="n"/>
      <c r="P404" s="340" t="n"/>
      <c r="Q404" s="327" t="n"/>
      <c r="R404" s="150" t="n"/>
      <c r="S404" s="150" t="n"/>
      <c r="T404" s="150" t="n"/>
      <c r="U404" s="150" t="n"/>
      <c r="V404" s="328" t="n"/>
      <c r="W404" s="328" t="n"/>
      <c r="X404" s="152" t="n"/>
    </row>
    <row r="405" customFormat="1" s="146">
      <c r="A405" s="3" t="n"/>
      <c r="B405" s="117" t="n"/>
      <c r="C405" s="117" t="n"/>
      <c r="D405" s="117" t="n"/>
      <c r="E405" s="146" t="n"/>
      <c r="F405" s="146" t="n"/>
      <c r="G405" s="146" t="n"/>
      <c r="H405" s="146" t="n"/>
      <c r="Q405" s="144" t="n"/>
      <c r="R405" s="144" t="n"/>
      <c r="S405" s="144" t="n"/>
      <c r="T405" s="144" t="n"/>
      <c r="U405" s="144" t="n"/>
      <c r="X405" s="117" t="n"/>
    </row>
    <row r="406" customFormat="1" s="146">
      <c r="A406" s="3" t="n"/>
      <c r="B406" s="117" t="n"/>
      <c r="C406" s="117" t="n"/>
      <c r="D406" s="117" t="n"/>
      <c r="E406" s="146" t="n"/>
      <c r="F406" s="146" t="n"/>
      <c r="G406" s="146" t="n"/>
      <c r="H406" s="146" t="n"/>
      <c r="Q406" s="144" t="n"/>
      <c r="R406" s="144" t="n"/>
      <c r="S406" s="144" t="n"/>
      <c r="T406" s="144" t="n"/>
      <c r="U406" s="144" t="n"/>
      <c r="X406" s="117" t="n"/>
    </row>
    <row r="407" customFormat="1" s="145">
      <c r="A407" s="63">
        <f>CONCATENATE("报价人：",项目信息!$B$8)</f>
        <v/>
      </c>
      <c r="B407" s="63" t="n"/>
      <c r="C407" s="146" t="n"/>
      <c r="D407" s="146" t="n"/>
      <c r="E407" s="146" t="n"/>
      <c r="F407" s="146" t="n"/>
      <c r="G407" s="146" t="n"/>
      <c r="H407" s="163">
        <f>项目信息!$B$9</f>
        <v/>
      </c>
      <c r="Q407" s="144" t="n"/>
      <c r="R407" s="144" t="n"/>
      <c r="S407" s="144" t="n"/>
      <c r="T407" s="144" t="n"/>
      <c r="U407" s="144" t="n"/>
      <c r="X407" s="148" t="n"/>
    </row>
    <row r="408" customFormat="1" s="145">
      <c r="A408" s="5">
        <f>T(项目信息!$B$22)</f>
        <v/>
      </c>
      <c r="Q408" s="144" t="n"/>
      <c r="R408" s="144" t="n"/>
      <c r="S408" s="144" t="n"/>
      <c r="T408" s="144" t="n"/>
      <c r="U408" s="144" t="n"/>
      <c r="X408" s="145" t="n"/>
    </row>
    <row r="409" customFormat="1" s="145">
      <c r="A409" s="6">
        <f>T(项目信息!$B$23)</f>
        <v/>
      </c>
      <c r="Q409" s="144" t="n"/>
      <c r="R409" s="144" t="n"/>
      <c r="S409" s="144" t="n"/>
      <c r="T409" s="144" t="n"/>
      <c r="U409" s="144" t="n"/>
      <c r="X409" s="145" t="n"/>
    </row>
    <row r="410" customFormat="1" s="145">
      <c r="A410" s="68" t="inlineStr">
        <is>
          <t>成套产品报价明细表</t>
        </is>
      </c>
      <c r="B410" s="318" t="n"/>
      <c r="C410" s="318" t="n"/>
      <c r="D410" s="318" t="n"/>
      <c r="E410" s="318" t="n"/>
      <c r="F410" s="318" t="n"/>
      <c r="G410" s="318" t="n"/>
      <c r="H410" s="318" t="n"/>
      <c r="I410" s="318" t="n"/>
      <c r="Q410" s="144" t="n"/>
      <c r="R410" s="144" t="n"/>
      <c r="S410" s="144" t="n"/>
      <c r="T410" s="144" t="n"/>
      <c r="U410" s="144" t="n"/>
      <c r="X410" s="145" t="n"/>
    </row>
    <row r="411" customFormat="1" s="146">
      <c r="A411" s="69" t="inlineStr">
        <is>
          <t>柜号:</t>
        </is>
      </c>
      <c r="B411" s="70" t="inlineStr">
        <is>
          <t>3D2</t>
        </is>
      </c>
      <c r="C411" s="71" t="inlineStr">
        <is>
          <t>型号:</t>
        </is>
      </c>
      <c r="D411" s="70" t="inlineStr">
        <is>
          <t>Blokset</t>
        </is>
      </c>
      <c r="E411" s="319" t="n"/>
      <c r="F411" s="72" t="inlineStr">
        <is>
          <t>名称:</t>
        </is>
      </c>
      <c r="G411" s="70" t="inlineStr">
        <is>
          <t>电容柜</t>
        </is>
      </c>
      <c r="H411" s="319" t="n"/>
      <c r="I411" s="320" t="n"/>
      <c r="J411" s="116" t="inlineStr">
        <is>
          <t>箱柜尺寸:</t>
        </is>
      </c>
      <c r="K411" s="117" t="inlineStr">
        <is>
          <t>1000W*1000D*2200H</t>
        </is>
      </c>
      <c r="L411" s="116" t="inlineStr">
        <is>
          <t>类别:</t>
        </is>
      </c>
      <c r="M411" s="117" t="n"/>
      <c r="N411" s="321" t="n"/>
      <c r="Q411" s="144" t="n"/>
      <c r="R411" s="144" t="n"/>
      <c r="S411" s="144" t="n"/>
      <c r="T411" s="144" t="n"/>
      <c r="U411" s="144" t="n"/>
      <c r="X411" s="146" t="n"/>
    </row>
    <row r="412" ht="20.1" customFormat="1" customHeight="1" s="145">
      <c r="A412" s="13" t="inlineStr">
        <is>
          <t>序号</t>
        </is>
      </c>
      <c r="B412" s="73" t="inlineStr">
        <is>
          <t>元件名称</t>
        </is>
      </c>
      <c r="C412" s="73" t="inlineStr">
        <is>
          <t>型号规格</t>
        </is>
      </c>
      <c r="D412" s="74" t="inlineStr">
        <is>
          <t>生产厂家</t>
        </is>
      </c>
      <c r="E412" s="15" t="inlineStr">
        <is>
          <t>单位</t>
        </is>
      </c>
      <c r="F412" s="15" t="inlineStr">
        <is>
          <t>数量</t>
        </is>
      </c>
      <c r="G412" s="287" t="inlineStr">
        <is>
          <t>单   价</t>
        </is>
      </c>
      <c r="H412" s="256" t="inlineStr">
        <is>
          <t>总   价</t>
        </is>
      </c>
      <c r="I412" s="119" t="inlineStr">
        <is>
          <t>备注</t>
        </is>
      </c>
      <c r="J412" s="322" t="inlineStr">
        <is>
          <t>成本单价</t>
        </is>
      </c>
      <c r="K412" s="322" t="inlineStr">
        <is>
          <t>成本总价</t>
        </is>
      </c>
      <c r="L412" s="121" t="inlineStr">
        <is>
          <t>报出
系数</t>
        </is>
      </c>
      <c r="M412" s="322" t="inlineStr">
        <is>
          <t>表价</t>
        </is>
      </c>
      <c r="N412" s="121" t="inlineStr">
        <is>
          <t>折扣
系数</t>
        </is>
      </c>
      <c r="O412" s="122" t="inlineStr">
        <is>
          <t>取费
系数</t>
        </is>
      </c>
      <c r="P412" s="322" t="inlineStr">
        <is>
          <t>成套费</t>
        </is>
      </c>
      <c r="Q412" s="147" t="inlineStr">
        <is>
          <t>类别</t>
        </is>
      </c>
      <c r="R412" s="147" t="inlineStr">
        <is>
          <t>物料编码</t>
        </is>
      </c>
      <c r="S412" s="147" t="inlineStr">
        <is>
          <t>产地</t>
        </is>
      </c>
      <c r="T412" s="147" t="inlineStr">
        <is>
          <t>加工费</t>
        </is>
      </c>
      <c r="U412" s="147" t="inlineStr">
        <is>
          <t>订货号</t>
        </is>
      </c>
      <c r="V412" s="147" t="inlineStr">
        <is>
          <t>人工</t>
        </is>
      </c>
      <c r="W412" s="147" t="inlineStr">
        <is>
          <t>辅料</t>
        </is>
      </c>
      <c r="X412" s="148" t="n"/>
    </row>
    <row r="413" customFormat="1" s="145">
      <c r="A413" s="75">
        <f>ROW()-ROW(A$412)</f>
        <v/>
      </c>
      <c r="B413" s="20" t="inlineStr">
        <is>
          <t>交流塑壳断路器</t>
        </is>
      </c>
      <c r="C413" s="20" t="inlineStr">
        <is>
          <t>NS-800 N 3P Micrologic 5.0 前置接线 (新一代)</t>
        </is>
      </c>
      <c r="D413" s="25" t="inlineStr">
        <is>
          <t>甲供/施耐德电气</t>
        </is>
      </c>
      <c r="E413" s="21" t="inlineStr">
        <is>
          <t>只</t>
        </is>
      </c>
      <c r="F413" s="21" t="n">
        <v>1</v>
      </c>
      <c r="G413" s="289">
        <f>IF(AND(B413="",C413=""),"",ROUND(M413*L413*N413,2))</f>
        <v/>
      </c>
      <c r="H413" s="289">
        <f>IF(AND(B413="",C413=""),"",ROUND(F413*G413,2))</f>
        <v/>
      </c>
      <c r="I413" s="123" t="n"/>
      <c r="J413" s="323">
        <f>IF(AND(B413="",C413=""),"",ROUND(M413*N413,2))</f>
        <v/>
      </c>
      <c r="K413" s="324">
        <f>IF(AND(B413="",C413=""),"",ROUND(J413*F413,2))</f>
        <v/>
      </c>
      <c r="L413" s="126" t="n">
        <v>1</v>
      </c>
      <c r="M413" s="325" t="n">
        <v>11199.85</v>
      </c>
      <c r="N413" s="128" t="n">
        <v>0</v>
      </c>
      <c r="O413" s="129">
        <f t="array" ref="O413">IF(AND(B413="",C413=""),"",IF(G413&gt;=20000,0.05,IF(G413&gt;=10000,0.1,IF(G413&gt;=5000,0.2,IF(G413&gt;=1000,0.3,IF(G413&gt;=0,0.4,{0}))))))</f>
        <v/>
      </c>
      <c r="P413" s="326">
        <f>IF(AND(B413="",C413=""),"",ROUND(H413*O413,2))</f>
        <v/>
      </c>
      <c r="Q413" s="327" t="inlineStr">
        <is>
          <t>元件</t>
        </is>
      </c>
      <c r="R413" s="150" t="n"/>
      <c r="S413" s="150" t="n"/>
      <c r="T413" s="150" t="inlineStr">
        <is>
          <t>0</t>
        </is>
      </c>
      <c r="U413" s="150" t="inlineStr">
        <is>
          <t>C080N350FM</t>
        </is>
      </c>
      <c r="V413" s="328" t="n"/>
      <c r="W413" s="328" t="n"/>
      <c r="X413" s="152" t="inlineStr">
        <is>
          <t>NSX630N MIC 5.3B 630 3P P→NSX630N MIC 2.3 630 3P P</t>
        </is>
      </c>
    </row>
    <row r="414" customFormat="1" s="145">
      <c r="A414" s="75">
        <f>ROW()-ROW(A$412)</f>
        <v/>
      </c>
      <c r="B414" s="20" t="inlineStr">
        <is>
          <t>测量电流互感器</t>
        </is>
      </c>
      <c r="C414" s="20" t="inlineStr">
        <is>
          <t>SD-0.66-80II-V 1000/5A</t>
        </is>
      </c>
      <c r="D414" s="20" t="inlineStr">
        <is>
          <t>杭州桑迪</t>
        </is>
      </c>
      <c r="E414" s="21" t="inlineStr">
        <is>
          <t>只</t>
        </is>
      </c>
      <c r="F414" s="21" t="n">
        <v>3</v>
      </c>
      <c r="G414" s="289">
        <f>IF(AND(B414="",C414=""),"",ROUND(M414*L414*N414,2))</f>
        <v/>
      </c>
      <c r="H414" s="289">
        <f>IF(AND(B414="",C414=""),"",ROUND(F414*G414,2))</f>
        <v/>
      </c>
      <c r="I414" s="123" t="n"/>
      <c r="J414" s="323">
        <f>IF(AND(B414="",C414=""),"",ROUND(M414*N414,2))</f>
        <v/>
      </c>
      <c r="K414" s="324">
        <f>IF(AND(B414="",C414=""),"",ROUND(J414*F414,2))</f>
        <v/>
      </c>
      <c r="L414" s="126" t="n">
        <v>1</v>
      </c>
      <c r="M414" s="325" t="n">
        <v>91.65000000000001</v>
      </c>
      <c r="N414" s="128" t="n">
        <v>1</v>
      </c>
      <c r="O414" s="129">
        <f t="array" ref="O414">IF(AND(B414="",C414=""),"",IF(G414&gt;=20000,0.05,IF(G414&gt;=10000,0.1,IF(G414&gt;=5000,0.2,IF(G414&gt;=1000,0.3,IF(G414&gt;=0,0.4,{0}))))))</f>
        <v/>
      </c>
      <c r="P414" s="326">
        <f>IF(AND(B414="",C414=""),"",ROUND(H414*O414,2))</f>
        <v/>
      </c>
      <c r="Q414" s="327" t="inlineStr">
        <is>
          <t>元件</t>
        </is>
      </c>
      <c r="R414" s="150" t="n"/>
      <c r="S414" s="150" t="n"/>
      <c r="T414" s="150" t="inlineStr">
        <is>
          <t>0</t>
        </is>
      </c>
      <c r="U414" s="150" t="n"/>
      <c r="V414" s="328" t="n"/>
      <c r="W414" s="328" t="n"/>
      <c r="X414" s="152" t="n"/>
    </row>
    <row r="415" customFormat="1" s="145">
      <c r="A415" s="36">
        <f>ROW()-ROW(A$412)</f>
        <v/>
      </c>
      <c r="B415" s="25" t="inlineStr">
        <is>
          <t>多功能表</t>
        </is>
      </c>
      <c r="C415" s="25" t="inlineStr">
        <is>
          <t>PM4101</t>
        </is>
      </c>
      <c r="D415" s="25" t="inlineStr">
        <is>
          <t>甲供/施耐德电气</t>
        </is>
      </c>
      <c r="E415" s="30" t="inlineStr">
        <is>
          <t>只</t>
        </is>
      </c>
      <c r="F415" s="26">
        <f>IF(AND(B415="",C415=""),"",1)</f>
        <v/>
      </c>
      <c r="G415" s="293">
        <f>IF(AND(B415="",C415=""),"",ROUND(M415*L415*N415,2))</f>
        <v/>
      </c>
      <c r="H415" s="293">
        <f>IF(AND(B415="",C415=""),"",ROUND(F415*G415,2))</f>
        <v/>
      </c>
      <c r="I415" s="91" t="n"/>
      <c r="J415" s="329">
        <f>IF(AND(B415="",C415=""),"",ROUND(M415*N415,2))</f>
        <v/>
      </c>
      <c r="K415" s="330">
        <f>IF(AND(B415="",C415=""),"",ROUND(J415*F415,2))</f>
        <v/>
      </c>
      <c r="L415" s="126" t="n">
        <v>1</v>
      </c>
      <c r="M415" s="331" t="n">
        <v>1e-07</v>
      </c>
      <c r="N415" s="128" t="n">
        <v>0</v>
      </c>
      <c r="O415" s="129">
        <f t="array" ref="O415">IF(AND(B415="",C415=""),"",IF(G415&gt;=20000,0.05,IF(G415&gt;=10000,0.1,IF(G415&gt;=5000,0.2,IF(G415&gt;=1000,0.3,IF(G415&gt;=0,0.4,{0}))))))</f>
        <v/>
      </c>
      <c r="P415" s="332">
        <f>IF(AND(B415="",C415=""),"",ROUND(H415*O415,2))</f>
        <v/>
      </c>
      <c r="Q415" s="327" t="inlineStr">
        <is>
          <t>元件</t>
        </is>
      </c>
      <c r="R415" s="150" t="n"/>
      <c r="S415" s="150" t="n"/>
      <c r="T415" s="150" t="inlineStr">
        <is>
          <t>0</t>
        </is>
      </c>
      <c r="U415" s="150" t="n"/>
      <c r="V415" s="328" t="n"/>
      <c r="W415" s="328" t="n"/>
      <c r="X415" s="152" t="n"/>
    </row>
    <row r="416" customFormat="1" s="145">
      <c r="A416" s="36">
        <f>ROW()-ROW(A$412)</f>
        <v/>
      </c>
      <c r="B416" s="20" t="inlineStr">
        <is>
          <t>晶闸管投切开关</t>
        </is>
      </c>
      <c r="C416" s="20" t="inlineStr">
        <is>
          <t>NTHY50A40 50kvar 3P 50Hz 400V</t>
        </is>
      </c>
      <c r="D416" s="25" t="inlineStr">
        <is>
          <t>甲供/施耐德电气</t>
        </is>
      </c>
      <c r="E416" s="30" t="inlineStr">
        <is>
          <t>只</t>
        </is>
      </c>
      <c r="F416" s="26" t="n">
        <v>6</v>
      </c>
      <c r="G416" s="293">
        <f>IF(AND(B416="",C416=""),"",ROUND(M416*L416*N416,2))</f>
        <v/>
      </c>
      <c r="H416" s="293">
        <f>IF(AND(B416="",C416=""),"",ROUND(F416*G416,2))</f>
        <v/>
      </c>
      <c r="I416" s="91" t="n"/>
      <c r="J416" s="329">
        <f>IF(AND(B416="",C416=""),"",ROUND(M416*N416,2))</f>
        <v/>
      </c>
      <c r="K416" s="330">
        <f>IF(AND(B416="",C416=""),"",ROUND(J416*F416,2))</f>
        <v/>
      </c>
      <c r="L416" s="126" t="n">
        <v>1</v>
      </c>
      <c r="M416" s="331" t="n">
        <v>1e-07</v>
      </c>
      <c r="N416" s="128" t="n">
        <v>0</v>
      </c>
      <c r="O416" s="129">
        <f t="array" ref="O416">IF(AND(B416="",C416=""),"",IF(G416&gt;=20000,0.05,IF(G416&gt;=10000,0.1,IF(G416&gt;=5000,0.2,IF(G416&gt;=1000,0.3,IF(G416&gt;=0,0.4,{0}))))))</f>
        <v/>
      </c>
      <c r="P416" s="332">
        <f>IF(AND(B416="",C416=""),"",ROUND(H416*O416,2))</f>
        <v/>
      </c>
      <c r="Q416" s="327" t="inlineStr">
        <is>
          <t>元件</t>
        </is>
      </c>
      <c r="R416" s="150" t="n"/>
      <c r="S416" s="150" t="n"/>
      <c r="T416" s="150" t="inlineStr">
        <is>
          <t>0</t>
        </is>
      </c>
      <c r="U416" s="150" t="n"/>
      <c r="V416" s="328" t="n"/>
      <c r="W416" s="328" t="n"/>
      <c r="X416" s="152" t="n"/>
    </row>
    <row r="417" customFormat="1" s="145">
      <c r="A417" s="36">
        <f>ROW()-ROW(A$412)</f>
        <v/>
      </c>
      <c r="B417" s="20" t="inlineStr">
        <is>
          <t>电容器</t>
        </is>
      </c>
      <c r="C417" s="20" t="inlineStr">
        <is>
          <t>Can SDY 25 kvar  -7%</t>
        </is>
      </c>
      <c r="D417" s="25" t="inlineStr">
        <is>
          <t>甲供/施耐德电气</t>
        </is>
      </c>
      <c r="E417" s="30" t="inlineStr">
        <is>
          <t>只</t>
        </is>
      </c>
      <c r="F417" s="26" t="n">
        <v>12</v>
      </c>
      <c r="G417" s="293">
        <f>IF(AND(B417="",C417=""),"",ROUND(M417*L417*N417,2))</f>
        <v/>
      </c>
      <c r="H417" s="293">
        <f>IF(AND(B417="",C417=""),"",ROUND(F417*G417,2))</f>
        <v/>
      </c>
      <c r="I417" s="91" t="n"/>
      <c r="J417" s="329">
        <f>IF(AND(B417="",C417=""),"",ROUND(M417*N417,2))</f>
        <v/>
      </c>
      <c r="K417" s="330">
        <f>IF(AND(B417="",C417=""),"",ROUND(J417*F417,2))</f>
        <v/>
      </c>
      <c r="L417" s="126" t="n">
        <v>1</v>
      </c>
      <c r="M417" s="331" t="n">
        <v>1e-07</v>
      </c>
      <c r="N417" s="128" t="n">
        <v>0</v>
      </c>
      <c r="O417" s="129">
        <f t="array" ref="O417">IF(AND(B417="",C417=""),"",IF(G417&gt;=20000,0.05,IF(G417&gt;=10000,0.1,IF(G417&gt;=5000,0.2,IF(G417&gt;=1000,0.3,IF(G417&gt;=0,0.4,{0}))))))</f>
        <v/>
      </c>
      <c r="P417" s="332">
        <f>IF(AND(B417="",C417=""),"",ROUND(H417*O417,2))</f>
        <v/>
      </c>
      <c r="Q417" s="327" t="inlineStr">
        <is>
          <t>元件</t>
        </is>
      </c>
      <c r="R417" s="150" t="n"/>
      <c r="S417" s="150" t="n"/>
      <c r="T417" s="150" t="inlineStr">
        <is>
          <t>0</t>
        </is>
      </c>
      <c r="U417" s="150" t="n"/>
      <c r="V417" s="328" t="n"/>
      <c r="W417" s="328" t="n"/>
      <c r="X417" s="152" t="n"/>
    </row>
    <row r="418" customFormat="1" s="145">
      <c r="A418" s="36">
        <f>ROW()-ROW(A$412)</f>
        <v/>
      </c>
      <c r="B418" s="20" t="inlineStr">
        <is>
          <t>电抗器</t>
        </is>
      </c>
      <c r="C418" s="20" t="inlineStr">
        <is>
          <t>LVR 7% 50Kvar 400V/50Hz</t>
        </is>
      </c>
      <c r="D418" s="25" t="inlineStr">
        <is>
          <t>甲供/施耐德电气</t>
        </is>
      </c>
      <c r="E418" s="30" t="inlineStr">
        <is>
          <t>只</t>
        </is>
      </c>
      <c r="F418" s="30" t="n">
        <v>6</v>
      </c>
      <c r="G418" s="297">
        <f>IF(AND(B418="",C418=""),"",ROUND(M418*L418*N418,2))</f>
        <v/>
      </c>
      <c r="H418" s="293">
        <f>IF(AND(B418="",C418=""),"",ROUND(F418*G418,2))</f>
        <v/>
      </c>
      <c r="I418" s="91" t="n"/>
      <c r="J418" s="329">
        <f>IF(AND(B418="",C418=""),"",ROUND(M418*N418,2))</f>
        <v/>
      </c>
      <c r="K418" s="330">
        <f>IF(AND(B418="",C418=""),"",ROUND(J418*F418,2))</f>
        <v/>
      </c>
      <c r="L418" s="126" t="n">
        <v>1</v>
      </c>
      <c r="M418" s="331" t="n">
        <v>1e-07</v>
      </c>
      <c r="N418" s="128" t="n">
        <v>0</v>
      </c>
      <c r="O418" s="129">
        <f t="array" ref="O418">IF(AND(B418="",C418=""),"",IF(G418&gt;=20000,0.05,IF(G418&gt;=10000,0.1,IF(G418&gt;=5000,0.2,IF(G418&gt;=1000,0.3,IF(G418&gt;=0,0.4,{0}))))))</f>
        <v/>
      </c>
      <c r="P418" s="332">
        <f>IF(AND(B418="",C418=""),"",ROUND(H418*O418,2))</f>
        <v/>
      </c>
      <c r="Q418" s="327" t="inlineStr">
        <is>
          <t>元件</t>
        </is>
      </c>
      <c r="R418" s="150" t="n"/>
      <c r="S418" s="150" t="n"/>
      <c r="T418" s="150" t="inlineStr">
        <is>
          <t>0</t>
        </is>
      </c>
      <c r="U418" s="150" t="n"/>
      <c r="V418" s="328" t="n"/>
      <c r="W418" s="328" t="n"/>
      <c r="X418" s="152" t="n"/>
    </row>
    <row r="419" customFormat="1" s="145">
      <c r="A419" s="36">
        <f>ROW()-ROW(A$412)</f>
        <v/>
      </c>
      <c r="B419" s="20" t="inlineStr">
        <is>
          <t>SVG</t>
        </is>
      </c>
      <c r="C419" s="20" t="inlineStr">
        <is>
          <t>AccuSine PQU 50kvar 机架式产品组合</t>
        </is>
      </c>
      <c r="D419" s="25" t="inlineStr">
        <is>
          <t>甲供/施耐德电气</t>
        </is>
      </c>
      <c r="E419" s="30" t="inlineStr">
        <is>
          <t>只</t>
        </is>
      </c>
      <c r="F419" s="30">
        <f>IF(AND(B419="",C419=""),"",1)</f>
        <v/>
      </c>
      <c r="G419" s="297">
        <f>IF(AND(B419="",C419=""),"",ROUND(M419*L419*N419,2))</f>
        <v/>
      </c>
      <c r="H419" s="297">
        <f>IF(AND(B419="",C419=""),"",ROUND(F419*G419,2))</f>
        <v/>
      </c>
      <c r="I419" s="135" t="n"/>
      <c r="J419" s="329">
        <f>IF(AND(B419="",C419=""),"",ROUND(M419*N419,2))</f>
        <v/>
      </c>
      <c r="K419" s="330">
        <f>IF(AND(B419="",C419=""),"",ROUND(J419*F419,2))</f>
        <v/>
      </c>
      <c r="L419" s="126" t="n">
        <v>1</v>
      </c>
      <c r="M419" s="331" t="n">
        <v>1e-07</v>
      </c>
      <c r="N419" s="128" t="n">
        <v>0</v>
      </c>
      <c r="O419" s="129">
        <f t="array" ref="O419">IF(AND(B419="",C419=""),"",IF(G419&gt;=20000,0.05,IF(G419&gt;=10000,0.1,IF(G419&gt;=5000,0.2,IF(G419&gt;=1000,0.3,IF(G419&gt;=0,0.4,{0}))))))</f>
        <v/>
      </c>
      <c r="P419" s="332">
        <f>IF(AND(B419="",C419=""),"",ROUND(H419*O419,2))</f>
        <v/>
      </c>
      <c r="Q419" s="327" t="inlineStr">
        <is>
          <t>元件</t>
        </is>
      </c>
      <c r="R419" s="150" t="n"/>
      <c r="S419" s="150" t="n"/>
      <c r="T419" s="150" t="inlineStr">
        <is>
          <t>0</t>
        </is>
      </c>
      <c r="U419" s="150" t="n"/>
      <c r="V419" s="328" t="n"/>
      <c r="W419" s="328" t="n"/>
      <c r="X419" s="152" t="n"/>
    </row>
    <row r="420" customFormat="1" s="145">
      <c r="A420" s="36">
        <f>ROW()-ROW(A$412)</f>
        <v/>
      </c>
      <c r="B420" s="20" t="inlineStr">
        <is>
          <t>熔断器</t>
        </is>
      </c>
      <c r="C420" s="20" t="inlineStr">
        <is>
          <t>NT00 gG 690V/160A+NT00（新底座）</t>
        </is>
      </c>
      <c r="D420" s="29" t="inlineStr">
        <is>
          <t>铭熔</t>
        </is>
      </c>
      <c r="E420" s="30" t="inlineStr">
        <is>
          <t>只</t>
        </is>
      </c>
      <c r="F420" s="30" t="n">
        <v>18</v>
      </c>
      <c r="G420" s="297">
        <f>IF(AND(B420="",C420=""),"",ROUND(M420*L420*N420,2))</f>
        <v/>
      </c>
      <c r="H420" s="297">
        <f>IF(AND(B420="",C420=""),"",ROUND(F420*G420,2))</f>
        <v/>
      </c>
      <c r="I420" s="135" t="n"/>
      <c r="J420" s="329">
        <f>IF(AND(B420="",C420=""),"",ROUND(M420*N420,2))</f>
        <v/>
      </c>
      <c r="K420" s="330">
        <f>IF(AND(B420="",C420=""),"",ROUND(J420*F420,2))</f>
        <v/>
      </c>
      <c r="L420" s="126" t="n">
        <v>1</v>
      </c>
      <c r="M420" s="331" t="n">
        <v>23.8</v>
      </c>
      <c r="N420" s="128" t="n">
        <v>1</v>
      </c>
      <c r="O420" s="129">
        <f t="array" ref="O420">IF(AND(B420="",C420=""),"",IF(G420&gt;=20000,0.05,IF(G420&gt;=10000,0.1,IF(G420&gt;=5000,0.2,IF(G420&gt;=1000,0.3,IF(G420&gt;=0,0.4,{0}))))))</f>
        <v/>
      </c>
      <c r="P420" s="332">
        <f>IF(AND(B420="",C420=""),"",ROUND(H420*O420,2))</f>
        <v/>
      </c>
      <c r="Q420" s="327" t="inlineStr">
        <is>
          <t>元件</t>
        </is>
      </c>
      <c r="R420" s="150" t="n"/>
      <c r="S420" s="150" t="n"/>
      <c r="T420" s="150" t="inlineStr">
        <is>
          <t>0</t>
        </is>
      </c>
      <c r="U420" s="150" t="n"/>
      <c r="V420" s="328" t="n"/>
      <c r="W420" s="328" t="n"/>
      <c r="X420" s="152" t="n"/>
    </row>
    <row r="421" customFormat="1" s="145">
      <c r="A421" s="36">
        <f>ROW()-ROW(A$412)</f>
        <v/>
      </c>
      <c r="B421" s="25" t="inlineStr">
        <is>
          <t>避雷器</t>
        </is>
      </c>
      <c r="C421" s="25" t="inlineStr">
        <is>
          <t>HY1.5W-0.28/1.3 硅胶</t>
        </is>
      </c>
      <c r="D421" s="25" t="inlineStr">
        <is>
          <t>苏州中联</t>
        </is>
      </c>
      <c r="E421" s="26" t="inlineStr">
        <is>
          <t>只</t>
        </is>
      </c>
      <c r="F421" s="26" t="n">
        <v>3</v>
      </c>
      <c r="G421" s="293">
        <f>IF(AND(B421="",C421=""),"",ROUND(M421*L421*N421,2))</f>
        <v/>
      </c>
      <c r="H421" s="297">
        <f>IF(AND(B421="",C421=""),"",ROUND(F421*G421,2))</f>
        <v/>
      </c>
      <c r="I421" s="136" t="n"/>
      <c r="J421" s="329">
        <f>IF(AND(B421="",C421=""),"",ROUND(M421*N421,2))</f>
        <v/>
      </c>
      <c r="K421" s="330">
        <f>IF(AND(B421="",C421=""),"",ROUND(J421*F421,2))</f>
        <v/>
      </c>
      <c r="L421" s="126" t="n">
        <v>1</v>
      </c>
      <c r="M421" s="331" t="n">
        <v>15</v>
      </c>
      <c r="N421" s="137" t="n">
        <v>1</v>
      </c>
      <c r="O421" s="138">
        <f t="array" ref="O421">IF(AND(B421="",C421=""),"",IF(G421&gt;=20000,0.05,IF(G421&gt;=10000,0.1,IF(G421&gt;=5000,0.2,IF(G421&gt;=1000,0.3,IF(G421&gt;=0,0.4,{0}))))))</f>
        <v/>
      </c>
      <c r="P421" s="333">
        <f>IF(AND(B421="",C421=""),"",ROUND(H421*O421,2))</f>
        <v/>
      </c>
      <c r="Q421" s="334" t="inlineStr">
        <is>
          <t>元件</t>
        </is>
      </c>
      <c r="R421" s="154" t="n"/>
      <c r="S421" s="154" t="n"/>
      <c r="T421" s="154" t="inlineStr">
        <is>
          <t>0</t>
        </is>
      </c>
      <c r="U421" s="154" t="n"/>
      <c r="V421" s="335" t="n"/>
      <c r="W421" s="335" t="n"/>
      <c r="X421" s="152" t="n"/>
    </row>
    <row r="422" customFormat="1" s="145">
      <c r="A422" s="36">
        <f>ROW()-ROW(A$412)</f>
        <v/>
      </c>
      <c r="B422" s="25" t="inlineStr">
        <is>
          <t>熔断器</t>
        </is>
      </c>
      <c r="C422" s="25" t="inlineStr">
        <is>
          <t>UK5-HESI</t>
        </is>
      </c>
      <c r="D422" s="25" t="inlineStr">
        <is>
          <t>菲尼克斯</t>
        </is>
      </c>
      <c r="E422" s="26" t="inlineStr">
        <is>
          <t>只</t>
        </is>
      </c>
      <c r="F422" s="26" t="n">
        <v>4</v>
      </c>
      <c r="G422" s="293">
        <f>IF(AND(B422="",C422=""),"",ROUND(M422*L422*N422,2))</f>
        <v/>
      </c>
      <c r="H422" s="297">
        <f>IF(AND(B422="",C422=""),"",ROUND(F422*G422,2))</f>
        <v/>
      </c>
      <c r="I422" s="136" t="n"/>
      <c r="J422" s="329">
        <f>IF(AND(B422="",C422=""),"",ROUND(M422*N422,2))</f>
        <v/>
      </c>
      <c r="K422" s="330">
        <f>IF(AND(B422="",C422=""),"",ROUND(J422*F422,2))</f>
        <v/>
      </c>
      <c r="L422" s="126" t="n">
        <v>1</v>
      </c>
      <c r="M422" s="331" t="n">
        <v>7</v>
      </c>
      <c r="N422" s="137" t="n">
        <v>1</v>
      </c>
      <c r="O422" s="138">
        <f t="array" ref="O422">IF(AND(B422="",C422=""),"",IF(G422&gt;=20000,0.05,IF(G422&gt;=10000,0.1,IF(G422&gt;=5000,0.2,IF(G422&gt;=1000,0.3,IF(G422&gt;=0,0.4,{0}))))))</f>
        <v/>
      </c>
      <c r="P422" s="333">
        <f>IF(AND(B422="",C422=""),"",ROUND(H422*O422,2))</f>
        <v/>
      </c>
      <c r="Q422" s="334" t="inlineStr">
        <is>
          <t>元件</t>
        </is>
      </c>
      <c r="R422" s="154" t="n"/>
      <c r="S422" s="154" t="n"/>
      <c r="T422" s="154" t="inlineStr">
        <is>
          <t>0</t>
        </is>
      </c>
      <c r="U422" s="154" t="n"/>
      <c r="V422" s="335" t="n"/>
      <c r="W422" s="335" t="n"/>
      <c r="X422" s="152" t="n"/>
    </row>
    <row r="423" customFormat="1" s="145">
      <c r="A423" s="36">
        <f>ROW()-ROW(A$412)</f>
        <v/>
      </c>
      <c r="B423" s="25" t="inlineStr">
        <is>
          <t>温控器</t>
        </is>
      </c>
      <c r="C423" s="25" t="inlineStr">
        <is>
          <t>JWT6011F</t>
        </is>
      </c>
      <c r="D423" s="25" t="inlineStr">
        <is>
          <t>上海雷普</t>
        </is>
      </c>
      <c r="E423" s="26" t="inlineStr">
        <is>
          <t>只</t>
        </is>
      </c>
      <c r="F423" s="26">
        <f>IF(AND(B423="",C423=""),"",1)</f>
        <v/>
      </c>
      <c r="G423" s="293">
        <f>IF(AND(B423="",C423=""),"",ROUND(M423*L423*N423,2))</f>
        <v/>
      </c>
      <c r="H423" s="297">
        <f>IF(AND(B423="",C423=""),"",ROUND(F423*G423,2))</f>
        <v/>
      </c>
      <c r="I423" s="136" t="n"/>
      <c r="J423" s="329">
        <f>IF(AND(B423="",C423=""),"",ROUND(M423*N423,2))</f>
        <v/>
      </c>
      <c r="K423" s="330">
        <f>IF(AND(B423="",C423=""),"",ROUND(J423*F423,2))</f>
        <v/>
      </c>
      <c r="L423" s="126">
        <f>IF(AND(B423="",C423=""),"",1)</f>
        <v/>
      </c>
      <c r="M423" s="331" t="n">
        <v>25</v>
      </c>
      <c r="N423" s="137">
        <f>IF(AND(B423="",C423=""),"",1)</f>
        <v/>
      </c>
      <c r="O423" s="138">
        <f t="array" ref="O423">IF(AND(B423="",C423=""),"",IF(G423&gt;=20000,0.05,IF(G423&gt;=10000,0.1,IF(G423&gt;=5000,0.2,IF(G423&gt;=1000,0.3,IF(G423&gt;=0,0.4,{0}))))))</f>
        <v/>
      </c>
      <c r="P423" s="333">
        <f>IF(AND(B423="",C423=""),"",ROUND(H423*O423,2))</f>
        <v/>
      </c>
      <c r="Q423" s="334">
        <f>IF(AND(B423="",C423=""),"","元件")</f>
        <v/>
      </c>
      <c r="R423" s="154" t="n"/>
      <c r="S423" s="154" t="n"/>
      <c r="T423" s="154" t="n"/>
      <c r="U423" s="154" t="n"/>
      <c r="V423" s="335" t="n"/>
      <c r="W423" s="335" t="n"/>
      <c r="X423" s="152" t="n"/>
    </row>
    <row r="424" customFormat="1" s="145">
      <c r="A424" s="36">
        <f>ROW()-ROW(A$412)</f>
        <v/>
      </c>
      <c r="B424" s="25" t="inlineStr">
        <is>
          <t>散热风扇</t>
        </is>
      </c>
      <c r="C424" s="25" t="n"/>
      <c r="D424" s="25" t="inlineStr">
        <is>
          <t>KAKU</t>
        </is>
      </c>
      <c r="E424" s="26" t="inlineStr">
        <is>
          <t>只</t>
        </is>
      </c>
      <c r="F424" s="26" t="n">
        <v>3</v>
      </c>
      <c r="G424" s="293">
        <f>IF(AND(B424="",C424=""),"",ROUND(M424*L424*N424,2))</f>
        <v/>
      </c>
      <c r="H424" s="293">
        <f>IF(AND(B424="",C424=""),"",ROUND(F424*G424,2))</f>
        <v/>
      </c>
      <c r="I424" s="164" t="n"/>
      <c r="J424" s="329">
        <f>IF(AND(B424="",C424=""),"",ROUND(M424*N424,2))</f>
        <v/>
      </c>
      <c r="K424" s="330">
        <f>IF(AND(B424="",C424=""),"",ROUND(J424*F424,2))</f>
        <v/>
      </c>
      <c r="L424" s="126" t="n">
        <v>1</v>
      </c>
      <c r="M424" s="331" t="n">
        <v>175</v>
      </c>
      <c r="N424" s="177" t="n">
        <v>1</v>
      </c>
      <c r="O424" s="178">
        <f t="array" ref="O424">IF(AND(B424="",C424=""),"",IF(G424&gt;=20000,0.05,IF(G424&gt;=10000,0.1,IF(G424&gt;=5000,0.2,IF(G424&gt;=1000,0.3,IF(G424&gt;=0,0.4,{0}))))))</f>
        <v/>
      </c>
      <c r="P424" s="341">
        <f>IF(AND(B424="",C424=""),"",ROUND(H424*O424,2))</f>
        <v/>
      </c>
      <c r="Q424" s="342" t="inlineStr">
        <is>
          <t>元件</t>
        </is>
      </c>
      <c r="R424" s="154" t="n"/>
      <c r="S424" s="154" t="n"/>
      <c r="T424" s="154" t="inlineStr">
        <is>
          <t>0</t>
        </is>
      </c>
      <c r="U424" s="154" t="n"/>
      <c r="V424" s="335" t="n"/>
      <c r="W424" s="335" t="n"/>
      <c r="X424" s="152" t="n"/>
    </row>
    <row r="425" customFormat="1" s="145">
      <c r="A425" s="36">
        <f>ROW()-ROW(A$412)</f>
        <v/>
      </c>
      <c r="B425" s="25" t="inlineStr">
        <is>
          <t>水平排4000A</t>
        </is>
      </c>
      <c r="C425" s="25" t="inlineStr">
        <is>
          <t>TMY 3*(4*125*5)+2*125*5+2*50*5</t>
        </is>
      </c>
      <c r="D425" s="25" t="inlineStr">
        <is>
          <t>国产优质</t>
        </is>
      </c>
      <c r="E425" s="26" t="inlineStr">
        <is>
          <t>米</t>
        </is>
      </c>
      <c r="F425" s="30">
        <f>1+0.5</f>
        <v/>
      </c>
      <c r="G425" s="297">
        <f>IF(AND(B425="",C425=""),"",ROUND(M425*L425*N425,2))</f>
        <v/>
      </c>
      <c r="H425" s="297">
        <f>IF(AND(B425="",C425=""),"",ROUND(F425*G425,2))</f>
        <v/>
      </c>
      <c r="I425" s="135" t="n"/>
      <c r="J425" s="329">
        <f>IF(AND(B425="",C425=""),"",ROUND(M425*N425,2))</f>
        <v/>
      </c>
      <c r="K425" s="330">
        <f>IF(AND(B425="",C425=""),"",ROUND(J425*F425,2))</f>
        <v/>
      </c>
      <c r="L425" s="126" t="n">
        <v>1</v>
      </c>
      <c r="M425" s="331" t="n">
        <v>6895.130375</v>
      </c>
      <c r="N425" s="128" t="n">
        <v>1</v>
      </c>
      <c r="O425" s="129">
        <f t="array" ref="O425">IF(AND(B425="",C425=""),"",IF(G425&gt;=20000,0.05,IF(G425&gt;=10000,0.1,IF(G425&gt;=5000,0.2,IF(G425&gt;=1000,0.3,IF(G425&gt;=0,0.4,{0}))))))</f>
        <v/>
      </c>
      <c r="P425" s="332">
        <f>IF(AND(B425="",C425=""),"",ROUND(H425*O425,2))</f>
        <v/>
      </c>
      <c r="Q425" s="327" t="inlineStr">
        <is>
          <t>母排</t>
        </is>
      </c>
      <c r="R425" s="150" t="n"/>
      <c r="S425" s="150" t="n"/>
      <c r="T425" s="150" t="inlineStr">
        <is>
          <t>0</t>
        </is>
      </c>
      <c r="U425" s="150" t="n"/>
      <c r="V425" s="328" t="n"/>
      <c r="W425" s="328" t="n"/>
      <c r="X425" s="152" t="n"/>
    </row>
    <row r="426" customFormat="1" s="145">
      <c r="A426" s="36">
        <f>ROW()-ROW(A$412)</f>
        <v/>
      </c>
      <c r="B426" s="25" t="inlineStr">
        <is>
          <t>连接铜排</t>
        </is>
      </c>
      <c r="C426" s="25" t="inlineStr">
        <is>
          <t>TMY 1*60*5</t>
        </is>
      </c>
      <c r="D426" s="25" t="inlineStr">
        <is>
          <t>国产优质</t>
        </is>
      </c>
      <c r="E426" s="26" t="inlineStr">
        <is>
          <t>米</t>
        </is>
      </c>
      <c r="F426" s="26" t="n">
        <v>3</v>
      </c>
      <c r="G426" s="293">
        <f>IF(AND(B426="",C426=""),"",ROUND(M426*L426*N426,2))</f>
        <v/>
      </c>
      <c r="H426" s="293">
        <f>IF(AND(B426="",C426=""),"",ROUND(F426*G426,2))</f>
        <v/>
      </c>
      <c r="I426" s="164" t="n"/>
      <c r="J426" s="329">
        <f>IF(AND(B426="",C426=""),"",ROUND(M426*N426,2))</f>
        <v/>
      </c>
      <c r="K426" s="330">
        <f>IF(AND(B426="",C426=""),"",ROUND(J426*F426,2))</f>
        <v/>
      </c>
      <c r="L426" s="126" t="n">
        <v>1</v>
      </c>
      <c r="M426" s="331" t="n">
        <v>223.62585</v>
      </c>
      <c r="N426" s="137" t="n">
        <v>1</v>
      </c>
      <c r="O426" s="138">
        <f t="array" ref="O426">IF(AND(B426="",C426=""),"",IF(G426&gt;=20000,0.05,IF(G426&gt;=10000,0.1,IF(G426&gt;=5000,0.2,IF(G426&gt;=1000,0.3,IF(G426&gt;=0,0.4,{0}))))))</f>
        <v/>
      </c>
      <c r="P426" s="333">
        <f>IF(AND(B426="",C426=""),"",ROUND(H426*O426,2))</f>
        <v/>
      </c>
      <c r="Q426" s="334" t="inlineStr">
        <is>
          <t>母排</t>
        </is>
      </c>
      <c r="R426" s="154" t="n"/>
      <c r="S426" s="154" t="n"/>
      <c r="T426" s="154" t="inlineStr">
        <is>
          <t>0</t>
        </is>
      </c>
      <c r="U426" s="154" t="n"/>
      <c r="V426" s="335" t="n"/>
      <c r="W426" s="335" t="n"/>
      <c r="X426" s="152" t="n"/>
    </row>
    <row r="427" customFormat="1" s="145">
      <c r="A427" s="36">
        <f>ROW()-ROW(A$412)</f>
        <v/>
      </c>
      <c r="B427" s="25" t="inlineStr">
        <is>
          <t>PE排出顶200</t>
        </is>
      </c>
      <c r="C427" s="25" t="inlineStr">
        <is>
          <t>TMY 2*50*5</t>
        </is>
      </c>
      <c r="D427" s="25" t="inlineStr">
        <is>
          <t>国产优质</t>
        </is>
      </c>
      <c r="E427" s="26" t="inlineStr">
        <is>
          <t>米</t>
        </is>
      </c>
      <c r="F427" s="30" t="n">
        <v>2.2</v>
      </c>
      <c r="G427" s="297">
        <f>IF(AND(B427="",C427=""),"",ROUND(M427*L427*N427,2))</f>
        <v/>
      </c>
      <c r="H427" s="297">
        <f>IF(AND(B427="",C427=""),"",ROUND(F427*G427,2))</f>
        <v/>
      </c>
      <c r="I427" s="135" t="n"/>
      <c r="J427" s="329">
        <f>IF(AND(B427="",C427=""),"",ROUND(M427*N427,2))</f>
        <v/>
      </c>
      <c r="K427" s="330">
        <f>IF(AND(B427="",C427=""),"",ROUND(J427*F427,2))</f>
        <v/>
      </c>
      <c r="L427" s="126" t="n">
        <v>1</v>
      </c>
      <c r="M427" s="331" t="n">
        <v>372.70975</v>
      </c>
      <c r="N427" s="128" t="n">
        <v>1</v>
      </c>
      <c r="O427" s="129">
        <f t="array" ref="O427">IF(AND(B427="",C427=""),"",IF(G427&gt;=20000,0.05,IF(G427&gt;=10000,0.1,IF(G427&gt;=5000,0.2,IF(G427&gt;=1000,0.3,IF(G427&gt;=0,0.4,{0}))))))</f>
        <v/>
      </c>
      <c r="P427" s="332">
        <f>IF(AND(B427="",C427=""),"",ROUND(H427*O427,2))</f>
        <v/>
      </c>
      <c r="Q427" s="327" t="inlineStr">
        <is>
          <t>母排</t>
        </is>
      </c>
      <c r="R427" s="150" t="n"/>
      <c r="S427" s="150" t="n"/>
      <c r="T427" s="150" t="inlineStr">
        <is>
          <t>0</t>
        </is>
      </c>
      <c r="U427" s="150" t="n"/>
      <c r="V427" s="328" t="n"/>
      <c r="W427" s="328" t="n"/>
      <c r="X427" s="152" t="n"/>
    </row>
    <row r="428" customFormat="1" s="145">
      <c r="A428" s="36">
        <f>ROW()-ROW(A$412)</f>
        <v/>
      </c>
      <c r="B428" s="25" t="inlineStr">
        <is>
          <t>导线及辅料</t>
        </is>
      </c>
      <c r="C428" s="25" t="n"/>
      <c r="D428" s="25" t="inlineStr">
        <is>
          <t>国产优质</t>
        </is>
      </c>
      <c r="E428" s="26" t="inlineStr">
        <is>
          <t>套</t>
        </is>
      </c>
      <c r="F428" s="26" t="n">
        <v>1</v>
      </c>
      <c r="G428" s="293">
        <f>IF(AND(B428="",C428=""),"",ROUND(M428*L428*N428,2))</f>
        <v/>
      </c>
      <c r="H428" s="293">
        <f>IF(AND(B428="",C428=""),"",ROUND(F428*G428,2))</f>
        <v/>
      </c>
      <c r="I428" s="164" t="n"/>
      <c r="J428" s="329">
        <f>IF(AND(B428="",C428=""),"",ROUND(M428*N428,2))</f>
        <v/>
      </c>
      <c r="K428" s="330">
        <f>IF(AND(B428="",C428=""),"",ROUND(J428*F428,2))</f>
        <v/>
      </c>
      <c r="L428" s="126" t="n">
        <v>1</v>
      </c>
      <c r="M428" s="331" t="n">
        <v>1800</v>
      </c>
      <c r="N428" s="137" t="n">
        <v>1</v>
      </c>
      <c r="O428" s="138">
        <f t="array" ref="O428">IF(AND(B428="",C428=""),"",IF(G428&gt;=20000,0.05,IF(G428&gt;=10000,0.1,IF(G428&gt;=5000,0.2,IF(G428&gt;=1000,0.3,IF(G428&gt;=0,0.4,{0}))))))</f>
        <v/>
      </c>
      <c r="P428" s="333">
        <f>IF(AND(B428="",C428=""),"",ROUND(H428*O428,2))</f>
        <v/>
      </c>
      <c r="Q428" s="334" t="inlineStr">
        <is>
          <t>辅料</t>
        </is>
      </c>
      <c r="R428" s="154" t="n"/>
      <c r="S428" s="154" t="n"/>
      <c r="T428" s="154" t="inlineStr">
        <is>
          <t>0</t>
        </is>
      </c>
      <c r="U428" s="154" t="n"/>
      <c r="V428" s="335" t="n"/>
      <c r="W428" s="335" t="n"/>
      <c r="X428" s="152" t="n"/>
    </row>
    <row r="429" customFormat="1" s="145">
      <c r="A429" s="36">
        <f>ROW()-ROW(A$412)</f>
        <v/>
      </c>
      <c r="B429" s="25" t="inlineStr">
        <is>
          <t>Blokset柜</t>
        </is>
      </c>
      <c r="C429" s="25" t="inlineStr">
        <is>
          <t>1000W*1000D*2200H</t>
        </is>
      </c>
      <c r="D429" s="25" t="inlineStr">
        <is>
          <t>清科</t>
        </is>
      </c>
      <c r="E429" s="26" t="inlineStr">
        <is>
          <t>台</t>
        </is>
      </c>
      <c r="F429" s="26" t="n">
        <v>1</v>
      </c>
      <c r="G429" s="293">
        <f>IF(AND(B429="",C429=""),"",ROUND(M429*L429*N429,2))</f>
        <v/>
      </c>
      <c r="H429" s="293">
        <f>IF(AND(B429="",C429=""),"",ROUND(F429*G429,2))</f>
        <v/>
      </c>
      <c r="I429" s="164" t="n"/>
      <c r="J429" s="329">
        <f>IF(AND(B429="",C429=""),"",ROUND(M429*N429,2))</f>
        <v/>
      </c>
      <c r="K429" s="330">
        <f>IF(AND(B429="",C429=""),"",ROUND(J429*F429,2))</f>
        <v/>
      </c>
      <c r="L429" s="126" t="n">
        <v>1</v>
      </c>
      <c r="M429" s="331" t="n">
        <v>4346</v>
      </c>
      <c r="N429" s="137" t="n">
        <v>1</v>
      </c>
      <c r="O429" s="138">
        <f t="array" ref="O429">IF(AND(B429="",C429=""),"",IF(G429&gt;=20000,0.05,IF(G429&gt;=10000,0.1,IF(G429&gt;=5000,0.2,IF(G429&gt;=1000,0.3,IF(G429&gt;=0,0.4,{0}))))))</f>
        <v/>
      </c>
      <c r="P429" s="333">
        <f>IF(AND(B429="",C429=""),"",ROUND(H429*O429,2))</f>
        <v/>
      </c>
      <c r="Q429" s="334" t="inlineStr">
        <is>
          <t>箱体</t>
        </is>
      </c>
      <c r="R429" s="154" t="n"/>
      <c r="S429" s="154" t="n"/>
      <c r="T429" s="154" t="inlineStr">
        <is>
          <t>0</t>
        </is>
      </c>
      <c r="U429" s="154" t="n"/>
      <c r="V429" s="335" t="n"/>
      <c r="W429" s="335" t="n"/>
      <c r="X429" s="152" t="n"/>
    </row>
    <row r="430" customFormat="1" s="145">
      <c r="A430" s="36">
        <f>ROW()-ROW(A$412)</f>
        <v/>
      </c>
      <c r="B430" s="29" t="n"/>
      <c r="C430" s="25" t="n"/>
      <c r="D430" s="29" t="n"/>
      <c r="E430" s="30" t="n"/>
      <c r="F430" s="30">
        <f>IF(AND(B430="",C430=""),"",1)</f>
        <v/>
      </c>
      <c r="G430" s="297">
        <f>IF(AND(B430="",C430=""),"",ROUND(M430*L430*N430,2))</f>
        <v/>
      </c>
      <c r="H430" s="297">
        <f>IF(AND(B430="",C430=""),"",ROUND(F430*G430,2))</f>
        <v/>
      </c>
      <c r="I430" s="135" t="n"/>
      <c r="J430" s="329">
        <f>IF(AND(B430="",C430=""),"",ROUND(M430*N430,2))</f>
        <v/>
      </c>
      <c r="K430" s="330">
        <f>IF(AND(B430="",C430=""),"",ROUND(J430*F430,2))</f>
        <v/>
      </c>
      <c r="L430" s="126">
        <f>IF(AND(B430="",C430=""),"",1)</f>
        <v/>
      </c>
      <c r="M430" s="331" t="n"/>
      <c r="N430" s="128">
        <f>IF(AND(B430="",C430=""),"",1)</f>
        <v/>
      </c>
      <c r="O430" s="129">
        <f t="array" ref="O430">IF(AND(B430="",C430=""),"",IF(G430&gt;=20000,0.05,IF(G430&gt;=10000,0.1,IF(G430&gt;=5000,0.2,IF(G430&gt;=1000,0.3,IF(G430&gt;=0,0.4,{0}))))))</f>
        <v/>
      </c>
      <c r="P430" s="332">
        <f>IF(AND(B430="",C430=""),"",ROUND(H430*O430,2))</f>
        <v/>
      </c>
      <c r="Q430" s="327">
        <f>IF(AND(B430="",C430=""),"","元件")</f>
        <v/>
      </c>
      <c r="R430" s="150" t="n"/>
      <c r="S430" s="150" t="n"/>
      <c r="T430" s="150" t="n"/>
      <c r="U430" s="150" t="n"/>
      <c r="V430" s="328" t="n"/>
      <c r="W430" s="328" t="n"/>
      <c r="X430" s="152" t="n"/>
    </row>
    <row r="431" customFormat="1" s="145">
      <c r="A431" s="36">
        <f>ROW()-ROW(A$412)</f>
        <v/>
      </c>
      <c r="B431" s="29" t="n"/>
      <c r="C431" s="29" t="n"/>
      <c r="D431" s="29" t="n"/>
      <c r="E431" s="30" t="n"/>
      <c r="F431" s="30">
        <f>IF(AND(B431="",C431=""),"",1)</f>
        <v/>
      </c>
      <c r="G431" s="297">
        <f>IF(AND(B431="",C431=""),"",ROUND(M431*L431*N431,2))</f>
        <v/>
      </c>
      <c r="H431" s="297">
        <f>IF(AND(B431="",C431=""),"",ROUND(F431*G431,2))</f>
        <v/>
      </c>
      <c r="I431" s="135" t="n"/>
      <c r="J431" s="329">
        <f>IF(AND(B431="",C431=""),"",ROUND(M431*N431,2))</f>
        <v/>
      </c>
      <c r="K431" s="330">
        <f>IF(AND(B431="",C431=""),"",ROUND(J431*F431,2))</f>
        <v/>
      </c>
      <c r="L431" s="126">
        <f>IF(AND(B431="",C431=""),"",1)</f>
        <v/>
      </c>
      <c r="M431" s="331" t="n"/>
      <c r="N431" s="128">
        <f>IF(AND(B431="",C431=""),"",1)</f>
        <v/>
      </c>
      <c r="O431" s="129">
        <f t="array" ref="O431">IF(AND(B431="",C431=""),"",IF(G431&gt;=20000,0.05,IF(G431&gt;=10000,0.1,IF(G431&gt;=5000,0.2,IF(G431&gt;=1000,0.3,IF(G431&gt;=0,0.4,{0}))))))</f>
        <v/>
      </c>
      <c r="P431" s="332">
        <f>IF(AND(B431="",C431=""),"",ROUND(H431*O431,2))</f>
        <v/>
      </c>
      <c r="Q431" s="327">
        <f>IF(AND(B431="",C431=""),"","元件")</f>
        <v/>
      </c>
      <c r="R431" s="150" t="n"/>
      <c r="S431" s="150" t="n"/>
      <c r="T431" s="150" t="n"/>
      <c r="U431" s="150" t="n"/>
      <c r="V431" s="328" t="n"/>
      <c r="W431" s="328" t="n"/>
      <c r="X431" s="152" t="n"/>
    </row>
    <row r="432" customFormat="1" s="145">
      <c r="A432" s="36">
        <f>ROW()-ROW(A$412)</f>
        <v/>
      </c>
      <c r="B432" s="156" t="inlineStr">
        <is>
          <t>小计</t>
        </is>
      </c>
      <c r="C432" s="157" t="n"/>
      <c r="D432" s="54" t="n"/>
      <c r="E432" s="30" t="n"/>
      <c r="F432" s="30" t="n"/>
      <c r="G432" s="297" t="n"/>
      <c r="H432" s="297">
        <f>ROUND(SUM(H412:INDEX(H:H,ROW()-1)),2)</f>
        <v/>
      </c>
      <c r="I432" s="91" t="n"/>
      <c r="J432" s="329" t="n"/>
      <c r="K432" s="330">
        <f>ROUND(SUM(K412:INDEX(K:K,ROW()-1)),2)</f>
        <v/>
      </c>
      <c r="L432" s="126" t="n"/>
      <c r="M432" s="331" t="n"/>
      <c r="N432" s="128" t="n"/>
      <c r="O432" s="129" t="n"/>
      <c r="P432" s="332" t="n"/>
      <c r="Q432" s="327" t="n"/>
      <c r="R432" s="150" t="n"/>
      <c r="S432" s="150" t="n"/>
      <c r="T432" s="150" t="n"/>
      <c r="U432" s="150" t="n"/>
      <c r="V432" s="328">
        <f t="array" ref="V432">ROUND(SUMPRODUCT(F412:INDEX(F:F,ROW()-1),V412:INDEX(V:V,ROW()-1)),2)</f>
        <v/>
      </c>
      <c r="W432" s="328">
        <f t="array" ref="W432">ROUND(SUMPRODUCT(F412:INDEX(F:F,ROW()-1),W412:INDEX(W:W,ROW()-1)),2)</f>
        <v/>
      </c>
      <c r="X432" s="152" t="n"/>
    </row>
    <row r="433" customFormat="1" s="145">
      <c r="A433" s="36">
        <f>ROW()-ROW(A$412)</f>
        <v/>
      </c>
      <c r="B433" s="156" t="inlineStr">
        <is>
          <t>成套费</t>
        </is>
      </c>
      <c r="C433" s="157" t="n"/>
      <c r="D433" s="54" t="n"/>
      <c r="E433" s="30" t="n"/>
      <c r="F433" s="30" t="n"/>
      <c r="G433" s="297" t="n"/>
      <c r="H433" s="297" t="n">
        <v>944.76</v>
      </c>
      <c r="I433" s="91" t="n"/>
      <c r="J433" s="329" t="n"/>
      <c r="K433" s="330" t="n">
        <v>944.76</v>
      </c>
      <c r="L433" s="126" t="n"/>
      <c r="M433" s="331" t="n"/>
      <c r="N433" s="128" t="n"/>
      <c r="O433" s="129" t="n"/>
      <c r="P433" s="332" t="n"/>
      <c r="Q433" s="327" t="n"/>
      <c r="R433" s="150" t="n"/>
      <c r="S433" s="150" t="n"/>
      <c r="T433" s="150" t="n"/>
      <c r="U433" s="150" t="n"/>
      <c r="V433" s="328" t="n"/>
      <c r="W433" s="328" t="n"/>
      <c r="X433" s="152" t="n"/>
    </row>
    <row r="434" customFormat="1" s="145">
      <c r="A434" s="36">
        <f>ROW()-ROW(A$412)</f>
        <v/>
      </c>
      <c r="B434" s="156" t="n"/>
      <c r="C434" s="157" t="n"/>
      <c r="D434" s="54" t="n"/>
      <c r="E434" s="30" t="n"/>
      <c r="F434" s="30" t="n"/>
      <c r="G434" s="297" t="n"/>
      <c r="H434" s="297" t="n">
        <v>17.26</v>
      </c>
      <c r="I434" s="91" t="n"/>
      <c r="J434" s="329" t="n"/>
      <c r="K434" s="330" t="n"/>
      <c r="L434" s="126" t="n"/>
      <c r="M434" s="331" t="n"/>
      <c r="N434" s="128" t="n"/>
      <c r="O434" s="129" t="n"/>
      <c r="P434" s="332" t="n"/>
      <c r="Q434" s="327" t="n"/>
      <c r="R434" s="150" t="n"/>
      <c r="S434" s="150" t="n"/>
      <c r="T434" s="150" t="n"/>
      <c r="U434" s="150" t="n"/>
      <c r="V434" s="328" t="n"/>
      <c r="W434" s="328" t="n"/>
      <c r="X434" s="152" t="n"/>
    </row>
    <row r="435" customFormat="1" s="145">
      <c r="A435" s="36">
        <f>ROW()-ROW(A$412)</f>
        <v/>
      </c>
      <c r="B435" s="54" t="inlineStr">
        <is>
          <t>单台合计</t>
        </is>
      </c>
      <c r="C435" s="157" t="n"/>
      <c r="D435" s="54" t="n"/>
      <c r="E435" s="30" t="n"/>
      <c r="F435" s="30" t="n"/>
      <c r="G435" s="297" t="n"/>
      <c r="H435" s="297">
        <f>ROUND(SUM(H432:H433),2)</f>
        <v/>
      </c>
      <c r="I435" s="165" t="n"/>
      <c r="J435" s="329" t="n"/>
      <c r="K435" s="330">
        <f>ROUND(SUM(K432:K433),2)</f>
        <v/>
      </c>
      <c r="L435" s="166" t="n"/>
      <c r="M435" s="331" t="n"/>
      <c r="N435" s="167" t="n"/>
      <c r="O435" s="168" t="n"/>
      <c r="P435" s="332" t="n"/>
      <c r="Q435" s="327" t="n"/>
      <c r="R435" s="150" t="n"/>
      <c r="S435" s="150" t="n"/>
      <c r="T435" s="150" t="n"/>
      <c r="U435" s="150" t="n"/>
      <c r="V435" s="328" t="n"/>
      <c r="W435" s="328" t="n"/>
      <c r="X435" s="152" t="n"/>
    </row>
    <row r="436" customFormat="1" s="145">
      <c r="A436" s="158" t="inlineStr">
        <is>
          <t>总计</t>
        </is>
      </c>
      <c r="B436" s="159" t="n"/>
      <c r="C436" s="160" t="n"/>
      <c r="D436" s="161" t="n"/>
      <c r="E436" s="161" t="inlineStr">
        <is>
          <t>台</t>
        </is>
      </c>
      <c r="F436" s="161" t="n">
        <v>1</v>
      </c>
      <c r="G436" s="336">
        <f>ROUND(H435,2)</f>
        <v/>
      </c>
      <c r="H436" s="336">
        <f>ROUND(F436*G436,2)</f>
        <v/>
      </c>
      <c r="I436" s="169" t="n"/>
      <c r="J436" s="337" t="n"/>
      <c r="K436" s="338">
        <f>ROUND(K435*F436,2)</f>
        <v/>
      </c>
      <c r="L436" s="172" t="n"/>
      <c r="M436" s="339" t="n"/>
      <c r="N436" s="174" t="n"/>
      <c r="O436" s="175" t="n"/>
      <c r="P436" s="340" t="n"/>
      <c r="Q436" s="327" t="n"/>
      <c r="R436" s="150" t="n"/>
      <c r="S436" s="150" t="n"/>
      <c r="T436" s="150" t="n"/>
      <c r="U436" s="150" t="n"/>
      <c r="V436" s="328" t="n"/>
      <c r="W436" s="328" t="n"/>
      <c r="X436" s="152" t="n"/>
    </row>
    <row r="437" customFormat="1" s="146">
      <c r="A437" s="3" t="n"/>
      <c r="B437" s="117" t="n"/>
      <c r="C437" s="117" t="n"/>
      <c r="D437" s="117" t="n"/>
      <c r="E437" s="146" t="n"/>
      <c r="F437" s="146" t="n"/>
      <c r="G437" s="146" t="n"/>
      <c r="H437" s="146" t="n"/>
      <c r="Q437" s="144" t="n"/>
      <c r="R437" s="144" t="n"/>
      <c r="S437" s="144" t="n"/>
      <c r="T437" s="144" t="n"/>
      <c r="U437" s="144" t="n"/>
      <c r="X437" s="117" t="n"/>
    </row>
    <row r="438" customFormat="1" s="146">
      <c r="A438" s="3" t="n"/>
      <c r="B438" s="117" t="n"/>
      <c r="C438" s="117" t="n"/>
      <c r="D438" s="117" t="n"/>
      <c r="E438" s="146" t="n"/>
      <c r="F438" s="146" t="n"/>
      <c r="G438" s="146" t="n"/>
      <c r="H438" s="146" t="n"/>
      <c r="Q438" s="144" t="n"/>
      <c r="R438" s="144" t="n"/>
      <c r="S438" s="144" t="n"/>
      <c r="T438" s="144" t="n"/>
      <c r="U438" s="144" t="n"/>
      <c r="X438" s="117" t="n"/>
    </row>
    <row r="439" customFormat="1" s="145">
      <c r="A439" s="63">
        <f>CONCATENATE("报价人：",项目信息!$B$8)</f>
        <v/>
      </c>
      <c r="B439" s="63" t="n"/>
      <c r="C439" s="146" t="n"/>
      <c r="D439" s="146" t="n"/>
      <c r="E439" s="146" t="n"/>
      <c r="F439" s="146" t="n"/>
      <c r="G439" s="146" t="n"/>
      <c r="H439" s="163">
        <f>项目信息!$B$9</f>
        <v/>
      </c>
      <c r="Q439" s="144" t="n"/>
      <c r="R439" s="144" t="n"/>
      <c r="S439" s="144" t="n"/>
      <c r="T439" s="144" t="n"/>
      <c r="U439" s="144" t="n"/>
      <c r="X439" s="148" t="n"/>
    </row>
    <row r="440" customFormat="1" s="145">
      <c r="A440" s="5">
        <f>T(项目信息!$B$22)</f>
        <v/>
      </c>
      <c r="Q440" s="144" t="n"/>
      <c r="R440" s="144" t="n"/>
      <c r="S440" s="144" t="n"/>
      <c r="T440" s="144" t="n"/>
      <c r="U440" s="144" t="n"/>
      <c r="X440" s="145" t="n"/>
    </row>
    <row r="441" customFormat="1" s="145">
      <c r="A441" s="6">
        <f>T(项目信息!$B$23)</f>
        <v/>
      </c>
      <c r="Q441" s="144" t="n"/>
      <c r="R441" s="144" t="n"/>
      <c r="S441" s="144" t="n"/>
      <c r="T441" s="144" t="n"/>
      <c r="U441" s="144" t="n"/>
      <c r="X441" s="145" t="n"/>
    </row>
    <row r="442" customFormat="1" s="145">
      <c r="A442" s="68" t="inlineStr">
        <is>
          <t>成套产品报价明细表</t>
        </is>
      </c>
      <c r="B442" s="318" t="n"/>
      <c r="C442" s="318" t="n"/>
      <c r="D442" s="318" t="n"/>
      <c r="E442" s="318" t="n"/>
      <c r="F442" s="318" t="n"/>
      <c r="G442" s="318" t="n"/>
      <c r="H442" s="318" t="n"/>
      <c r="I442" s="318" t="n"/>
      <c r="Q442" s="144" t="n"/>
      <c r="R442" s="144" t="n"/>
      <c r="S442" s="144" t="n"/>
      <c r="T442" s="144" t="n"/>
      <c r="U442" s="144" t="n"/>
      <c r="X442" s="145" t="n"/>
    </row>
    <row r="443" customFormat="1" s="146">
      <c r="A443" s="69" t="inlineStr">
        <is>
          <t>柜号:</t>
        </is>
      </c>
      <c r="B443" s="70" t="inlineStr">
        <is>
          <t>3D3 4D3 4D4</t>
        </is>
      </c>
      <c r="C443" s="71" t="inlineStr">
        <is>
          <t>型号:</t>
        </is>
      </c>
      <c r="D443" s="70" t="inlineStr">
        <is>
          <t>Blokset</t>
        </is>
      </c>
      <c r="E443" s="319" t="n"/>
      <c r="F443" s="72" t="inlineStr">
        <is>
          <t>名称:</t>
        </is>
      </c>
      <c r="G443" s="70" t="inlineStr">
        <is>
          <t>电容柜</t>
        </is>
      </c>
      <c r="H443" s="319" t="n"/>
      <c r="I443" s="320" t="n"/>
      <c r="J443" s="116" t="inlineStr">
        <is>
          <t>箱柜尺寸:</t>
        </is>
      </c>
      <c r="K443" s="117" t="inlineStr">
        <is>
          <t>1000W*1000D*2200H</t>
        </is>
      </c>
      <c r="L443" s="116" t="inlineStr">
        <is>
          <t>类别:</t>
        </is>
      </c>
      <c r="M443" s="117" t="n"/>
      <c r="N443" s="321" t="n"/>
      <c r="Q443" s="144" t="n"/>
      <c r="R443" s="144" t="n"/>
      <c r="S443" s="144" t="n"/>
      <c r="T443" s="144" t="n"/>
      <c r="U443" s="144" t="n"/>
      <c r="X443" s="146" t="n"/>
    </row>
    <row r="444" ht="20.1" customFormat="1" customHeight="1" s="145">
      <c r="A444" s="13" t="inlineStr">
        <is>
          <t>序号</t>
        </is>
      </c>
      <c r="B444" s="73" t="inlineStr">
        <is>
          <t>元件名称</t>
        </is>
      </c>
      <c r="C444" s="73" t="inlineStr">
        <is>
          <t>型号规格</t>
        </is>
      </c>
      <c r="D444" s="74" t="inlineStr">
        <is>
          <t>生产厂家</t>
        </is>
      </c>
      <c r="E444" s="15" t="inlineStr">
        <is>
          <t>单位</t>
        </is>
      </c>
      <c r="F444" s="15" t="inlineStr">
        <is>
          <t>数量</t>
        </is>
      </c>
      <c r="G444" s="287" t="inlineStr">
        <is>
          <t>单   价</t>
        </is>
      </c>
      <c r="H444" s="256" t="inlineStr">
        <is>
          <t>总   价</t>
        </is>
      </c>
      <c r="I444" s="119" t="inlineStr">
        <is>
          <t>备注</t>
        </is>
      </c>
      <c r="J444" s="322" t="inlineStr">
        <is>
          <t>成本单价</t>
        </is>
      </c>
      <c r="K444" s="322" t="inlineStr">
        <is>
          <t>成本总价</t>
        </is>
      </c>
      <c r="L444" s="121" t="inlineStr">
        <is>
          <t>报出
系数</t>
        </is>
      </c>
      <c r="M444" s="322" t="inlineStr">
        <is>
          <t>表价</t>
        </is>
      </c>
      <c r="N444" s="121" t="inlineStr">
        <is>
          <t>折扣
系数</t>
        </is>
      </c>
      <c r="O444" s="122" t="inlineStr">
        <is>
          <t>取费
系数</t>
        </is>
      </c>
      <c r="P444" s="322" t="inlineStr">
        <is>
          <t>成套费</t>
        </is>
      </c>
      <c r="Q444" s="147" t="inlineStr">
        <is>
          <t>类别</t>
        </is>
      </c>
      <c r="R444" s="147" t="inlineStr">
        <is>
          <t>物料编码</t>
        </is>
      </c>
      <c r="S444" s="147" t="inlineStr">
        <is>
          <t>产地</t>
        </is>
      </c>
      <c r="T444" s="147" t="inlineStr">
        <is>
          <t>加工费</t>
        </is>
      </c>
      <c r="U444" s="147" t="inlineStr">
        <is>
          <t>订货号</t>
        </is>
      </c>
      <c r="V444" s="147" t="inlineStr">
        <is>
          <t>人工</t>
        </is>
      </c>
      <c r="W444" s="147" t="inlineStr">
        <is>
          <t>辅料</t>
        </is>
      </c>
      <c r="X444" s="148" t="n"/>
    </row>
    <row r="445" customFormat="1" s="145">
      <c r="A445" s="75">
        <f>ROW()-ROW(A$444)</f>
        <v/>
      </c>
      <c r="B445" s="20" t="inlineStr">
        <is>
          <t>交流塑壳断路器</t>
        </is>
      </c>
      <c r="C445" s="20" t="inlineStr">
        <is>
          <t>NS-800 N 3P Micrologic 5.0 前置接线 (新一代)</t>
        </is>
      </c>
      <c r="D445" s="25" t="inlineStr">
        <is>
          <t>甲供/施耐德电气</t>
        </is>
      </c>
      <c r="E445" s="21" t="inlineStr">
        <is>
          <t>只</t>
        </is>
      </c>
      <c r="F445" s="21" t="n">
        <v>1</v>
      </c>
      <c r="G445" s="289">
        <f>IF(AND(B445="",C445=""),"",ROUND(M445*L445*N445,2))</f>
        <v/>
      </c>
      <c r="H445" s="289">
        <f>IF(AND(B445="",C445=""),"",ROUND(F445*G445,2))</f>
        <v/>
      </c>
      <c r="I445" s="123" t="n"/>
      <c r="J445" s="323">
        <f>IF(AND(B445="",C445=""),"",ROUND(M445*N445,2))</f>
        <v/>
      </c>
      <c r="K445" s="324">
        <f>IF(AND(B445="",C445=""),"",ROUND(J445*F445,2))</f>
        <v/>
      </c>
      <c r="L445" s="126" t="n">
        <v>1</v>
      </c>
      <c r="M445" s="325" t="n">
        <v>11199.85</v>
      </c>
      <c r="N445" s="128" t="n">
        <v>0</v>
      </c>
      <c r="O445" s="129">
        <f t="array" ref="O445">IF(AND(B445="",C445=""),"",IF(G445&gt;=20000,0.05,IF(G445&gt;=10000,0.1,IF(G445&gt;=5000,0.2,IF(G445&gt;=1000,0.3,IF(G445&gt;=0,0.4,{0}))))))</f>
        <v/>
      </c>
      <c r="P445" s="326">
        <f>IF(AND(B445="",C445=""),"",ROUND(H445*O445,2))</f>
        <v/>
      </c>
      <c r="Q445" s="327" t="inlineStr">
        <is>
          <t>元件</t>
        </is>
      </c>
      <c r="R445" s="150" t="n"/>
      <c r="S445" s="150" t="n"/>
      <c r="T445" s="150" t="inlineStr">
        <is>
          <t>0</t>
        </is>
      </c>
      <c r="U445" s="150" t="inlineStr">
        <is>
          <t>C080N350FM</t>
        </is>
      </c>
      <c r="V445" s="328" t="n"/>
      <c r="W445" s="328" t="n"/>
      <c r="X445" s="152" t="inlineStr">
        <is>
          <t>NSX630N MIC 5.3B 630 3P P→NSX630N MIC 2.3 630 3P P</t>
        </is>
      </c>
    </row>
    <row r="446" customFormat="1" s="145">
      <c r="A446" s="75">
        <f>ROW()-ROW(A$444)</f>
        <v/>
      </c>
      <c r="B446" s="20" t="inlineStr">
        <is>
          <t>测量电流互感器</t>
        </is>
      </c>
      <c r="C446" s="20" t="inlineStr">
        <is>
          <t>SD-0.66-80II-V 1000/5A</t>
        </is>
      </c>
      <c r="D446" s="20" t="inlineStr">
        <is>
          <t>杭州桑迪</t>
        </is>
      </c>
      <c r="E446" s="21" t="inlineStr">
        <is>
          <t>只</t>
        </is>
      </c>
      <c r="F446" s="21" t="n">
        <v>3</v>
      </c>
      <c r="G446" s="289">
        <f>IF(AND(B446="",C446=""),"",ROUND(M446*L446*N446,2))</f>
        <v/>
      </c>
      <c r="H446" s="289">
        <f>IF(AND(B446="",C446=""),"",ROUND(F446*G446,2))</f>
        <v/>
      </c>
      <c r="I446" s="123" t="n"/>
      <c r="J446" s="323">
        <f>IF(AND(B446="",C446=""),"",ROUND(M446*N446,2))</f>
        <v/>
      </c>
      <c r="K446" s="324">
        <f>IF(AND(B446="",C446=""),"",ROUND(J446*F446,2))</f>
        <v/>
      </c>
      <c r="L446" s="126" t="n">
        <v>1</v>
      </c>
      <c r="M446" s="325" t="n">
        <v>91.65000000000001</v>
      </c>
      <c r="N446" s="128" t="n">
        <v>1</v>
      </c>
      <c r="O446" s="129">
        <f t="array" ref="O446">IF(AND(B446="",C446=""),"",IF(G446&gt;=20000,0.05,IF(G446&gt;=10000,0.1,IF(G446&gt;=5000,0.2,IF(G446&gt;=1000,0.3,IF(G446&gt;=0,0.4,{0}))))))</f>
        <v/>
      </c>
      <c r="P446" s="326">
        <f>IF(AND(B446="",C446=""),"",ROUND(H446*O446,2))</f>
        <v/>
      </c>
      <c r="Q446" s="327" t="inlineStr">
        <is>
          <t>元件</t>
        </is>
      </c>
      <c r="R446" s="150" t="n"/>
      <c r="S446" s="150" t="n"/>
      <c r="T446" s="150" t="inlineStr">
        <is>
          <t>0</t>
        </is>
      </c>
      <c r="U446" s="150" t="n"/>
      <c r="V446" s="328" t="n"/>
      <c r="W446" s="328" t="n"/>
      <c r="X446" s="152" t="n"/>
    </row>
    <row r="447" customFormat="1" s="145">
      <c r="A447" s="36">
        <f>ROW()-ROW(A$444)</f>
        <v/>
      </c>
      <c r="B447" s="25" t="inlineStr">
        <is>
          <t>多功能表</t>
        </is>
      </c>
      <c r="C447" s="25" t="inlineStr">
        <is>
          <t>PM4101</t>
        </is>
      </c>
      <c r="D447" s="25" t="inlineStr">
        <is>
          <t>甲供/施耐德电气</t>
        </is>
      </c>
      <c r="E447" s="30" t="inlineStr">
        <is>
          <t>只</t>
        </is>
      </c>
      <c r="F447" s="26">
        <f>IF(AND(B447="",C447=""),"",1)</f>
        <v/>
      </c>
      <c r="G447" s="293">
        <f>IF(AND(B447="",C447=""),"",ROUND(M447*L447*N447,2))</f>
        <v/>
      </c>
      <c r="H447" s="293">
        <f>IF(AND(B447="",C447=""),"",ROUND(F447*G447,2))</f>
        <v/>
      </c>
      <c r="I447" s="91" t="n"/>
      <c r="J447" s="329">
        <f>IF(AND(B447="",C447=""),"",ROUND(M447*N447,2))</f>
        <v/>
      </c>
      <c r="K447" s="330">
        <f>IF(AND(B447="",C447=""),"",ROUND(J447*F447,2))</f>
        <v/>
      </c>
      <c r="L447" s="126" t="n">
        <v>1</v>
      </c>
      <c r="M447" s="331" t="n">
        <v>1e-07</v>
      </c>
      <c r="N447" s="128" t="n">
        <v>0</v>
      </c>
      <c r="O447" s="129">
        <f t="array" ref="O447">IF(AND(B447="",C447=""),"",IF(G447&gt;=20000,0.05,IF(G447&gt;=10000,0.1,IF(G447&gt;=5000,0.2,IF(G447&gt;=1000,0.3,IF(G447&gt;=0,0.4,{0}))))))</f>
        <v/>
      </c>
      <c r="P447" s="332">
        <f>IF(AND(B447="",C447=""),"",ROUND(H447*O447,2))</f>
        <v/>
      </c>
      <c r="Q447" s="327" t="inlineStr">
        <is>
          <t>元件</t>
        </is>
      </c>
      <c r="R447" s="150" t="n"/>
      <c r="S447" s="150" t="n"/>
      <c r="T447" s="150" t="inlineStr">
        <is>
          <t>0</t>
        </is>
      </c>
      <c r="U447" s="150" t="n"/>
      <c r="V447" s="328" t="n"/>
      <c r="W447" s="328" t="n"/>
      <c r="X447" s="152" t="n"/>
    </row>
    <row r="448" customFormat="1" s="145">
      <c r="A448" s="36">
        <f>ROW()-ROW(A$444)</f>
        <v/>
      </c>
      <c r="B448" s="20" t="inlineStr">
        <is>
          <t>晶闸管投切开关</t>
        </is>
      </c>
      <c r="C448" s="20" t="inlineStr">
        <is>
          <t>NTHY50A40 50kvar 3P 50Hz 400V</t>
        </is>
      </c>
      <c r="D448" s="25" t="inlineStr">
        <is>
          <t>甲供/施耐德电气</t>
        </is>
      </c>
      <c r="E448" s="30" t="inlineStr">
        <is>
          <t>只</t>
        </is>
      </c>
      <c r="F448" s="26" t="n">
        <v>6</v>
      </c>
      <c r="G448" s="293">
        <f>IF(AND(B448="",C448=""),"",ROUND(M448*L448*N448,2))</f>
        <v/>
      </c>
      <c r="H448" s="293">
        <f>IF(AND(B448="",C448=""),"",ROUND(F448*G448,2))</f>
        <v/>
      </c>
      <c r="I448" s="91" t="n"/>
      <c r="J448" s="329">
        <f>IF(AND(B448="",C448=""),"",ROUND(M448*N448,2))</f>
        <v/>
      </c>
      <c r="K448" s="330">
        <f>IF(AND(B448="",C448=""),"",ROUND(J448*F448,2))</f>
        <v/>
      </c>
      <c r="L448" s="126" t="n">
        <v>1</v>
      </c>
      <c r="M448" s="331" t="n">
        <v>1e-07</v>
      </c>
      <c r="N448" s="128" t="n">
        <v>0</v>
      </c>
      <c r="O448" s="129">
        <f t="array" ref="O448">IF(AND(B448="",C448=""),"",IF(G448&gt;=20000,0.05,IF(G448&gt;=10000,0.1,IF(G448&gt;=5000,0.2,IF(G448&gt;=1000,0.3,IF(G448&gt;=0,0.4,{0}))))))</f>
        <v/>
      </c>
      <c r="P448" s="332">
        <f>IF(AND(B448="",C448=""),"",ROUND(H448*O448,2))</f>
        <v/>
      </c>
      <c r="Q448" s="327" t="inlineStr">
        <is>
          <t>元件</t>
        </is>
      </c>
      <c r="R448" s="150" t="n"/>
      <c r="S448" s="150" t="n"/>
      <c r="T448" s="150" t="inlineStr">
        <is>
          <t>0</t>
        </is>
      </c>
      <c r="U448" s="150" t="n"/>
      <c r="V448" s="328" t="n"/>
      <c r="W448" s="328" t="n"/>
      <c r="X448" s="152" t="n"/>
    </row>
    <row r="449" customFormat="1" s="145">
      <c r="A449" s="36">
        <f>ROW()-ROW(A$444)</f>
        <v/>
      </c>
      <c r="B449" s="20" t="inlineStr">
        <is>
          <t>电容器</t>
        </is>
      </c>
      <c r="C449" s="20" t="inlineStr">
        <is>
          <t>Can SDY 25 kvar  -7%</t>
        </is>
      </c>
      <c r="D449" s="25" t="inlineStr">
        <is>
          <t>甲供/施耐德电气</t>
        </is>
      </c>
      <c r="E449" s="30" t="inlineStr">
        <is>
          <t>只</t>
        </is>
      </c>
      <c r="F449" s="26" t="n">
        <v>12</v>
      </c>
      <c r="G449" s="293">
        <f>IF(AND(B449="",C449=""),"",ROUND(M449*L449*N449,2))</f>
        <v/>
      </c>
      <c r="H449" s="293">
        <f>IF(AND(B449="",C449=""),"",ROUND(F449*G449,2))</f>
        <v/>
      </c>
      <c r="I449" s="91" t="n"/>
      <c r="J449" s="329">
        <f>IF(AND(B449="",C449=""),"",ROUND(M449*N449,2))</f>
        <v/>
      </c>
      <c r="K449" s="330">
        <f>IF(AND(B449="",C449=""),"",ROUND(J449*F449,2))</f>
        <v/>
      </c>
      <c r="L449" s="126" t="n">
        <v>1</v>
      </c>
      <c r="M449" s="331" t="n">
        <v>1e-07</v>
      </c>
      <c r="N449" s="128" t="n">
        <v>0</v>
      </c>
      <c r="O449" s="129">
        <f t="array" ref="O449">IF(AND(B449="",C449=""),"",IF(G449&gt;=20000,0.05,IF(G449&gt;=10000,0.1,IF(G449&gt;=5000,0.2,IF(G449&gt;=1000,0.3,IF(G449&gt;=0,0.4,{0}))))))</f>
        <v/>
      </c>
      <c r="P449" s="332">
        <f>IF(AND(B449="",C449=""),"",ROUND(H449*O449,2))</f>
        <v/>
      </c>
      <c r="Q449" s="327" t="inlineStr">
        <is>
          <t>元件</t>
        </is>
      </c>
      <c r="R449" s="150" t="n"/>
      <c r="S449" s="150" t="n"/>
      <c r="T449" s="150" t="inlineStr">
        <is>
          <t>0</t>
        </is>
      </c>
      <c r="U449" s="150" t="n"/>
      <c r="V449" s="328" t="n"/>
      <c r="W449" s="328" t="n"/>
      <c r="X449" s="152" t="n"/>
    </row>
    <row r="450" customFormat="1" s="145">
      <c r="A450" s="36">
        <f>ROW()-ROW(A$444)</f>
        <v/>
      </c>
      <c r="B450" s="20" t="inlineStr">
        <is>
          <t>电抗器</t>
        </is>
      </c>
      <c r="C450" s="20" t="inlineStr">
        <is>
          <t>LVR 7% 50Kvar 400V/50Hz</t>
        </is>
      </c>
      <c r="D450" s="25" t="inlineStr">
        <is>
          <t>甲供/施耐德电气</t>
        </is>
      </c>
      <c r="E450" s="30" t="inlineStr">
        <is>
          <t>只</t>
        </is>
      </c>
      <c r="F450" s="30" t="n">
        <v>6</v>
      </c>
      <c r="G450" s="297">
        <f>IF(AND(B450="",C450=""),"",ROUND(M450*L450*N450,2))</f>
        <v/>
      </c>
      <c r="H450" s="293">
        <f>IF(AND(B450="",C450=""),"",ROUND(F450*G450,2))</f>
        <v/>
      </c>
      <c r="I450" s="91" t="n"/>
      <c r="J450" s="329">
        <f>IF(AND(B450="",C450=""),"",ROUND(M450*N450,2))</f>
        <v/>
      </c>
      <c r="K450" s="330">
        <f>IF(AND(B450="",C450=""),"",ROUND(J450*F450,2))</f>
        <v/>
      </c>
      <c r="L450" s="126" t="n">
        <v>1</v>
      </c>
      <c r="M450" s="331" t="n">
        <v>1e-07</v>
      </c>
      <c r="N450" s="128" t="n">
        <v>0</v>
      </c>
      <c r="O450" s="129">
        <f t="array" ref="O450">IF(AND(B450="",C450=""),"",IF(G450&gt;=20000,0.05,IF(G450&gt;=10000,0.1,IF(G450&gt;=5000,0.2,IF(G450&gt;=1000,0.3,IF(G450&gt;=0,0.4,{0}))))))</f>
        <v/>
      </c>
      <c r="P450" s="332">
        <f>IF(AND(B450="",C450=""),"",ROUND(H450*O450,2))</f>
        <v/>
      </c>
      <c r="Q450" s="327" t="inlineStr">
        <is>
          <t>元件</t>
        </is>
      </c>
      <c r="R450" s="150" t="n"/>
      <c r="S450" s="150" t="n"/>
      <c r="T450" s="150" t="inlineStr">
        <is>
          <t>0</t>
        </is>
      </c>
      <c r="U450" s="150" t="n"/>
      <c r="V450" s="328" t="n"/>
      <c r="W450" s="328" t="n"/>
      <c r="X450" s="152" t="n"/>
    </row>
    <row r="451" customFormat="1" s="145">
      <c r="A451" s="36">
        <f>ROW()-ROW(A$444)</f>
        <v/>
      </c>
      <c r="B451" s="20" t="inlineStr">
        <is>
          <t>SVG</t>
        </is>
      </c>
      <c r="C451" s="20" t="inlineStr">
        <is>
          <t>AccuSine PQU 50kvar 机架式产品组合</t>
        </is>
      </c>
      <c r="D451" s="25" t="inlineStr">
        <is>
          <t>甲供/施耐德电气</t>
        </is>
      </c>
      <c r="E451" s="30" t="inlineStr">
        <is>
          <t>只</t>
        </is>
      </c>
      <c r="F451" s="30">
        <f>IF(AND(B451="",C451=""),"",1)</f>
        <v/>
      </c>
      <c r="G451" s="297">
        <f>IF(AND(B451="",C451=""),"",ROUND(M451*L451*N451,2))</f>
        <v/>
      </c>
      <c r="H451" s="297">
        <f>IF(AND(B451="",C451=""),"",ROUND(F451*G451,2))</f>
        <v/>
      </c>
      <c r="I451" s="135" t="n"/>
      <c r="J451" s="329">
        <f>IF(AND(B451="",C451=""),"",ROUND(M451*N451,2))</f>
        <v/>
      </c>
      <c r="K451" s="330">
        <f>IF(AND(B451="",C451=""),"",ROUND(J451*F451,2))</f>
        <v/>
      </c>
      <c r="L451" s="126" t="n">
        <v>1</v>
      </c>
      <c r="M451" s="331" t="n">
        <v>1e-07</v>
      </c>
      <c r="N451" s="128" t="n">
        <v>0</v>
      </c>
      <c r="O451" s="129">
        <f t="array" ref="O451">IF(AND(B451="",C451=""),"",IF(G451&gt;=20000,0.05,IF(G451&gt;=10000,0.1,IF(G451&gt;=5000,0.2,IF(G451&gt;=1000,0.3,IF(G451&gt;=0,0.4,{0}))))))</f>
        <v/>
      </c>
      <c r="P451" s="332">
        <f>IF(AND(B451="",C451=""),"",ROUND(H451*O451,2))</f>
        <v/>
      </c>
      <c r="Q451" s="327" t="inlineStr">
        <is>
          <t>元件</t>
        </is>
      </c>
      <c r="R451" s="150" t="n"/>
      <c r="S451" s="150" t="n"/>
      <c r="T451" s="150" t="inlineStr">
        <is>
          <t>0</t>
        </is>
      </c>
      <c r="U451" s="150" t="n"/>
      <c r="V451" s="328" t="n"/>
      <c r="W451" s="328" t="n"/>
      <c r="X451" s="152" t="n"/>
    </row>
    <row r="452" customFormat="1" s="145">
      <c r="A452" s="36">
        <f>ROW()-ROW(A$444)</f>
        <v/>
      </c>
      <c r="B452" s="20" t="inlineStr">
        <is>
          <t>熔断器</t>
        </is>
      </c>
      <c r="C452" s="20" t="inlineStr">
        <is>
          <t>NT00 gG 690V/160A+NT00（新底座）</t>
        </is>
      </c>
      <c r="D452" s="29" t="inlineStr">
        <is>
          <t>铭熔</t>
        </is>
      </c>
      <c r="E452" s="30" t="inlineStr">
        <is>
          <t>只</t>
        </is>
      </c>
      <c r="F452" s="30" t="n">
        <v>18</v>
      </c>
      <c r="G452" s="297">
        <f>IF(AND(B452="",C452=""),"",ROUND(M452*L452*N452,2))</f>
        <v/>
      </c>
      <c r="H452" s="297">
        <f>IF(AND(B452="",C452=""),"",ROUND(F452*G452,2))</f>
        <v/>
      </c>
      <c r="I452" s="135" t="n"/>
      <c r="J452" s="329">
        <f>IF(AND(B452="",C452=""),"",ROUND(M452*N452,2))</f>
        <v/>
      </c>
      <c r="K452" s="330">
        <f>IF(AND(B452="",C452=""),"",ROUND(J452*F452,2))</f>
        <v/>
      </c>
      <c r="L452" s="126" t="n">
        <v>1</v>
      </c>
      <c r="M452" s="331" t="n">
        <v>23.8</v>
      </c>
      <c r="N452" s="128" t="n">
        <v>1</v>
      </c>
      <c r="O452" s="129">
        <f t="array" ref="O452">IF(AND(B452="",C452=""),"",IF(G452&gt;=20000,0.05,IF(G452&gt;=10000,0.1,IF(G452&gt;=5000,0.2,IF(G452&gt;=1000,0.3,IF(G452&gt;=0,0.4,{0}))))))</f>
        <v/>
      </c>
      <c r="P452" s="332">
        <f>IF(AND(B452="",C452=""),"",ROUND(H452*O452,2))</f>
        <v/>
      </c>
      <c r="Q452" s="327" t="inlineStr">
        <is>
          <t>元件</t>
        </is>
      </c>
      <c r="R452" s="150" t="n"/>
      <c r="S452" s="150" t="n"/>
      <c r="T452" s="150" t="inlineStr">
        <is>
          <t>0</t>
        </is>
      </c>
      <c r="U452" s="150" t="n"/>
      <c r="V452" s="328" t="n"/>
      <c r="W452" s="328" t="n"/>
      <c r="X452" s="152" t="n"/>
    </row>
    <row r="453" customFormat="1" s="145">
      <c r="A453" s="36">
        <f>ROW()-ROW(A$444)</f>
        <v/>
      </c>
      <c r="B453" s="25" t="inlineStr">
        <is>
          <t>避雷器</t>
        </is>
      </c>
      <c r="C453" s="25" t="inlineStr">
        <is>
          <t>HY1.5W-0.28/1.3 硅胶</t>
        </is>
      </c>
      <c r="D453" s="25" t="inlineStr">
        <is>
          <t>苏州中联</t>
        </is>
      </c>
      <c r="E453" s="26" t="inlineStr">
        <is>
          <t>只</t>
        </is>
      </c>
      <c r="F453" s="26" t="n">
        <v>3</v>
      </c>
      <c r="G453" s="293">
        <f>IF(AND(B453="",C453=""),"",ROUND(M453*L453*N453,2))</f>
        <v/>
      </c>
      <c r="H453" s="297">
        <f>IF(AND(B453="",C453=""),"",ROUND(F453*G453,2))</f>
        <v/>
      </c>
      <c r="I453" s="136" t="n"/>
      <c r="J453" s="329">
        <f>IF(AND(B453="",C453=""),"",ROUND(M453*N453,2))</f>
        <v/>
      </c>
      <c r="K453" s="330">
        <f>IF(AND(B453="",C453=""),"",ROUND(J453*F453,2))</f>
        <v/>
      </c>
      <c r="L453" s="126" t="n">
        <v>1</v>
      </c>
      <c r="M453" s="331" t="n">
        <v>15</v>
      </c>
      <c r="N453" s="137" t="n">
        <v>1</v>
      </c>
      <c r="O453" s="138">
        <f t="array" ref="O453">IF(AND(B453="",C453=""),"",IF(G453&gt;=20000,0.05,IF(G453&gt;=10000,0.1,IF(G453&gt;=5000,0.2,IF(G453&gt;=1000,0.3,IF(G453&gt;=0,0.4,{0}))))))</f>
        <v/>
      </c>
      <c r="P453" s="333">
        <f>IF(AND(B453="",C453=""),"",ROUND(H453*O453,2))</f>
        <v/>
      </c>
      <c r="Q453" s="334" t="inlineStr">
        <is>
          <t>元件</t>
        </is>
      </c>
      <c r="R453" s="154" t="n"/>
      <c r="S453" s="154" t="n"/>
      <c r="T453" s="154" t="inlineStr">
        <is>
          <t>0</t>
        </is>
      </c>
      <c r="U453" s="154" t="n"/>
      <c r="V453" s="335" t="n"/>
      <c r="W453" s="335" t="n"/>
      <c r="X453" s="152" t="n"/>
    </row>
    <row r="454" customFormat="1" s="145">
      <c r="A454" s="36">
        <f>ROW()-ROW(A$444)</f>
        <v/>
      </c>
      <c r="B454" s="25" t="inlineStr">
        <is>
          <t>熔断器</t>
        </is>
      </c>
      <c r="C454" s="25" t="inlineStr">
        <is>
          <t>UK5-HESI</t>
        </is>
      </c>
      <c r="D454" s="25" t="inlineStr">
        <is>
          <t>菲尼克斯</t>
        </is>
      </c>
      <c r="E454" s="26" t="inlineStr">
        <is>
          <t>只</t>
        </is>
      </c>
      <c r="F454" s="26" t="n">
        <v>4</v>
      </c>
      <c r="G454" s="293">
        <f>IF(AND(B454="",C454=""),"",ROUND(M454*L454*N454,2))</f>
        <v/>
      </c>
      <c r="H454" s="297">
        <f>IF(AND(B454="",C454=""),"",ROUND(F454*G454,2))</f>
        <v/>
      </c>
      <c r="I454" s="136" t="n"/>
      <c r="J454" s="329">
        <f>IF(AND(B454="",C454=""),"",ROUND(M454*N454,2))</f>
        <v/>
      </c>
      <c r="K454" s="330">
        <f>IF(AND(B454="",C454=""),"",ROUND(J454*F454,2))</f>
        <v/>
      </c>
      <c r="L454" s="126" t="n">
        <v>1</v>
      </c>
      <c r="M454" s="331" t="n">
        <v>7</v>
      </c>
      <c r="N454" s="137" t="n">
        <v>1</v>
      </c>
      <c r="O454" s="138">
        <f t="array" ref="O454">IF(AND(B454="",C454=""),"",IF(G454&gt;=20000,0.05,IF(G454&gt;=10000,0.1,IF(G454&gt;=5000,0.2,IF(G454&gt;=1000,0.3,IF(G454&gt;=0,0.4,{0}))))))</f>
        <v/>
      </c>
      <c r="P454" s="333">
        <f>IF(AND(B454="",C454=""),"",ROUND(H454*O454,2))</f>
        <v/>
      </c>
      <c r="Q454" s="334" t="inlineStr">
        <is>
          <t>元件</t>
        </is>
      </c>
      <c r="R454" s="154" t="n"/>
      <c r="S454" s="154" t="n"/>
      <c r="T454" s="154" t="inlineStr">
        <is>
          <t>0</t>
        </is>
      </c>
      <c r="U454" s="154" t="n"/>
      <c r="V454" s="335" t="n"/>
      <c r="W454" s="335" t="n"/>
      <c r="X454" s="152" t="n"/>
    </row>
    <row r="455" customFormat="1" s="145">
      <c r="A455" s="36">
        <f>ROW()-ROW(A$444)</f>
        <v/>
      </c>
      <c r="B455" s="25" t="inlineStr">
        <is>
          <t>温控器</t>
        </is>
      </c>
      <c r="C455" s="25" t="inlineStr">
        <is>
          <t>JWT6011F</t>
        </is>
      </c>
      <c r="D455" s="25" t="inlineStr">
        <is>
          <t>上海雷普</t>
        </is>
      </c>
      <c r="E455" s="26" t="inlineStr">
        <is>
          <t>只</t>
        </is>
      </c>
      <c r="F455" s="26">
        <f>IF(AND(B455="",C455=""),"",1)</f>
        <v/>
      </c>
      <c r="G455" s="293">
        <f>IF(AND(B455="",C455=""),"",ROUND(M455*L455*N455,2))</f>
        <v/>
      </c>
      <c r="H455" s="297">
        <f>IF(AND(B455="",C455=""),"",ROUND(F455*G455,2))</f>
        <v/>
      </c>
      <c r="I455" s="136" t="n"/>
      <c r="J455" s="329">
        <f>IF(AND(B455="",C455=""),"",ROUND(M455*N455,2))</f>
        <v/>
      </c>
      <c r="K455" s="330">
        <f>IF(AND(B455="",C455=""),"",ROUND(J455*F455,2))</f>
        <v/>
      </c>
      <c r="L455" s="126">
        <f>IF(AND(B455="",C455=""),"",1)</f>
        <v/>
      </c>
      <c r="M455" s="331" t="n">
        <v>25</v>
      </c>
      <c r="N455" s="137">
        <f>IF(AND(B455="",C455=""),"",1)</f>
        <v/>
      </c>
      <c r="O455" s="138">
        <f t="array" ref="O455">IF(AND(B455="",C455=""),"",IF(G455&gt;=20000,0.05,IF(G455&gt;=10000,0.1,IF(G455&gt;=5000,0.2,IF(G455&gt;=1000,0.3,IF(G455&gt;=0,0.4,{0}))))))</f>
        <v/>
      </c>
      <c r="P455" s="333">
        <f>IF(AND(B455="",C455=""),"",ROUND(H455*O455,2))</f>
        <v/>
      </c>
      <c r="Q455" s="334">
        <f>IF(AND(B455="",C455=""),"","元件")</f>
        <v/>
      </c>
      <c r="R455" s="154" t="n"/>
      <c r="S455" s="154" t="n"/>
      <c r="T455" s="154" t="n"/>
      <c r="U455" s="154" t="n"/>
      <c r="V455" s="335" t="n"/>
      <c r="W455" s="335" t="n"/>
      <c r="X455" s="152" t="n"/>
    </row>
    <row r="456" customFormat="1" s="145">
      <c r="A456" s="36">
        <f>ROW()-ROW(A$444)</f>
        <v/>
      </c>
      <c r="B456" s="25" t="inlineStr">
        <is>
          <t>散热风扇</t>
        </is>
      </c>
      <c r="C456" s="25" t="n"/>
      <c r="D456" s="25" t="inlineStr">
        <is>
          <t>KAKU</t>
        </is>
      </c>
      <c r="E456" s="26" t="inlineStr">
        <is>
          <t>只</t>
        </is>
      </c>
      <c r="F456" s="26" t="n">
        <v>3</v>
      </c>
      <c r="G456" s="293">
        <f>IF(AND(B456="",C456=""),"",ROUND(M456*L456*N456,2))</f>
        <v/>
      </c>
      <c r="H456" s="293">
        <f>IF(AND(B456="",C456=""),"",ROUND(F456*G456,2))</f>
        <v/>
      </c>
      <c r="I456" s="164" t="n"/>
      <c r="J456" s="329">
        <f>IF(AND(B456="",C456=""),"",ROUND(M456*N456,2))</f>
        <v/>
      </c>
      <c r="K456" s="330">
        <f>IF(AND(B456="",C456=""),"",ROUND(J456*F456,2))</f>
        <v/>
      </c>
      <c r="L456" s="126" t="n">
        <v>1</v>
      </c>
      <c r="M456" s="331" t="n">
        <v>175</v>
      </c>
      <c r="N456" s="177" t="n">
        <v>1</v>
      </c>
      <c r="O456" s="178">
        <f t="array" ref="O456">IF(AND(B456="",C456=""),"",IF(G456&gt;=20000,0.05,IF(G456&gt;=10000,0.1,IF(G456&gt;=5000,0.2,IF(G456&gt;=1000,0.3,IF(G456&gt;=0,0.4,{0}))))))</f>
        <v/>
      </c>
      <c r="P456" s="341">
        <f>IF(AND(B456="",C456=""),"",ROUND(H456*O456,2))</f>
        <v/>
      </c>
      <c r="Q456" s="342" t="inlineStr">
        <is>
          <t>元件</t>
        </is>
      </c>
      <c r="R456" s="154" t="n"/>
      <c r="S456" s="154" t="n"/>
      <c r="T456" s="154" t="inlineStr">
        <is>
          <t>0</t>
        </is>
      </c>
      <c r="U456" s="154" t="n"/>
      <c r="V456" s="335" t="n"/>
      <c r="W456" s="335" t="n"/>
      <c r="X456" s="152" t="n"/>
    </row>
    <row r="457" customFormat="1" s="145">
      <c r="A457" s="36">
        <f>ROW()-ROW(A$444)</f>
        <v/>
      </c>
      <c r="B457" s="25" t="inlineStr">
        <is>
          <t>水平排4000A</t>
        </is>
      </c>
      <c r="C457" s="25" t="inlineStr">
        <is>
          <t>TMY 3*(4*125*5)+2*125*5+2*50*5</t>
        </is>
      </c>
      <c r="D457" s="25" t="inlineStr">
        <is>
          <t>国产优质</t>
        </is>
      </c>
      <c r="E457" s="26" t="inlineStr">
        <is>
          <t>米</t>
        </is>
      </c>
      <c r="F457" s="30" t="n">
        <v>1</v>
      </c>
      <c r="G457" s="297">
        <f>IF(AND(B457="",C457=""),"",ROUND(M457*L457*N457,2))</f>
        <v/>
      </c>
      <c r="H457" s="297">
        <f>IF(AND(B457="",C457=""),"",ROUND(F457*G457,2))</f>
        <v/>
      </c>
      <c r="I457" s="135" t="n"/>
      <c r="J457" s="329">
        <f>IF(AND(B457="",C457=""),"",ROUND(M457*N457,2))</f>
        <v/>
      </c>
      <c r="K457" s="330">
        <f>IF(AND(B457="",C457=""),"",ROUND(J457*F457,2))</f>
        <v/>
      </c>
      <c r="L457" s="126" t="n">
        <v>1</v>
      </c>
      <c r="M457" s="331" t="n">
        <v>6895.130375</v>
      </c>
      <c r="N457" s="128" t="n">
        <v>1</v>
      </c>
      <c r="O457" s="129">
        <f t="array" ref="O457">IF(AND(B457="",C457=""),"",IF(G457&gt;=20000,0.05,IF(G457&gt;=10000,0.1,IF(G457&gt;=5000,0.2,IF(G457&gt;=1000,0.3,IF(G457&gt;=0,0.4,{0}))))))</f>
        <v/>
      </c>
      <c r="P457" s="332">
        <f>IF(AND(B457="",C457=""),"",ROUND(H457*O457,2))</f>
        <v/>
      </c>
      <c r="Q457" s="327" t="inlineStr">
        <is>
          <t>母排</t>
        </is>
      </c>
      <c r="R457" s="150" t="n"/>
      <c r="S457" s="150" t="n"/>
      <c r="T457" s="150" t="inlineStr">
        <is>
          <t>0</t>
        </is>
      </c>
      <c r="U457" s="150" t="n"/>
      <c r="V457" s="328" t="n"/>
      <c r="W457" s="328" t="n"/>
      <c r="X457" s="152" t="n"/>
    </row>
    <row r="458" customFormat="1" s="145">
      <c r="A458" s="36">
        <f>ROW()-ROW(A$444)</f>
        <v/>
      </c>
      <c r="B458" s="25" t="inlineStr">
        <is>
          <t>连接铜排</t>
        </is>
      </c>
      <c r="C458" s="25" t="inlineStr">
        <is>
          <t>TMY 1*60*5</t>
        </is>
      </c>
      <c r="D458" s="25" t="inlineStr">
        <is>
          <t>国产优质</t>
        </is>
      </c>
      <c r="E458" s="26" t="inlineStr">
        <is>
          <t>米</t>
        </is>
      </c>
      <c r="F458" s="26" t="n">
        <v>3</v>
      </c>
      <c r="G458" s="293">
        <f>IF(AND(B458="",C458=""),"",ROUND(M458*L458*N458,2))</f>
        <v/>
      </c>
      <c r="H458" s="293">
        <f>IF(AND(B458="",C458=""),"",ROUND(F458*G458,2))</f>
        <v/>
      </c>
      <c r="I458" s="164" t="n"/>
      <c r="J458" s="329">
        <f>IF(AND(B458="",C458=""),"",ROUND(M458*N458,2))</f>
        <v/>
      </c>
      <c r="K458" s="330">
        <f>IF(AND(B458="",C458=""),"",ROUND(J458*F458,2))</f>
        <v/>
      </c>
      <c r="L458" s="126" t="n">
        <v>1</v>
      </c>
      <c r="M458" s="331" t="n">
        <v>223.62585</v>
      </c>
      <c r="N458" s="137" t="n">
        <v>1</v>
      </c>
      <c r="O458" s="138">
        <f t="array" ref="O458">IF(AND(B458="",C458=""),"",IF(G458&gt;=20000,0.05,IF(G458&gt;=10000,0.1,IF(G458&gt;=5000,0.2,IF(G458&gt;=1000,0.3,IF(G458&gt;=0,0.4,{0}))))))</f>
        <v/>
      </c>
      <c r="P458" s="333">
        <f>IF(AND(B458="",C458=""),"",ROUND(H458*O458,2))</f>
        <v/>
      </c>
      <c r="Q458" s="334" t="inlineStr">
        <is>
          <t>母排</t>
        </is>
      </c>
      <c r="R458" s="154" t="n"/>
      <c r="S458" s="154" t="n"/>
      <c r="T458" s="154" t="inlineStr">
        <is>
          <t>0</t>
        </is>
      </c>
      <c r="U458" s="154" t="n"/>
      <c r="V458" s="335" t="n"/>
      <c r="W458" s="335" t="n"/>
      <c r="X458" s="152" t="n"/>
    </row>
    <row r="459" customFormat="1" s="145">
      <c r="A459" s="36">
        <f>ROW()-ROW(A$444)</f>
        <v/>
      </c>
      <c r="B459" s="25" t="inlineStr">
        <is>
          <t>导线及辅料</t>
        </is>
      </c>
      <c r="C459" s="25" t="n"/>
      <c r="D459" s="25" t="inlineStr">
        <is>
          <t>国产优质</t>
        </is>
      </c>
      <c r="E459" s="26" t="inlineStr">
        <is>
          <t>套</t>
        </is>
      </c>
      <c r="F459" s="26" t="n">
        <v>1</v>
      </c>
      <c r="G459" s="293">
        <f>IF(AND(B459="",C459=""),"",ROUND(M459*L459*N459,2))</f>
        <v/>
      </c>
      <c r="H459" s="293">
        <f>IF(AND(B459="",C459=""),"",ROUND(F459*G459,2))</f>
        <v/>
      </c>
      <c r="I459" s="164" t="n"/>
      <c r="J459" s="329">
        <f>IF(AND(B459="",C459=""),"",ROUND(M459*N459,2))</f>
        <v/>
      </c>
      <c r="K459" s="330">
        <f>IF(AND(B459="",C459=""),"",ROUND(J459*F459,2))</f>
        <v/>
      </c>
      <c r="L459" s="126" t="n">
        <v>1</v>
      </c>
      <c r="M459" s="331" t="n">
        <v>1800</v>
      </c>
      <c r="N459" s="137" t="n">
        <v>1</v>
      </c>
      <c r="O459" s="138">
        <f t="array" ref="O459">IF(AND(B459="",C459=""),"",IF(G459&gt;=20000,0.05,IF(G459&gt;=10000,0.1,IF(G459&gt;=5000,0.2,IF(G459&gt;=1000,0.3,IF(G459&gt;=0,0.4,{0}))))))</f>
        <v/>
      </c>
      <c r="P459" s="333">
        <f>IF(AND(B459="",C459=""),"",ROUND(H459*O459,2))</f>
        <v/>
      </c>
      <c r="Q459" s="334" t="inlineStr">
        <is>
          <t>辅料</t>
        </is>
      </c>
      <c r="R459" s="154" t="n"/>
      <c r="S459" s="154" t="n"/>
      <c r="T459" s="154" t="inlineStr">
        <is>
          <t>0</t>
        </is>
      </c>
      <c r="U459" s="154" t="n"/>
      <c r="V459" s="335" t="n"/>
      <c r="W459" s="335" t="n"/>
      <c r="X459" s="152" t="n"/>
    </row>
    <row r="460" customFormat="1" s="145">
      <c r="A460" s="36">
        <f>ROW()-ROW(A$444)</f>
        <v/>
      </c>
      <c r="B460" s="25" t="inlineStr">
        <is>
          <t>Blokset柜</t>
        </is>
      </c>
      <c r="C460" s="25" t="inlineStr">
        <is>
          <t>1000W*1000D*2200H</t>
        </is>
      </c>
      <c r="D460" s="25" t="inlineStr">
        <is>
          <t>清科</t>
        </is>
      </c>
      <c r="E460" s="26" t="inlineStr">
        <is>
          <t>台</t>
        </is>
      </c>
      <c r="F460" s="26" t="n">
        <v>1</v>
      </c>
      <c r="G460" s="293">
        <f>IF(AND(B460="",C460=""),"",ROUND(M460*L460*N460,2))</f>
        <v/>
      </c>
      <c r="H460" s="293">
        <f>IF(AND(B460="",C460=""),"",ROUND(F460*G460,2))</f>
        <v/>
      </c>
      <c r="I460" s="164" t="n"/>
      <c r="J460" s="329">
        <f>IF(AND(B460="",C460=""),"",ROUND(M460*N460,2))</f>
        <v/>
      </c>
      <c r="K460" s="330">
        <f>IF(AND(B460="",C460=""),"",ROUND(J460*F460,2))</f>
        <v/>
      </c>
      <c r="L460" s="126" t="n">
        <v>1</v>
      </c>
      <c r="M460" s="331" t="n">
        <v>4346</v>
      </c>
      <c r="N460" s="137" t="n">
        <v>1</v>
      </c>
      <c r="O460" s="138">
        <f t="array" ref="O460">IF(AND(B460="",C460=""),"",IF(G460&gt;=20000,0.05,IF(G460&gt;=10000,0.1,IF(G460&gt;=5000,0.2,IF(G460&gt;=1000,0.3,IF(G460&gt;=0,0.4,{0}))))))</f>
        <v/>
      </c>
      <c r="P460" s="333">
        <f>IF(AND(B460="",C460=""),"",ROUND(H460*O460,2))</f>
        <v/>
      </c>
      <c r="Q460" s="334" t="inlineStr">
        <is>
          <t>箱体</t>
        </is>
      </c>
      <c r="R460" s="154" t="n"/>
      <c r="S460" s="154" t="n"/>
      <c r="T460" s="154" t="inlineStr">
        <is>
          <t>0</t>
        </is>
      </c>
      <c r="U460" s="154" t="n"/>
      <c r="V460" s="335" t="n"/>
      <c r="W460" s="335" t="n"/>
      <c r="X460" s="152" t="n"/>
    </row>
    <row r="461" customFormat="1" s="145">
      <c r="A461" s="36">
        <f>ROW()-ROW(A$444)</f>
        <v/>
      </c>
      <c r="B461" s="29" t="n"/>
      <c r="C461" s="25" t="n"/>
      <c r="D461" s="29" t="n"/>
      <c r="E461" s="30" t="n"/>
      <c r="F461" s="30">
        <f>IF(AND(B461="",C461=""),"",1)</f>
        <v/>
      </c>
      <c r="G461" s="297">
        <f>IF(AND(B461="",C461=""),"",ROUND(M461*L461*N461,2))</f>
        <v/>
      </c>
      <c r="H461" s="297">
        <f>IF(AND(B461="",C461=""),"",ROUND(F461*G461,2))</f>
        <v/>
      </c>
      <c r="I461" s="135" t="n"/>
      <c r="J461" s="329">
        <f>IF(AND(B461="",C461=""),"",ROUND(M461*N461,2))</f>
        <v/>
      </c>
      <c r="K461" s="330">
        <f>IF(AND(B461="",C461=""),"",ROUND(J461*F461,2))</f>
        <v/>
      </c>
      <c r="L461" s="126">
        <f>IF(AND(B461="",C461=""),"",1)</f>
        <v/>
      </c>
      <c r="M461" s="331" t="n"/>
      <c r="N461" s="128">
        <f>IF(AND(B461="",C461=""),"",1)</f>
        <v/>
      </c>
      <c r="O461" s="129">
        <f t="array" ref="O461">IF(AND(B461="",C461=""),"",IF(G461&gt;=20000,0.05,IF(G461&gt;=10000,0.1,IF(G461&gt;=5000,0.2,IF(G461&gt;=1000,0.3,IF(G461&gt;=0,0.4,{0}))))))</f>
        <v/>
      </c>
      <c r="P461" s="332">
        <f>IF(AND(B461="",C461=""),"",ROUND(H461*O461,2))</f>
        <v/>
      </c>
      <c r="Q461" s="327">
        <f>IF(AND(B461="",C461=""),"","元件")</f>
        <v/>
      </c>
      <c r="R461" s="150" t="n"/>
      <c r="S461" s="150" t="n"/>
      <c r="T461" s="150" t="n"/>
      <c r="U461" s="150" t="n"/>
      <c r="V461" s="328" t="n"/>
      <c r="W461" s="328" t="n"/>
      <c r="X461" s="152" t="n"/>
    </row>
    <row r="462" customFormat="1" s="145">
      <c r="A462" s="36">
        <f>ROW()-ROW(A$444)</f>
        <v/>
      </c>
      <c r="B462" s="29" t="n"/>
      <c r="C462" s="29" t="n"/>
      <c r="D462" s="29" t="n"/>
      <c r="E462" s="30" t="n"/>
      <c r="F462" s="30">
        <f>IF(AND(B462="",C462=""),"",1)</f>
        <v/>
      </c>
      <c r="G462" s="297">
        <f>IF(AND(B462="",C462=""),"",ROUND(M462*L462*N462,2))</f>
        <v/>
      </c>
      <c r="H462" s="297">
        <f>IF(AND(B462="",C462=""),"",ROUND(F462*G462,2))</f>
        <v/>
      </c>
      <c r="I462" s="135" t="n"/>
      <c r="J462" s="329">
        <f>IF(AND(B462="",C462=""),"",ROUND(M462*N462,2))</f>
        <v/>
      </c>
      <c r="K462" s="330">
        <f>IF(AND(B462="",C462=""),"",ROUND(J462*F462,2))</f>
        <v/>
      </c>
      <c r="L462" s="126">
        <f>IF(AND(B462="",C462=""),"",1)</f>
        <v/>
      </c>
      <c r="M462" s="331" t="n"/>
      <c r="N462" s="128">
        <f>IF(AND(B462="",C462=""),"",1)</f>
        <v/>
      </c>
      <c r="O462" s="129">
        <f t="array" ref="O462">IF(AND(B462="",C462=""),"",IF(G462&gt;=20000,0.05,IF(G462&gt;=10000,0.1,IF(G462&gt;=5000,0.2,IF(G462&gt;=1000,0.3,IF(G462&gt;=0,0.4,{0}))))))</f>
        <v/>
      </c>
      <c r="P462" s="332">
        <f>IF(AND(B462="",C462=""),"",ROUND(H462*O462,2))</f>
        <v/>
      </c>
      <c r="Q462" s="327">
        <f>IF(AND(B462="",C462=""),"","元件")</f>
        <v/>
      </c>
      <c r="R462" s="150" t="n"/>
      <c r="S462" s="150" t="n"/>
      <c r="T462" s="150" t="n"/>
      <c r="U462" s="150" t="n"/>
      <c r="V462" s="328" t="n"/>
      <c r="W462" s="328" t="n"/>
      <c r="X462" s="152" t="n"/>
    </row>
    <row r="463" customFormat="1" s="145">
      <c r="A463" s="36">
        <f>ROW()-ROW(A$444)</f>
        <v/>
      </c>
      <c r="B463" s="156" t="inlineStr">
        <is>
          <t>小计</t>
        </is>
      </c>
      <c r="C463" s="157" t="n"/>
      <c r="D463" s="54" t="n"/>
      <c r="E463" s="30" t="n"/>
      <c r="F463" s="30" t="n"/>
      <c r="G463" s="297" t="n"/>
      <c r="H463" s="297">
        <f>ROUND(SUM(H444:INDEX(H:H,ROW()-1)),2)</f>
        <v/>
      </c>
      <c r="I463" s="91" t="n"/>
      <c r="J463" s="329" t="n"/>
      <c r="K463" s="330">
        <f>ROUND(SUM(K444:INDEX(K:K,ROW()-1)),2)</f>
        <v/>
      </c>
      <c r="L463" s="126" t="n"/>
      <c r="M463" s="331" t="n"/>
      <c r="N463" s="128" t="n"/>
      <c r="O463" s="129" t="n"/>
      <c r="P463" s="332" t="n"/>
      <c r="Q463" s="327" t="n"/>
      <c r="R463" s="150" t="n"/>
      <c r="S463" s="150" t="n"/>
      <c r="T463" s="150" t="n"/>
      <c r="U463" s="150" t="n"/>
      <c r="V463" s="328">
        <f t="array" ref="V463">ROUND(SUMPRODUCT(F444:INDEX(F:F,ROW()-1),V444:INDEX(V:V,ROW()-1)),2)</f>
        <v/>
      </c>
      <c r="W463" s="328">
        <f t="array" ref="W463">ROUND(SUMPRODUCT(F444:INDEX(F:F,ROW()-1),W444:INDEX(W:W,ROW()-1)),2)</f>
        <v/>
      </c>
      <c r="X463" s="152" t="n"/>
    </row>
    <row r="464" customFormat="1" s="145">
      <c r="A464" s="36">
        <f>ROW()-ROW(A$444)</f>
        <v/>
      </c>
      <c r="B464" s="156" t="inlineStr">
        <is>
          <t>成套费</t>
        </is>
      </c>
      <c r="C464" s="157" t="n"/>
      <c r="D464" s="54" t="n"/>
      <c r="E464" s="30" t="n"/>
      <c r="F464" s="30" t="n"/>
      <c r="G464" s="297" t="n"/>
      <c r="H464" s="297" t="n">
        <v>944.76</v>
      </c>
      <c r="I464" s="91" t="n"/>
      <c r="J464" s="329" t="n"/>
      <c r="K464" s="330" t="n">
        <v>944.76</v>
      </c>
      <c r="L464" s="126" t="n"/>
      <c r="M464" s="331" t="n"/>
      <c r="N464" s="128" t="n"/>
      <c r="O464" s="129" t="n"/>
      <c r="P464" s="332" t="n"/>
      <c r="Q464" s="327" t="n"/>
      <c r="R464" s="150" t="n"/>
      <c r="S464" s="150" t="n"/>
      <c r="T464" s="150" t="n"/>
      <c r="U464" s="150" t="n"/>
      <c r="V464" s="328" t="n"/>
      <c r="W464" s="328" t="n"/>
      <c r="X464" s="152" t="n"/>
    </row>
    <row r="465" customFormat="1" s="145">
      <c r="A465" s="36">
        <f>ROW()-ROW(A$444)</f>
        <v/>
      </c>
      <c r="B465" s="156" t="n"/>
      <c r="C465" s="157" t="n"/>
      <c r="D465" s="54" t="n"/>
      <c r="E465" s="30" t="n"/>
      <c r="F465" s="30" t="n"/>
      <c r="G465" s="297" t="n"/>
      <c r="H465" s="297" t="n">
        <v>17.26</v>
      </c>
      <c r="I465" s="91" t="n"/>
      <c r="J465" s="329" t="n"/>
      <c r="K465" s="330" t="n"/>
      <c r="L465" s="126" t="n"/>
      <c r="M465" s="331" t="n"/>
      <c r="N465" s="128" t="n"/>
      <c r="O465" s="129" t="n"/>
      <c r="P465" s="332" t="n"/>
      <c r="Q465" s="327" t="n"/>
      <c r="R465" s="150" t="n"/>
      <c r="S465" s="150" t="n"/>
      <c r="T465" s="150" t="n"/>
      <c r="U465" s="150" t="n"/>
      <c r="V465" s="328" t="n"/>
      <c r="W465" s="328" t="n"/>
      <c r="X465" s="152" t="n"/>
    </row>
    <row r="466" customFormat="1" s="145">
      <c r="A466" s="36">
        <f>ROW()-ROW(A$444)</f>
        <v/>
      </c>
      <c r="B466" s="54" t="inlineStr">
        <is>
          <t>单台合计</t>
        </is>
      </c>
      <c r="C466" s="157" t="n"/>
      <c r="D466" s="54" t="n"/>
      <c r="E466" s="30" t="n"/>
      <c r="F466" s="30" t="n"/>
      <c r="G466" s="297" t="n"/>
      <c r="H466" s="297">
        <f>ROUND(SUM(H463:H464),2)</f>
        <v/>
      </c>
      <c r="I466" s="165" t="n"/>
      <c r="J466" s="329" t="n"/>
      <c r="K466" s="330">
        <f>ROUND(SUM(K463:K464),2)</f>
        <v/>
      </c>
      <c r="L466" s="166" t="n"/>
      <c r="M466" s="331" t="n"/>
      <c r="N466" s="167" t="n"/>
      <c r="O466" s="168" t="n"/>
      <c r="P466" s="332" t="n"/>
      <c r="Q466" s="327" t="n"/>
      <c r="R466" s="150" t="n"/>
      <c r="S466" s="150" t="n"/>
      <c r="T466" s="150" t="n"/>
      <c r="U466" s="150" t="n"/>
      <c r="V466" s="328" t="n"/>
      <c r="W466" s="328" t="n"/>
      <c r="X466" s="152" t="n"/>
    </row>
    <row r="467" customFormat="1" s="145">
      <c r="A467" s="158" t="inlineStr">
        <is>
          <t>总计</t>
        </is>
      </c>
      <c r="B467" s="159" t="n"/>
      <c r="C467" s="160" t="n"/>
      <c r="D467" s="161" t="n"/>
      <c r="E467" s="161" t="inlineStr">
        <is>
          <t>台</t>
        </is>
      </c>
      <c r="F467" s="161" t="n">
        <v>3</v>
      </c>
      <c r="G467" s="336">
        <f>ROUND(H466,2)</f>
        <v/>
      </c>
      <c r="H467" s="336">
        <f>ROUND(F467*G467,2)</f>
        <v/>
      </c>
      <c r="I467" s="169" t="n"/>
      <c r="J467" s="337" t="n"/>
      <c r="K467" s="338">
        <f>ROUND(K466*F467,2)</f>
        <v/>
      </c>
      <c r="L467" s="172" t="n"/>
      <c r="M467" s="339" t="n"/>
      <c r="N467" s="174" t="n"/>
      <c r="O467" s="175" t="n"/>
      <c r="P467" s="340" t="n"/>
      <c r="Q467" s="327" t="n"/>
      <c r="R467" s="150" t="n"/>
      <c r="S467" s="150" t="n"/>
      <c r="T467" s="150" t="n"/>
      <c r="U467" s="150" t="n"/>
      <c r="V467" s="328" t="n"/>
      <c r="W467" s="328" t="n"/>
      <c r="X467" s="152" t="n"/>
    </row>
    <row r="468" customFormat="1" s="146">
      <c r="A468" s="3" t="n"/>
      <c r="B468" s="117" t="n"/>
      <c r="C468" s="117" t="n"/>
      <c r="D468" s="117" t="n"/>
      <c r="E468" s="146" t="n"/>
      <c r="F468" s="146" t="n"/>
      <c r="G468" s="146" t="n"/>
      <c r="H468" s="146" t="n"/>
      <c r="Q468" s="144" t="n"/>
      <c r="R468" s="144" t="n"/>
      <c r="S468" s="144" t="n"/>
      <c r="T468" s="144" t="n"/>
      <c r="U468" s="144" t="n"/>
      <c r="X468" s="117" t="n"/>
    </row>
    <row r="469" customFormat="1" s="146">
      <c r="A469" s="3" t="n"/>
      <c r="B469" s="117" t="n"/>
      <c r="C469" s="117" t="n"/>
      <c r="D469" s="117" t="n"/>
      <c r="E469" s="146" t="n"/>
      <c r="F469" s="146" t="n"/>
      <c r="G469" s="146" t="n"/>
      <c r="H469" s="146" t="n"/>
      <c r="Q469" s="144" t="n"/>
      <c r="R469" s="144" t="n"/>
      <c r="S469" s="144" t="n"/>
      <c r="T469" s="144" t="n"/>
      <c r="U469" s="144" t="n"/>
      <c r="X469" s="117" t="n"/>
    </row>
    <row r="470" customFormat="1" s="145">
      <c r="A470" s="63">
        <f>CONCATENATE("报价人：",项目信息!$B$8)</f>
        <v/>
      </c>
      <c r="B470" s="63" t="n"/>
      <c r="C470" s="146" t="n"/>
      <c r="D470" s="146" t="n"/>
      <c r="E470" s="146" t="n"/>
      <c r="F470" s="146" t="n"/>
      <c r="G470" s="146" t="n"/>
      <c r="H470" s="163">
        <f>项目信息!$B$9</f>
        <v/>
      </c>
      <c r="Q470" s="144" t="n"/>
      <c r="R470" s="144" t="n"/>
      <c r="S470" s="144" t="n"/>
      <c r="T470" s="144" t="n"/>
      <c r="U470" s="144" t="n"/>
      <c r="X470" s="148" t="n"/>
    </row>
    <row r="471" customFormat="1" s="145">
      <c r="A471" s="5">
        <f>T(项目信息!$B$22)</f>
        <v/>
      </c>
      <c r="Q471" s="144" t="n"/>
      <c r="R471" s="144" t="n"/>
      <c r="S471" s="144" t="n"/>
      <c r="T471" s="144" t="n"/>
      <c r="U471" s="144" t="n"/>
      <c r="X471" s="145" t="n"/>
    </row>
    <row r="472" customFormat="1" s="145">
      <c r="A472" s="6">
        <f>T(项目信息!$B$23)</f>
        <v/>
      </c>
      <c r="Q472" s="144" t="n"/>
      <c r="R472" s="144" t="n"/>
      <c r="S472" s="144" t="n"/>
      <c r="T472" s="144" t="n"/>
      <c r="U472" s="144" t="n"/>
      <c r="X472" s="145" t="n"/>
    </row>
    <row r="473" customFormat="1" s="145">
      <c r="A473" s="68" t="inlineStr">
        <is>
          <t>成套产品报价明细表</t>
        </is>
      </c>
      <c r="B473" s="318" t="n"/>
      <c r="C473" s="318" t="n"/>
      <c r="D473" s="318" t="n"/>
      <c r="E473" s="318" t="n"/>
      <c r="F473" s="318" t="n"/>
      <c r="G473" s="318" t="n"/>
      <c r="H473" s="318" t="n"/>
      <c r="I473" s="318" t="n"/>
      <c r="Q473" s="144" t="n"/>
      <c r="R473" s="144" t="n"/>
      <c r="S473" s="144" t="n"/>
      <c r="T473" s="144" t="n"/>
      <c r="U473" s="144" t="n"/>
      <c r="X473" s="145" t="n"/>
    </row>
    <row r="474" customFormat="1" s="146">
      <c r="A474" s="69" t="inlineStr">
        <is>
          <t>柜号:</t>
        </is>
      </c>
      <c r="B474" s="70" t="inlineStr">
        <is>
          <t>3D4 4D5</t>
        </is>
      </c>
      <c r="C474" s="71" t="inlineStr">
        <is>
          <t>型号:</t>
        </is>
      </c>
      <c r="D474" s="70" t="inlineStr">
        <is>
          <t>Blokset</t>
        </is>
      </c>
      <c r="E474" s="319" t="n"/>
      <c r="F474" s="72" t="inlineStr">
        <is>
          <t>名称:</t>
        </is>
      </c>
      <c r="G474" s="70" t="inlineStr">
        <is>
          <t>出线柜</t>
        </is>
      </c>
      <c r="H474" s="319" t="n"/>
      <c r="I474" s="320" t="n"/>
      <c r="J474" s="116" t="inlineStr">
        <is>
          <t>箱柜尺寸:</t>
        </is>
      </c>
      <c r="K474" s="117" t="inlineStr">
        <is>
          <t>600W*1000D*2200H</t>
        </is>
      </c>
      <c r="L474" s="116" t="inlineStr">
        <is>
          <t>类别:</t>
        </is>
      </c>
      <c r="M474" s="117" t="n"/>
      <c r="N474" s="321" t="n"/>
      <c r="Q474" s="144" t="n"/>
      <c r="R474" s="144" t="n"/>
      <c r="S474" s="144" t="n"/>
      <c r="T474" s="144" t="n"/>
      <c r="U474" s="144" t="n"/>
      <c r="X474" s="146" t="n"/>
    </row>
    <row r="475" ht="20.1" customFormat="1" customHeight="1" s="145">
      <c r="A475" s="13" t="inlineStr">
        <is>
          <t>序号</t>
        </is>
      </c>
      <c r="B475" s="73" t="inlineStr">
        <is>
          <t>元件名称</t>
        </is>
      </c>
      <c r="C475" s="73" t="inlineStr">
        <is>
          <t>型号规格</t>
        </is>
      </c>
      <c r="D475" s="74" t="inlineStr">
        <is>
          <t>生产厂家</t>
        </is>
      </c>
      <c r="E475" s="15" t="inlineStr">
        <is>
          <t>单位</t>
        </is>
      </c>
      <c r="F475" s="15" t="inlineStr">
        <is>
          <t>数量</t>
        </is>
      </c>
      <c r="G475" s="287" t="inlineStr">
        <is>
          <t>单   价</t>
        </is>
      </c>
      <c r="H475" s="256" t="inlineStr">
        <is>
          <t>总   价</t>
        </is>
      </c>
      <c r="I475" s="119" t="inlineStr">
        <is>
          <t>备注</t>
        </is>
      </c>
      <c r="J475" s="322" t="inlineStr">
        <is>
          <t>成本单价</t>
        </is>
      </c>
      <c r="K475" s="322" t="inlineStr">
        <is>
          <t>成本总价</t>
        </is>
      </c>
      <c r="L475" s="121" t="inlineStr">
        <is>
          <t>报出
系数</t>
        </is>
      </c>
      <c r="M475" s="322" t="inlineStr">
        <is>
          <t>表价</t>
        </is>
      </c>
      <c r="N475" s="121" t="inlineStr">
        <is>
          <t>折扣
系数</t>
        </is>
      </c>
      <c r="O475" s="122" t="inlineStr">
        <is>
          <t>取费
系数</t>
        </is>
      </c>
      <c r="P475" s="322" t="inlineStr">
        <is>
          <t>成套费</t>
        </is>
      </c>
      <c r="Q475" s="147" t="inlineStr">
        <is>
          <t>类别</t>
        </is>
      </c>
      <c r="R475" s="147" t="inlineStr">
        <is>
          <t>物料编码</t>
        </is>
      </c>
      <c r="S475" s="147" t="inlineStr">
        <is>
          <t>产地</t>
        </is>
      </c>
      <c r="T475" s="147" t="inlineStr">
        <is>
          <t>加工费</t>
        </is>
      </c>
      <c r="U475" s="147" t="inlineStr">
        <is>
          <t>订货号</t>
        </is>
      </c>
      <c r="V475" s="147" t="inlineStr">
        <is>
          <t>人工</t>
        </is>
      </c>
      <c r="W475" s="147" t="inlineStr">
        <is>
          <t>辅料</t>
        </is>
      </c>
      <c r="X475" s="148" t="n"/>
    </row>
    <row r="476" customFormat="1" s="145">
      <c r="A476" s="75">
        <f>ROW()-ROW(A$475)</f>
        <v/>
      </c>
      <c r="B476" s="20" t="inlineStr">
        <is>
          <t>交流塑壳断路器</t>
        </is>
      </c>
      <c r="C476" s="20" t="inlineStr">
        <is>
          <t>NSX100N MA 100 3P3D F</t>
        </is>
      </c>
      <c r="D476" s="20" t="inlineStr">
        <is>
          <t>甲供/施耐德电气</t>
        </is>
      </c>
      <c r="E476" s="21" t="inlineStr">
        <is>
          <t>只</t>
        </is>
      </c>
      <c r="F476" s="21" t="n">
        <v>3</v>
      </c>
      <c r="G476" s="289">
        <f>IF(AND(B476="",C476=""),"",ROUND(M476*L476*N476,2))</f>
        <v/>
      </c>
      <c r="H476" s="289">
        <f>IF(AND(B476="",C476=""),"",ROUND(F476*G476,2))</f>
        <v/>
      </c>
      <c r="I476" s="123" t="n"/>
      <c r="J476" s="323">
        <f>IF(AND(B476="",C476=""),"",ROUND(M476*N476,2))</f>
        <v/>
      </c>
      <c r="K476" s="324">
        <f>IF(AND(B476="",C476=""),"",ROUND(J476*F476,2))</f>
        <v/>
      </c>
      <c r="L476" s="126" t="n">
        <v>1</v>
      </c>
      <c r="M476" s="325" t="n">
        <v>856.21</v>
      </c>
      <c r="N476" s="128" t="n">
        <v>0</v>
      </c>
      <c r="O476" s="129">
        <f t="array" ref="O476">IF(AND(B476="",C476=""),"",IF(G476&gt;=20000,0.05,IF(G476&gt;=10000,0.1,IF(G476&gt;=5000,0.2,IF(G476&gt;=1000,0.3,IF(G476&gt;=0,0.4,{0}))))))</f>
        <v/>
      </c>
      <c r="P476" s="326">
        <f>IF(AND(B476="",C476=""),"",ROUND(H476*O476,2))</f>
        <v/>
      </c>
      <c r="Q476" s="327" t="inlineStr">
        <is>
          <t>元件</t>
        </is>
      </c>
      <c r="R476" s="150" t="n"/>
      <c r="S476" s="150" t="n"/>
      <c r="T476" s="150" t="inlineStr">
        <is>
          <t>0</t>
        </is>
      </c>
      <c r="U476" s="150" t="inlineStr">
        <is>
          <t>C10N3MA100</t>
        </is>
      </c>
      <c r="V476" s="328" t="n"/>
      <c r="W476" s="328" t="n"/>
      <c r="X476" s="152" t="n"/>
    </row>
    <row r="477" customFormat="1" s="145">
      <c r="A477" s="36">
        <f>ROW()-ROW(A$475)</f>
        <v/>
      </c>
      <c r="B477" s="29" t="inlineStr">
        <is>
          <t>交流塑壳断路器</t>
        </is>
      </c>
      <c r="C477" s="25" t="inlineStr">
        <is>
          <t>NSX100N TMD 100 3P3D F</t>
        </is>
      </c>
      <c r="D477" s="29" t="inlineStr">
        <is>
          <t>甲供/施耐德电气</t>
        </is>
      </c>
      <c r="E477" s="30" t="inlineStr">
        <is>
          <t>只</t>
        </is>
      </c>
      <c r="F477" s="26" t="n">
        <v>5</v>
      </c>
      <c r="G477" s="297">
        <f>IF(AND(B477="",C477=""),"",ROUND(M477*L477*N477,2))</f>
        <v/>
      </c>
      <c r="H477" s="293">
        <f>IF(AND(B477="",C477=""),"",ROUND(F477*G477,2))</f>
        <v/>
      </c>
      <c r="I477" s="91" t="n"/>
      <c r="J477" s="329">
        <f>IF(AND(B477="",C477=""),"",ROUND(M477*N477,2))</f>
        <v/>
      </c>
      <c r="K477" s="330">
        <f>IF(AND(B477="",C477=""),"",ROUND(J477*F477,2))</f>
        <v/>
      </c>
      <c r="L477" s="126" t="n">
        <v>1</v>
      </c>
      <c r="M477" s="331" t="n">
        <v>1024.28</v>
      </c>
      <c r="N477" s="128" t="n">
        <v>0</v>
      </c>
      <c r="O477" s="129">
        <f t="array" ref="O477">IF(AND(B477="",C477=""),"",IF(G477&gt;=20000,0.05,IF(G477&gt;=10000,0.1,IF(G477&gt;=5000,0.2,IF(G477&gt;=1000,0.3,IF(G477&gt;=0,0.4,{0}))))))</f>
        <v/>
      </c>
      <c r="P477" s="332">
        <f>IF(AND(B477="",C477=""),"",ROUND(H477*O477,2))</f>
        <v/>
      </c>
      <c r="Q477" s="327" t="inlineStr">
        <is>
          <t>元件</t>
        </is>
      </c>
      <c r="R477" s="150" t="n"/>
      <c r="S477" s="150" t="n"/>
      <c r="T477" s="150" t="inlineStr">
        <is>
          <t>0</t>
        </is>
      </c>
      <c r="U477" s="150" t="inlineStr">
        <is>
          <t>C10N3TM100</t>
        </is>
      </c>
      <c r="V477" s="328" t="n"/>
      <c r="W477" s="328" t="n"/>
      <c r="X477" s="152" t="n"/>
    </row>
    <row r="478" customFormat="1" s="145">
      <c r="A478" s="36">
        <f>ROW()-ROW(A$475)</f>
        <v/>
      </c>
      <c r="B478" s="29" t="inlineStr">
        <is>
          <t>交流塑壳断路器</t>
        </is>
      </c>
      <c r="C478" s="25" t="inlineStr">
        <is>
          <t>NSX160N TMD 125 3P3D F</t>
        </is>
      </c>
      <c r="D478" s="29" t="inlineStr">
        <is>
          <t>甲供/施耐德电气</t>
        </is>
      </c>
      <c r="E478" s="30" t="inlineStr">
        <is>
          <t>只</t>
        </is>
      </c>
      <c r="F478" s="26" t="n">
        <v>2</v>
      </c>
      <c r="G478" s="293">
        <f>IF(AND(B478="",C478=""),"",ROUND(M478*L478*N478,2))</f>
        <v/>
      </c>
      <c r="H478" s="293">
        <f>IF(AND(B478="",C478=""),"",ROUND(F478*G478,2))</f>
        <v/>
      </c>
      <c r="I478" s="91" t="n"/>
      <c r="J478" s="329">
        <f>IF(AND(B478="",C478=""),"",ROUND(M478*N478,2))</f>
        <v/>
      </c>
      <c r="K478" s="330">
        <f>IF(AND(B478="",C478=""),"",ROUND(J478*F478,2))</f>
        <v/>
      </c>
      <c r="L478" s="126" t="n">
        <v>1</v>
      </c>
      <c r="M478" s="331" t="n">
        <v>1360.06</v>
      </c>
      <c r="N478" s="128" t="n">
        <v>0</v>
      </c>
      <c r="O478" s="129">
        <f t="array" ref="O478">IF(AND(B478="",C478=""),"",IF(G478&gt;=20000,0.05,IF(G478&gt;=10000,0.1,IF(G478&gt;=5000,0.2,IF(G478&gt;=1000,0.3,IF(G478&gt;=0,0.4,{0}))))))</f>
        <v/>
      </c>
      <c r="P478" s="332">
        <f>IF(AND(B478="",C478=""),"",ROUND(H478*O478,2))</f>
        <v/>
      </c>
      <c r="Q478" s="327" t="inlineStr">
        <is>
          <t>元件</t>
        </is>
      </c>
      <c r="R478" s="150" t="n"/>
      <c r="S478" s="150" t="n"/>
      <c r="T478" s="150" t="inlineStr">
        <is>
          <t>0</t>
        </is>
      </c>
      <c r="U478" s="150" t="inlineStr">
        <is>
          <t>C16N3TM125</t>
        </is>
      </c>
      <c r="V478" s="328" t="n"/>
      <c r="W478" s="328" t="n"/>
      <c r="X478" s="152" t="n"/>
    </row>
    <row r="479" customFormat="1" s="145">
      <c r="A479" s="36">
        <f>ROW()-ROW(A$475)</f>
        <v/>
      </c>
      <c r="B479" s="29" t="inlineStr">
        <is>
          <t>交流塑壳断路器</t>
        </is>
      </c>
      <c r="C479" s="25" t="inlineStr">
        <is>
          <t>NSX630N MIC 2.3 630 3P F</t>
        </is>
      </c>
      <c r="D479" s="29" t="inlineStr">
        <is>
          <t>甲供/施耐德电气</t>
        </is>
      </c>
      <c r="E479" s="30" t="inlineStr">
        <is>
          <t>只</t>
        </is>
      </c>
      <c r="F479" s="26" t="n">
        <v>1</v>
      </c>
      <c r="G479" s="293">
        <f>IF(AND(B479="",C479=""),"",ROUND(M479*L479*N479,2))</f>
        <v/>
      </c>
      <c r="H479" s="293">
        <f>IF(AND(B479="",C479=""),"",ROUND(F479*G479,2))</f>
        <v/>
      </c>
      <c r="I479" s="91" t="n"/>
      <c r="J479" s="329">
        <f>IF(AND(B479="",C479=""),"",ROUND(M479*N479,2))</f>
        <v/>
      </c>
      <c r="K479" s="330">
        <f>IF(AND(B479="",C479=""),"",ROUND(J479*F479,2))</f>
        <v/>
      </c>
      <c r="L479" s="126" t="n">
        <v>1</v>
      </c>
      <c r="M479" s="331" t="n">
        <v>5950.31</v>
      </c>
      <c r="N479" s="128" t="n">
        <v>0</v>
      </c>
      <c r="O479" s="129">
        <f t="array" ref="O479">IF(AND(B479="",C479=""),"",IF(G479&gt;=20000,0.05,IF(G479&gt;=10000,0.1,IF(G479&gt;=5000,0.2,IF(G479&gt;=1000,0.3,IF(G479&gt;=0,0.4,{0}))))))</f>
        <v/>
      </c>
      <c r="P479" s="332">
        <f>IF(AND(B479="",C479=""),"",ROUND(H479*O479,2))</f>
        <v/>
      </c>
      <c r="Q479" s="327" t="inlineStr">
        <is>
          <t>元件</t>
        </is>
      </c>
      <c r="R479" s="150" t="n"/>
      <c r="S479" s="150" t="n"/>
      <c r="T479" s="150" t="inlineStr">
        <is>
          <t>0</t>
        </is>
      </c>
      <c r="U479" s="150" t="inlineStr">
        <is>
          <t>C63N32D630</t>
        </is>
      </c>
      <c r="V479" s="328" t="n"/>
      <c r="W479" s="328" t="n"/>
      <c r="X479" s="152" t="inlineStr">
        <is>
          <t>NSX630N TMD 630 3P3D F</t>
        </is>
      </c>
    </row>
    <row r="480" customFormat="1" s="145">
      <c r="A480" s="36">
        <f>ROW()-ROW(A$475)</f>
        <v/>
      </c>
      <c r="B480" s="29" t="inlineStr">
        <is>
          <t>新外观延伸旋转手柄</t>
        </is>
      </c>
      <c r="C480" s="29" t="inlineStr">
        <is>
          <t>标准延伸旋转手柄/新外观延伸旋转手柄 100/160/250A</t>
        </is>
      </c>
      <c r="D480" s="29" t="inlineStr">
        <is>
          <t>甲供/施耐德电气</t>
        </is>
      </c>
      <c r="E480" s="30" t="inlineStr">
        <is>
          <t>只</t>
        </is>
      </c>
      <c r="F480" s="30" t="n">
        <v>10</v>
      </c>
      <c r="G480" s="297">
        <f>IF(AND(B480="",C480=""),"",ROUND(M480*L480*N480,2))</f>
        <v/>
      </c>
      <c r="H480" s="293">
        <f>IF(AND(B480="",C480=""),"",ROUND(F480*G480,2))</f>
        <v/>
      </c>
      <c r="I480" s="91" t="n"/>
      <c r="J480" s="329">
        <f>IF(AND(B480="",C480=""),"",ROUND(M480*N480,2))</f>
        <v/>
      </c>
      <c r="K480" s="330">
        <f>IF(AND(B480="",C480=""),"",ROUND(J480*F480,2))</f>
        <v/>
      </c>
      <c r="L480" s="126" t="n">
        <v>1</v>
      </c>
      <c r="M480" s="331" t="n">
        <v>189.75</v>
      </c>
      <c r="N480" s="128" t="n">
        <v>0</v>
      </c>
      <c r="O480" s="129">
        <f t="array" ref="O480">IF(AND(B480="",C480=""),"",IF(G480&gt;=20000,0.05,IF(G480&gt;=10000,0.1,IF(G480&gt;=5000,0.2,IF(G480&gt;=1000,0.3,IF(G480&gt;=0,0.4,{0}))))))</f>
        <v/>
      </c>
      <c r="P480" s="332">
        <f>IF(AND(B480="",C480=""),"",ROUND(H480*O480,2))</f>
        <v/>
      </c>
      <c r="Q480" s="327" t="inlineStr">
        <is>
          <t>元件</t>
        </is>
      </c>
      <c r="R480" s="150" t="n"/>
      <c r="S480" s="150" t="n"/>
      <c r="T480" s="150" t="inlineStr">
        <is>
          <t>0</t>
        </is>
      </c>
      <c r="U480" s="150" t="inlineStr">
        <is>
          <t>LV429338T</t>
        </is>
      </c>
      <c r="V480" s="328" t="n"/>
      <c r="W480" s="328" t="n"/>
      <c r="X480" s="152" t="n"/>
    </row>
    <row r="481" customFormat="1" s="145">
      <c r="A481" s="36">
        <f>ROW()-ROW(A$475)</f>
        <v/>
      </c>
      <c r="B481" s="29" t="inlineStr">
        <is>
          <t>新外观延伸旋转手柄</t>
        </is>
      </c>
      <c r="C481" s="29" t="inlineStr">
        <is>
          <t>标准延伸旋转手柄/新外观延伸旋转手柄 400/630A</t>
        </is>
      </c>
      <c r="D481" s="29" t="inlineStr">
        <is>
          <t>甲供/施耐德电气</t>
        </is>
      </c>
      <c r="E481" s="30" t="inlineStr">
        <is>
          <t>只</t>
        </is>
      </c>
      <c r="F481" s="30" t="n">
        <v>1</v>
      </c>
      <c r="G481" s="297">
        <f>IF(AND(B481="",C481=""),"",ROUND(M481*L481*N481,2))</f>
        <v/>
      </c>
      <c r="H481" s="297">
        <f>IF(AND(B481="",C481=""),"",ROUND(F481*G481,2))</f>
        <v/>
      </c>
      <c r="I481" s="135" t="n"/>
      <c r="J481" s="329">
        <f>IF(AND(B481="",C481=""),"",ROUND(M481*N481,2))</f>
        <v/>
      </c>
      <c r="K481" s="330">
        <f>IF(AND(B481="",C481=""),"",ROUND(J481*F481,2))</f>
        <v/>
      </c>
      <c r="L481" s="126" t="n">
        <v>1</v>
      </c>
      <c r="M481" s="331" t="n">
        <v>270.62</v>
      </c>
      <c r="N481" s="128" t="n">
        <v>0</v>
      </c>
      <c r="O481" s="129">
        <f t="array" ref="O481">IF(AND(B481="",C481=""),"",IF(G481&gt;=20000,0.05,IF(G481&gt;=10000,0.1,IF(G481&gt;=5000,0.2,IF(G481&gt;=1000,0.3,IF(G481&gt;=0,0.4,{0}))))))</f>
        <v/>
      </c>
      <c r="P481" s="332">
        <f>IF(AND(B481="",C481=""),"",ROUND(H481*O481,2))</f>
        <v/>
      </c>
      <c r="Q481" s="327" t="inlineStr">
        <is>
          <t>元件</t>
        </is>
      </c>
      <c r="R481" s="150" t="n"/>
      <c r="S481" s="150" t="n"/>
      <c r="T481" s="150" t="inlineStr">
        <is>
          <t>0</t>
        </is>
      </c>
      <c r="U481" s="150" t="inlineStr">
        <is>
          <t>LV432598T</t>
        </is>
      </c>
      <c r="V481" s="328" t="n"/>
      <c r="W481" s="328" t="n"/>
      <c r="X481" s="152" t="n"/>
    </row>
    <row r="482" customFormat="1" s="145">
      <c r="A482" s="36">
        <f>ROW()-ROW(A$475)</f>
        <v/>
      </c>
      <c r="B482" s="29" t="inlineStr">
        <is>
          <t>MX分励脱扣器</t>
        </is>
      </c>
      <c r="C482" s="29" t="inlineStr">
        <is>
          <t>MX分励AC220-240V/208-277V/100-630A</t>
        </is>
      </c>
      <c r="D482" s="29" t="inlineStr">
        <is>
          <t>甲供/施耐德电气</t>
        </is>
      </c>
      <c r="E482" s="30" t="inlineStr">
        <is>
          <t>只</t>
        </is>
      </c>
      <c r="F482" s="30" t="n">
        <v>11</v>
      </c>
      <c r="G482" s="297">
        <f>IF(AND(B482="",C482=""),"",ROUND(M482*L482*N482,2))</f>
        <v/>
      </c>
      <c r="H482" s="297">
        <f>IF(AND(B482="",C482=""),"",ROUND(F482*G482,2))</f>
        <v/>
      </c>
      <c r="I482" s="135" t="n"/>
      <c r="J482" s="329">
        <f>IF(AND(B482="",C482=""),"",ROUND(M482*N482,2))</f>
        <v/>
      </c>
      <c r="K482" s="330">
        <f>IF(AND(B482="",C482=""),"",ROUND(J482*F482,2))</f>
        <v/>
      </c>
      <c r="L482" s="126" t="n">
        <v>1</v>
      </c>
      <c r="M482" s="331" t="n">
        <v>314.03</v>
      </c>
      <c r="N482" s="128" t="n">
        <v>0</v>
      </c>
      <c r="O482" s="129">
        <f t="array" ref="O482">IF(AND(B482="",C482=""),"",IF(G482&gt;=20000,0.05,IF(G482&gt;=10000,0.1,IF(G482&gt;=5000,0.2,IF(G482&gt;=1000,0.3,IF(G482&gt;=0,0.4,{0}))))))</f>
        <v/>
      </c>
      <c r="P482" s="332">
        <f>IF(AND(B482="",C482=""),"",ROUND(H482*O482,2))</f>
        <v/>
      </c>
      <c r="Q482" s="327" t="inlineStr">
        <is>
          <t>元件</t>
        </is>
      </c>
      <c r="R482" s="150" t="n"/>
      <c r="S482" s="150" t="n"/>
      <c r="T482" s="150" t="inlineStr">
        <is>
          <t>0</t>
        </is>
      </c>
      <c r="U482" s="150" t="inlineStr">
        <is>
          <t>LV429387</t>
        </is>
      </c>
      <c r="V482" s="328" t="n"/>
      <c r="W482" s="328" t="n"/>
      <c r="X482" s="152" t="n"/>
    </row>
    <row r="483" customFormat="1" s="145">
      <c r="A483" s="36">
        <f>ROW()-ROW(A$475)</f>
        <v/>
      </c>
      <c r="B483" s="29" t="inlineStr">
        <is>
          <t>辅助触点OF</t>
        </is>
      </c>
      <c r="C483" s="25" t="inlineStr">
        <is>
          <t>OF</t>
        </is>
      </c>
      <c r="D483" s="29" t="inlineStr">
        <is>
          <t>甲供/施耐德电气</t>
        </is>
      </c>
      <c r="E483" s="30" t="inlineStr">
        <is>
          <t>只</t>
        </is>
      </c>
      <c r="F483" s="30" t="n">
        <v>22</v>
      </c>
      <c r="G483" s="297">
        <f>IF(AND(B483="",C483=""),"",ROUND(M483*L483*N483,2))</f>
        <v/>
      </c>
      <c r="H483" s="297">
        <f>IF(AND(B483="",C483=""),"",ROUND(F483*G483,2))</f>
        <v/>
      </c>
      <c r="I483" s="135" t="n"/>
      <c r="J483" s="329">
        <f>IF(AND(B483="",C483=""),"",ROUND(M483*N483,2))</f>
        <v/>
      </c>
      <c r="K483" s="330">
        <f>IF(AND(B483="",C483=""),"",ROUND(J483*F483,2))</f>
        <v/>
      </c>
      <c r="L483" s="126" t="n">
        <v>1</v>
      </c>
      <c r="M483" s="331" t="n">
        <v>174.01</v>
      </c>
      <c r="N483" s="128" t="n">
        <v>0</v>
      </c>
      <c r="O483" s="129">
        <f t="array" ref="O483">IF(AND(B483="",C483=""),"",IF(G483&gt;=20000,0.05,IF(G483&gt;=10000,0.1,IF(G483&gt;=5000,0.2,IF(G483&gt;=1000,0.3,IF(G483&gt;=0,0.4,{0}))))))</f>
        <v/>
      </c>
      <c r="P483" s="332">
        <f>IF(AND(B483="",C483=""),"",ROUND(H483*O483,2))</f>
        <v/>
      </c>
      <c r="Q483" s="327" t="inlineStr">
        <is>
          <t>元件</t>
        </is>
      </c>
      <c r="R483" s="150" t="n"/>
      <c r="S483" s="150" t="n"/>
      <c r="T483" s="150" t="inlineStr">
        <is>
          <t>0</t>
        </is>
      </c>
      <c r="U483" s="150" t="inlineStr">
        <is>
          <t>29450</t>
        </is>
      </c>
      <c r="V483" s="328" t="n"/>
      <c r="W483" s="328" t="n"/>
      <c r="X483" s="152" t="n"/>
    </row>
    <row r="484" customFormat="1" s="145">
      <c r="A484" s="36">
        <f>ROW()-ROW(A$475)</f>
        <v/>
      </c>
      <c r="B484" s="29" t="inlineStr">
        <is>
          <t>热过载继电器</t>
        </is>
      </c>
      <c r="C484" s="29" t="inlineStr">
        <is>
          <t>LRD05C+LAD7B106C</t>
        </is>
      </c>
      <c r="D484" s="29" t="inlineStr">
        <is>
          <t>甲供/施耐德电气</t>
        </is>
      </c>
      <c r="E484" s="30" t="inlineStr">
        <is>
          <t>只</t>
        </is>
      </c>
      <c r="F484" s="30" t="n">
        <v>3</v>
      </c>
      <c r="G484" s="297">
        <f>IF(AND(B484="",C484=""),"",ROUND(M484*L484*N484,2))</f>
        <v/>
      </c>
      <c r="H484" s="297">
        <f>IF(AND(B484="",C484=""),"",ROUND(F484*G484,2))</f>
        <v/>
      </c>
      <c r="I484" s="135" t="n"/>
      <c r="J484" s="329">
        <f>IF(AND(B484="",C484=""),"",ROUND(M484*N484,2))</f>
        <v/>
      </c>
      <c r="K484" s="330">
        <f>IF(AND(B484="",C484=""),"",ROUND(J484*F484,2))</f>
        <v/>
      </c>
      <c r="L484" s="126" t="n">
        <v>1</v>
      </c>
      <c r="M484" s="331" t="n">
        <v>161.66</v>
      </c>
      <c r="N484" s="128" t="n">
        <v>0</v>
      </c>
      <c r="O484" s="129">
        <f t="array" ref="O484">IF(AND(B484="",C484=""),"",IF(G484&gt;=20000,0.05,IF(G484&gt;=10000,0.1,IF(G484&gt;=5000,0.2,IF(G484&gt;=1000,0.3,IF(G484&gt;=0,0.4,{0}))))))</f>
        <v/>
      </c>
      <c r="P484" s="332">
        <f>IF(AND(B484="",C484=""),"",ROUND(H484*O484,2))</f>
        <v/>
      </c>
      <c r="Q484" s="327" t="inlineStr">
        <is>
          <t>元件</t>
        </is>
      </c>
      <c r="R484" s="150" t="n"/>
      <c r="S484" s="150" t="n"/>
      <c r="T484" s="150" t="inlineStr">
        <is>
          <t>0</t>
        </is>
      </c>
      <c r="U484" s="150" t="inlineStr">
        <is>
          <t>LRD05C+LAD7B106C</t>
        </is>
      </c>
      <c r="V484" s="328" t="n"/>
      <c r="W484" s="328" t="n"/>
      <c r="X484" s="152" t="n"/>
    </row>
    <row r="485" customFormat="1" s="145">
      <c r="A485" s="36">
        <f>ROW()-ROW(A$475)</f>
        <v/>
      </c>
      <c r="B485" s="29" t="inlineStr">
        <is>
          <t>测量电流互感器</t>
        </is>
      </c>
      <c r="C485" s="29" t="inlineStr">
        <is>
          <t>SD-0.66-M8 100/5A</t>
        </is>
      </c>
      <c r="D485" s="29" t="inlineStr">
        <is>
          <t>杭州桑迪</t>
        </is>
      </c>
      <c r="E485" s="30" t="inlineStr">
        <is>
          <t>只</t>
        </is>
      </c>
      <c r="F485" s="30" t="n">
        <v>24</v>
      </c>
      <c r="G485" s="297">
        <f>IF(AND(B485="",C485=""),"",ROUND(M485*L485*N485,2))</f>
        <v/>
      </c>
      <c r="H485" s="297">
        <f>IF(AND(B485="",C485=""),"",ROUND(F485*G485,2))</f>
        <v/>
      </c>
      <c r="I485" s="135" t="n"/>
      <c r="J485" s="329">
        <f>IF(AND(B485="",C485=""),"",ROUND(M485*N485,2))</f>
        <v/>
      </c>
      <c r="K485" s="330">
        <f>IF(AND(B485="",C485=""),"",ROUND(J485*F485,2))</f>
        <v/>
      </c>
      <c r="L485" s="126" t="n">
        <v>1</v>
      </c>
      <c r="M485" s="331" t="n">
        <v>61.75</v>
      </c>
      <c r="N485" s="128" t="n">
        <v>1</v>
      </c>
      <c r="O485" s="129">
        <f t="array" ref="O485">IF(AND(B485="",C485=""),"",IF(G485&gt;=20000,0.05,IF(G485&gt;=10000,0.1,IF(G485&gt;=5000,0.2,IF(G485&gt;=1000,0.3,IF(G485&gt;=0,0.4,{0}))))))</f>
        <v/>
      </c>
      <c r="P485" s="332">
        <f>IF(AND(B485="",C485=""),"",ROUND(H485*O485,2))</f>
        <v/>
      </c>
      <c r="Q485" s="327" t="inlineStr">
        <is>
          <t>元件</t>
        </is>
      </c>
      <c r="R485" s="150" t="n"/>
      <c r="S485" s="150" t="n"/>
      <c r="T485" s="150" t="inlineStr">
        <is>
          <t>0</t>
        </is>
      </c>
      <c r="U485" s="150" t="n"/>
      <c r="V485" s="328" t="n"/>
      <c r="W485" s="328" t="n"/>
      <c r="X485" s="152" t="n"/>
    </row>
    <row r="486" customFormat="1" s="145">
      <c r="A486" s="36">
        <f>ROW()-ROW(A$475)</f>
        <v/>
      </c>
      <c r="B486" s="29" t="inlineStr">
        <is>
          <t>测量电流互感器</t>
        </is>
      </c>
      <c r="C486" s="29" t="inlineStr">
        <is>
          <t>SD-0.66-30I 150/5A</t>
        </is>
      </c>
      <c r="D486" s="29" t="inlineStr">
        <is>
          <t>杭州桑迪</t>
        </is>
      </c>
      <c r="E486" s="30" t="inlineStr">
        <is>
          <t>只</t>
        </is>
      </c>
      <c r="F486" s="30" t="n">
        <v>6</v>
      </c>
      <c r="G486" s="297">
        <f>IF(AND(B486="",C486=""),"",ROUND(M486*L486*N486,2))</f>
        <v/>
      </c>
      <c r="H486" s="297">
        <f>IF(AND(B486="",C486=""),"",ROUND(F486*G486,2))</f>
        <v/>
      </c>
      <c r="I486" s="135" t="n"/>
      <c r="J486" s="329">
        <f>IF(AND(B486="",C486=""),"",ROUND(M486*N486,2))</f>
        <v/>
      </c>
      <c r="K486" s="330">
        <f>IF(AND(B486="",C486=""),"",ROUND(J486*F486,2))</f>
        <v/>
      </c>
      <c r="L486" s="126" t="n">
        <v>1</v>
      </c>
      <c r="M486" s="331" t="n">
        <v>29.25</v>
      </c>
      <c r="N486" s="128" t="n">
        <v>1</v>
      </c>
      <c r="O486" s="129">
        <f t="array" ref="O486">IF(AND(B486="",C486=""),"",IF(G486&gt;=20000,0.05,IF(G486&gt;=10000,0.1,IF(G486&gt;=5000,0.2,IF(G486&gt;=1000,0.3,IF(G486&gt;=0,0.4,{0}))))))</f>
        <v/>
      </c>
      <c r="P486" s="332">
        <f>IF(AND(B486="",C486=""),"",ROUND(H486*O486,2))</f>
        <v/>
      </c>
      <c r="Q486" s="327" t="inlineStr">
        <is>
          <t>元件</t>
        </is>
      </c>
      <c r="R486" s="150" t="n"/>
      <c r="S486" s="150" t="n"/>
      <c r="T486" s="150" t="inlineStr">
        <is>
          <t>0</t>
        </is>
      </c>
      <c r="U486" s="150" t="n"/>
      <c r="V486" s="328" t="n"/>
      <c r="W486" s="328" t="n"/>
      <c r="X486" s="152" t="n"/>
    </row>
    <row r="487" customFormat="1" s="145">
      <c r="A487" s="36">
        <f>ROW()-ROW(A$475)</f>
        <v/>
      </c>
      <c r="B487" s="29" t="inlineStr">
        <is>
          <t>测量电流互感器</t>
        </is>
      </c>
      <c r="C487" s="29" t="inlineStr">
        <is>
          <t>SD-0.66-60II-C 600/5A</t>
        </is>
      </c>
      <c r="D487" s="29" t="inlineStr">
        <is>
          <t>杭州桑迪</t>
        </is>
      </c>
      <c r="E487" s="30" t="inlineStr">
        <is>
          <t>只</t>
        </is>
      </c>
      <c r="F487" s="30" t="n">
        <v>3</v>
      </c>
      <c r="G487" s="297">
        <f>IF(AND(B487="",C487=""),"",ROUND(M487*L487*N487,2))</f>
        <v/>
      </c>
      <c r="H487" s="297">
        <f>IF(AND(B487="",C487=""),"",ROUND(F487*G487,2))</f>
        <v/>
      </c>
      <c r="I487" s="135" t="n"/>
      <c r="J487" s="329">
        <f>IF(AND(B487="",C487=""),"",ROUND(M487*N487,2))</f>
        <v/>
      </c>
      <c r="K487" s="330">
        <f>IF(AND(B487="",C487=""),"",ROUND(J487*F487,2))</f>
        <v/>
      </c>
      <c r="L487" s="126" t="n">
        <v>1</v>
      </c>
      <c r="M487" s="331" t="n">
        <v>76.7</v>
      </c>
      <c r="N487" s="128" t="n">
        <v>1</v>
      </c>
      <c r="O487" s="129">
        <f t="array" ref="O487">IF(AND(B487="",C487=""),"",IF(G487&gt;=20000,0.05,IF(G487&gt;=10000,0.1,IF(G487&gt;=5000,0.2,IF(G487&gt;=1000,0.3,IF(G487&gt;=0,0.4,{0}))))))</f>
        <v/>
      </c>
      <c r="P487" s="332">
        <f>IF(AND(B487="",C487=""),"",ROUND(H487*O487,2))</f>
        <v/>
      </c>
      <c r="Q487" s="327" t="inlineStr">
        <is>
          <t>元件</t>
        </is>
      </c>
      <c r="R487" s="150" t="n"/>
      <c r="S487" s="150" t="n"/>
      <c r="T487" s="150" t="inlineStr">
        <is>
          <t>0</t>
        </is>
      </c>
      <c r="U487" s="150" t="n"/>
      <c r="V487" s="328" t="n"/>
      <c r="W487" s="328" t="n"/>
      <c r="X487" s="152" t="n"/>
    </row>
    <row r="488" customFormat="1" s="145">
      <c r="A488" s="36">
        <f>ROW()-ROW(A$475)</f>
        <v/>
      </c>
      <c r="B488" s="25" t="inlineStr">
        <is>
          <t>多功能表</t>
        </is>
      </c>
      <c r="C488" s="25" t="inlineStr">
        <is>
          <t>PM4101</t>
        </is>
      </c>
      <c r="D488" s="25" t="inlineStr">
        <is>
          <t>甲供/施耐德电气</t>
        </is>
      </c>
      <c r="E488" s="30" t="inlineStr">
        <is>
          <t>只</t>
        </is>
      </c>
      <c r="F488" s="26" t="n">
        <v>11</v>
      </c>
      <c r="G488" s="293">
        <f>IF(AND(B488="",C488=""),"",ROUND(M488*L488*N488,2))</f>
        <v/>
      </c>
      <c r="H488" s="293">
        <f>IF(AND(B488="",C488=""),"",ROUND(F488*G488,2))</f>
        <v/>
      </c>
      <c r="I488" s="91" t="n"/>
      <c r="J488" s="329">
        <f>IF(AND(B488="",C488=""),"",ROUND(M488*N488,2))</f>
        <v/>
      </c>
      <c r="K488" s="330">
        <f>IF(AND(B488="",C488=""),"",ROUND(J488*F488,2))</f>
        <v/>
      </c>
      <c r="L488" s="126" t="n">
        <v>1</v>
      </c>
      <c r="M488" s="331" t="n">
        <v>1e-07</v>
      </c>
      <c r="N488" s="128" t="n">
        <v>0</v>
      </c>
      <c r="O488" s="129">
        <f t="array" ref="O488">IF(AND(B488="",C488=""),"",IF(G488&gt;=20000,0.05,IF(G488&gt;=10000,0.1,IF(G488&gt;=5000,0.2,IF(G488&gt;=1000,0.3,IF(G488&gt;=0,0.4,{0}))))))</f>
        <v/>
      </c>
      <c r="P488" s="332">
        <f>IF(AND(B488="",C488=""),"",ROUND(H488*O488,2))</f>
        <v/>
      </c>
      <c r="Q488" s="327" t="inlineStr">
        <is>
          <t>元件</t>
        </is>
      </c>
      <c r="R488" s="150" t="n"/>
      <c r="S488" s="150" t="n"/>
      <c r="T488" s="150" t="inlineStr">
        <is>
          <t>0</t>
        </is>
      </c>
      <c r="U488" s="150" t="n"/>
      <c r="V488" s="328" t="n"/>
      <c r="W488" s="328" t="n"/>
      <c r="X488" s="152" t="n"/>
    </row>
    <row r="489" customFormat="1" s="145">
      <c r="A489" s="36">
        <f>ROW()-ROW(A$475)</f>
        <v/>
      </c>
      <c r="B489" s="29" t="inlineStr">
        <is>
          <t>指示灯</t>
        </is>
      </c>
      <c r="C489" s="29" t="inlineStr">
        <is>
          <t>XA2EVM3LC</t>
        </is>
      </c>
      <c r="D489" s="29" t="inlineStr">
        <is>
          <t>施耐德电气</t>
        </is>
      </c>
      <c r="E489" s="30" t="inlineStr">
        <is>
          <t>只</t>
        </is>
      </c>
      <c r="F489" s="30" t="n">
        <v>11</v>
      </c>
      <c r="G489" s="297">
        <f>IF(AND(B489="",C489=""),"",ROUND(M489*L489*N489,2))</f>
        <v/>
      </c>
      <c r="H489" s="297">
        <f>IF(AND(B489="",C489=""),"",ROUND(F489*G489,2))</f>
        <v/>
      </c>
      <c r="I489" s="136" t="n"/>
      <c r="J489" s="329">
        <f>IF(AND(B489="",C489=""),"",ROUND(M489*N489,2))</f>
        <v/>
      </c>
      <c r="K489" s="330">
        <f>IF(AND(B489="",C489=""),"",ROUND(J489*F489,2))</f>
        <v/>
      </c>
      <c r="L489" s="126" t="n">
        <v>1</v>
      </c>
      <c r="M489" s="331" t="n">
        <v>16.43</v>
      </c>
      <c r="N489" s="137" t="n">
        <v>0.5</v>
      </c>
      <c r="O489" s="138">
        <f t="array" ref="O489">IF(AND(B489="",C489=""),"",IF(G489&gt;=20000,0.05,IF(G489&gt;=10000,0.1,IF(G489&gt;=5000,0.2,IF(G489&gt;=1000,0.3,IF(G489&gt;=0,0.4,{0}))))))</f>
        <v/>
      </c>
      <c r="P489" s="333">
        <f>IF(AND(B489="",C489=""),"",ROUND(H489*O489,2))</f>
        <v/>
      </c>
      <c r="Q489" s="334" t="inlineStr">
        <is>
          <t>元件</t>
        </is>
      </c>
      <c r="R489" s="154" t="n"/>
      <c r="S489" s="154" t="n"/>
      <c r="T489" s="154" t="inlineStr">
        <is>
          <t>0</t>
        </is>
      </c>
      <c r="U489" s="154" t="inlineStr">
        <is>
          <t>XA2EVM3LC</t>
        </is>
      </c>
      <c r="V489" s="335" t="n"/>
      <c r="W489" s="335" t="n"/>
      <c r="X489" s="152" t="n"/>
    </row>
    <row r="490" customFormat="1" s="145">
      <c r="A490" s="36">
        <f>ROW()-ROW(A$475)</f>
        <v/>
      </c>
      <c r="B490" s="29" t="inlineStr">
        <is>
          <t>指示灯</t>
        </is>
      </c>
      <c r="C490" s="25" t="inlineStr">
        <is>
          <t>XA2EVM4LC</t>
        </is>
      </c>
      <c r="D490" s="29" t="inlineStr">
        <is>
          <t>施耐德电气</t>
        </is>
      </c>
      <c r="E490" s="30" t="inlineStr">
        <is>
          <t>只</t>
        </is>
      </c>
      <c r="F490" s="30" t="n">
        <v>11</v>
      </c>
      <c r="G490" s="297">
        <f>IF(AND(B490="",C490=""),"",ROUND(M490*L490*N490,2))</f>
        <v/>
      </c>
      <c r="H490" s="297">
        <f>IF(AND(B490="",C490=""),"",ROUND(F490*G490,2))</f>
        <v/>
      </c>
      <c r="I490" s="136" t="n"/>
      <c r="J490" s="329">
        <f>IF(AND(B490="",C490=""),"",ROUND(M490*N490,2))</f>
        <v/>
      </c>
      <c r="K490" s="330">
        <f>IF(AND(B490="",C490=""),"",ROUND(J490*F490,2))</f>
        <v/>
      </c>
      <c r="L490" s="126" t="n">
        <v>1</v>
      </c>
      <c r="M490" s="331" t="n">
        <v>16.43</v>
      </c>
      <c r="N490" s="137" t="n">
        <v>0.5</v>
      </c>
      <c r="O490" s="138">
        <f t="array" ref="O490">IF(AND(B490="",C490=""),"",IF(G490&gt;=20000,0.05,IF(G490&gt;=10000,0.1,IF(G490&gt;=5000,0.2,IF(G490&gt;=1000,0.3,IF(G490&gt;=0,0.4,{0}))))))</f>
        <v/>
      </c>
      <c r="P490" s="333">
        <f>IF(AND(B490="",C490=""),"",ROUND(H490*O490,2))</f>
        <v/>
      </c>
      <c r="Q490" s="334" t="inlineStr">
        <is>
          <t>元件</t>
        </is>
      </c>
      <c r="R490" s="154" t="n"/>
      <c r="S490" s="154" t="n"/>
      <c r="T490" s="154" t="inlineStr">
        <is>
          <t>0</t>
        </is>
      </c>
      <c r="U490" s="154" t="inlineStr">
        <is>
          <t>XA2EVM4LC</t>
        </is>
      </c>
      <c r="V490" s="335" t="n"/>
      <c r="W490" s="335" t="n"/>
      <c r="X490" s="152" t="n"/>
    </row>
    <row r="491" customFormat="1" s="145">
      <c r="A491" s="36">
        <f>ROW()-ROW(A$475)</f>
        <v/>
      </c>
      <c r="B491" s="25" t="inlineStr">
        <is>
          <t>中间继电器</t>
        </is>
      </c>
      <c r="C491" s="25" t="inlineStr">
        <is>
          <t>RXM4AB2P7+RXZE1M4C+RXZ410</t>
        </is>
      </c>
      <c r="D491" s="25" t="inlineStr">
        <is>
          <t>甲供/施耐德电气</t>
        </is>
      </c>
      <c r="E491" s="26" t="inlineStr">
        <is>
          <t>只</t>
        </is>
      </c>
      <c r="F491" s="26" t="n">
        <v>11</v>
      </c>
      <c r="G491" s="292">
        <f>IF(AND(B491="",C491=""),"",ROUND(M491*L491*N491,2))</f>
        <v/>
      </c>
      <c r="H491" s="297">
        <f>IF(AND(B491="",C491=""),"",ROUND(F491*G491,2))</f>
        <v/>
      </c>
      <c r="I491" s="135" t="n"/>
      <c r="J491" s="329">
        <f>IF(AND(B491="",C491=""),"",ROUND(M491*N491,2))</f>
        <v/>
      </c>
      <c r="K491" s="330">
        <f>IF(AND(B491="",C491=""),"",ROUND(J491*F491,2))</f>
        <v/>
      </c>
      <c r="L491" s="126" t="n">
        <v>1</v>
      </c>
      <c r="M491" s="331" t="n">
        <v>1e-07</v>
      </c>
      <c r="N491" s="128" t="n">
        <v>0</v>
      </c>
      <c r="O491" s="129">
        <f t="array" ref="O491">IF(AND(B491="",C491=""),"",IF(G491&gt;=20000,0.05,IF(G491&gt;=10000,0.1,IF(G491&gt;=5000,0.2,IF(G491&gt;=1000,0.3,IF(G491&gt;=0,0.4,{0}))))))</f>
        <v/>
      </c>
      <c r="P491" s="332">
        <f>IF(AND(B491="",C491=""),"",ROUND(H491*O491,2))</f>
        <v/>
      </c>
      <c r="Q491" s="327" t="inlineStr">
        <is>
          <t>元件</t>
        </is>
      </c>
      <c r="R491" s="150" t="n"/>
      <c r="S491" s="150" t="n"/>
      <c r="T491" s="150" t="inlineStr">
        <is>
          <t>0</t>
        </is>
      </c>
      <c r="U491" s="150" t="n"/>
      <c r="V491" s="328" t="n"/>
      <c r="W491" s="328" t="n"/>
      <c r="X491" s="152" t="n"/>
    </row>
    <row r="492" customFormat="1" s="145">
      <c r="A492" s="36">
        <f>ROW()-ROW(A$475)</f>
        <v/>
      </c>
      <c r="B492" s="29" t="inlineStr">
        <is>
          <t>熔断器</t>
        </is>
      </c>
      <c r="C492" s="29" t="inlineStr">
        <is>
          <t>UK5-HESI</t>
        </is>
      </c>
      <c r="D492" s="25" t="inlineStr">
        <is>
          <t>菲尼克斯</t>
        </is>
      </c>
      <c r="E492" s="26" t="inlineStr">
        <is>
          <t>只</t>
        </is>
      </c>
      <c r="F492" s="26" t="n">
        <v>44</v>
      </c>
      <c r="G492" s="293">
        <f>IF(AND(B492="",C492=""),"",ROUND(M492*L492*N492,2))</f>
        <v/>
      </c>
      <c r="H492" s="297">
        <f>IF(AND(B492="",C492=""),"",ROUND(F492*G492,2))</f>
        <v/>
      </c>
      <c r="I492" s="136" t="n"/>
      <c r="J492" s="329">
        <f>IF(AND(B492="",C492=""),"",ROUND(M492*N492,2))</f>
        <v/>
      </c>
      <c r="K492" s="330">
        <f>IF(AND(B492="",C492=""),"",ROUND(J492*F492,2))</f>
        <v/>
      </c>
      <c r="L492" s="126" t="n">
        <v>1</v>
      </c>
      <c r="M492" s="331" t="n">
        <v>7</v>
      </c>
      <c r="N492" s="128" t="n">
        <v>1</v>
      </c>
      <c r="O492" s="129">
        <f t="array" ref="O492">IF(AND(B492="",C492=""),"",IF(G492&gt;=20000,0.05,IF(G492&gt;=10000,0.1,IF(G492&gt;=5000,0.2,IF(G492&gt;=1000,0.3,IF(G492&gt;=0,0.4,{0}))))))</f>
        <v/>
      </c>
      <c r="P492" s="332">
        <f>IF(AND(B492="",C492=""),"",ROUND(H492*O492,2))</f>
        <v/>
      </c>
      <c r="Q492" s="327" t="inlineStr">
        <is>
          <t>元件</t>
        </is>
      </c>
      <c r="R492" s="150" t="n"/>
      <c r="S492" s="150" t="n"/>
      <c r="T492" s="150" t="inlineStr">
        <is>
          <t>0</t>
        </is>
      </c>
      <c r="U492" s="150" t="n"/>
      <c r="V492" s="328" t="n"/>
      <c r="W492" s="328" t="n"/>
      <c r="X492" s="152" t="n"/>
    </row>
    <row r="493" customFormat="1" s="145">
      <c r="A493" s="36">
        <f>ROW()-ROW(A$475)</f>
        <v/>
      </c>
      <c r="B493" s="29" t="inlineStr">
        <is>
          <t>SP元件</t>
        </is>
      </c>
      <c r="C493" s="25" t="inlineStr">
        <is>
          <t>智能网关 PAS700</t>
        </is>
      </c>
      <c r="D493" s="25" t="inlineStr">
        <is>
          <t>甲供/施耐德电气</t>
        </is>
      </c>
      <c r="E493" s="30" t="inlineStr">
        <is>
          <t>只</t>
        </is>
      </c>
      <c r="F493" s="30">
        <f>IF(AND(B493="",C493=""),"",1)</f>
        <v/>
      </c>
      <c r="G493" s="297">
        <f>IF(AND(B493="",C493=""),"",ROUND(M493*L493*N493,2))</f>
        <v/>
      </c>
      <c r="H493" s="297">
        <f>IF(AND(B493="",C493=""),"",ROUND(F493*G493,2))</f>
        <v/>
      </c>
      <c r="I493" s="135" t="n"/>
      <c r="J493" s="329">
        <f>IF(AND(B493="",C493=""),"",ROUND(M493*N493,2))</f>
        <v/>
      </c>
      <c r="K493" s="330">
        <f>IF(AND(B493="",C493=""),"",ROUND(J493*F493,2))</f>
        <v/>
      </c>
      <c r="L493" s="126" t="n">
        <v>1</v>
      </c>
      <c r="M493" s="331" t="n">
        <v>1e-07</v>
      </c>
      <c r="N493" s="128" t="n">
        <v>0</v>
      </c>
      <c r="O493" s="129">
        <f t="array" ref="O493">IF(AND(B493="",C493=""),"",IF(G493&gt;=20000,0.05,IF(G493&gt;=10000,0.1,IF(G493&gt;=5000,0.2,IF(G493&gt;=1000,0.3,IF(G493&gt;=0,0.4,{0}))))))</f>
        <v/>
      </c>
      <c r="P493" s="332">
        <f>IF(AND(B493="",C493=""),"",ROUND(H493*O493,2))</f>
        <v/>
      </c>
      <c r="Q493" s="327" t="inlineStr">
        <is>
          <t>元件</t>
        </is>
      </c>
      <c r="R493" s="150" t="n"/>
      <c r="S493" s="150" t="n"/>
      <c r="T493" s="150" t="inlineStr">
        <is>
          <t>0</t>
        </is>
      </c>
      <c r="U493" s="150" t="n"/>
      <c r="V493" s="328" t="n"/>
      <c r="W493" s="328" t="n"/>
      <c r="X493" s="152" t="n"/>
    </row>
    <row r="494" customFormat="1" s="145">
      <c r="A494" s="36">
        <f>ROW()-ROW(A$475)</f>
        <v/>
      </c>
      <c r="B494" s="25" t="inlineStr">
        <is>
          <t>水平排4000A</t>
        </is>
      </c>
      <c r="C494" s="25" t="inlineStr">
        <is>
          <t>TMY 3*(4*125*5)+2*125*5+2*50*5</t>
        </is>
      </c>
      <c r="D494" s="25" t="inlineStr">
        <is>
          <t>国产优质</t>
        </is>
      </c>
      <c r="E494" s="26" t="inlineStr">
        <is>
          <t>米</t>
        </is>
      </c>
      <c r="F494" s="30" t="n">
        <v>0.6</v>
      </c>
      <c r="G494" s="297">
        <f>IF(AND(B494="",C494=""),"",ROUND(M494*L494*N494,2))</f>
        <v/>
      </c>
      <c r="H494" s="297">
        <f>IF(AND(B494="",C494=""),"",ROUND(F494*G494,2))</f>
        <v/>
      </c>
      <c r="I494" s="135" t="n"/>
      <c r="J494" s="329">
        <f>IF(AND(B494="",C494=""),"",ROUND(M494*N494,2))</f>
        <v/>
      </c>
      <c r="K494" s="330">
        <f>IF(AND(B494="",C494=""),"",ROUND(J494*F494,2))</f>
        <v/>
      </c>
      <c r="L494" s="126" t="n">
        <v>1</v>
      </c>
      <c r="M494" s="331" t="n">
        <v>6895.130375</v>
      </c>
      <c r="N494" s="128" t="n">
        <v>1</v>
      </c>
      <c r="O494" s="129">
        <f t="array" ref="O494">IF(AND(B494="",C494=""),"",IF(G494&gt;=20000,0.05,IF(G494&gt;=10000,0.1,IF(G494&gt;=5000,0.2,IF(G494&gt;=1000,0.3,IF(G494&gt;=0,0.4,{0}))))))</f>
        <v/>
      </c>
      <c r="P494" s="332">
        <f>IF(AND(B494="",C494=""),"",ROUND(H494*O494,2))</f>
        <v/>
      </c>
      <c r="Q494" s="327" t="inlineStr">
        <is>
          <t>母排</t>
        </is>
      </c>
      <c r="R494" s="150" t="n"/>
      <c r="S494" s="150" t="n"/>
      <c r="T494" s="150" t="inlineStr">
        <is>
          <t>0</t>
        </is>
      </c>
      <c r="U494" s="150" t="n"/>
      <c r="V494" s="328" t="n"/>
      <c r="W494" s="328" t="n"/>
      <c r="X494" s="152" t="n"/>
    </row>
    <row r="495" customFormat="1" s="145">
      <c r="A495" s="36">
        <f>ROW()-ROW(A$475)</f>
        <v/>
      </c>
      <c r="B495" s="25" t="inlineStr">
        <is>
          <t>垂直排</t>
        </is>
      </c>
      <c r="C495" s="25" t="inlineStr">
        <is>
          <t>TMY 60*10</t>
        </is>
      </c>
      <c r="D495" s="25" t="inlineStr">
        <is>
          <t>国产优质</t>
        </is>
      </c>
      <c r="E495" s="26" t="inlineStr">
        <is>
          <t>米</t>
        </is>
      </c>
      <c r="F495" s="30" t="n">
        <v>5.7</v>
      </c>
      <c r="G495" s="297">
        <f>IF(AND(B495="",C495=""),"",ROUND(M495*L495*N495,2))</f>
        <v/>
      </c>
      <c r="H495" s="297">
        <f>IF(AND(B495="",C495=""),"",ROUND(F495*G495,2))</f>
        <v/>
      </c>
      <c r="I495" s="135" t="n"/>
      <c r="J495" s="329">
        <f>IF(AND(B495="",C495=""),"",ROUND(M495*N495,2))</f>
        <v/>
      </c>
      <c r="K495" s="330">
        <f>IF(AND(B495="",C495=""),"",ROUND(J495*F495,2))</f>
        <v/>
      </c>
      <c r="L495" s="126" t="n">
        <v>1</v>
      </c>
      <c r="M495" s="331" t="n">
        <v>447.2517</v>
      </c>
      <c r="N495" s="128" t="n">
        <v>1</v>
      </c>
      <c r="O495" s="129">
        <f t="array" ref="O495">IF(AND(B495="",C495=""),"",IF(G495&gt;=20000,0.05,IF(G495&gt;=10000,0.1,IF(G495&gt;=5000,0.2,IF(G495&gt;=1000,0.3,IF(G495&gt;=0,0.4,{0}))))))</f>
        <v/>
      </c>
      <c r="P495" s="332">
        <f>IF(AND(B495="",C495=""),"",ROUND(H495*O495,2))</f>
        <v/>
      </c>
      <c r="Q495" s="327" t="inlineStr">
        <is>
          <t>母排</t>
        </is>
      </c>
      <c r="R495" s="150" t="n"/>
      <c r="S495" s="150" t="n"/>
      <c r="T495" s="150" t="inlineStr">
        <is>
          <t>0</t>
        </is>
      </c>
      <c r="U495" s="150" t="n"/>
      <c r="V495" s="328" t="n"/>
      <c r="W495" s="328" t="n"/>
      <c r="X495" s="152" t="n"/>
    </row>
    <row r="496" customFormat="1" s="145">
      <c r="A496" s="36">
        <f>ROW()-ROW(A$475)</f>
        <v/>
      </c>
      <c r="B496" s="25" t="inlineStr">
        <is>
          <t>连接排</t>
        </is>
      </c>
      <c r="C496" s="25" t="inlineStr">
        <is>
          <t>TMY 50*10</t>
        </is>
      </c>
      <c r="D496" s="25" t="inlineStr">
        <is>
          <t>国产优质</t>
        </is>
      </c>
      <c r="E496" s="26" t="inlineStr">
        <is>
          <t>米</t>
        </is>
      </c>
      <c r="F496" s="30" t="n">
        <v>3.1</v>
      </c>
      <c r="G496" s="297">
        <f>IF(AND(B496="",C496=""),"",ROUND(M496*L496*N496,2))</f>
        <v/>
      </c>
      <c r="H496" s="297">
        <f>IF(AND(B496="",C496=""),"",ROUND(F496*G496,2))</f>
        <v/>
      </c>
      <c r="I496" s="135" t="n"/>
      <c r="J496" s="329">
        <f>IF(AND(B496="",C496=""),"",ROUND(M496*N496,2))</f>
        <v/>
      </c>
      <c r="K496" s="330">
        <f>IF(AND(B496="",C496=""),"",ROUND(J496*F496,2))</f>
        <v/>
      </c>
      <c r="L496" s="126" t="n">
        <v>1</v>
      </c>
      <c r="M496" s="331" t="n">
        <v>372.70975</v>
      </c>
      <c r="N496" s="128" t="n">
        <v>1</v>
      </c>
      <c r="O496" s="129">
        <f t="array" ref="O496">IF(AND(B496="",C496=""),"",IF(G496&gt;=20000,0.05,IF(G496&gt;=10000,0.1,IF(G496&gt;=5000,0.2,IF(G496&gt;=1000,0.3,IF(G496&gt;=0,0.4,{0}))))))</f>
        <v/>
      </c>
      <c r="P496" s="332">
        <f>IF(AND(B496="",C496=""),"",ROUND(H496*O496,2))</f>
        <v/>
      </c>
      <c r="Q496" s="327" t="inlineStr">
        <is>
          <t>母排</t>
        </is>
      </c>
      <c r="R496" s="150" t="n"/>
      <c r="S496" s="150" t="n"/>
      <c r="T496" s="150" t="inlineStr">
        <is>
          <t>0</t>
        </is>
      </c>
      <c r="U496" s="150" t="n"/>
      <c r="V496" s="328" t="n"/>
      <c r="W496" s="328" t="n"/>
      <c r="X496" s="152" t="n"/>
    </row>
    <row r="497" customFormat="1" s="145">
      <c r="A497" s="36">
        <f>ROW()-ROW(A$475)</f>
        <v/>
      </c>
      <c r="B497" s="25" t="inlineStr">
        <is>
          <t>N排</t>
        </is>
      </c>
      <c r="C497" s="25" t="inlineStr">
        <is>
          <t>TMY 60*5</t>
        </is>
      </c>
      <c r="D497" s="25" t="inlineStr">
        <is>
          <t>国产优质</t>
        </is>
      </c>
      <c r="E497" s="26" t="inlineStr">
        <is>
          <t>米</t>
        </is>
      </c>
      <c r="F497" s="30" t="n">
        <v>2.8</v>
      </c>
      <c r="G497" s="297">
        <f>IF(AND(B497="",C497=""),"",ROUND(M497*L497*N497,2))</f>
        <v/>
      </c>
      <c r="H497" s="297">
        <f>IF(AND(B497="",C497=""),"",ROUND(F497*G497,2))</f>
        <v/>
      </c>
      <c r="I497" s="135" t="n"/>
      <c r="J497" s="329">
        <f>IF(AND(B497="",C497=""),"",ROUND(M497*N497,2))</f>
        <v/>
      </c>
      <c r="K497" s="330">
        <f>IF(AND(B497="",C497=""),"",ROUND(J497*F497,2))</f>
        <v/>
      </c>
      <c r="L497" s="126" t="n">
        <v>1</v>
      </c>
      <c r="M497" s="331" t="n">
        <v>223.62585</v>
      </c>
      <c r="N497" s="128" t="n">
        <v>1</v>
      </c>
      <c r="O497" s="129">
        <f t="array" ref="O497">IF(AND(B497="",C497=""),"",IF(G497&gt;=20000,0.05,IF(G497&gt;=10000,0.1,IF(G497&gt;=5000,0.2,IF(G497&gt;=1000,0.3,IF(G497&gt;=0,0.4,{0}))))))</f>
        <v/>
      </c>
      <c r="P497" s="332">
        <f>IF(AND(B497="",C497=""),"",ROUND(H497*O497,2))</f>
        <v/>
      </c>
      <c r="Q497" s="327" t="inlineStr">
        <is>
          <t>母排</t>
        </is>
      </c>
      <c r="R497" s="150" t="n"/>
      <c r="S497" s="150" t="n"/>
      <c r="T497" s="150" t="inlineStr">
        <is>
          <t>0</t>
        </is>
      </c>
      <c r="U497" s="150" t="n"/>
      <c r="V497" s="328" t="n"/>
      <c r="W497" s="328" t="n"/>
      <c r="X497" s="152" t="n"/>
    </row>
    <row r="498" customFormat="1" s="145">
      <c r="A498" s="36">
        <f>ROW()-ROW(A$475)</f>
        <v/>
      </c>
      <c r="B498" s="25" t="inlineStr">
        <is>
          <t>630A连接排</t>
        </is>
      </c>
      <c r="C498" s="25" t="inlineStr">
        <is>
          <t>TMY 30*10</t>
        </is>
      </c>
      <c r="D498" s="25" t="inlineStr">
        <is>
          <t>国产优质</t>
        </is>
      </c>
      <c r="E498" s="26" t="inlineStr">
        <is>
          <t>米</t>
        </is>
      </c>
      <c r="F498" s="30" t="n">
        <v>3.2</v>
      </c>
      <c r="G498" s="297">
        <f>IF(AND(B498="",C498=""),"",ROUND(M498*L498*N498,2))</f>
        <v/>
      </c>
      <c r="H498" s="297">
        <f>IF(AND(B498="",C498=""),"",ROUND(F498*G498,2))</f>
        <v/>
      </c>
      <c r="I498" s="135" t="n"/>
      <c r="J498" s="329">
        <f>IF(AND(B498="",C498=""),"",ROUND(M498*N498,2))</f>
        <v/>
      </c>
      <c r="K498" s="330">
        <f>IF(AND(B498="",C498=""),"",ROUND(J498*F498,2))</f>
        <v/>
      </c>
      <c r="L498" s="126" t="n">
        <v>1</v>
      </c>
      <c r="M498" s="331" t="n">
        <v>223.62585</v>
      </c>
      <c r="N498" s="128" t="n">
        <v>1</v>
      </c>
      <c r="O498" s="129">
        <f t="array" ref="O498">IF(AND(B498="",C498=""),"",IF(G498&gt;=20000,0.05,IF(G498&gt;=10000,0.1,IF(G498&gt;=5000,0.2,IF(G498&gt;=1000,0.3,IF(G498&gt;=0,0.4,{0}))))))</f>
        <v/>
      </c>
      <c r="P498" s="332">
        <f>IF(AND(B498="",C498=""),"",ROUND(H498*O498,2))</f>
        <v/>
      </c>
      <c r="Q498" s="327" t="inlineStr">
        <is>
          <t>母排</t>
        </is>
      </c>
      <c r="R498" s="150" t="n"/>
      <c r="S498" s="150" t="n"/>
      <c r="T498" s="150" t="inlineStr">
        <is>
          <t>0</t>
        </is>
      </c>
      <c r="U498" s="150" t="n"/>
      <c r="V498" s="328" t="n"/>
      <c r="W498" s="328" t="n"/>
      <c r="X498" s="152" t="n"/>
    </row>
    <row r="499" customFormat="1" s="145">
      <c r="A499" s="36">
        <f>ROW()-ROW(A$475)</f>
        <v/>
      </c>
      <c r="B499" s="25" t="inlineStr">
        <is>
          <t>导线及辅料</t>
        </is>
      </c>
      <c r="C499" s="25" t="n"/>
      <c r="D499" s="25" t="inlineStr">
        <is>
          <t>国产优质</t>
        </is>
      </c>
      <c r="E499" s="26" t="inlineStr">
        <is>
          <t>套</t>
        </is>
      </c>
      <c r="F499" s="26" t="n">
        <v>1</v>
      </c>
      <c r="G499" s="293">
        <f>IF(AND(B499="",C499=""),"",ROUND(M499*L499*N499,2))</f>
        <v/>
      </c>
      <c r="H499" s="293">
        <f>IF(AND(B499="",C499=""),"",ROUND(F499*G499,2))</f>
        <v/>
      </c>
      <c r="I499" s="164" t="n"/>
      <c r="J499" s="329">
        <f>IF(AND(B499="",C499=""),"",ROUND(M499*N499,2))</f>
        <v/>
      </c>
      <c r="K499" s="330">
        <f>IF(AND(B499="",C499=""),"",ROUND(J499*F499,2))</f>
        <v/>
      </c>
      <c r="L499" s="126" t="n">
        <v>1</v>
      </c>
      <c r="M499" s="331" t="n">
        <v>2428</v>
      </c>
      <c r="N499" s="137" t="n">
        <v>1</v>
      </c>
      <c r="O499" s="138">
        <f t="array" ref="O499">IF(AND(B499="",C499=""),"",IF(G499&gt;=20000,0.05,IF(G499&gt;=10000,0.1,IF(G499&gt;=5000,0.2,IF(G499&gt;=1000,0.3,IF(G499&gt;=0,0.4,{0}))))))</f>
        <v/>
      </c>
      <c r="P499" s="333">
        <f>IF(AND(B499="",C499=""),"",ROUND(H499*O499,2))</f>
        <v/>
      </c>
      <c r="Q499" s="334" t="inlineStr">
        <is>
          <t>辅料</t>
        </is>
      </c>
      <c r="R499" s="154" t="n"/>
      <c r="S499" s="154" t="n"/>
      <c r="T499" s="154" t="inlineStr">
        <is>
          <t>0</t>
        </is>
      </c>
      <c r="U499" s="154" t="n"/>
      <c r="V499" s="335" t="n"/>
      <c r="W499" s="335" t="n"/>
      <c r="X499" s="152" t="n"/>
    </row>
    <row r="500" customFormat="1" s="145">
      <c r="A500" s="36">
        <f>ROW()-ROW(A$475)</f>
        <v/>
      </c>
      <c r="B500" s="25" t="inlineStr">
        <is>
          <t>通风顶盖</t>
        </is>
      </c>
      <c r="C500" s="25" t="n"/>
      <c r="D500" s="25" t="inlineStr">
        <is>
          <t>清科</t>
        </is>
      </c>
      <c r="E500" s="30" t="inlineStr">
        <is>
          <t>台</t>
        </is>
      </c>
      <c r="F500" s="26">
        <f>IF(AND(B500="",C500=""),"",1)</f>
        <v/>
      </c>
      <c r="G500" s="293">
        <f>IF(AND(B500="",C500=""),"",ROUND(M500*L500*N500,2))</f>
        <v/>
      </c>
      <c r="H500" s="293">
        <f>IF(AND(B500="",C500=""),"",ROUND(F500*G500,2))</f>
        <v/>
      </c>
      <c r="I500" s="164" t="n"/>
      <c r="J500" s="329">
        <f>IF(AND(B500="",C500=""),"",ROUND(M500*N500,2))</f>
        <v/>
      </c>
      <c r="K500" s="330">
        <f>IF(AND(B500="",C500=""),"",ROUND(J500*F500,2))</f>
        <v/>
      </c>
      <c r="L500" s="126">
        <f>IF(AND(B500="",C500=""),"",1)</f>
        <v/>
      </c>
      <c r="M500" s="331" t="n">
        <v>138</v>
      </c>
      <c r="N500" s="137">
        <f>IF(AND(B500="",C500=""),"",1)</f>
        <v/>
      </c>
      <c r="O500" s="138">
        <f t="array" ref="O500">IF(AND(B500="",C500=""),"",IF(G500&gt;=20000,0.05,IF(G500&gt;=10000,0.1,IF(G500&gt;=5000,0.2,IF(G500&gt;=1000,0.3,IF(G500&gt;=0,0.4,{0}))))))</f>
        <v/>
      </c>
      <c r="P500" s="333">
        <f>IF(AND(B500="",C500=""),"",ROUND(H500*O500,2))</f>
        <v/>
      </c>
      <c r="Q500" s="334">
        <f>IF(AND(B500="",C500=""),"","元件")</f>
        <v/>
      </c>
      <c r="R500" s="154" t="n"/>
      <c r="S500" s="154" t="n"/>
      <c r="T500" s="154" t="n"/>
      <c r="U500" s="154" t="n"/>
      <c r="V500" s="335" t="n"/>
      <c r="W500" s="335" t="n"/>
      <c r="X500" s="152" t="n"/>
    </row>
    <row r="501" customFormat="1" s="145">
      <c r="A501" s="36">
        <f>ROW()-ROW(A$475)</f>
        <v/>
      </c>
      <c r="B501" s="29" t="inlineStr">
        <is>
          <t>Blokset柜</t>
        </is>
      </c>
      <c r="C501" s="25" t="inlineStr">
        <is>
          <t>600W*1000D*2200H</t>
        </is>
      </c>
      <c r="D501" s="25" t="inlineStr">
        <is>
          <t>清科</t>
        </is>
      </c>
      <c r="E501" s="30" t="inlineStr">
        <is>
          <t>台</t>
        </is>
      </c>
      <c r="F501" s="30" t="n">
        <v>1</v>
      </c>
      <c r="G501" s="297">
        <f>IF(AND(B501="",C501=""),"",ROUND(M501*L501*N501,2))</f>
        <v/>
      </c>
      <c r="H501" s="297">
        <f>IF(AND(B501="",C501=""),"",ROUND(F501*G501,2))</f>
        <v/>
      </c>
      <c r="I501" s="135" t="n"/>
      <c r="J501" s="329">
        <f>IF(AND(B501="",C501=""),"",ROUND(M501*N501,2))</f>
        <v/>
      </c>
      <c r="K501" s="330">
        <f>IF(AND(B501="",C501=""),"",ROUND(J501*F501,2))</f>
        <v/>
      </c>
      <c r="L501" s="126" t="n">
        <v>1</v>
      </c>
      <c r="M501" s="331" t="n">
        <v>10275</v>
      </c>
      <c r="N501" s="137" t="n">
        <v>1</v>
      </c>
      <c r="O501" s="138">
        <f t="array" ref="O501">IF(AND(B501="",C501=""),"",IF(G501&gt;=20000,0.05,IF(G501&gt;=10000,0.1,IF(G501&gt;=5000,0.2,IF(G501&gt;=1000,0.3,IF(G501&gt;=0,0.4,{0}))))))</f>
        <v/>
      </c>
      <c r="P501" s="333">
        <f>IF(AND(B501="",C501=""),"",ROUND(H501*O501,2))</f>
        <v/>
      </c>
      <c r="Q501" s="334" t="inlineStr">
        <is>
          <t>箱体</t>
        </is>
      </c>
      <c r="R501" s="154" t="n"/>
      <c r="S501" s="154" t="n"/>
      <c r="T501" s="154" t="inlineStr">
        <is>
          <t>0</t>
        </is>
      </c>
      <c r="U501" s="154" t="n"/>
      <c r="V501" s="335" t="n"/>
      <c r="W501" s="335" t="n"/>
      <c r="X501" s="152" t="n"/>
    </row>
    <row r="502" customFormat="1" s="145">
      <c r="A502" s="36">
        <f>ROW()-ROW(A$475)</f>
        <v/>
      </c>
      <c r="B502" s="25" t="n"/>
      <c r="C502" s="25" t="n"/>
      <c r="D502" s="25" t="n"/>
      <c r="E502" s="26" t="n"/>
      <c r="F502" s="26">
        <f>IF(AND(B502="",C502=""),"",1)</f>
        <v/>
      </c>
      <c r="G502" s="293">
        <f>IF(AND(B502="",C502=""),"",ROUND(M502*L502*N502,2))</f>
        <v/>
      </c>
      <c r="H502" s="297">
        <f>IF(AND(B502="",C502=""),"",ROUND(F502*G502,2))</f>
        <v/>
      </c>
      <c r="I502" s="135" t="n"/>
      <c r="J502" s="329">
        <f>IF(AND(B502="",C502=""),"",ROUND(M502*N502,2))</f>
        <v/>
      </c>
      <c r="K502" s="330">
        <f>IF(AND(B502="",C502=""),"",ROUND(J502*F502,2))</f>
        <v/>
      </c>
      <c r="L502" s="126">
        <f>IF(AND(B502="",C502=""),"",1)</f>
        <v/>
      </c>
      <c r="M502" s="331" t="n"/>
      <c r="N502" s="128">
        <f>IF(AND(B502="",C502=""),"",1)</f>
        <v/>
      </c>
      <c r="O502" s="129">
        <f t="array" ref="O502">IF(AND(B502="",C502=""),"",IF(G502&gt;=20000,0.05,IF(G502&gt;=10000,0.1,IF(G502&gt;=5000,0.2,IF(G502&gt;=1000,0.3,IF(G502&gt;=0,0.4,{0}))))))</f>
        <v/>
      </c>
      <c r="P502" s="332">
        <f>IF(AND(B502="",C502=""),"",ROUND(H502*O502,2))</f>
        <v/>
      </c>
      <c r="Q502" s="327">
        <f>IF(AND(B502="",C502=""),"","元件")</f>
        <v/>
      </c>
      <c r="R502" s="150" t="n"/>
      <c r="S502" s="150" t="n"/>
      <c r="T502" s="150" t="n"/>
      <c r="U502" s="150" t="n"/>
      <c r="V502" s="328" t="n"/>
      <c r="W502" s="328" t="n"/>
      <c r="X502" s="152" t="n"/>
    </row>
    <row r="503" customFormat="1" s="145">
      <c r="A503" s="36">
        <f>ROW()-ROW(A$475)</f>
        <v/>
      </c>
      <c r="B503" s="25" t="n"/>
      <c r="C503" s="25" t="n"/>
      <c r="D503" s="25" t="n"/>
      <c r="E503" s="26" t="n"/>
      <c r="F503" s="26">
        <f>IF(AND(B503="",C503=""),"",1)</f>
        <v/>
      </c>
      <c r="G503" s="293">
        <f>IF(AND(B503="",C503=""),"",ROUND(M503*L503*N503,2))</f>
        <v/>
      </c>
      <c r="H503" s="297">
        <f>IF(AND(B503="",C503=""),"",ROUND(F503*G503,2))</f>
        <v/>
      </c>
      <c r="I503" s="135" t="n"/>
      <c r="J503" s="329">
        <f>IF(AND(B503="",C503=""),"",ROUND(M503*N503,2))</f>
        <v/>
      </c>
      <c r="K503" s="330">
        <f>IF(AND(B503="",C503=""),"",ROUND(J503*F503,2))</f>
        <v/>
      </c>
      <c r="L503" s="126">
        <f>IF(AND(B503="",C503=""),"",1)</f>
        <v/>
      </c>
      <c r="M503" s="331" t="n"/>
      <c r="N503" s="128">
        <f>IF(AND(B503="",C503=""),"",1)</f>
        <v/>
      </c>
      <c r="O503" s="129">
        <f t="array" ref="O503">IF(AND(B503="",C503=""),"",IF(G503&gt;=20000,0.05,IF(G503&gt;=10000,0.1,IF(G503&gt;=5000,0.2,IF(G503&gt;=1000,0.3,IF(G503&gt;=0,0.4,{0}))))))</f>
        <v/>
      </c>
      <c r="P503" s="332">
        <f>IF(AND(B503="",C503=""),"",ROUND(H503*O503,2))</f>
        <v/>
      </c>
      <c r="Q503" s="327">
        <f>IF(AND(B503="",C503=""),"","元件")</f>
        <v/>
      </c>
      <c r="R503" s="150" t="n"/>
      <c r="S503" s="150" t="n"/>
      <c r="T503" s="150" t="n"/>
      <c r="U503" s="150" t="n"/>
      <c r="V503" s="328" t="n"/>
      <c r="W503" s="328" t="n"/>
      <c r="X503" s="152" t="n"/>
    </row>
    <row r="504" customFormat="1" s="145">
      <c r="A504" s="36">
        <f>ROW()-ROW(A$475)</f>
        <v/>
      </c>
      <c r="B504" s="156" t="inlineStr">
        <is>
          <t>小计</t>
        </is>
      </c>
      <c r="C504" s="157" t="n"/>
      <c r="D504" s="54" t="n"/>
      <c r="E504" s="30" t="n"/>
      <c r="F504" s="30" t="n"/>
      <c r="G504" s="297" t="n"/>
      <c r="H504" s="297">
        <f>ROUND(SUM(H475:INDEX(H:H,ROW()-1)),2)</f>
        <v/>
      </c>
      <c r="I504" s="91" t="n"/>
      <c r="J504" s="329" t="n"/>
      <c r="K504" s="330">
        <f>ROUND(SUM(K475:INDEX(K:K,ROW()-1)),2)</f>
        <v/>
      </c>
      <c r="L504" s="126" t="n"/>
      <c r="M504" s="331" t="n"/>
      <c r="N504" s="128" t="n"/>
      <c r="O504" s="129" t="n"/>
      <c r="P504" s="332" t="n"/>
      <c r="Q504" s="327" t="n"/>
      <c r="R504" s="150" t="n"/>
      <c r="S504" s="150" t="n"/>
      <c r="T504" s="150" t="n"/>
      <c r="U504" s="150" t="n"/>
      <c r="V504" s="328">
        <f t="array" ref="V504">ROUND(SUMPRODUCT(F475:INDEX(F:F,ROW()-1),V475:INDEX(V:V,ROW()-1)),2)</f>
        <v/>
      </c>
      <c r="W504" s="328">
        <f t="array" ref="W504">ROUND(SUMPRODUCT(F475:INDEX(F:F,ROW()-1),W475:INDEX(W:W,ROW()-1)),2)</f>
        <v/>
      </c>
      <c r="X504" s="152" t="n"/>
    </row>
    <row r="505" customFormat="1" s="145">
      <c r="A505" s="36">
        <f>ROW()-ROW(A$475)</f>
        <v/>
      </c>
      <c r="B505" s="156" t="inlineStr">
        <is>
          <t>成套费</t>
        </is>
      </c>
      <c r="C505" s="157" t="n"/>
      <c r="D505" s="54" t="n"/>
      <c r="E505" s="30" t="n"/>
      <c r="F505" s="30" t="n"/>
      <c r="G505" s="297" t="n"/>
      <c r="H505" s="297" t="n">
        <v>944.76</v>
      </c>
      <c r="I505" s="91" t="n"/>
      <c r="J505" s="329" t="n"/>
      <c r="K505" s="330" t="n">
        <v>944.76</v>
      </c>
      <c r="L505" s="126" t="n"/>
      <c r="M505" s="331" t="n"/>
      <c r="N505" s="128" t="n"/>
      <c r="O505" s="129" t="n"/>
      <c r="P505" s="332" t="n"/>
      <c r="Q505" s="327" t="n"/>
      <c r="R505" s="150" t="n"/>
      <c r="S505" s="150" t="n"/>
      <c r="T505" s="150" t="n"/>
      <c r="U505" s="150" t="n"/>
      <c r="V505" s="328" t="n"/>
      <c r="W505" s="328" t="n"/>
      <c r="X505" s="152" t="n"/>
    </row>
    <row r="506" customFormat="1" s="145">
      <c r="A506" s="36">
        <f>ROW()-ROW(A$475)</f>
        <v/>
      </c>
      <c r="B506" s="156" t="n"/>
      <c r="C506" s="157" t="n"/>
      <c r="D506" s="54" t="n"/>
      <c r="E506" s="30" t="n"/>
      <c r="F506" s="30" t="n"/>
      <c r="G506" s="297" t="n"/>
      <c r="H506" s="297" t="n">
        <v>17.26</v>
      </c>
      <c r="I506" s="91" t="n"/>
      <c r="J506" s="329" t="n"/>
      <c r="K506" s="330" t="n"/>
      <c r="L506" s="126" t="n"/>
      <c r="M506" s="331" t="n"/>
      <c r="N506" s="128" t="n"/>
      <c r="O506" s="129" t="n"/>
      <c r="P506" s="332" t="n"/>
      <c r="Q506" s="327" t="n"/>
      <c r="R506" s="150" t="n"/>
      <c r="S506" s="150" t="n"/>
      <c r="T506" s="150" t="n"/>
      <c r="U506" s="150" t="n"/>
      <c r="V506" s="328" t="n"/>
      <c r="W506" s="328" t="n"/>
      <c r="X506" s="152" t="n"/>
    </row>
    <row r="507" customFormat="1" s="145">
      <c r="A507" s="36">
        <f>ROW()-ROW(A$475)</f>
        <v/>
      </c>
      <c r="B507" s="54" t="inlineStr">
        <is>
          <t>单台合计</t>
        </is>
      </c>
      <c r="C507" s="157" t="n"/>
      <c r="D507" s="54" t="n"/>
      <c r="E507" s="30" t="n"/>
      <c r="F507" s="30" t="n"/>
      <c r="G507" s="297" t="n"/>
      <c r="H507" s="297">
        <f>ROUND(SUM(H504:H505),2)</f>
        <v/>
      </c>
      <c r="I507" s="165" t="n"/>
      <c r="J507" s="329" t="n"/>
      <c r="K507" s="330">
        <f>ROUND(SUM(K504:K505),2)</f>
        <v/>
      </c>
      <c r="L507" s="166" t="n"/>
      <c r="M507" s="331" t="n"/>
      <c r="N507" s="167" t="n"/>
      <c r="O507" s="168" t="n"/>
      <c r="P507" s="332" t="n"/>
      <c r="Q507" s="327" t="n"/>
      <c r="R507" s="150" t="n"/>
      <c r="S507" s="150" t="n"/>
      <c r="T507" s="150" t="n"/>
      <c r="U507" s="150" t="n"/>
      <c r="V507" s="328" t="n"/>
      <c r="W507" s="328" t="n"/>
      <c r="X507" s="152" t="n"/>
    </row>
    <row r="508" customFormat="1" s="145">
      <c r="A508" s="158" t="inlineStr">
        <is>
          <t>总计</t>
        </is>
      </c>
      <c r="B508" s="159" t="n"/>
      <c r="C508" s="160" t="n"/>
      <c r="D508" s="161" t="n"/>
      <c r="E508" s="161" t="inlineStr">
        <is>
          <t>台</t>
        </is>
      </c>
      <c r="F508" s="161" t="n">
        <v>2</v>
      </c>
      <c r="G508" s="336">
        <f>ROUND(H507,2)</f>
        <v/>
      </c>
      <c r="H508" s="336">
        <f>ROUND(F508*G508,2)</f>
        <v/>
      </c>
      <c r="I508" s="169" t="n"/>
      <c r="J508" s="337" t="n"/>
      <c r="K508" s="338">
        <f>ROUND(K507*F508,2)</f>
        <v/>
      </c>
      <c r="L508" s="172" t="n"/>
      <c r="M508" s="339" t="n"/>
      <c r="N508" s="174" t="n"/>
      <c r="O508" s="175" t="n"/>
      <c r="P508" s="340" t="n"/>
      <c r="Q508" s="327" t="n"/>
      <c r="R508" s="150" t="n"/>
      <c r="S508" s="150" t="n"/>
      <c r="T508" s="150" t="n"/>
      <c r="U508" s="150" t="n"/>
      <c r="V508" s="328" t="n"/>
      <c r="W508" s="328" t="n"/>
      <c r="X508" s="152" t="n"/>
    </row>
    <row r="509" customFormat="1" s="146">
      <c r="A509" s="3" t="n"/>
      <c r="B509" s="117" t="n"/>
      <c r="C509" s="117" t="n"/>
      <c r="D509" s="117" t="n"/>
      <c r="E509" s="146" t="n"/>
      <c r="F509" s="146" t="n"/>
      <c r="G509" s="146" t="n"/>
      <c r="H509" s="146" t="n"/>
      <c r="Q509" s="144" t="n"/>
      <c r="R509" s="144" t="n"/>
      <c r="S509" s="144" t="n"/>
      <c r="T509" s="144" t="n"/>
      <c r="U509" s="144" t="n"/>
      <c r="X509" s="117" t="n"/>
    </row>
    <row r="510" customFormat="1" s="146">
      <c r="A510" s="3" t="n"/>
      <c r="B510" s="117" t="n"/>
      <c r="C510" s="117" t="n"/>
      <c r="D510" s="117" t="n"/>
      <c r="E510" s="146" t="n"/>
      <c r="F510" s="146" t="n"/>
      <c r="G510" s="146" t="n"/>
      <c r="H510" s="146" t="n"/>
      <c r="Q510" s="144" t="n"/>
      <c r="R510" s="144" t="n"/>
      <c r="S510" s="144" t="n"/>
      <c r="T510" s="144" t="n"/>
      <c r="U510" s="144" t="n"/>
      <c r="X510" s="117" t="n"/>
    </row>
    <row r="511" customFormat="1" s="145">
      <c r="A511" s="63">
        <f>CONCATENATE("报价人：",项目信息!$B$8)</f>
        <v/>
      </c>
      <c r="B511" s="63" t="n"/>
      <c r="C511" s="146" t="n"/>
      <c r="D511" s="146" t="n"/>
      <c r="E511" s="146" t="n"/>
      <c r="F511" s="146" t="n"/>
      <c r="G511" s="146" t="n"/>
      <c r="H511" s="163">
        <f>项目信息!$B$9</f>
        <v/>
      </c>
      <c r="Q511" s="144" t="n"/>
      <c r="R511" s="144" t="n"/>
      <c r="S511" s="144" t="n"/>
      <c r="T511" s="144" t="n"/>
      <c r="U511" s="144" t="n"/>
      <c r="X511" s="148" t="n"/>
    </row>
    <row r="512" customFormat="1" s="145">
      <c r="A512" s="5">
        <f>T(项目信息!$B$22)</f>
        <v/>
      </c>
      <c r="Q512" s="144" t="n"/>
      <c r="R512" s="144" t="n"/>
      <c r="S512" s="144" t="n"/>
      <c r="T512" s="144" t="n"/>
      <c r="U512" s="144" t="n"/>
      <c r="X512" s="145" t="n"/>
    </row>
    <row r="513" customFormat="1" s="145">
      <c r="A513" s="6">
        <f>T(项目信息!$B$23)</f>
        <v/>
      </c>
      <c r="Q513" s="144" t="n"/>
      <c r="R513" s="144" t="n"/>
      <c r="S513" s="144" t="n"/>
      <c r="T513" s="144" t="n"/>
      <c r="U513" s="144" t="n"/>
      <c r="X513" s="145" t="n"/>
    </row>
    <row r="514" customFormat="1" s="145">
      <c r="A514" s="68" t="inlineStr">
        <is>
          <t>成套产品报价明细表</t>
        </is>
      </c>
      <c r="B514" s="318" t="n"/>
      <c r="C514" s="318" t="n"/>
      <c r="D514" s="318" t="n"/>
      <c r="E514" s="318" t="n"/>
      <c r="F514" s="318" t="n"/>
      <c r="G514" s="318" t="n"/>
      <c r="H514" s="318" t="n"/>
      <c r="I514" s="318" t="n"/>
      <c r="Q514" s="144" t="n"/>
      <c r="R514" s="144" t="n"/>
      <c r="S514" s="144" t="n"/>
      <c r="T514" s="144" t="n"/>
      <c r="U514" s="144" t="n"/>
      <c r="X514" s="145" t="n"/>
    </row>
    <row r="515" customFormat="1" s="146">
      <c r="A515" s="69" t="inlineStr">
        <is>
          <t>柜号:</t>
        </is>
      </c>
      <c r="B515" s="70" t="inlineStr">
        <is>
          <t>3D5 4D6</t>
        </is>
      </c>
      <c r="C515" s="71" t="inlineStr">
        <is>
          <t>型号:</t>
        </is>
      </c>
      <c r="D515" s="70" t="inlineStr">
        <is>
          <t>Blokset</t>
        </is>
      </c>
      <c r="E515" s="319" t="n"/>
      <c r="F515" s="72" t="inlineStr">
        <is>
          <t>名称:</t>
        </is>
      </c>
      <c r="G515" s="70" t="inlineStr">
        <is>
          <t>出线柜</t>
        </is>
      </c>
      <c r="H515" s="319" t="n"/>
      <c r="I515" s="320" t="n"/>
      <c r="J515" s="116" t="inlineStr">
        <is>
          <t>箱柜尺寸:</t>
        </is>
      </c>
      <c r="K515" s="117" t="inlineStr">
        <is>
          <t>600W*1000D*2200H</t>
        </is>
      </c>
      <c r="L515" s="116" t="inlineStr">
        <is>
          <t>类别:</t>
        </is>
      </c>
      <c r="M515" s="117" t="n"/>
      <c r="N515" s="321" t="n"/>
      <c r="Q515" s="144" t="n"/>
      <c r="R515" s="144" t="n"/>
      <c r="S515" s="144" t="n"/>
      <c r="T515" s="144" t="n"/>
      <c r="U515" s="144" t="n"/>
      <c r="X515" s="146" t="n"/>
    </row>
    <row r="516" ht="20.1" customFormat="1" customHeight="1" s="145">
      <c r="A516" s="13" t="inlineStr">
        <is>
          <t>序号</t>
        </is>
      </c>
      <c r="B516" s="73" t="inlineStr">
        <is>
          <t>元件名称</t>
        </is>
      </c>
      <c r="C516" s="73" t="inlineStr">
        <is>
          <t>型号规格</t>
        </is>
      </c>
      <c r="D516" s="74" t="inlineStr">
        <is>
          <t>生产厂家</t>
        </is>
      </c>
      <c r="E516" s="15" t="inlineStr">
        <is>
          <t>单位</t>
        </is>
      </c>
      <c r="F516" s="15" t="inlineStr">
        <is>
          <t>数量</t>
        </is>
      </c>
      <c r="G516" s="287" t="inlineStr">
        <is>
          <t>单   价</t>
        </is>
      </c>
      <c r="H516" s="256" t="inlineStr">
        <is>
          <t>总   价</t>
        </is>
      </c>
      <c r="I516" s="119" t="inlineStr">
        <is>
          <t>备注</t>
        </is>
      </c>
      <c r="J516" s="322" t="inlineStr">
        <is>
          <t>成本单价</t>
        </is>
      </c>
      <c r="K516" s="322" t="inlineStr">
        <is>
          <t>成本总价</t>
        </is>
      </c>
      <c r="L516" s="121" t="inlineStr">
        <is>
          <t>报出
系数</t>
        </is>
      </c>
      <c r="M516" s="322" t="inlineStr">
        <is>
          <t>表价</t>
        </is>
      </c>
      <c r="N516" s="121" t="inlineStr">
        <is>
          <t>折扣
系数</t>
        </is>
      </c>
      <c r="O516" s="122" t="inlineStr">
        <is>
          <t>取费
系数</t>
        </is>
      </c>
      <c r="P516" s="322" t="inlineStr">
        <is>
          <t>成套费</t>
        </is>
      </c>
      <c r="Q516" s="147" t="inlineStr">
        <is>
          <t>类别</t>
        </is>
      </c>
      <c r="R516" s="147" t="inlineStr">
        <is>
          <t>物料编码</t>
        </is>
      </c>
      <c r="S516" s="147" t="inlineStr">
        <is>
          <t>产地</t>
        </is>
      </c>
      <c r="T516" s="147" t="inlineStr">
        <is>
          <t>加工费</t>
        </is>
      </c>
      <c r="U516" s="147" t="inlineStr">
        <is>
          <t>订货号</t>
        </is>
      </c>
      <c r="V516" s="147" t="inlineStr">
        <is>
          <t>人工</t>
        </is>
      </c>
      <c r="W516" s="147" t="inlineStr">
        <is>
          <t>辅料</t>
        </is>
      </c>
      <c r="X516" s="148" t="n"/>
    </row>
    <row r="517" customFormat="1" s="145">
      <c r="A517" s="75">
        <f>ROW()-ROW(A$516)</f>
        <v/>
      </c>
      <c r="B517" s="20" t="inlineStr">
        <is>
          <t>交流塑壳断路器</t>
        </is>
      </c>
      <c r="C517" s="20" t="inlineStr">
        <is>
          <t>NSX100N MA 100 3P3D F</t>
        </is>
      </c>
      <c r="D517" s="20" t="inlineStr">
        <is>
          <t>甲供/施耐德电气</t>
        </is>
      </c>
      <c r="E517" s="21" t="inlineStr">
        <is>
          <t>只</t>
        </is>
      </c>
      <c r="F517" s="21" t="n">
        <v>1</v>
      </c>
      <c r="G517" s="289">
        <f>IF(AND(B517="",C517=""),"",ROUND(M517*L517*N517,2))</f>
        <v/>
      </c>
      <c r="H517" s="289">
        <f>IF(AND(B517="",C517=""),"",ROUND(F517*G517,2))</f>
        <v/>
      </c>
      <c r="I517" s="123" t="n"/>
      <c r="J517" s="323">
        <f>IF(AND(B517="",C517=""),"",ROUND(M517*N517,2))</f>
        <v/>
      </c>
      <c r="K517" s="324">
        <f>IF(AND(B517="",C517=""),"",ROUND(J517*F517,2))</f>
        <v/>
      </c>
      <c r="L517" s="126" t="n">
        <v>1</v>
      </c>
      <c r="M517" s="325" t="n">
        <v>856.21</v>
      </c>
      <c r="N517" s="128" t="n">
        <v>0</v>
      </c>
      <c r="O517" s="129">
        <f t="array" ref="O517">IF(AND(B517="",C517=""),"",IF(G517&gt;=20000,0.05,IF(G517&gt;=10000,0.1,IF(G517&gt;=5000,0.2,IF(G517&gt;=1000,0.3,IF(G517&gt;=0,0.4,{0}))))))</f>
        <v/>
      </c>
      <c r="P517" s="326">
        <f>IF(AND(B517="",C517=""),"",ROUND(H517*O517,2))</f>
        <v/>
      </c>
      <c r="Q517" s="327" t="inlineStr">
        <is>
          <t>元件</t>
        </is>
      </c>
      <c r="R517" s="150" t="n"/>
      <c r="S517" s="150" t="n"/>
      <c r="T517" s="150" t="inlineStr">
        <is>
          <t>0</t>
        </is>
      </c>
      <c r="U517" s="150" t="inlineStr">
        <is>
          <t>C10N3MA100</t>
        </is>
      </c>
      <c r="V517" s="328" t="n"/>
      <c r="W517" s="328" t="n"/>
      <c r="X517" s="152" t="n"/>
    </row>
    <row r="518" customFormat="1" s="145">
      <c r="A518" s="36">
        <f>ROW()-ROW(A$516)</f>
        <v/>
      </c>
      <c r="B518" s="29" t="inlineStr">
        <is>
          <t>交流塑壳断路器</t>
        </is>
      </c>
      <c r="C518" s="25" t="inlineStr">
        <is>
          <t>NSX100N TMD 100 3P3D F</t>
        </is>
      </c>
      <c r="D518" s="29" t="inlineStr">
        <is>
          <t>甲供/施耐德电气</t>
        </is>
      </c>
      <c r="E518" s="30" t="inlineStr">
        <is>
          <t>只</t>
        </is>
      </c>
      <c r="F518" s="26" t="n">
        <v>3</v>
      </c>
      <c r="G518" s="297">
        <f>IF(AND(B518="",C518=""),"",ROUND(M518*L518*N518,2))</f>
        <v/>
      </c>
      <c r="H518" s="293">
        <f>IF(AND(B518="",C518=""),"",ROUND(F518*G518,2))</f>
        <v/>
      </c>
      <c r="I518" s="91" t="n"/>
      <c r="J518" s="329">
        <f>IF(AND(B518="",C518=""),"",ROUND(M518*N518,2))</f>
        <v/>
      </c>
      <c r="K518" s="330">
        <f>IF(AND(B518="",C518=""),"",ROUND(J518*F518,2))</f>
        <v/>
      </c>
      <c r="L518" s="126" t="n">
        <v>1</v>
      </c>
      <c r="M518" s="331" t="n">
        <v>1024.28</v>
      </c>
      <c r="N518" s="128" t="n">
        <v>0</v>
      </c>
      <c r="O518" s="129">
        <f t="array" ref="O518">IF(AND(B518="",C518=""),"",IF(G518&gt;=20000,0.05,IF(G518&gt;=10000,0.1,IF(G518&gt;=5000,0.2,IF(G518&gt;=1000,0.3,IF(G518&gt;=0,0.4,{0}))))))</f>
        <v/>
      </c>
      <c r="P518" s="332">
        <f>IF(AND(B518="",C518=""),"",ROUND(H518*O518,2))</f>
        <v/>
      </c>
      <c r="Q518" s="327" t="inlineStr">
        <is>
          <t>元件</t>
        </is>
      </c>
      <c r="R518" s="150" t="n"/>
      <c r="S518" s="150" t="n"/>
      <c r="T518" s="150" t="inlineStr">
        <is>
          <t>0</t>
        </is>
      </c>
      <c r="U518" s="150" t="inlineStr">
        <is>
          <t>C10N3TM100</t>
        </is>
      </c>
      <c r="V518" s="328" t="n"/>
      <c r="W518" s="328" t="n"/>
      <c r="X518" s="152" t="n"/>
    </row>
    <row r="519" customFormat="1" s="145">
      <c r="A519" s="36">
        <f>ROW()-ROW(A$516)</f>
        <v/>
      </c>
      <c r="B519" s="29" t="inlineStr">
        <is>
          <t>交流塑壳断路器</t>
        </is>
      </c>
      <c r="C519" s="25" t="inlineStr">
        <is>
          <t>NSX160N TMD 125 3P3D F</t>
        </is>
      </c>
      <c r="D519" s="29" t="inlineStr">
        <is>
          <t>甲供/施耐德电气</t>
        </is>
      </c>
      <c r="E519" s="30" t="inlineStr">
        <is>
          <t>只</t>
        </is>
      </c>
      <c r="F519" s="26" t="n">
        <v>2</v>
      </c>
      <c r="G519" s="293">
        <f>IF(AND(B519="",C519=""),"",ROUND(M519*L519*N519,2))</f>
        <v/>
      </c>
      <c r="H519" s="293">
        <f>IF(AND(B519="",C519=""),"",ROUND(F519*G519,2))</f>
        <v/>
      </c>
      <c r="I519" s="91" t="n"/>
      <c r="J519" s="329">
        <f>IF(AND(B519="",C519=""),"",ROUND(M519*N519,2))</f>
        <v/>
      </c>
      <c r="K519" s="330">
        <f>IF(AND(B519="",C519=""),"",ROUND(J519*F519,2))</f>
        <v/>
      </c>
      <c r="L519" s="126" t="n">
        <v>1</v>
      </c>
      <c r="M519" s="331" t="n">
        <v>1360.06</v>
      </c>
      <c r="N519" s="128" t="n">
        <v>0</v>
      </c>
      <c r="O519" s="129">
        <f t="array" ref="O519">IF(AND(B519="",C519=""),"",IF(G519&gt;=20000,0.05,IF(G519&gt;=10000,0.1,IF(G519&gt;=5000,0.2,IF(G519&gt;=1000,0.3,IF(G519&gt;=0,0.4,{0}))))))</f>
        <v/>
      </c>
      <c r="P519" s="332">
        <f>IF(AND(B519="",C519=""),"",ROUND(H519*O519,2))</f>
        <v/>
      </c>
      <c r="Q519" s="327" t="inlineStr">
        <is>
          <t>元件</t>
        </is>
      </c>
      <c r="R519" s="150" t="n"/>
      <c r="S519" s="150" t="n"/>
      <c r="T519" s="150" t="inlineStr">
        <is>
          <t>0</t>
        </is>
      </c>
      <c r="U519" s="150" t="inlineStr">
        <is>
          <t>C16N3TM125</t>
        </is>
      </c>
      <c r="V519" s="328" t="n"/>
      <c r="W519" s="328" t="n"/>
      <c r="X519" s="152" t="n"/>
    </row>
    <row r="520" customFormat="1" s="145">
      <c r="A520" s="36">
        <f>ROW()-ROW(A$516)</f>
        <v/>
      </c>
      <c r="B520" s="29" t="inlineStr">
        <is>
          <t>交流塑壳断路器</t>
        </is>
      </c>
      <c r="C520" s="25" t="inlineStr">
        <is>
          <t>NSX250N MA 220 3P3D F</t>
        </is>
      </c>
      <c r="D520" s="29" t="inlineStr">
        <is>
          <t>甲供/施耐德电气</t>
        </is>
      </c>
      <c r="E520" s="30" t="inlineStr">
        <is>
          <t>只</t>
        </is>
      </c>
      <c r="F520" s="26" t="n">
        <v>1</v>
      </c>
      <c r="G520" s="293">
        <f>IF(AND(B520="",C520=""),"",ROUND(M520*L520*N520,2))</f>
        <v/>
      </c>
      <c r="H520" s="293">
        <f>IF(AND(B520="",C520=""),"",ROUND(F520*G520,2))</f>
        <v/>
      </c>
      <c r="I520" s="91" t="n"/>
      <c r="J520" s="329">
        <f>IF(AND(B520="",C520=""),"",ROUND(M520*N520,2))</f>
        <v/>
      </c>
      <c r="K520" s="330">
        <f>IF(AND(B520="",C520=""),"",ROUND(J520*F520,2))</f>
        <v/>
      </c>
      <c r="L520" s="126" t="n">
        <v>1</v>
      </c>
      <c r="M520" s="331" t="n">
        <v>2020.88</v>
      </c>
      <c r="N520" s="128" t="n">
        <v>0</v>
      </c>
      <c r="O520" s="129">
        <f t="array" ref="O520">IF(AND(B520="",C520=""),"",IF(G520&gt;=20000,0.05,IF(G520&gt;=10000,0.1,IF(G520&gt;=5000,0.2,IF(G520&gt;=1000,0.3,IF(G520&gt;=0,0.4,{0}))))))</f>
        <v/>
      </c>
      <c r="P520" s="332">
        <f>IF(AND(B520="",C520=""),"",ROUND(H520*O520,2))</f>
        <v/>
      </c>
      <c r="Q520" s="327" t="inlineStr">
        <is>
          <t>元件</t>
        </is>
      </c>
      <c r="R520" s="150" t="n"/>
      <c r="S520" s="150" t="n"/>
      <c r="T520" s="150" t="inlineStr">
        <is>
          <t>0</t>
        </is>
      </c>
      <c r="U520" s="150" t="inlineStr">
        <is>
          <t>C25N3MA220</t>
        </is>
      </c>
      <c r="V520" s="328" t="n"/>
      <c r="W520" s="328" t="n"/>
      <c r="X520" s="152" t="n"/>
    </row>
    <row r="521" customFormat="1" s="145">
      <c r="A521" s="36">
        <f>ROW()-ROW(A$516)</f>
        <v/>
      </c>
      <c r="B521" s="29" t="inlineStr">
        <is>
          <t>交流塑壳断路器</t>
        </is>
      </c>
      <c r="C521" s="25" t="inlineStr">
        <is>
          <t>NSX630N MIC 2.3 630 3P F</t>
        </is>
      </c>
      <c r="D521" s="29" t="inlineStr">
        <is>
          <t>甲供/施耐德电气</t>
        </is>
      </c>
      <c r="E521" s="30" t="inlineStr">
        <is>
          <t>只</t>
        </is>
      </c>
      <c r="F521" s="26" t="n">
        <v>2</v>
      </c>
      <c r="G521" s="293">
        <f>IF(AND(B521="",C521=""),"",ROUND(M521*L521*N521,2))</f>
        <v/>
      </c>
      <c r="H521" s="293">
        <f>IF(AND(B521="",C521=""),"",ROUND(F521*G521,2))</f>
        <v/>
      </c>
      <c r="I521" s="91" t="n"/>
      <c r="J521" s="329">
        <f>IF(AND(B521="",C521=""),"",ROUND(M521*N521,2))</f>
        <v/>
      </c>
      <c r="K521" s="330">
        <f>IF(AND(B521="",C521=""),"",ROUND(J521*F521,2))</f>
        <v/>
      </c>
      <c r="L521" s="126" t="n">
        <v>1</v>
      </c>
      <c r="M521" s="331" t="n">
        <v>5950.31</v>
      </c>
      <c r="N521" s="128" t="n">
        <v>0</v>
      </c>
      <c r="O521" s="129">
        <f t="array" ref="O521">IF(AND(B521="",C521=""),"",IF(G521&gt;=20000,0.05,IF(G521&gt;=10000,0.1,IF(G521&gt;=5000,0.2,IF(G521&gt;=1000,0.3,IF(G521&gt;=0,0.4,{0}))))))</f>
        <v/>
      </c>
      <c r="P521" s="332">
        <f>IF(AND(B521="",C521=""),"",ROUND(H521*O521,2))</f>
        <v/>
      </c>
      <c r="Q521" s="327" t="inlineStr">
        <is>
          <t>元件</t>
        </is>
      </c>
      <c r="R521" s="150" t="n"/>
      <c r="S521" s="150" t="n"/>
      <c r="T521" s="150" t="inlineStr">
        <is>
          <t>0</t>
        </is>
      </c>
      <c r="U521" s="150" t="inlineStr">
        <is>
          <t>C63N32D630</t>
        </is>
      </c>
      <c r="V521" s="328" t="n"/>
      <c r="W521" s="328" t="n"/>
      <c r="X521" s="152" t="inlineStr">
        <is>
          <t>NSX630N TMD 630 3P3D F</t>
        </is>
      </c>
    </row>
    <row r="522" customFormat="1" s="145">
      <c r="A522" s="36">
        <f>ROW()-ROW(A$516)</f>
        <v/>
      </c>
      <c r="B522" s="29" t="inlineStr">
        <is>
          <t>新外观延伸旋转手柄</t>
        </is>
      </c>
      <c r="C522" s="29" t="inlineStr">
        <is>
          <t>标准延伸旋转手柄/新外观延伸旋转手柄 100/160/250A</t>
        </is>
      </c>
      <c r="D522" s="29" t="inlineStr">
        <is>
          <t>甲供/施耐德电气</t>
        </is>
      </c>
      <c r="E522" s="30" t="inlineStr">
        <is>
          <t>只</t>
        </is>
      </c>
      <c r="F522" s="30" t="n">
        <v>7</v>
      </c>
      <c r="G522" s="297">
        <f>IF(AND(B522="",C522=""),"",ROUND(M522*L522*N522,2))</f>
        <v/>
      </c>
      <c r="H522" s="293">
        <f>IF(AND(B522="",C522=""),"",ROUND(F522*G522,2))</f>
        <v/>
      </c>
      <c r="I522" s="91" t="n"/>
      <c r="J522" s="329">
        <f>IF(AND(B522="",C522=""),"",ROUND(M522*N522,2))</f>
        <v/>
      </c>
      <c r="K522" s="330">
        <f>IF(AND(B522="",C522=""),"",ROUND(J522*F522,2))</f>
        <v/>
      </c>
      <c r="L522" s="126" t="n">
        <v>1</v>
      </c>
      <c r="M522" s="331" t="n">
        <v>189.75</v>
      </c>
      <c r="N522" s="128" t="n">
        <v>0</v>
      </c>
      <c r="O522" s="129">
        <f t="array" ref="O522">IF(AND(B522="",C522=""),"",IF(G522&gt;=20000,0.05,IF(G522&gt;=10000,0.1,IF(G522&gt;=5000,0.2,IF(G522&gt;=1000,0.3,IF(G522&gt;=0,0.4,{0}))))))</f>
        <v/>
      </c>
      <c r="P522" s="332">
        <f>IF(AND(B522="",C522=""),"",ROUND(H522*O522,2))</f>
        <v/>
      </c>
      <c r="Q522" s="327" t="inlineStr">
        <is>
          <t>元件</t>
        </is>
      </c>
      <c r="R522" s="150" t="n"/>
      <c r="S522" s="150" t="n"/>
      <c r="T522" s="150" t="inlineStr">
        <is>
          <t>0</t>
        </is>
      </c>
      <c r="U522" s="150" t="inlineStr">
        <is>
          <t>LV429338T</t>
        </is>
      </c>
      <c r="V522" s="328" t="n"/>
      <c r="W522" s="328" t="n"/>
      <c r="X522" s="152" t="n"/>
    </row>
    <row r="523" customFormat="1" s="145">
      <c r="A523" s="36">
        <f>ROW()-ROW(A$516)</f>
        <v/>
      </c>
      <c r="B523" s="29" t="inlineStr">
        <is>
          <t>新外观延伸旋转手柄</t>
        </is>
      </c>
      <c r="C523" s="29" t="inlineStr">
        <is>
          <t>标准延伸旋转手柄/新外观延伸旋转手柄 400/630A</t>
        </is>
      </c>
      <c r="D523" s="29" t="inlineStr">
        <is>
          <t>甲供/施耐德电气</t>
        </is>
      </c>
      <c r="E523" s="30" t="inlineStr">
        <is>
          <t>只</t>
        </is>
      </c>
      <c r="F523" s="30" t="n">
        <v>2</v>
      </c>
      <c r="G523" s="297">
        <f>IF(AND(B523="",C523=""),"",ROUND(M523*L523*N523,2))</f>
        <v/>
      </c>
      <c r="H523" s="297">
        <f>IF(AND(B523="",C523=""),"",ROUND(F523*G523,2))</f>
        <v/>
      </c>
      <c r="I523" s="135" t="n"/>
      <c r="J523" s="329">
        <f>IF(AND(B523="",C523=""),"",ROUND(M523*N523,2))</f>
        <v/>
      </c>
      <c r="K523" s="330">
        <f>IF(AND(B523="",C523=""),"",ROUND(J523*F523,2))</f>
        <v/>
      </c>
      <c r="L523" s="126" t="n">
        <v>1</v>
      </c>
      <c r="M523" s="331" t="n">
        <v>270.62</v>
      </c>
      <c r="N523" s="128" t="n">
        <v>0</v>
      </c>
      <c r="O523" s="129">
        <f t="array" ref="O523">IF(AND(B523="",C523=""),"",IF(G523&gt;=20000,0.05,IF(G523&gt;=10000,0.1,IF(G523&gt;=5000,0.2,IF(G523&gt;=1000,0.3,IF(G523&gt;=0,0.4,{0}))))))</f>
        <v/>
      </c>
      <c r="P523" s="332">
        <f>IF(AND(B523="",C523=""),"",ROUND(H523*O523,2))</f>
        <v/>
      </c>
      <c r="Q523" s="327" t="inlineStr">
        <is>
          <t>元件</t>
        </is>
      </c>
      <c r="R523" s="150" t="n"/>
      <c r="S523" s="150" t="n"/>
      <c r="T523" s="150" t="inlineStr">
        <is>
          <t>0</t>
        </is>
      </c>
      <c r="U523" s="150" t="inlineStr">
        <is>
          <t>LV432598T</t>
        </is>
      </c>
      <c r="V523" s="328" t="n"/>
      <c r="W523" s="328" t="n"/>
      <c r="X523" s="152" t="n"/>
    </row>
    <row r="524" customFormat="1" s="145">
      <c r="A524" s="36">
        <f>ROW()-ROW(A$516)</f>
        <v/>
      </c>
      <c r="B524" s="29" t="inlineStr">
        <is>
          <t>MX分励脱扣器</t>
        </is>
      </c>
      <c r="C524" s="29" t="inlineStr">
        <is>
          <t>MX分励AC220-240V/208-277V/100-630A</t>
        </is>
      </c>
      <c r="D524" s="29" t="inlineStr">
        <is>
          <t>甲供/施耐德电气</t>
        </is>
      </c>
      <c r="E524" s="30" t="inlineStr">
        <is>
          <t>只</t>
        </is>
      </c>
      <c r="F524" s="30" t="n">
        <v>9</v>
      </c>
      <c r="G524" s="297">
        <f>IF(AND(B524="",C524=""),"",ROUND(M524*L524*N524,2))</f>
        <v/>
      </c>
      <c r="H524" s="297">
        <f>IF(AND(B524="",C524=""),"",ROUND(F524*G524,2))</f>
        <v/>
      </c>
      <c r="I524" s="135" t="n"/>
      <c r="J524" s="329">
        <f>IF(AND(B524="",C524=""),"",ROUND(M524*N524,2))</f>
        <v/>
      </c>
      <c r="K524" s="330">
        <f>IF(AND(B524="",C524=""),"",ROUND(J524*F524,2))</f>
        <v/>
      </c>
      <c r="L524" s="126" t="n">
        <v>1</v>
      </c>
      <c r="M524" s="331" t="n">
        <v>314.03</v>
      </c>
      <c r="N524" s="128" t="n">
        <v>0</v>
      </c>
      <c r="O524" s="129">
        <f t="array" ref="O524">IF(AND(B524="",C524=""),"",IF(G524&gt;=20000,0.05,IF(G524&gt;=10000,0.1,IF(G524&gt;=5000,0.2,IF(G524&gt;=1000,0.3,IF(G524&gt;=0,0.4,{0}))))))</f>
        <v/>
      </c>
      <c r="P524" s="332">
        <f>IF(AND(B524="",C524=""),"",ROUND(H524*O524,2))</f>
        <v/>
      </c>
      <c r="Q524" s="327" t="inlineStr">
        <is>
          <t>元件</t>
        </is>
      </c>
      <c r="R524" s="150" t="n"/>
      <c r="S524" s="150" t="n"/>
      <c r="T524" s="150" t="inlineStr">
        <is>
          <t>0</t>
        </is>
      </c>
      <c r="U524" s="150" t="inlineStr">
        <is>
          <t>LV429387</t>
        </is>
      </c>
      <c r="V524" s="328" t="n"/>
      <c r="W524" s="328" t="n"/>
      <c r="X524" s="152" t="n"/>
    </row>
    <row r="525" customFormat="1" s="145">
      <c r="A525" s="36">
        <f>ROW()-ROW(A$516)</f>
        <v/>
      </c>
      <c r="B525" s="29" t="inlineStr">
        <is>
          <t>辅助触点OF</t>
        </is>
      </c>
      <c r="C525" s="25" t="inlineStr">
        <is>
          <t>OF</t>
        </is>
      </c>
      <c r="D525" s="29" t="inlineStr">
        <is>
          <t>甲供/施耐德电气</t>
        </is>
      </c>
      <c r="E525" s="30" t="inlineStr">
        <is>
          <t>只</t>
        </is>
      </c>
      <c r="F525" s="30" t="n">
        <v>18</v>
      </c>
      <c r="G525" s="297">
        <f>IF(AND(B525="",C525=""),"",ROUND(M525*L525*N525,2))</f>
        <v/>
      </c>
      <c r="H525" s="297">
        <f>IF(AND(B525="",C525=""),"",ROUND(F525*G525,2))</f>
        <v/>
      </c>
      <c r="I525" s="135" t="n"/>
      <c r="J525" s="329">
        <f>IF(AND(B525="",C525=""),"",ROUND(M525*N525,2))</f>
        <v/>
      </c>
      <c r="K525" s="330">
        <f>IF(AND(B525="",C525=""),"",ROUND(J525*F525,2))</f>
        <v/>
      </c>
      <c r="L525" s="126" t="n">
        <v>1</v>
      </c>
      <c r="M525" s="331" t="n">
        <v>174.01</v>
      </c>
      <c r="N525" s="128" t="n">
        <v>0</v>
      </c>
      <c r="O525" s="129">
        <f t="array" ref="O525">IF(AND(B525="",C525=""),"",IF(G525&gt;=20000,0.05,IF(G525&gt;=10000,0.1,IF(G525&gt;=5000,0.2,IF(G525&gt;=1000,0.3,IF(G525&gt;=0,0.4,{0}))))))</f>
        <v/>
      </c>
      <c r="P525" s="332">
        <f>IF(AND(B525="",C525=""),"",ROUND(H525*O525,2))</f>
        <v/>
      </c>
      <c r="Q525" s="327" t="inlineStr">
        <is>
          <t>元件</t>
        </is>
      </c>
      <c r="R525" s="150" t="n"/>
      <c r="S525" s="150" t="n"/>
      <c r="T525" s="150" t="inlineStr">
        <is>
          <t>0</t>
        </is>
      </c>
      <c r="U525" s="150" t="inlineStr">
        <is>
          <t>29450</t>
        </is>
      </c>
      <c r="V525" s="328" t="n"/>
      <c r="W525" s="328" t="n"/>
      <c r="X525" s="152" t="n"/>
    </row>
    <row r="526" customFormat="1" s="145">
      <c r="A526" s="36">
        <f>ROW()-ROW(A$516)</f>
        <v/>
      </c>
      <c r="B526" s="29" t="inlineStr">
        <is>
          <t>热过载继电器</t>
        </is>
      </c>
      <c r="C526" s="29" t="inlineStr">
        <is>
          <t>LRD05C+LAD7B106C</t>
        </is>
      </c>
      <c r="D526" s="29" t="inlineStr">
        <is>
          <t>甲供/施耐德电气</t>
        </is>
      </c>
      <c r="E526" s="30" t="inlineStr">
        <is>
          <t>只</t>
        </is>
      </c>
      <c r="F526" s="30" t="n">
        <v>2</v>
      </c>
      <c r="G526" s="297">
        <f>IF(AND(B526="",C526=""),"",ROUND(M526*L526*N526,2))</f>
        <v/>
      </c>
      <c r="H526" s="297">
        <f>IF(AND(B526="",C526=""),"",ROUND(F526*G526,2))</f>
        <v/>
      </c>
      <c r="I526" s="135" t="n"/>
      <c r="J526" s="329">
        <f>IF(AND(B526="",C526=""),"",ROUND(M526*N526,2))</f>
        <v/>
      </c>
      <c r="K526" s="330">
        <f>IF(AND(B526="",C526=""),"",ROUND(J526*F526,2))</f>
        <v/>
      </c>
      <c r="L526" s="126" t="n">
        <v>1</v>
      </c>
      <c r="M526" s="331" t="n">
        <v>161.66</v>
      </c>
      <c r="N526" s="128" t="n">
        <v>0</v>
      </c>
      <c r="O526" s="129">
        <f t="array" ref="O526">IF(AND(B526="",C526=""),"",IF(G526&gt;=20000,0.05,IF(G526&gt;=10000,0.1,IF(G526&gt;=5000,0.2,IF(G526&gt;=1000,0.3,IF(G526&gt;=0,0.4,{0}))))))</f>
        <v/>
      </c>
      <c r="P526" s="332">
        <f>IF(AND(B526="",C526=""),"",ROUND(H526*O526,2))</f>
        <v/>
      </c>
      <c r="Q526" s="327" t="inlineStr">
        <is>
          <t>元件</t>
        </is>
      </c>
      <c r="R526" s="150" t="n"/>
      <c r="S526" s="150" t="n"/>
      <c r="T526" s="150" t="inlineStr">
        <is>
          <t>0</t>
        </is>
      </c>
      <c r="U526" s="150" t="inlineStr">
        <is>
          <t>LRD05C+LAD7B106C</t>
        </is>
      </c>
      <c r="V526" s="328" t="n"/>
      <c r="W526" s="328" t="n"/>
      <c r="X526" s="152" t="n"/>
    </row>
    <row r="527" customFormat="1" s="145">
      <c r="A527" s="36">
        <f>ROW()-ROW(A$516)</f>
        <v/>
      </c>
      <c r="B527" s="29" t="inlineStr">
        <is>
          <t>测量电流互感器</t>
        </is>
      </c>
      <c r="C527" s="29" t="inlineStr">
        <is>
          <t>SD-0.66-M8 100/5A</t>
        </is>
      </c>
      <c r="D527" s="29" t="inlineStr">
        <is>
          <t>杭州桑迪</t>
        </is>
      </c>
      <c r="E527" s="30" t="inlineStr">
        <is>
          <t>只</t>
        </is>
      </c>
      <c r="F527" s="30" t="n">
        <v>12</v>
      </c>
      <c r="G527" s="297">
        <f>IF(AND(B527="",C527=""),"",ROUND(M527*L527*N527,2))</f>
        <v/>
      </c>
      <c r="H527" s="297">
        <f>IF(AND(B527="",C527=""),"",ROUND(F527*G527,2))</f>
        <v/>
      </c>
      <c r="I527" s="135" t="n"/>
      <c r="J527" s="329">
        <f>IF(AND(B527="",C527=""),"",ROUND(M527*N527,2))</f>
        <v/>
      </c>
      <c r="K527" s="330">
        <f>IF(AND(B527="",C527=""),"",ROUND(J527*F527,2))</f>
        <v/>
      </c>
      <c r="L527" s="126" t="n">
        <v>1</v>
      </c>
      <c r="M527" s="331" t="n">
        <v>61.75</v>
      </c>
      <c r="N527" s="128" t="n">
        <v>1</v>
      </c>
      <c r="O527" s="129">
        <f t="array" ref="O527">IF(AND(B527="",C527=""),"",IF(G527&gt;=20000,0.05,IF(G527&gt;=10000,0.1,IF(G527&gt;=5000,0.2,IF(G527&gt;=1000,0.3,IF(G527&gt;=0,0.4,{0}))))))</f>
        <v/>
      </c>
      <c r="P527" s="332">
        <f>IF(AND(B527="",C527=""),"",ROUND(H527*O527,2))</f>
        <v/>
      </c>
      <c r="Q527" s="327" t="inlineStr">
        <is>
          <t>元件</t>
        </is>
      </c>
      <c r="R527" s="150" t="n"/>
      <c r="S527" s="150" t="n"/>
      <c r="T527" s="150" t="inlineStr">
        <is>
          <t>0</t>
        </is>
      </c>
      <c r="U527" s="150" t="n"/>
      <c r="V527" s="328" t="n"/>
      <c r="W527" s="328" t="n"/>
      <c r="X527" s="152" t="n"/>
    </row>
    <row r="528" customFormat="1" s="145">
      <c r="A528" s="36">
        <f>ROW()-ROW(A$516)</f>
        <v/>
      </c>
      <c r="B528" s="29" t="inlineStr">
        <is>
          <t>测量电流互感器</t>
        </is>
      </c>
      <c r="C528" s="29" t="inlineStr">
        <is>
          <t>SD-0.66-30I 150/5A</t>
        </is>
      </c>
      <c r="D528" s="29" t="inlineStr">
        <is>
          <t>杭州桑迪</t>
        </is>
      </c>
      <c r="E528" s="30" t="inlineStr">
        <is>
          <t>只</t>
        </is>
      </c>
      <c r="F528" s="30" t="n">
        <v>6</v>
      </c>
      <c r="G528" s="297">
        <f>IF(AND(B528="",C528=""),"",ROUND(M528*L528*N528,2))</f>
        <v/>
      </c>
      <c r="H528" s="297">
        <f>IF(AND(B528="",C528=""),"",ROUND(F528*G528,2))</f>
        <v/>
      </c>
      <c r="I528" s="135" t="n"/>
      <c r="J528" s="329">
        <f>IF(AND(B528="",C528=""),"",ROUND(M528*N528,2))</f>
        <v/>
      </c>
      <c r="K528" s="330">
        <f>IF(AND(B528="",C528=""),"",ROUND(J528*F528,2))</f>
        <v/>
      </c>
      <c r="L528" s="126" t="n">
        <v>1</v>
      </c>
      <c r="M528" s="331" t="n">
        <v>29.25</v>
      </c>
      <c r="N528" s="128" t="n">
        <v>1</v>
      </c>
      <c r="O528" s="129">
        <f t="array" ref="O528">IF(AND(B528="",C528=""),"",IF(G528&gt;=20000,0.05,IF(G528&gt;=10000,0.1,IF(G528&gt;=5000,0.2,IF(G528&gt;=1000,0.3,IF(G528&gt;=0,0.4,{0}))))))</f>
        <v/>
      </c>
      <c r="P528" s="332">
        <f>IF(AND(B528="",C528=""),"",ROUND(H528*O528,2))</f>
        <v/>
      </c>
      <c r="Q528" s="327" t="inlineStr">
        <is>
          <t>元件</t>
        </is>
      </c>
      <c r="R528" s="150" t="n"/>
      <c r="S528" s="150" t="n"/>
      <c r="T528" s="150" t="inlineStr">
        <is>
          <t>0</t>
        </is>
      </c>
      <c r="U528" s="150" t="n"/>
      <c r="V528" s="328" t="n"/>
      <c r="W528" s="328" t="n"/>
      <c r="X528" s="152" t="n"/>
    </row>
    <row r="529" customFormat="1" s="145">
      <c r="A529" s="36">
        <f>ROW()-ROW(A$516)</f>
        <v/>
      </c>
      <c r="B529" s="29" t="inlineStr">
        <is>
          <t>测量电流互感器</t>
        </is>
      </c>
      <c r="C529" s="29" t="inlineStr">
        <is>
          <t>SD-0.66-30I 250/5A</t>
        </is>
      </c>
      <c r="D529" s="29" t="inlineStr">
        <is>
          <t>杭州桑迪</t>
        </is>
      </c>
      <c r="E529" s="30" t="inlineStr">
        <is>
          <t>只</t>
        </is>
      </c>
      <c r="F529" s="30" t="n">
        <v>3</v>
      </c>
      <c r="G529" s="297">
        <f>IF(AND(B529="",C529=""),"",ROUND(M529*L529*N529,2))</f>
        <v/>
      </c>
      <c r="H529" s="297">
        <f>IF(AND(B529="",C529=""),"",ROUND(F529*G529,2))</f>
        <v/>
      </c>
      <c r="I529" s="135" t="n"/>
      <c r="J529" s="329">
        <f>IF(AND(B529="",C529=""),"",ROUND(M529*N529,2))</f>
        <v/>
      </c>
      <c r="K529" s="330">
        <f>IF(AND(B529="",C529=""),"",ROUND(J529*F529,2))</f>
        <v/>
      </c>
      <c r="L529" s="126" t="n">
        <v>1</v>
      </c>
      <c r="M529" s="331" t="n">
        <v>26.65</v>
      </c>
      <c r="N529" s="128" t="n">
        <v>1</v>
      </c>
      <c r="O529" s="129">
        <f t="array" ref="O529">IF(AND(B529="",C529=""),"",IF(G529&gt;=20000,0.05,IF(G529&gt;=10000,0.1,IF(G529&gt;=5000,0.2,IF(G529&gt;=1000,0.3,IF(G529&gt;=0,0.4,{0}))))))</f>
        <v/>
      </c>
      <c r="P529" s="332">
        <f>IF(AND(B529="",C529=""),"",ROUND(H529*O529,2))</f>
        <v/>
      </c>
      <c r="Q529" s="327" t="inlineStr">
        <is>
          <t>元件</t>
        </is>
      </c>
      <c r="R529" s="150" t="n"/>
      <c r="S529" s="150" t="n"/>
      <c r="T529" s="150" t="inlineStr">
        <is>
          <t>0</t>
        </is>
      </c>
      <c r="U529" s="150" t="n"/>
      <c r="V529" s="328" t="n"/>
      <c r="W529" s="328" t="n"/>
      <c r="X529" s="152" t="n"/>
    </row>
    <row r="530" customFormat="1" s="145">
      <c r="A530" s="36">
        <f>ROW()-ROW(A$516)</f>
        <v/>
      </c>
      <c r="B530" s="29" t="inlineStr">
        <is>
          <t>测量电流互感器</t>
        </is>
      </c>
      <c r="C530" s="29" t="inlineStr">
        <is>
          <t>SD-0.66-60II-C 600/5A</t>
        </is>
      </c>
      <c r="D530" s="29" t="inlineStr">
        <is>
          <t>杭州桑迪</t>
        </is>
      </c>
      <c r="E530" s="30" t="inlineStr">
        <is>
          <t>只</t>
        </is>
      </c>
      <c r="F530" s="30" t="n">
        <v>6</v>
      </c>
      <c r="G530" s="297">
        <f>IF(AND(B530="",C530=""),"",ROUND(M530*L530*N530,2))</f>
        <v/>
      </c>
      <c r="H530" s="297">
        <f>IF(AND(B530="",C530=""),"",ROUND(F530*G530,2))</f>
        <v/>
      </c>
      <c r="I530" s="135" t="n"/>
      <c r="J530" s="329">
        <f>IF(AND(B530="",C530=""),"",ROUND(M530*N530,2))</f>
        <v/>
      </c>
      <c r="K530" s="330">
        <f>IF(AND(B530="",C530=""),"",ROUND(J530*F530,2))</f>
        <v/>
      </c>
      <c r="L530" s="126" t="n">
        <v>1</v>
      </c>
      <c r="M530" s="331" t="n">
        <v>76.7</v>
      </c>
      <c r="N530" s="128" t="n">
        <v>1</v>
      </c>
      <c r="O530" s="129">
        <f t="array" ref="O530">IF(AND(B530="",C530=""),"",IF(G530&gt;=20000,0.05,IF(G530&gt;=10000,0.1,IF(G530&gt;=5000,0.2,IF(G530&gt;=1000,0.3,IF(G530&gt;=0,0.4,{0}))))))</f>
        <v/>
      </c>
      <c r="P530" s="332">
        <f>IF(AND(B530="",C530=""),"",ROUND(H530*O530,2))</f>
        <v/>
      </c>
      <c r="Q530" s="327" t="inlineStr">
        <is>
          <t>元件</t>
        </is>
      </c>
      <c r="R530" s="150" t="n"/>
      <c r="S530" s="150" t="n"/>
      <c r="T530" s="150" t="inlineStr">
        <is>
          <t>0</t>
        </is>
      </c>
      <c r="U530" s="150" t="n"/>
      <c r="V530" s="328" t="n"/>
      <c r="W530" s="328" t="n"/>
      <c r="X530" s="152" t="n"/>
    </row>
    <row r="531" customFormat="1" s="145">
      <c r="A531" s="36">
        <f>ROW()-ROW(A$516)</f>
        <v/>
      </c>
      <c r="B531" s="25" t="inlineStr">
        <is>
          <t>多功能表</t>
        </is>
      </c>
      <c r="C531" s="25" t="inlineStr">
        <is>
          <t>PM4101</t>
        </is>
      </c>
      <c r="D531" s="25" t="inlineStr">
        <is>
          <t>甲供/施耐德电气</t>
        </is>
      </c>
      <c r="E531" s="30" t="inlineStr">
        <is>
          <t>只</t>
        </is>
      </c>
      <c r="F531" s="26" t="n">
        <v>9</v>
      </c>
      <c r="G531" s="293">
        <f>IF(AND(B531="",C531=""),"",ROUND(M531*L531*N531,2))</f>
        <v/>
      </c>
      <c r="H531" s="293">
        <f>IF(AND(B531="",C531=""),"",ROUND(F531*G531,2))</f>
        <v/>
      </c>
      <c r="I531" s="91" t="n"/>
      <c r="J531" s="329">
        <f>IF(AND(B531="",C531=""),"",ROUND(M531*N531,2))</f>
        <v/>
      </c>
      <c r="K531" s="330">
        <f>IF(AND(B531="",C531=""),"",ROUND(J531*F531,2))</f>
        <v/>
      </c>
      <c r="L531" s="126" t="n">
        <v>1</v>
      </c>
      <c r="M531" s="331" t="n">
        <v>1e-07</v>
      </c>
      <c r="N531" s="128" t="n">
        <v>0</v>
      </c>
      <c r="O531" s="129">
        <f t="array" ref="O531">IF(AND(B531="",C531=""),"",IF(G531&gt;=20000,0.05,IF(G531&gt;=10000,0.1,IF(G531&gt;=5000,0.2,IF(G531&gt;=1000,0.3,IF(G531&gt;=0,0.4,{0}))))))</f>
        <v/>
      </c>
      <c r="P531" s="332">
        <f>IF(AND(B531="",C531=""),"",ROUND(H531*O531,2))</f>
        <v/>
      </c>
      <c r="Q531" s="327" t="inlineStr">
        <is>
          <t>元件</t>
        </is>
      </c>
      <c r="R531" s="150" t="n"/>
      <c r="S531" s="150" t="n"/>
      <c r="T531" s="150" t="inlineStr">
        <is>
          <t>0</t>
        </is>
      </c>
      <c r="U531" s="150" t="n"/>
      <c r="V531" s="328" t="n"/>
      <c r="W531" s="328" t="n"/>
      <c r="X531" s="152" t="n"/>
    </row>
    <row r="532" customFormat="1" s="145">
      <c r="A532" s="36">
        <f>ROW()-ROW(A$516)</f>
        <v/>
      </c>
      <c r="B532" s="29" t="inlineStr">
        <is>
          <t>指示灯</t>
        </is>
      </c>
      <c r="C532" s="29" t="inlineStr">
        <is>
          <t>XA2EVM3LC</t>
        </is>
      </c>
      <c r="D532" s="29" t="inlineStr">
        <is>
          <t>施耐德电气</t>
        </is>
      </c>
      <c r="E532" s="30" t="inlineStr">
        <is>
          <t>只</t>
        </is>
      </c>
      <c r="F532" s="30" t="n">
        <v>9</v>
      </c>
      <c r="G532" s="297">
        <f>IF(AND(B532="",C532=""),"",ROUND(M532*L532*N532,2))</f>
        <v/>
      </c>
      <c r="H532" s="297">
        <f>IF(AND(B532="",C532=""),"",ROUND(F532*G532,2))</f>
        <v/>
      </c>
      <c r="I532" s="136" t="n"/>
      <c r="J532" s="329">
        <f>IF(AND(B532="",C532=""),"",ROUND(M532*N532,2))</f>
        <v/>
      </c>
      <c r="K532" s="330">
        <f>IF(AND(B532="",C532=""),"",ROUND(J532*F532,2))</f>
        <v/>
      </c>
      <c r="L532" s="126" t="n">
        <v>1</v>
      </c>
      <c r="M532" s="331" t="n">
        <v>16.43</v>
      </c>
      <c r="N532" s="137" t="n">
        <v>0.5</v>
      </c>
      <c r="O532" s="138">
        <f t="array" ref="O532">IF(AND(B532="",C532=""),"",IF(G532&gt;=20000,0.05,IF(G532&gt;=10000,0.1,IF(G532&gt;=5000,0.2,IF(G532&gt;=1000,0.3,IF(G532&gt;=0,0.4,{0}))))))</f>
        <v/>
      </c>
      <c r="P532" s="333">
        <f>IF(AND(B532="",C532=""),"",ROUND(H532*O532,2))</f>
        <v/>
      </c>
      <c r="Q532" s="334" t="inlineStr">
        <is>
          <t>元件</t>
        </is>
      </c>
      <c r="R532" s="154" t="n"/>
      <c r="S532" s="154" t="n"/>
      <c r="T532" s="154" t="inlineStr">
        <is>
          <t>0</t>
        </is>
      </c>
      <c r="U532" s="154" t="inlineStr">
        <is>
          <t>XA2EVM3LC</t>
        </is>
      </c>
      <c r="V532" s="335" t="n"/>
      <c r="W532" s="335" t="n"/>
      <c r="X532" s="152" t="n"/>
    </row>
    <row r="533" customFormat="1" s="145">
      <c r="A533" s="36">
        <f>ROW()-ROW(A$516)</f>
        <v/>
      </c>
      <c r="B533" s="29" t="inlineStr">
        <is>
          <t>指示灯</t>
        </is>
      </c>
      <c r="C533" s="25" t="inlineStr">
        <is>
          <t>XA2EVM4LC</t>
        </is>
      </c>
      <c r="D533" s="29" t="inlineStr">
        <is>
          <t>施耐德电气</t>
        </is>
      </c>
      <c r="E533" s="30" t="inlineStr">
        <is>
          <t>只</t>
        </is>
      </c>
      <c r="F533" s="30" t="n">
        <v>9</v>
      </c>
      <c r="G533" s="297">
        <f>IF(AND(B533="",C533=""),"",ROUND(M533*L533*N533,2))</f>
        <v/>
      </c>
      <c r="H533" s="297">
        <f>IF(AND(B533="",C533=""),"",ROUND(F533*G533,2))</f>
        <v/>
      </c>
      <c r="I533" s="136" t="n"/>
      <c r="J533" s="329">
        <f>IF(AND(B533="",C533=""),"",ROUND(M533*N533,2))</f>
        <v/>
      </c>
      <c r="K533" s="330">
        <f>IF(AND(B533="",C533=""),"",ROUND(J533*F533,2))</f>
        <v/>
      </c>
      <c r="L533" s="126" t="n">
        <v>1</v>
      </c>
      <c r="M533" s="331" t="n">
        <v>16.43</v>
      </c>
      <c r="N533" s="137" t="n">
        <v>0.5</v>
      </c>
      <c r="O533" s="138">
        <f t="array" ref="O533">IF(AND(B533="",C533=""),"",IF(G533&gt;=20000,0.05,IF(G533&gt;=10000,0.1,IF(G533&gt;=5000,0.2,IF(G533&gt;=1000,0.3,IF(G533&gt;=0,0.4,{0}))))))</f>
        <v/>
      </c>
      <c r="P533" s="333">
        <f>IF(AND(B533="",C533=""),"",ROUND(H533*O533,2))</f>
        <v/>
      </c>
      <c r="Q533" s="334" t="inlineStr">
        <is>
          <t>元件</t>
        </is>
      </c>
      <c r="R533" s="154" t="n"/>
      <c r="S533" s="154" t="n"/>
      <c r="T533" s="154" t="inlineStr">
        <is>
          <t>0</t>
        </is>
      </c>
      <c r="U533" s="154" t="inlineStr">
        <is>
          <t>XA2EVM4LC</t>
        </is>
      </c>
      <c r="V533" s="335" t="n"/>
      <c r="W533" s="335" t="n"/>
      <c r="X533" s="152" t="n"/>
    </row>
    <row r="534" customFormat="1" s="145">
      <c r="A534" s="36">
        <f>ROW()-ROW(A$516)</f>
        <v/>
      </c>
      <c r="B534" s="25" t="inlineStr">
        <is>
          <t>中间继电器</t>
        </is>
      </c>
      <c r="C534" s="25" t="inlineStr">
        <is>
          <t>RXM4AB2P7+RXZE1M4C+RXZ410</t>
        </is>
      </c>
      <c r="D534" s="25" t="inlineStr">
        <is>
          <t>甲供/施耐德电气</t>
        </is>
      </c>
      <c r="E534" s="26" t="inlineStr">
        <is>
          <t>只</t>
        </is>
      </c>
      <c r="F534" s="26" t="n">
        <v>9</v>
      </c>
      <c r="G534" s="292">
        <f>IF(AND(B534="",C534=""),"",ROUND(M534*L534*N534,2))</f>
        <v/>
      </c>
      <c r="H534" s="297">
        <f>IF(AND(B534="",C534=""),"",ROUND(F534*G534,2))</f>
        <v/>
      </c>
      <c r="I534" s="135" t="n"/>
      <c r="J534" s="329">
        <f>IF(AND(B534="",C534=""),"",ROUND(M534*N534,2))</f>
        <v/>
      </c>
      <c r="K534" s="330">
        <f>IF(AND(B534="",C534=""),"",ROUND(J534*F534,2))</f>
        <v/>
      </c>
      <c r="L534" s="126" t="n">
        <v>1</v>
      </c>
      <c r="M534" s="331" t="n">
        <v>1e-07</v>
      </c>
      <c r="N534" s="128" t="n">
        <v>0</v>
      </c>
      <c r="O534" s="129">
        <f t="array" ref="O534">IF(AND(B534="",C534=""),"",IF(G534&gt;=20000,0.05,IF(G534&gt;=10000,0.1,IF(G534&gt;=5000,0.2,IF(G534&gt;=1000,0.3,IF(G534&gt;=0,0.4,{0}))))))</f>
        <v/>
      </c>
      <c r="P534" s="332">
        <f>IF(AND(B534="",C534=""),"",ROUND(H534*O534,2))</f>
        <v/>
      </c>
      <c r="Q534" s="327" t="inlineStr">
        <is>
          <t>元件</t>
        </is>
      </c>
      <c r="R534" s="150" t="n"/>
      <c r="S534" s="150" t="n"/>
      <c r="T534" s="150" t="inlineStr">
        <is>
          <t>0</t>
        </is>
      </c>
      <c r="U534" s="150" t="n"/>
      <c r="V534" s="328" t="n"/>
      <c r="W534" s="328" t="n"/>
      <c r="X534" s="152" t="n"/>
    </row>
    <row r="535" customFormat="1" s="145">
      <c r="A535" s="36">
        <f>ROW()-ROW(A$516)</f>
        <v/>
      </c>
      <c r="B535" s="29" t="inlineStr">
        <is>
          <t>熔断器</t>
        </is>
      </c>
      <c r="C535" s="29" t="inlineStr">
        <is>
          <t>UK5-HESI</t>
        </is>
      </c>
      <c r="D535" s="25" t="inlineStr">
        <is>
          <t>菲尼克斯</t>
        </is>
      </c>
      <c r="E535" s="26" t="inlineStr">
        <is>
          <t>只</t>
        </is>
      </c>
      <c r="F535" s="26" t="n">
        <v>36</v>
      </c>
      <c r="G535" s="293">
        <f>IF(AND(B535="",C535=""),"",ROUND(M535*L535*N535,2))</f>
        <v/>
      </c>
      <c r="H535" s="297">
        <f>IF(AND(B535="",C535=""),"",ROUND(F535*G535,2))</f>
        <v/>
      </c>
      <c r="I535" s="136" t="n"/>
      <c r="J535" s="329">
        <f>IF(AND(B535="",C535=""),"",ROUND(M535*N535,2))</f>
        <v/>
      </c>
      <c r="K535" s="330">
        <f>IF(AND(B535="",C535=""),"",ROUND(J535*F535,2))</f>
        <v/>
      </c>
      <c r="L535" s="126" t="n">
        <v>1</v>
      </c>
      <c r="M535" s="331" t="n">
        <v>7</v>
      </c>
      <c r="N535" s="128" t="n">
        <v>1</v>
      </c>
      <c r="O535" s="129">
        <f t="array" ref="O535">IF(AND(B535="",C535=""),"",IF(G535&gt;=20000,0.05,IF(G535&gt;=10000,0.1,IF(G535&gt;=5000,0.2,IF(G535&gt;=1000,0.3,IF(G535&gt;=0,0.4,{0}))))))</f>
        <v/>
      </c>
      <c r="P535" s="332">
        <f>IF(AND(B535="",C535=""),"",ROUND(H535*O535,2))</f>
        <v/>
      </c>
      <c r="Q535" s="327" t="inlineStr">
        <is>
          <t>元件</t>
        </is>
      </c>
      <c r="R535" s="150" t="n"/>
      <c r="S535" s="150" t="n"/>
      <c r="T535" s="150" t="inlineStr">
        <is>
          <t>0</t>
        </is>
      </c>
      <c r="U535" s="150" t="n"/>
      <c r="V535" s="328" t="n"/>
      <c r="W535" s="328" t="n"/>
      <c r="X535" s="152" t="n"/>
    </row>
    <row r="536" customFormat="1" s="145">
      <c r="A536" s="36">
        <f>ROW()-ROW(A$516)</f>
        <v/>
      </c>
      <c r="B536" s="29" t="inlineStr">
        <is>
          <t>SP元件</t>
        </is>
      </c>
      <c r="C536" s="25" t="inlineStr">
        <is>
          <t>智能网关 PAS700</t>
        </is>
      </c>
      <c r="D536" s="25" t="inlineStr">
        <is>
          <t>甲供/施耐德电气</t>
        </is>
      </c>
      <c r="E536" s="30" t="inlineStr">
        <is>
          <t>只</t>
        </is>
      </c>
      <c r="F536" s="30">
        <f>IF(AND(B536="",C536=""),"",1)</f>
        <v/>
      </c>
      <c r="G536" s="297">
        <f>IF(AND(B536="",C536=""),"",ROUND(M536*L536*N536,2))</f>
        <v/>
      </c>
      <c r="H536" s="297">
        <f>IF(AND(B536="",C536=""),"",ROUND(F536*G536,2))</f>
        <v/>
      </c>
      <c r="I536" s="135" t="n"/>
      <c r="J536" s="329">
        <f>IF(AND(B536="",C536=""),"",ROUND(M536*N536,2))</f>
        <v/>
      </c>
      <c r="K536" s="330">
        <f>IF(AND(B536="",C536=""),"",ROUND(J536*F536,2))</f>
        <v/>
      </c>
      <c r="L536" s="126" t="n">
        <v>1</v>
      </c>
      <c r="M536" s="331" t="n">
        <v>1e-07</v>
      </c>
      <c r="N536" s="128" t="n">
        <v>0</v>
      </c>
      <c r="O536" s="129">
        <f t="array" ref="O536">IF(AND(B536="",C536=""),"",IF(G536&gt;=20000,0.05,IF(G536&gt;=10000,0.1,IF(G536&gt;=5000,0.2,IF(G536&gt;=1000,0.3,IF(G536&gt;=0,0.4,{0}))))))</f>
        <v/>
      </c>
      <c r="P536" s="332">
        <f>IF(AND(B536="",C536=""),"",ROUND(H536*O536,2))</f>
        <v/>
      </c>
      <c r="Q536" s="327" t="inlineStr">
        <is>
          <t>元件</t>
        </is>
      </c>
      <c r="R536" s="150" t="n"/>
      <c r="S536" s="150" t="n"/>
      <c r="T536" s="150" t="inlineStr">
        <is>
          <t>0</t>
        </is>
      </c>
      <c r="U536" s="150" t="n"/>
      <c r="V536" s="328" t="n"/>
      <c r="W536" s="328" t="n"/>
      <c r="X536" s="152" t="n"/>
    </row>
    <row r="537" customFormat="1" s="145">
      <c r="A537" s="36">
        <f>ROW()-ROW(A$516)</f>
        <v/>
      </c>
      <c r="B537" s="25" t="inlineStr">
        <is>
          <t>水平排4000A</t>
        </is>
      </c>
      <c r="C537" s="25" t="inlineStr">
        <is>
          <t>TMY 3*(4*125*5)+2*125*5+2*50*5</t>
        </is>
      </c>
      <c r="D537" s="25" t="inlineStr">
        <is>
          <t>国产优质</t>
        </is>
      </c>
      <c r="E537" s="26" t="inlineStr">
        <is>
          <t>米</t>
        </is>
      </c>
      <c r="F537" s="30" t="n">
        <v>0.6</v>
      </c>
      <c r="G537" s="297">
        <f>IF(AND(B537="",C537=""),"",ROUND(M537*L537*N537,2))</f>
        <v/>
      </c>
      <c r="H537" s="297">
        <f>IF(AND(B537="",C537=""),"",ROUND(F537*G537,2))</f>
        <v/>
      </c>
      <c r="I537" s="135" t="n"/>
      <c r="J537" s="329">
        <f>IF(AND(B537="",C537=""),"",ROUND(M537*N537,2))</f>
        <v/>
      </c>
      <c r="K537" s="330">
        <f>IF(AND(B537="",C537=""),"",ROUND(J537*F537,2))</f>
        <v/>
      </c>
      <c r="L537" s="126" t="n">
        <v>1</v>
      </c>
      <c r="M537" s="331" t="n">
        <v>6895.130375</v>
      </c>
      <c r="N537" s="128" t="n">
        <v>1</v>
      </c>
      <c r="O537" s="129">
        <f t="array" ref="O537">IF(AND(B537="",C537=""),"",IF(G537&gt;=20000,0.05,IF(G537&gt;=10000,0.1,IF(G537&gt;=5000,0.2,IF(G537&gt;=1000,0.3,IF(G537&gt;=0,0.4,{0}))))))</f>
        <v/>
      </c>
      <c r="P537" s="332">
        <f>IF(AND(B537="",C537=""),"",ROUND(H537*O537,2))</f>
        <v/>
      </c>
      <c r="Q537" s="327" t="inlineStr">
        <is>
          <t>母排</t>
        </is>
      </c>
      <c r="R537" s="150" t="n"/>
      <c r="S537" s="150" t="n"/>
      <c r="T537" s="150" t="inlineStr">
        <is>
          <t>0</t>
        </is>
      </c>
      <c r="U537" s="150" t="n"/>
      <c r="V537" s="328" t="n"/>
      <c r="W537" s="328" t="n"/>
      <c r="X537" s="152" t="n"/>
    </row>
    <row r="538" customFormat="1" s="145">
      <c r="A538" s="36">
        <f>ROW()-ROW(A$516)</f>
        <v/>
      </c>
      <c r="B538" s="25" t="inlineStr">
        <is>
          <t>垂直排</t>
        </is>
      </c>
      <c r="C538" s="25" t="inlineStr">
        <is>
          <t>TMY 100*10</t>
        </is>
      </c>
      <c r="D538" s="25" t="inlineStr">
        <is>
          <t>国产优质</t>
        </is>
      </c>
      <c r="E538" s="26" t="inlineStr">
        <is>
          <t>米</t>
        </is>
      </c>
      <c r="F538" s="30" t="n">
        <v>5.7</v>
      </c>
      <c r="G538" s="297">
        <f>IF(AND(B538="",C538=""),"",ROUND(M538*L538*N538,2))</f>
        <v/>
      </c>
      <c r="H538" s="297">
        <f>IF(AND(B538="",C538=""),"",ROUND(F538*G538,2))</f>
        <v/>
      </c>
      <c r="I538" s="135" t="n"/>
      <c r="J538" s="329">
        <f>IF(AND(B538="",C538=""),"",ROUND(M538*N538,2))</f>
        <v/>
      </c>
      <c r="K538" s="330">
        <f>IF(AND(B538="",C538=""),"",ROUND(J538*F538,2))</f>
        <v/>
      </c>
      <c r="L538" s="126" t="n">
        <v>1</v>
      </c>
      <c r="M538" s="331" t="n">
        <v>745.4195</v>
      </c>
      <c r="N538" s="128" t="n">
        <v>1</v>
      </c>
      <c r="O538" s="129">
        <f t="array" ref="O538">IF(AND(B538="",C538=""),"",IF(G538&gt;=20000,0.05,IF(G538&gt;=10000,0.1,IF(G538&gt;=5000,0.2,IF(G538&gt;=1000,0.3,IF(G538&gt;=0,0.4,{0}))))))</f>
        <v/>
      </c>
      <c r="P538" s="332">
        <f>IF(AND(B538="",C538=""),"",ROUND(H538*O538,2))</f>
        <v/>
      </c>
      <c r="Q538" s="327" t="inlineStr">
        <is>
          <t>母排</t>
        </is>
      </c>
      <c r="R538" s="150" t="n"/>
      <c r="S538" s="150" t="n"/>
      <c r="T538" s="150" t="inlineStr">
        <is>
          <t>0</t>
        </is>
      </c>
      <c r="U538" s="150" t="n"/>
      <c r="V538" s="328" t="n"/>
      <c r="W538" s="328" t="n"/>
      <c r="X538" s="152" t="n"/>
    </row>
    <row r="539" customFormat="1" s="145">
      <c r="A539" s="36">
        <f>ROW()-ROW(A$516)</f>
        <v/>
      </c>
      <c r="B539" s="25" t="inlineStr">
        <is>
          <t>连接排</t>
        </is>
      </c>
      <c r="C539" s="25" t="inlineStr">
        <is>
          <t>TMY 50*10</t>
        </is>
      </c>
      <c r="D539" s="25" t="inlineStr">
        <is>
          <t>国产优质</t>
        </is>
      </c>
      <c r="E539" s="26" t="inlineStr">
        <is>
          <t>米</t>
        </is>
      </c>
      <c r="F539" s="30" t="n">
        <v>4.9</v>
      </c>
      <c r="G539" s="297">
        <f>IF(AND(B539="",C539=""),"",ROUND(M539*L539*N539,2))</f>
        <v/>
      </c>
      <c r="H539" s="297">
        <f>IF(AND(B539="",C539=""),"",ROUND(F539*G539,2))</f>
        <v/>
      </c>
      <c r="I539" s="135" t="n"/>
      <c r="J539" s="329">
        <f>IF(AND(B539="",C539=""),"",ROUND(M539*N539,2))</f>
        <v/>
      </c>
      <c r="K539" s="330">
        <f>IF(AND(B539="",C539=""),"",ROUND(J539*F539,2))</f>
        <v/>
      </c>
      <c r="L539" s="126" t="n">
        <v>1</v>
      </c>
      <c r="M539" s="331" t="n">
        <v>372.70975</v>
      </c>
      <c r="N539" s="128" t="n">
        <v>1</v>
      </c>
      <c r="O539" s="129">
        <f t="array" ref="O539">IF(AND(B539="",C539=""),"",IF(G539&gt;=20000,0.05,IF(G539&gt;=10000,0.1,IF(G539&gt;=5000,0.2,IF(G539&gt;=1000,0.3,IF(G539&gt;=0,0.4,{0}))))))</f>
        <v/>
      </c>
      <c r="P539" s="332">
        <f>IF(AND(B539="",C539=""),"",ROUND(H539*O539,2))</f>
        <v/>
      </c>
      <c r="Q539" s="327" t="inlineStr">
        <is>
          <t>母排</t>
        </is>
      </c>
      <c r="R539" s="150" t="n"/>
      <c r="S539" s="150" t="n"/>
      <c r="T539" s="150" t="inlineStr">
        <is>
          <t>0</t>
        </is>
      </c>
      <c r="U539" s="150" t="n"/>
      <c r="V539" s="328" t="n"/>
      <c r="W539" s="328" t="n"/>
      <c r="X539" s="152" t="n"/>
    </row>
    <row r="540" customFormat="1" s="145">
      <c r="A540" s="36">
        <f>ROW()-ROW(A$516)</f>
        <v/>
      </c>
      <c r="B540" s="25" t="inlineStr">
        <is>
          <t>N排</t>
        </is>
      </c>
      <c r="C540" s="25" t="inlineStr">
        <is>
          <t>TMY 50*10</t>
        </is>
      </c>
      <c r="D540" s="25" t="inlineStr">
        <is>
          <t>国产优质</t>
        </is>
      </c>
      <c r="E540" s="26" t="inlineStr">
        <is>
          <t>米</t>
        </is>
      </c>
      <c r="F540" s="30" t="n">
        <v>3.3</v>
      </c>
      <c r="G540" s="297">
        <f>IF(AND(B540="",C540=""),"",ROUND(M540*L540*N540,2))</f>
        <v/>
      </c>
      <c r="H540" s="297">
        <f>IF(AND(B540="",C540=""),"",ROUND(F540*G540,2))</f>
        <v/>
      </c>
      <c r="I540" s="135" t="n"/>
      <c r="J540" s="329">
        <f>IF(AND(B540="",C540=""),"",ROUND(M540*N540,2))</f>
        <v/>
      </c>
      <c r="K540" s="330">
        <f>IF(AND(B540="",C540=""),"",ROUND(J540*F540,2))</f>
        <v/>
      </c>
      <c r="L540" s="126" t="n">
        <v>1</v>
      </c>
      <c r="M540" s="331" t="n">
        <v>372.70975</v>
      </c>
      <c r="N540" s="128" t="n">
        <v>1</v>
      </c>
      <c r="O540" s="129">
        <f t="array" ref="O540">IF(AND(B540="",C540=""),"",IF(G540&gt;=20000,0.05,IF(G540&gt;=10000,0.1,IF(G540&gt;=5000,0.2,IF(G540&gt;=1000,0.3,IF(G540&gt;=0,0.4,{0}))))))</f>
        <v/>
      </c>
      <c r="P540" s="332">
        <f>IF(AND(B540="",C540=""),"",ROUND(H540*O540,2))</f>
        <v/>
      </c>
      <c r="Q540" s="327" t="inlineStr">
        <is>
          <t>母排</t>
        </is>
      </c>
      <c r="R540" s="150" t="n"/>
      <c r="S540" s="150" t="n"/>
      <c r="T540" s="150" t="inlineStr">
        <is>
          <t>0</t>
        </is>
      </c>
      <c r="U540" s="150" t="n"/>
      <c r="V540" s="328" t="n"/>
      <c r="W540" s="328" t="n"/>
      <c r="X540" s="152" t="n"/>
    </row>
    <row r="541" customFormat="1" s="145">
      <c r="A541" s="36">
        <f>ROW()-ROW(A$516)</f>
        <v/>
      </c>
      <c r="B541" s="25" t="inlineStr">
        <is>
          <t>630A连接排</t>
        </is>
      </c>
      <c r="C541" s="25" t="inlineStr">
        <is>
          <t>TMY 30*10</t>
        </is>
      </c>
      <c r="D541" s="25" t="inlineStr">
        <is>
          <t>国产优质</t>
        </is>
      </c>
      <c r="E541" s="26" t="inlineStr">
        <is>
          <t>米</t>
        </is>
      </c>
      <c r="F541" s="30">
        <f>3.2*2</f>
        <v/>
      </c>
      <c r="G541" s="297">
        <f>IF(AND(B541="",C541=""),"",ROUND(M541*L541*N541,2))</f>
        <v/>
      </c>
      <c r="H541" s="297">
        <f>IF(AND(B541="",C541=""),"",ROUND(F541*G541,2))</f>
        <v/>
      </c>
      <c r="I541" s="135" t="n"/>
      <c r="J541" s="329">
        <f>IF(AND(B541="",C541=""),"",ROUND(M541*N541,2))</f>
        <v/>
      </c>
      <c r="K541" s="330">
        <f>IF(AND(B541="",C541=""),"",ROUND(J541*F541,2))</f>
        <v/>
      </c>
      <c r="L541" s="126" t="n">
        <v>1</v>
      </c>
      <c r="M541" s="331" t="n">
        <v>223.62585</v>
      </c>
      <c r="N541" s="128" t="n">
        <v>1</v>
      </c>
      <c r="O541" s="129">
        <f t="array" ref="O541">IF(AND(B541="",C541=""),"",IF(G541&gt;=20000,0.05,IF(G541&gt;=10000,0.1,IF(G541&gt;=5000,0.2,IF(G541&gt;=1000,0.3,IF(G541&gt;=0,0.4,{0}))))))</f>
        <v/>
      </c>
      <c r="P541" s="332">
        <f>IF(AND(B541="",C541=""),"",ROUND(H541*O541,2))</f>
        <v/>
      </c>
      <c r="Q541" s="327" t="inlineStr">
        <is>
          <t>母排</t>
        </is>
      </c>
      <c r="R541" s="150" t="n"/>
      <c r="S541" s="150" t="n"/>
      <c r="T541" s="150" t="inlineStr">
        <is>
          <t>0</t>
        </is>
      </c>
      <c r="U541" s="150" t="n"/>
      <c r="V541" s="328" t="n"/>
      <c r="W541" s="328" t="n"/>
      <c r="X541" s="152" t="n"/>
    </row>
    <row r="542" customFormat="1" s="145">
      <c r="A542" s="36">
        <f>ROW()-ROW(A$516)</f>
        <v/>
      </c>
      <c r="B542" s="25" t="inlineStr">
        <is>
          <t>导线及辅料</t>
        </is>
      </c>
      <c r="C542" s="25" t="n"/>
      <c r="D542" s="25" t="inlineStr">
        <is>
          <t>国产优质</t>
        </is>
      </c>
      <c r="E542" s="26" t="inlineStr">
        <is>
          <t>套</t>
        </is>
      </c>
      <c r="F542" s="26" t="n">
        <v>1</v>
      </c>
      <c r="G542" s="293">
        <f>IF(AND(B542="",C542=""),"",ROUND(M542*L542*N542,2))</f>
        <v/>
      </c>
      <c r="H542" s="293">
        <f>IF(AND(B542="",C542=""),"",ROUND(F542*G542,2))</f>
        <v/>
      </c>
      <c r="I542" s="164" t="n"/>
      <c r="J542" s="329">
        <f>IF(AND(B542="",C542=""),"",ROUND(M542*N542,2))</f>
        <v/>
      </c>
      <c r="K542" s="330">
        <f>IF(AND(B542="",C542=""),"",ROUND(J542*F542,2))</f>
        <v/>
      </c>
      <c r="L542" s="126" t="n">
        <v>1</v>
      </c>
      <c r="M542" s="331" t="n">
        <v>2095</v>
      </c>
      <c r="N542" s="137" t="n">
        <v>1</v>
      </c>
      <c r="O542" s="138">
        <f t="array" ref="O542">IF(AND(B542="",C542=""),"",IF(G542&gt;=20000,0.05,IF(G542&gt;=10000,0.1,IF(G542&gt;=5000,0.2,IF(G542&gt;=1000,0.3,IF(G542&gt;=0,0.4,{0}))))))</f>
        <v/>
      </c>
      <c r="P542" s="333">
        <f>IF(AND(B542="",C542=""),"",ROUND(H542*O542,2))</f>
        <v/>
      </c>
      <c r="Q542" s="334" t="inlineStr">
        <is>
          <t>辅料</t>
        </is>
      </c>
      <c r="R542" s="154" t="n"/>
      <c r="S542" s="154" t="n"/>
      <c r="T542" s="154" t="inlineStr">
        <is>
          <t>0</t>
        </is>
      </c>
      <c r="U542" s="154" t="n"/>
      <c r="V542" s="335" t="n"/>
      <c r="W542" s="335" t="n"/>
      <c r="X542" s="152" t="n"/>
    </row>
    <row r="543" customFormat="1" s="145">
      <c r="A543" s="36">
        <f>ROW()-ROW(A$516)</f>
        <v/>
      </c>
      <c r="B543" s="25" t="inlineStr">
        <is>
          <t>通风顶盖</t>
        </is>
      </c>
      <c r="C543" s="25" t="n"/>
      <c r="D543" s="25" t="inlineStr">
        <is>
          <t>清科</t>
        </is>
      </c>
      <c r="E543" s="30" t="inlineStr">
        <is>
          <t>台</t>
        </is>
      </c>
      <c r="F543" s="26">
        <f>IF(AND(B543="",C543=""),"",1)</f>
        <v/>
      </c>
      <c r="G543" s="293">
        <f>IF(AND(B543="",C543=""),"",ROUND(M543*L543*N543,2))</f>
        <v/>
      </c>
      <c r="H543" s="293">
        <f>IF(AND(B543="",C543=""),"",ROUND(F543*G543,2))</f>
        <v/>
      </c>
      <c r="I543" s="164" t="n"/>
      <c r="J543" s="329">
        <f>IF(AND(B543="",C543=""),"",ROUND(M543*N543,2))</f>
        <v/>
      </c>
      <c r="K543" s="330">
        <f>IF(AND(B543="",C543=""),"",ROUND(J543*F543,2))</f>
        <v/>
      </c>
      <c r="L543" s="126">
        <f>IF(AND(B543="",C543=""),"",1)</f>
        <v/>
      </c>
      <c r="M543" s="331" t="n">
        <v>138</v>
      </c>
      <c r="N543" s="137">
        <f>IF(AND(B543="",C543=""),"",1)</f>
        <v/>
      </c>
      <c r="O543" s="138">
        <f t="array" ref="O543">IF(AND(B543="",C543=""),"",IF(G543&gt;=20000,0.05,IF(G543&gt;=10000,0.1,IF(G543&gt;=5000,0.2,IF(G543&gt;=1000,0.3,IF(G543&gt;=0,0.4,{0}))))))</f>
        <v/>
      </c>
      <c r="P543" s="333">
        <f>IF(AND(B543="",C543=""),"",ROUND(H543*O543,2))</f>
        <v/>
      </c>
      <c r="Q543" s="334">
        <f>IF(AND(B543="",C543=""),"","元件")</f>
        <v/>
      </c>
      <c r="R543" s="154" t="n"/>
      <c r="S543" s="154" t="n"/>
      <c r="T543" s="154" t="n"/>
      <c r="U543" s="154" t="n"/>
      <c r="V543" s="335" t="n"/>
      <c r="W543" s="335" t="n"/>
      <c r="X543" s="152" t="n"/>
    </row>
    <row r="544" customFormat="1" s="145">
      <c r="A544" s="36">
        <f>ROW()-ROW(A$516)</f>
        <v/>
      </c>
      <c r="B544" s="29" t="inlineStr">
        <is>
          <t>Blokset柜</t>
        </is>
      </c>
      <c r="C544" s="25" t="inlineStr">
        <is>
          <t>600W*1000D*2200H</t>
        </is>
      </c>
      <c r="D544" s="25" t="inlineStr">
        <is>
          <t>清科</t>
        </is>
      </c>
      <c r="E544" s="30" t="inlineStr">
        <is>
          <t>台</t>
        </is>
      </c>
      <c r="F544" s="30" t="n">
        <v>1</v>
      </c>
      <c r="G544" s="297">
        <f>IF(AND(B544="",C544=""),"",ROUND(M544*L544*N544,2))</f>
        <v/>
      </c>
      <c r="H544" s="297">
        <f>IF(AND(B544="",C544=""),"",ROUND(F544*G544,2))</f>
        <v/>
      </c>
      <c r="I544" s="135" t="n"/>
      <c r="J544" s="329">
        <f>IF(AND(B544="",C544=""),"",ROUND(M544*N544,2))</f>
        <v/>
      </c>
      <c r="K544" s="330">
        <f>IF(AND(B544="",C544=""),"",ROUND(J544*F544,2))</f>
        <v/>
      </c>
      <c r="L544" s="126" t="n">
        <v>1</v>
      </c>
      <c r="M544" s="331" t="n">
        <v>9559</v>
      </c>
      <c r="N544" s="137" t="n">
        <v>1</v>
      </c>
      <c r="O544" s="138">
        <f t="array" ref="O544">IF(AND(B544="",C544=""),"",IF(G544&gt;=20000,0.05,IF(G544&gt;=10000,0.1,IF(G544&gt;=5000,0.2,IF(G544&gt;=1000,0.3,IF(G544&gt;=0,0.4,{0}))))))</f>
        <v/>
      </c>
      <c r="P544" s="333">
        <f>IF(AND(B544="",C544=""),"",ROUND(H544*O544,2))</f>
        <v/>
      </c>
      <c r="Q544" s="334" t="inlineStr">
        <is>
          <t>箱体</t>
        </is>
      </c>
      <c r="R544" s="154" t="n"/>
      <c r="S544" s="154" t="n"/>
      <c r="T544" s="154" t="inlineStr">
        <is>
          <t>0</t>
        </is>
      </c>
      <c r="U544" s="154" t="n"/>
      <c r="V544" s="335" t="n"/>
      <c r="W544" s="335" t="n"/>
      <c r="X544" s="152" t="n"/>
    </row>
    <row r="545" customFormat="1" s="145">
      <c r="A545" s="36">
        <f>ROW()-ROW(A$516)</f>
        <v/>
      </c>
      <c r="B545" s="25" t="n"/>
      <c r="C545" s="25" t="n"/>
      <c r="D545" s="25" t="n"/>
      <c r="E545" s="26" t="n"/>
      <c r="F545" s="26">
        <f>IF(AND(B545="",C545=""),"",1)</f>
        <v/>
      </c>
      <c r="G545" s="293">
        <f>IF(AND(B545="",C545=""),"",ROUND(M545*L545*N545,2))</f>
        <v/>
      </c>
      <c r="H545" s="297">
        <f>IF(AND(B545="",C545=""),"",ROUND(F545*G545,2))</f>
        <v/>
      </c>
      <c r="I545" s="135" t="n"/>
      <c r="J545" s="329">
        <f>IF(AND(B545="",C545=""),"",ROUND(M545*N545,2))</f>
        <v/>
      </c>
      <c r="K545" s="330">
        <f>IF(AND(B545="",C545=""),"",ROUND(J545*F545,2))</f>
        <v/>
      </c>
      <c r="L545" s="126">
        <f>IF(AND(B545="",C545=""),"",1)</f>
        <v/>
      </c>
      <c r="M545" s="331" t="n"/>
      <c r="N545" s="128">
        <f>IF(AND(B545="",C545=""),"",1)</f>
        <v/>
      </c>
      <c r="O545" s="129">
        <f t="array" ref="O545">IF(AND(B545="",C545=""),"",IF(G545&gt;=20000,0.05,IF(G545&gt;=10000,0.1,IF(G545&gt;=5000,0.2,IF(G545&gt;=1000,0.3,IF(G545&gt;=0,0.4,{0}))))))</f>
        <v/>
      </c>
      <c r="P545" s="332">
        <f>IF(AND(B545="",C545=""),"",ROUND(H545*O545,2))</f>
        <v/>
      </c>
      <c r="Q545" s="327">
        <f>IF(AND(B545="",C545=""),"","元件")</f>
        <v/>
      </c>
      <c r="R545" s="150" t="n"/>
      <c r="S545" s="150" t="n"/>
      <c r="T545" s="150" t="n"/>
      <c r="U545" s="150" t="n"/>
      <c r="V545" s="328" t="n"/>
      <c r="W545" s="328" t="n"/>
      <c r="X545" s="152" t="n"/>
    </row>
    <row r="546" customFormat="1" s="145">
      <c r="A546" s="36">
        <f>ROW()-ROW(A$516)</f>
        <v/>
      </c>
      <c r="B546" s="25" t="n"/>
      <c r="C546" s="25" t="n"/>
      <c r="D546" s="25" t="n"/>
      <c r="E546" s="26" t="n"/>
      <c r="F546" s="26">
        <f>IF(AND(B546="",C546=""),"",1)</f>
        <v/>
      </c>
      <c r="G546" s="293">
        <f>IF(AND(B546="",C546=""),"",ROUND(M546*L546*N546,2))</f>
        <v/>
      </c>
      <c r="H546" s="297">
        <f>IF(AND(B546="",C546=""),"",ROUND(F546*G546,2))</f>
        <v/>
      </c>
      <c r="I546" s="135" t="n"/>
      <c r="J546" s="329">
        <f>IF(AND(B546="",C546=""),"",ROUND(M546*N546,2))</f>
        <v/>
      </c>
      <c r="K546" s="330">
        <f>IF(AND(B546="",C546=""),"",ROUND(J546*F546,2))</f>
        <v/>
      </c>
      <c r="L546" s="126">
        <f>IF(AND(B546="",C546=""),"",1)</f>
        <v/>
      </c>
      <c r="M546" s="331" t="n"/>
      <c r="N546" s="128">
        <f>IF(AND(B546="",C546=""),"",1)</f>
        <v/>
      </c>
      <c r="O546" s="129">
        <f t="array" ref="O546">IF(AND(B546="",C546=""),"",IF(G546&gt;=20000,0.05,IF(G546&gt;=10000,0.1,IF(G546&gt;=5000,0.2,IF(G546&gt;=1000,0.3,IF(G546&gt;=0,0.4,{0}))))))</f>
        <v/>
      </c>
      <c r="P546" s="332">
        <f>IF(AND(B546="",C546=""),"",ROUND(H546*O546,2))</f>
        <v/>
      </c>
      <c r="Q546" s="327">
        <f>IF(AND(B546="",C546=""),"","元件")</f>
        <v/>
      </c>
      <c r="R546" s="150" t="n"/>
      <c r="S546" s="150" t="n"/>
      <c r="T546" s="150" t="n"/>
      <c r="U546" s="150" t="n"/>
      <c r="V546" s="328" t="n"/>
      <c r="W546" s="328" t="n"/>
      <c r="X546" s="152" t="n"/>
    </row>
    <row r="547" customFormat="1" s="145">
      <c r="A547" s="36">
        <f>ROW()-ROW(A$516)</f>
        <v/>
      </c>
      <c r="B547" s="156" t="inlineStr">
        <is>
          <t>小计</t>
        </is>
      </c>
      <c r="C547" s="157" t="n"/>
      <c r="D547" s="54" t="n"/>
      <c r="E547" s="30" t="n"/>
      <c r="F547" s="30" t="n"/>
      <c r="G547" s="297" t="n"/>
      <c r="H547" s="297">
        <f>ROUND(SUM(H516:INDEX(H:H,ROW()-1)),2)</f>
        <v/>
      </c>
      <c r="I547" s="91" t="n"/>
      <c r="J547" s="329" t="n"/>
      <c r="K547" s="330">
        <f>ROUND(SUM(K516:INDEX(K:K,ROW()-1)),2)</f>
        <v/>
      </c>
      <c r="L547" s="126" t="n"/>
      <c r="M547" s="331" t="n"/>
      <c r="N547" s="128" t="n"/>
      <c r="O547" s="129" t="n"/>
      <c r="P547" s="332" t="n"/>
      <c r="Q547" s="327" t="n"/>
      <c r="R547" s="150" t="n"/>
      <c r="S547" s="150" t="n"/>
      <c r="T547" s="150" t="n"/>
      <c r="U547" s="150" t="n"/>
      <c r="V547" s="328">
        <f t="array" ref="V547">ROUND(SUMPRODUCT(F516:INDEX(F:F,ROW()-1),V516:INDEX(V:V,ROW()-1)),2)</f>
        <v/>
      </c>
      <c r="W547" s="328">
        <f t="array" ref="W547">ROUND(SUMPRODUCT(F516:INDEX(F:F,ROW()-1),W516:INDEX(W:W,ROW()-1)),2)</f>
        <v/>
      </c>
      <c r="X547" s="152" t="n"/>
    </row>
    <row r="548" customFormat="1" s="145">
      <c r="A548" s="36">
        <f>ROW()-ROW(A$516)</f>
        <v/>
      </c>
      <c r="B548" s="156" t="inlineStr">
        <is>
          <t>成套费</t>
        </is>
      </c>
      <c r="C548" s="157" t="n"/>
      <c r="D548" s="54" t="n"/>
      <c r="E548" s="30" t="n"/>
      <c r="F548" s="30" t="n"/>
      <c r="G548" s="297" t="n"/>
      <c r="H548" s="297" t="n">
        <v>944.76</v>
      </c>
      <c r="I548" s="91" t="n"/>
      <c r="J548" s="329" t="n"/>
      <c r="K548" s="330" t="n">
        <v>944.76</v>
      </c>
      <c r="L548" s="126" t="n"/>
      <c r="M548" s="331" t="n"/>
      <c r="N548" s="128" t="n"/>
      <c r="O548" s="129" t="n"/>
      <c r="P548" s="332" t="n"/>
      <c r="Q548" s="327" t="n"/>
      <c r="R548" s="150" t="n"/>
      <c r="S548" s="150" t="n"/>
      <c r="T548" s="150" t="n"/>
      <c r="U548" s="150" t="n"/>
      <c r="V548" s="328" t="n"/>
      <c r="W548" s="328" t="n"/>
      <c r="X548" s="152" t="n"/>
    </row>
    <row r="549" customFormat="1" s="145">
      <c r="A549" s="36">
        <f>ROW()-ROW(A$516)</f>
        <v/>
      </c>
      <c r="B549" s="156" t="n"/>
      <c r="C549" s="157" t="n"/>
      <c r="D549" s="54" t="n"/>
      <c r="E549" s="30" t="n"/>
      <c r="F549" s="30" t="n"/>
      <c r="G549" s="297" t="n"/>
      <c r="H549" s="297" t="n">
        <v>17.26</v>
      </c>
      <c r="I549" s="91" t="n"/>
      <c r="J549" s="329" t="n"/>
      <c r="K549" s="330" t="n"/>
      <c r="L549" s="126" t="n"/>
      <c r="M549" s="331" t="n"/>
      <c r="N549" s="128" t="n"/>
      <c r="O549" s="129" t="n"/>
      <c r="P549" s="332" t="n"/>
      <c r="Q549" s="327" t="n"/>
      <c r="R549" s="150" t="n"/>
      <c r="S549" s="150" t="n"/>
      <c r="T549" s="150" t="n"/>
      <c r="U549" s="150" t="n"/>
      <c r="V549" s="328" t="n"/>
      <c r="W549" s="328" t="n"/>
      <c r="X549" s="152" t="n"/>
    </row>
    <row r="550" customFormat="1" s="145">
      <c r="A550" s="36">
        <f>ROW()-ROW(A$516)</f>
        <v/>
      </c>
      <c r="B550" s="54" t="inlineStr">
        <is>
          <t>单台合计</t>
        </is>
      </c>
      <c r="C550" s="157" t="n"/>
      <c r="D550" s="54" t="n"/>
      <c r="E550" s="30" t="n"/>
      <c r="F550" s="30" t="n"/>
      <c r="G550" s="297" t="n"/>
      <c r="H550" s="297">
        <f>ROUND(SUM(H547:H548),2)</f>
        <v/>
      </c>
      <c r="I550" s="165" t="n"/>
      <c r="J550" s="329" t="n"/>
      <c r="K550" s="330">
        <f>ROUND(SUM(K547:K548),2)</f>
        <v/>
      </c>
      <c r="L550" s="166" t="n"/>
      <c r="M550" s="331" t="n"/>
      <c r="N550" s="167" t="n"/>
      <c r="O550" s="168" t="n"/>
      <c r="P550" s="332" t="n"/>
      <c r="Q550" s="327" t="n"/>
      <c r="R550" s="150" t="n"/>
      <c r="S550" s="150" t="n"/>
      <c r="T550" s="150" t="n"/>
      <c r="U550" s="150" t="n"/>
      <c r="V550" s="328" t="n"/>
      <c r="W550" s="328" t="n"/>
      <c r="X550" s="152" t="n"/>
    </row>
    <row r="551" customFormat="1" s="145">
      <c r="A551" s="158" t="inlineStr">
        <is>
          <t>总计</t>
        </is>
      </c>
      <c r="B551" s="159" t="n"/>
      <c r="C551" s="160" t="n"/>
      <c r="D551" s="161" t="n"/>
      <c r="E551" s="161" t="inlineStr">
        <is>
          <t>台</t>
        </is>
      </c>
      <c r="F551" s="161" t="n">
        <v>2</v>
      </c>
      <c r="G551" s="336">
        <f>ROUND(H550,2)</f>
        <v/>
      </c>
      <c r="H551" s="336">
        <f>ROUND(F551*G551,2)</f>
        <v/>
      </c>
      <c r="I551" s="169" t="n"/>
      <c r="J551" s="337" t="n"/>
      <c r="K551" s="338">
        <f>ROUND(K550*F551,2)</f>
        <v/>
      </c>
      <c r="L551" s="172" t="n"/>
      <c r="M551" s="339" t="n"/>
      <c r="N551" s="174" t="n"/>
      <c r="O551" s="175" t="n"/>
      <c r="P551" s="340" t="n"/>
      <c r="Q551" s="327" t="n"/>
      <c r="R551" s="150" t="n"/>
      <c r="S551" s="150" t="n"/>
      <c r="T551" s="150" t="n"/>
      <c r="U551" s="150" t="n"/>
      <c r="V551" s="328" t="n"/>
      <c r="W551" s="328" t="n"/>
      <c r="X551" s="152" t="n"/>
    </row>
    <row r="552" customFormat="1" s="146">
      <c r="A552" s="3" t="n"/>
      <c r="B552" s="117" t="n"/>
      <c r="C552" s="117" t="n"/>
      <c r="D552" s="117" t="n"/>
      <c r="E552" s="146" t="n"/>
      <c r="F552" s="146" t="n"/>
      <c r="G552" s="146" t="n"/>
      <c r="H552" s="146" t="n"/>
      <c r="Q552" s="144" t="n"/>
      <c r="R552" s="144" t="n"/>
      <c r="S552" s="144" t="n"/>
      <c r="T552" s="144" t="n"/>
      <c r="U552" s="144" t="n"/>
      <c r="X552" s="117" t="n"/>
    </row>
    <row r="553" customFormat="1" s="146">
      <c r="A553" s="3" t="n"/>
      <c r="B553" s="117" t="n"/>
      <c r="C553" s="117" t="n"/>
      <c r="D553" s="117" t="n"/>
      <c r="E553" s="146" t="n"/>
      <c r="F553" s="146" t="n"/>
      <c r="G553" s="146" t="n"/>
      <c r="H553" s="146" t="n"/>
      <c r="Q553" s="144" t="n"/>
      <c r="R553" s="144" t="n"/>
      <c r="S553" s="144" t="n"/>
      <c r="T553" s="144" t="n"/>
      <c r="U553" s="144" t="n"/>
      <c r="X553" s="117" t="n"/>
    </row>
    <row r="554" customFormat="1" s="145">
      <c r="A554" s="63">
        <f>CONCATENATE("报价人：",项目信息!$B$8)</f>
        <v/>
      </c>
      <c r="B554" s="63" t="n"/>
      <c r="C554" s="146" t="n"/>
      <c r="D554" s="146" t="n"/>
      <c r="E554" s="146" t="n"/>
      <c r="F554" s="146" t="n"/>
      <c r="G554" s="146" t="n"/>
      <c r="H554" s="163">
        <f>项目信息!$B$9</f>
        <v/>
      </c>
      <c r="Q554" s="144" t="n"/>
      <c r="R554" s="144" t="n"/>
      <c r="S554" s="144" t="n"/>
      <c r="T554" s="144" t="n"/>
      <c r="U554" s="144" t="n"/>
      <c r="X554" s="148" t="n"/>
    </row>
    <row r="555" customFormat="1" s="145">
      <c r="A555" s="5">
        <f>T(项目信息!$B$22)</f>
        <v/>
      </c>
      <c r="Q555" s="144" t="n"/>
      <c r="R555" s="144" t="n"/>
      <c r="S555" s="144" t="n"/>
      <c r="T555" s="144" t="n"/>
      <c r="U555" s="144" t="n"/>
      <c r="X555" s="145" t="n"/>
    </row>
    <row r="556" customFormat="1" s="145">
      <c r="A556" s="6">
        <f>T(项目信息!$B$23)</f>
        <v/>
      </c>
      <c r="Q556" s="144" t="n"/>
      <c r="R556" s="144" t="n"/>
      <c r="S556" s="144" t="n"/>
      <c r="T556" s="144" t="n"/>
      <c r="U556" s="144" t="n"/>
      <c r="X556" s="145" t="n"/>
    </row>
    <row r="557" customFormat="1" s="145">
      <c r="A557" s="68" t="inlineStr">
        <is>
          <t>成套产品报价明细表</t>
        </is>
      </c>
      <c r="B557" s="318" t="n"/>
      <c r="C557" s="318" t="n"/>
      <c r="D557" s="318" t="n"/>
      <c r="E557" s="318" t="n"/>
      <c r="F557" s="318" t="n"/>
      <c r="G557" s="318" t="n"/>
      <c r="H557" s="318" t="n"/>
      <c r="I557" s="318" t="n"/>
      <c r="Q557" s="144" t="n"/>
      <c r="R557" s="144" t="n"/>
      <c r="S557" s="144" t="n"/>
      <c r="T557" s="144" t="n"/>
      <c r="U557" s="144" t="n"/>
      <c r="X557" s="145" t="n"/>
    </row>
    <row r="558" customFormat="1" s="146">
      <c r="A558" s="69" t="inlineStr">
        <is>
          <t>柜号:</t>
        </is>
      </c>
      <c r="B558" s="70" t="inlineStr">
        <is>
          <t>3D6 4D7</t>
        </is>
      </c>
      <c r="C558" s="71" t="inlineStr">
        <is>
          <t>型号:</t>
        </is>
      </c>
      <c r="D558" s="70" t="inlineStr">
        <is>
          <t>Blokset</t>
        </is>
      </c>
      <c r="E558" s="319" t="n"/>
      <c r="F558" s="72" t="inlineStr">
        <is>
          <t>名称:</t>
        </is>
      </c>
      <c r="G558" s="70" t="inlineStr">
        <is>
          <t>出线柜</t>
        </is>
      </c>
      <c r="H558" s="319" t="n"/>
      <c r="I558" s="320" t="n"/>
      <c r="J558" s="116" t="inlineStr">
        <is>
          <t>箱柜尺寸:</t>
        </is>
      </c>
      <c r="K558" s="117" t="inlineStr">
        <is>
          <t>600W*1000D*2200H</t>
        </is>
      </c>
      <c r="L558" s="116" t="inlineStr">
        <is>
          <t>类别:</t>
        </is>
      </c>
      <c r="M558" s="117" t="n"/>
      <c r="N558" s="321" t="n"/>
      <c r="Q558" s="144" t="n"/>
      <c r="R558" s="144" t="n"/>
      <c r="S558" s="144" t="n"/>
      <c r="T558" s="144" t="n"/>
      <c r="U558" s="144" t="n"/>
      <c r="X558" s="146" t="n"/>
    </row>
    <row r="559" ht="20.1" customFormat="1" customHeight="1" s="145">
      <c r="A559" s="13" t="inlineStr">
        <is>
          <t>序号</t>
        </is>
      </c>
      <c r="B559" s="73" t="inlineStr">
        <is>
          <t>元件名称</t>
        </is>
      </c>
      <c r="C559" s="73" t="inlineStr">
        <is>
          <t>型号规格</t>
        </is>
      </c>
      <c r="D559" s="74" t="inlineStr">
        <is>
          <t>生产厂家</t>
        </is>
      </c>
      <c r="E559" s="15" t="inlineStr">
        <is>
          <t>单位</t>
        </is>
      </c>
      <c r="F559" s="15" t="inlineStr">
        <is>
          <t>数量</t>
        </is>
      </c>
      <c r="G559" s="287" t="inlineStr">
        <is>
          <t>单   价</t>
        </is>
      </c>
      <c r="H559" s="256" t="inlineStr">
        <is>
          <t>总   价</t>
        </is>
      </c>
      <c r="I559" s="119" t="inlineStr">
        <is>
          <t>备注</t>
        </is>
      </c>
      <c r="J559" s="322" t="inlineStr">
        <is>
          <t>成本单价</t>
        </is>
      </c>
      <c r="K559" s="322" t="inlineStr">
        <is>
          <t>成本总价</t>
        </is>
      </c>
      <c r="L559" s="121" t="inlineStr">
        <is>
          <t>报出
系数</t>
        </is>
      </c>
      <c r="M559" s="322" t="inlineStr">
        <is>
          <t>表价</t>
        </is>
      </c>
      <c r="N559" s="121" t="inlineStr">
        <is>
          <t>折扣
系数</t>
        </is>
      </c>
      <c r="O559" s="122" t="inlineStr">
        <is>
          <t>取费
系数</t>
        </is>
      </c>
      <c r="P559" s="322" t="inlineStr">
        <is>
          <t>成套费</t>
        </is>
      </c>
      <c r="Q559" s="147" t="inlineStr">
        <is>
          <t>类别</t>
        </is>
      </c>
      <c r="R559" s="147" t="inlineStr">
        <is>
          <t>物料编码</t>
        </is>
      </c>
      <c r="S559" s="147" t="inlineStr">
        <is>
          <t>产地</t>
        </is>
      </c>
      <c r="T559" s="147" t="inlineStr">
        <is>
          <t>加工费</t>
        </is>
      </c>
      <c r="U559" s="147" t="inlineStr">
        <is>
          <t>订货号</t>
        </is>
      </c>
      <c r="V559" s="147" t="inlineStr">
        <is>
          <t>人工</t>
        </is>
      </c>
      <c r="W559" s="147" t="inlineStr">
        <is>
          <t>辅料</t>
        </is>
      </c>
      <c r="X559" s="148" t="n"/>
    </row>
    <row r="560" customFormat="1" s="145">
      <c r="A560" s="36">
        <f>ROW()-ROW(A$559)</f>
        <v/>
      </c>
      <c r="B560" s="29" t="inlineStr">
        <is>
          <t>交流塑壳断路器</t>
        </is>
      </c>
      <c r="C560" s="25" t="inlineStr">
        <is>
          <t>NSX160N TMD 160 3P3D F</t>
        </is>
      </c>
      <c r="D560" s="29" t="inlineStr">
        <is>
          <t>甲供/施耐德电气</t>
        </is>
      </c>
      <c r="E560" s="30" t="inlineStr">
        <is>
          <t>只</t>
        </is>
      </c>
      <c r="F560" s="26" t="n">
        <v>1</v>
      </c>
      <c r="G560" s="293">
        <f>IF(AND(B560="",C560=""),"",ROUND(M560*L560*N560,2))</f>
        <v/>
      </c>
      <c r="H560" s="293">
        <f>IF(AND(B560="",C560=""),"",ROUND(F560*G560,2))</f>
        <v/>
      </c>
      <c r="I560" s="91" t="n"/>
      <c r="J560" s="329">
        <f>IF(AND(B560="",C560=""),"",ROUND(M560*N560,2))</f>
        <v/>
      </c>
      <c r="K560" s="330">
        <f>IF(AND(B560="",C560=""),"",ROUND(J560*F560,2))</f>
        <v/>
      </c>
      <c r="L560" s="126" t="n">
        <v>1</v>
      </c>
      <c r="M560" s="331" t="n">
        <v>1642.67</v>
      </c>
      <c r="N560" s="128" t="n">
        <v>0</v>
      </c>
      <c r="O560" s="129">
        <f t="array" ref="O560">IF(AND(B560="",C560=""),"",IF(G560&gt;=20000,0.05,IF(G560&gt;=10000,0.1,IF(G560&gt;=5000,0.2,IF(G560&gt;=1000,0.3,IF(G560&gt;=0,0.4,{0}))))))</f>
        <v/>
      </c>
      <c r="P560" s="332">
        <f>IF(AND(B560="",C560=""),"",ROUND(H560*O560,2))</f>
        <v/>
      </c>
      <c r="Q560" s="327" t="inlineStr">
        <is>
          <t>元件</t>
        </is>
      </c>
      <c r="R560" s="150" t="n"/>
      <c r="S560" s="150" t="n"/>
      <c r="T560" s="150" t="inlineStr">
        <is>
          <t>0</t>
        </is>
      </c>
      <c r="U560" s="150" t="inlineStr">
        <is>
          <t>C16N3TM160</t>
        </is>
      </c>
      <c r="V560" s="328" t="n"/>
      <c r="W560" s="328" t="n"/>
      <c r="X560" s="152" t="n"/>
    </row>
    <row r="561" customFormat="1" s="145">
      <c r="A561" s="36">
        <f>ROW()-ROW(A$559)</f>
        <v/>
      </c>
      <c r="B561" s="29" t="inlineStr">
        <is>
          <t>交流塑壳断路器</t>
        </is>
      </c>
      <c r="C561" s="25" t="inlineStr">
        <is>
          <t>NSX250N MA 220 3P3D F</t>
        </is>
      </c>
      <c r="D561" s="29" t="inlineStr">
        <is>
          <t>甲供/施耐德电气</t>
        </is>
      </c>
      <c r="E561" s="30" t="inlineStr">
        <is>
          <t>只</t>
        </is>
      </c>
      <c r="F561" s="26" t="n">
        <v>1</v>
      </c>
      <c r="G561" s="293">
        <f>IF(AND(B561="",C561=""),"",ROUND(M561*L561*N561,2))</f>
        <v/>
      </c>
      <c r="H561" s="293">
        <f>IF(AND(B561="",C561=""),"",ROUND(F561*G561,2))</f>
        <v/>
      </c>
      <c r="I561" s="91" t="n"/>
      <c r="J561" s="329">
        <f>IF(AND(B561="",C561=""),"",ROUND(M561*N561,2))</f>
        <v/>
      </c>
      <c r="K561" s="330">
        <f>IF(AND(B561="",C561=""),"",ROUND(J561*F561,2))</f>
        <v/>
      </c>
      <c r="L561" s="126" t="n">
        <v>1</v>
      </c>
      <c r="M561" s="331" t="n">
        <v>2020.88</v>
      </c>
      <c r="N561" s="128" t="n">
        <v>0</v>
      </c>
      <c r="O561" s="129">
        <f t="array" ref="O561">IF(AND(B561="",C561=""),"",IF(G561&gt;=20000,0.05,IF(G561&gt;=10000,0.1,IF(G561&gt;=5000,0.2,IF(G561&gt;=1000,0.3,IF(G561&gt;=0,0.4,{0}))))))</f>
        <v/>
      </c>
      <c r="P561" s="332">
        <f>IF(AND(B561="",C561=""),"",ROUND(H561*O561,2))</f>
        <v/>
      </c>
      <c r="Q561" s="327" t="inlineStr">
        <is>
          <t>元件</t>
        </is>
      </c>
      <c r="R561" s="150" t="n"/>
      <c r="S561" s="150" t="n"/>
      <c r="T561" s="150" t="inlineStr">
        <is>
          <t>0</t>
        </is>
      </c>
      <c r="U561" s="150" t="inlineStr">
        <is>
          <t>C25N3MA220</t>
        </is>
      </c>
      <c r="V561" s="328" t="n"/>
      <c r="W561" s="328" t="n"/>
      <c r="X561" s="152" t="n"/>
    </row>
    <row r="562" customFormat="1" s="145">
      <c r="A562" s="36">
        <f>ROW()-ROW(A$559)</f>
        <v/>
      </c>
      <c r="B562" s="29" t="inlineStr">
        <is>
          <t>交流塑壳断路器</t>
        </is>
      </c>
      <c r="C562" s="25" t="inlineStr">
        <is>
          <t>NSX250N TMD 250 3P3D F</t>
        </is>
      </c>
      <c r="D562" s="29" t="inlineStr">
        <is>
          <t>甲供/施耐德电气</t>
        </is>
      </c>
      <c r="E562" s="30" t="inlineStr">
        <is>
          <t>只</t>
        </is>
      </c>
      <c r="F562" s="26" t="n">
        <v>1</v>
      </c>
      <c r="G562" s="293">
        <f>IF(AND(B562="",C562=""),"",ROUND(M562*L562*N562,2))</f>
        <v/>
      </c>
      <c r="H562" s="293">
        <f>IF(AND(B562="",C562=""),"",ROUND(F562*G562,2))</f>
        <v/>
      </c>
      <c r="I562" s="91" t="n"/>
      <c r="J562" s="329">
        <f>IF(AND(B562="",C562=""),"",ROUND(M562*N562,2))</f>
        <v/>
      </c>
      <c r="K562" s="330">
        <f>IF(AND(B562="",C562=""),"",ROUND(J562*F562,2))</f>
        <v/>
      </c>
      <c r="L562" s="126" t="n">
        <v>1</v>
      </c>
      <c r="M562" s="331" t="n">
        <v>2315.28</v>
      </c>
      <c r="N562" s="128" t="n">
        <v>0</v>
      </c>
      <c r="O562" s="129">
        <f t="array" ref="O562">IF(AND(B562="",C562=""),"",IF(G562&gt;=20000,0.05,IF(G562&gt;=10000,0.1,IF(G562&gt;=5000,0.2,IF(G562&gt;=1000,0.3,IF(G562&gt;=0,0.4,{0}))))))</f>
        <v/>
      </c>
      <c r="P562" s="332">
        <f>IF(AND(B562="",C562=""),"",ROUND(H562*O562,2))</f>
        <v/>
      </c>
      <c r="Q562" s="327" t="inlineStr">
        <is>
          <t>元件</t>
        </is>
      </c>
      <c r="R562" s="150" t="n"/>
      <c r="S562" s="150" t="n"/>
      <c r="T562" s="150" t="inlineStr">
        <is>
          <t>0</t>
        </is>
      </c>
      <c r="U562" s="150" t="inlineStr">
        <is>
          <t>C25N3TM250</t>
        </is>
      </c>
      <c r="V562" s="328" t="n"/>
      <c r="W562" s="328" t="n"/>
      <c r="X562" s="152" t="n"/>
    </row>
    <row r="563" customFormat="1" s="145">
      <c r="A563" s="36">
        <f>ROW()-ROW(A$559)</f>
        <v/>
      </c>
      <c r="B563" s="29" t="inlineStr">
        <is>
          <t>交流塑壳断路器</t>
        </is>
      </c>
      <c r="C563" s="25" t="inlineStr">
        <is>
          <t>NSX630N MIC 2.3 630 3P F</t>
        </is>
      </c>
      <c r="D563" s="29" t="inlineStr">
        <is>
          <t>甲供/施耐德电气</t>
        </is>
      </c>
      <c r="E563" s="30" t="inlineStr">
        <is>
          <t>只</t>
        </is>
      </c>
      <c r="F563" s="26" t="n">
        <v>3</v>
      </c>
      <c r="G563" s="293">
        <f>IF(AND(B563="",C563=""),"",ROUND(M563*L563*N563,2))</f>
        <v/>
      </c>
      <c r="H563" s="293">
        <f>IF(AND(B563="",C563=""),"",ROUND(F563*G563,2))</f>
        <v/>
      </c>
      <c r="I563" s="91" t="n"/>
      <c r="J563" s="329">
        <f>IF(AND(B563="",C563=""),"",ROUND(M563*N563,2))</f>
        <v/>
      </c>
      <c r="K563" s="330">
        <f>IF(AND(B563="",C563=""),"",ROUND(J563*F563,2))</f>
        <v/>
      </c>
      <c r="L563" s="126" t="n">
        <v>1</v>
      </c>
      <c r="M563" s="331" t="n">
        <v>5950.31</v>
      </c>
      <c r="N563" s="128" t="n">
        <v>0</v>
      </c>
      <c r="O563" s="129">
        <f t="array" ref="O563">IF(AND(B563="",C563=""),"",IF(G563&gt;=20000,0.05,IF(G563&gt;=10000,0.1,IF(G563&gt;=5000,0.2,IF(G563&gt;=1000,0.3,IF(G563&gt;=0,0.4,{0}))))))</f>
        <v/>
      </c>
      <c r="P563" s="332">
        <f>IF(AND(B563="",C563=""),"",ROUND(H563*O563,2))</f>
        <v/>
      </c>
      <c r="Q563" s="327" t="inlineStr">
        <is>
          <t>元件</t>
        </is>
      </c>
      <c r="R563" s="150" t="n"/>
      <c r="S563" s="150" t="n"/>
      <c r="T563" s="150" t="inlineStr">
        <is>
          <t>0</t>
        </is>
      </c>
      <c r="U563" s="150" t="inlineStr">
        <is>
          <t>C63N32D630</t>
        </is>
      </c>
      <c r="V563" s="328" t="n"/>
      <c r="W563" s="328" t="n"/>
      <c r="X563" s="152" t="inlineStr">
        <is>
          <t>NSX630N TMD 630 3P3D F</t>
        </is>
      </c>
    </row>
    <row r="564" customFormat="1" s="145">
      <c r="A564" s="36">
        <f>ROW()-ROW(A$559)</f>
        <v/>
      </c>
      <c r="B564" s="29" t="inlineStr">
        <is>
          <t>新外观延伸旋转手柄</t>
        </is>
      </c>
      <c r="C564" s="29" t="inlineStr">
        <is>
          <t>标准延伸旋转手柄/新外观延伸旋转手柄 100/160/250A</t>
        </is>
      </c>
      <c r="D564" s="29" t="inlineStr">
        <is>
          <t>甲供/施耐德电气</t>
        </is>
      </c>
      <c r="E564" s="30" t="inlineStr">
        <is>
          <t>只</t>
        </is>
      </c>
      <c r="F564" s="30" t="n">
        <v>3</v>
      </c>
      <c r="G564" s="297">
        <f>IF(AND(B564="",C564=""),"",ROUND(M564*L564*N564,2))</f>
        <v/>
      </c>
      <c r="H564" s="293">
        <f>IF(AND(B564="",C564=""),"",ROUND(F564*G564,2))</f>
        <v/>
      </c>
      <c r="I564" s="91" t="n"/>
      <c r="J564" s="329">
        <f>IF(AND(B564="",C564=""),"",ROUND(M564*N564,2))</f>
        <v/>
      </c>
      <c r="K564" s="330">
        <f>IF(AND(B564="",C564=""),"",ROUND(J564*F564,2))</f>
        <v/>
      </c>
      <c r="L564" s="126" t="n">
        <v>1</v>
      </c>
      <c r="M564" s="331" t="n">
        <v>189.75</v>
      </c>
      <c r="N564" s="128" t="n">
        <v>0</v>
      </c>
      <c r="O564" s="129">
        <f t="array" ref="O564">IF(AND(B564="",C564=""),"",IF(G564&gt;=20000,0.05,IF(G564&gt;=10000,0.1,IF(G564&gt;=5000,0.2,IF(G564&gt;=1000,0.3,IF(G564&gt;=0,0.4,{0}))))))</f>
        <v/>
      </c>
      <c r="P564" s="332">
        <f>IF(AND(B564="",C564=""),"",ROUND(H564*O564,2))</f>
        <v/>
      </c>
      <c r="Q564" s="327" t="inlineStr">
        <is>
          <t>元件</t>
        </is>
      </c>
      <c r="R564" s="150" t="n"/>
      <c r="S564" s="150" t="n"/>
      <c r="T564" s="150" t="inlineStr">
        <is>
          <t>0</t>
        </is>
      </c>
      <c r="U564" s="150" t="inlineStr">
        <is>
          <t>LV429338T</t>
        </is>
      </c>
      <c r="V564" s="328" t="n"/>
      <c r="W564" s="328" t="n"/>
      <c r="X564" s="152" t="n"/>
    </row>
    <row r="565" customFormat="1" s="145">
      <c r="A565" s="36">
        <f>ROW()-ROW(A$559)</f>
        <v/>
      </c>
      <c r="B565" s="29" t="inlineStr">
        <is>
          <t>新外观延伸旋转手柄</t>
        </is>
      </c>
      <c r="C565" s="29" t="inlineStr">
        <is>
          <t>标准延伸旋转手柄/新外观延伸旋转手柄 400/630A</t>
        </is>
      </c>
      <c r="D565" s="29" t="inlineStr">
        <is>
          <t>甲供/施耐德电气</t>
        </is>
      </c>
      <c r="E565" s="30" t="inlineStr">
        <is>
          <t>只</t>
        </is>
      </c>
      <c r="F565" s="30" t="n">
        <v>3</v>
      </c>
      <c r="G565" s="297">
        <f>IF(AND(B565="",C565=""),"",ROUND(M565*L565*N565,2))</f>
        <v/>
      </c>
      <c r="H565" s="297">
        <f>IF(AND(B565="",C565=""),"",ROUND(F565*G565,2))</f>
        <v/>
      </c>
      <c r="I565" s="135" t="n"/>
      <c r="J565" s="329">
        <f>IF(AND(B565="",C565=""),"",ROUND(M565*N565,2))</f>
        <v/>
      </c>
      <c r="K565" s="330">
        <f>IF(AND(B565="",C565=""),"",ROUND(J565*F565,2))</f>
        <v/>
      </c>
      <c r="L565" s="126" t="n">
        <v>1</v>
      </c>
      <c r="M565" s="331" t="n">
        <v>270.62</v>
      </c>
      <c r="N565" s="128" t="n">
        <v>0</v>
      </c>
      <c r="O565" s="129">
        <f t="array" ref="O565">IF(AND(B565="",C565=""),"",IF(G565&gt;=20000,0.05,IF(G565&gt;=10000,0.1,IF(G565&gt;=5000,0.2,IF(G565&gt;=1000,0.3,IF(G565&gt;=0,0.4,{0}))))))</f>
        <v/>
      </c>
      <c r="P565" s="332">
        <f>IF(AND(B565="",C565=""),"",ROUND(H565*O565,2))</f>
        <v/>
      </c>
      <c r="Q565" s="327" t="inlineStr">
        <is>
          <t>元件</t>
        </is>
      </c>
      <c r="R565" s="150" t="n"/>
      <c r="S565" s="150" t="n"/>
      <c r="T565" s="150" t="inlineStr">
        <is>
          <t>0</t>
        </is>
      </c>
      <c r="U565" s="150" t="inlineStr">
        <is>
          <t>LV432598T</t>
        </is>
      </c>
      <c r="V565" s="328" t="n"/>
      <c r="W565" s="328" t="n"/>
      <c r="X565" s="152" t="n"/>
    </row>
    <row r="566" customFormat="1" s="145">
      <c r="A566" s="36">
        <f>ROW()-ROW(A$559)</f>
        <v/>
      </c>
      <c r="B566" s="29" t="inlineStr">
        <is>
          <t>MX分励脱扣器</t>
        </is>
      </c>
      <c r="C566" s="29" t="inlineStr">
        <is>
          <t>MX分励AC220-240V/208-277V/100-630A</t>
        </is>
      </c>
      <c r="D566" s="29" t="inlineStr">
        <is>
          <t>甲供/施耐德电气</t>
        </is>
      </c>
      <c r="E566" s="30" t="inlineStr">
        <is>
          <t>只</t>
        </is>
      </c>
      <c r="F566" s="30" t="n">
        <v>6</v>
      </c>
      <c r="G566" s="297">
        <f>IF(AND(B566="",C566=""),"",ROUND(M566*L566*N566,2))</f>
        <v/>
      </c>
      <c r="H566" s="297">
        <f>IF(AND(B566="",C566=""),"",ROUND(F566*G566,2))</f>
        <v/>
      </c>
      <c r="I566" s="135" t="n"/>
      <c r="J566" s="329">
        <f>IF(AND(B566="",C566=""),"",ROUND(M566*N566,2))</f>
        <v/>
      </c>
      <c r="K566" s="330">
        <f>IF(AND(B566="",C566=""),"",ROUND(J566*F566,2))</f>
        <v/>
      </c>
      <c r="L566" s="126" t="n">
        <v>1</v>
      </c>
      <c r="M566" s="331" t="n">
        <v>314.03</v>
      </c>
      <c r="N566" s="128" t="n">
        <v>0</v>
      </c>
      <c r="O566" s="129">
        <f t="array" ref="O566">IF(AND(B566="",C566=""),"",IF(G566&gt;=20000,0.05,IF(G566&gt;=10000,0.1,IF(G566&gt;=5000,0.2,IF(G566&gt;=1000,0.3,IF(G566&gt;=0,0.4,{0}))))))</f>
        <v/>
      </c>
      <c r="P566" s="332">
        <f>IF(AND(B566="",C566=""),"",ROUND(H566*O566,2))</f>
        <v/>
      </c>
      <c r="Q566" s="327" t="inlineStr">
        <is>
          <t>元件</t>
        </is>
      </c>
      <c r="R566" s="150" t="n"/>
      <c r="S566" s="150" t="n"/>
      <c r="T566" s="150" t="inlineStr">
        <is>
          <t>0</t>
        </is>
      </c>
      <c r="U566" s="150" t="inlineStr">
        <is>
          <t>LV429387</t>
        </is>
      </c>
      <c r="V566" s="328" t="n"/>
      <c r="W566" s="328" t="n"/>
      <c r="X566" s="152" t="n"/>
    </row>
    <row r="567" customFormat="1" s="145">
      <c r="A567" s="36">
        <f>ROW()-ROW(A$559)</f>
        <v/>
      </c>
      <c r="B567" s="29" t="inlineStr">
        <is>
          <t>辅助触点OF</t>
        </is>
      </c>
      <c r="C567" s="25" t="inlineStr">
        <is>
          <t>OF</t>
        </is>
      </c>
      <c r="D567" s="29" t="inlineStr">
        <is>
          <t>甲供/施耐德电气</t>
        </is>
      </c>
      <c r="E567" s="30" t="inlineStr">
        <is>
          <t>只</t>
        </is>
      </c>
      <c r="F567" s="30" t="n">
        <v>12</v>
      </c>
      <c r="G567" s="297">
        <f>IF(AND(B567="",C567=""),"",ROUND(M567*L567*N567,2))</f>
        <v/>
      </c>
      <c r="H567" s="297">
        <f>IF(AND(B567="",C567=""),"",ROUND(F567*G567,2))</f>
        <v/>
      </c>
      <c r="I567" s="135" t="n"/>
      <c r="J567" s="329">
        <f>IF(AND(B567="",C567=""),"",ROUND(M567*N567,2))</f>
        <v/>
      </c>
      <c r="K567" s="330">
        <f>IF(AND(B567="",C567=""),"",ROUND(J567*F567,2))</f>
        <v/>
      </c>
      <c r="L567" s="126" t="n">
        <v>1</v>
      </c>
      <c r="M567" s="331" t="n">
        <v>174.01</v>
      </c>
      <c r="N567" s="128" t="n">
        <v>0</v>
      </c>
      <c r="O567" s="129">
        <f t="array" ref="O567">IF(AND(B567="",C567=""),"",IF(G567&gt;=20000,0.05,IF(G567&gt;=10000,0.1,IF(G567&gt;=5000,0.2,IF(G567&gt;=1000,0.3,IF(G567&gt;=0,0.4,{0}))))))</f>
        <v/>
      </c>
      <c r="P567" s="332">
        <f>IF(AND(B567="",C567=""),"",ROUND(H567*O567,2))</f>
        <v/>
      </c>
      <c r="Q567" s="327" t="inlineStr">
        <is>
          <t>元件</t>
        </is>
      </c>
      <c r="R567" s="150" t="n"/>
      <c r="S567" s="150" t="n"/>
      <c r="T567" s="150" t="inlineStr">
        <is>
          <t>0</t>
        </is>
      </c>
      <c r="U567" s="150" t="inlineStr">
        <is>
          <t>29450</t>
        </is>
      </c>
      <c r="V567" s="328" t="n"/>
      <c r="W567" s="328" t="n"/>
      <c r="X567" s="152" t="n"/>
    </row>
    <row r="568" customFormat="1" s="145">
      <c r="A568" s="36">
        <f>ROW()-ROW(A$559)</f>
        <v/>
      </c>
      <c r="B568" s="29" t="inlineStr">
        <is>
          <t>热过载继电器</t>
        </is>
      </c>
      <c r="C568" s="29" t="inlineStr">
        <is>
          <t>LRD05C+LAD7B106C</t>
        </is>
      </c>
      <c r="D568" s="29" t="inlineStr">
        <is>
          <t>甲供/施耐德电气</t>
        </is>
      </c>
      <c r="E568" s="30" t="inlineStr">
        <is>
          <t>只</t>
        </is>
      </c>
      <c r="F568" s="30" t="n">
        <v>1</v>
      </c>
      <c r="G568" s="297">
        <f>IF(AND(B568="",C568=""),"",ROUND(M568*L568*N568,2))</f>
        <v/>
      </c>
      <c r="H568" s="297">
        <f>IF(AND(B568="",C568=""),"",ROUND(F568*G568,2))</f>
        <v/>
      </c>
      <c r="I568" s="135" t="n"/>
      <c r="J568" s="329">
        <f>IF(AND(B568="",C568=""),"",ROUND(M568*N568,2))</f>
        <v/>
      </c>
      <c r="K568" s="330">
        <f>IF(AND(B568="",C568=""),"",ROUND(J568*F568,2))</f>
        <v/>
      </c>
      <c r="L568" s="126" t="n">
        <v>1</v>
      </c>
      <c r="M568" s="331" t="n">
        <v>161.66</v>
      </c>
      <c r="N568" s="128" t="n">
        <v>0</v>
      </c>
      <c r="O568" s="129">
        <f t="array" ref="O568">IF(AND(B568="",C568=""),"",IF(G568&gt;=20000,0.05,IF(G568&gt;=10000,0.1,IF(G568&gt;=5000,0.2,IF(G568&gt;=1000,0.3,IF(G568&gt;=0,0.4,{0}))))))</f>
        <v/>
      </c>
      <c r="P568" s="332">
        <f>IF(AND(B568="",C568=""),"",ROUND(H568*O568,2))</f>
        <v/>
      </c>
      <c r="Q568" s="327" t="inlineStr">
        <is>
          <t>元件</t>
        </is>
      </c>
      <c r="R568" s="150" t="n"/>
      <c r="S568" s="150" t="n"/>
      <c r="T568" s="150" t="inlineStr">
        <is>
          <t>0</t>
        </is>
      </c>
      <c r="U568" s="150" t="inlineStr">
        <is>
          <t>LRD05C+LAD7B106C</t>
        </is>
      </c>
      <c r="V568" s="328" t="n"/>
      <c r="W568" s="328" t="n"/>
      <c r="X568" s="152" t="n"/>
    </row>
    <row r="569" customFormat="1" s="145">
      <c r="A569" s="36">
        <f>ROW()-ROW(A$559)</f>
        <v/>
      </c>
      <c r="B569" s="29" t="inlineStr">
        <is>
          <t>测量电流互感器</t>
        </is>
      </c>
      <c r="C569" s="29" t="inlineStr">
        <is>
          <t>SD-0.66-30I 150/5A</t>
        </is>
      </c>
      <c r="D569" s="29" t="inlineStr">
        <is>
          <t>杭州桑迪</t>
        </is>
      </c>
      <c r="E569" s="30" t="inlineStr">
        <is>
          <t>只</t>
        </is>
      </c>
      <c r="F569" s="30" t="n">
        <v>3</v>
      </c>
      <c r="G569" s="297">
        <f>IF(AND(B569="",C569=""),"",ROUND(M569*L569*N569,2))</f>
        <v/>
      </c>
      <c r="H569" s="297">
        <f>IF(AND(B569="",C569=""),"",ROUND(F569*G569,2))</f>
        <v/>
      </c>
      <c r="I569" s="135" t="n"/>
      <c r="J569" s="329">
        <f>IF(AND(B569="",C569=""),"",ROUND(M569*N569,2))</f>
        <v/>
      </c>
      <c r="K569" s="330">
        <f>IF(AND(B569="",C569=""),"",ROUND(J569*F569,2))</f>
        <v/>
      </c>
      <c r="L569" s="126" t="n">
        <v>1</v>
      </c>
      <c r="M569" s="331" t="n">
        <v>29.25</v>
      </c>
      <c r="N569" s="128" t="n">
        <v>1</v>
      </c>
      <c r="O569" s="129">
        <f t="array" ref="O569">IF(AND(B569="",C569=""),"",IF(G569&gt;=20000,0.05,IF(G569&gt;=10000,0.1,IF(G569&gt;=5000,0.2,IF(G569&gt;=1000,0.3,IF(G569&gt;=0,0.4,{0}))))))</f>
        <v/>
      </c>
      <c r="P569" s="332">
        <f>IF(AND(B569="",C569=""),"",ROUND(H569*O569,2))</f>
        <v/>
      </c>
      <c r="Q569" s="327" t="inlineStr">
        <is>
          <t>元件</t>
        </is>
      </c>
      <c r="R569" s="150" t="n"/>
      <c r="S569" s="150" t="n"/>
      <c r="T569" s="150" t="inlineStr">
        <is>
          <t>0</t>
        </is>
      </c>
      <c r="U569" s="150" t="n"/>
      <c r="V569" s="328" t="n"/>
      <c r="W569" s="328" t="n"/>
      <c r="X569" s="152" t="n"/>
    </row>
    <row r="570" customFormat="1" s="145">
      <c r="A570" s="36">
        <f>ROW()-ROW(A$559)</f>
        <v/>
      </c>
      <c r="B570" s="29" t="inlineStr">
        <is>
          <t>测量电流互感器</t>
        </is>
      </c>
      <c r="C570" s="29" t="inlineStr">
        <is>
          <t>SD-0.66-30I 250/5A</t>
        </is>
      </c>
      <c r="D570" s="29" t="inlineStr">
        <is>
          <t>杭州桑迪</t>
        </is>
      </c>
      <c r="E570" s="30" t="inlineStr">
        <is>
          <t>只</t>
        </is>
      </c>
      <c r="F570" s="30" t="n">
        <v>6</v>
      </c>
      <c r="G570" s="297">
        <f>IF(AND(B570="",C570=""),"",ROUND(M570*L570*N570,2))</f>
        <v/>
      </c>
      <c r="H570" s="297">
        <f>IF(AND(B570="",C570=""),"",ROUND(F570*G570,2))</f>
        <v/>
      </c>
      <c r="I570" s="135" t="n"/>
      <c r="J570" s="329">
        <f>IF(AND(B570="",C570=""),"",ROUND(M570*N570,2))</f>
        <v/>
      </c>
      <c r="K570" s="330">
        <f>IF(AND(B570="",C570=""),"",ROUND(J570*F570,2))</f>
        <v/>
      </c>
      <c r="L570" s="126" t="n">
        <v>1</v>
      </c>
      <c r="M570" s="331" t="n">
        <v>26.65</v>
      </c>
      <c r="N570" s="128" t="n">
        <v>1</v>
      </c>
      <c r="O570" s="129">
        <f t="array" ref="O570">IF(AND(B570="",C570=""),"",IF(G570&gt;=20000,0.05,IF(G570&gt;=10000,0.1,IF(G570&gt;=5000,0.2,IF(G570&gt;=1000,0.3,IF(G570&gt;=0,0.4,{0}))))))</f>
        <v/>
      </c>
      <c r="P570" s="332">
        <f>IF(AND(B570="",C570=""),"",ROUND(H570*O570,2))</f>
        <v/>
      </c>
      <c r="Q570" s="327" t="inlineStr">
        <is>
          <t>元件</t>
        </is>
      </c>
      <c r="R570" s="150" t="n"/>
      <c r="S570" s="150" t="n"/>
      <c r="T570" s="150" t="inlineStr">
        <is>
          <t>0</t>
        </is>
      </c>
      <c r="U570" s="150" t="n"/>
      <c r="V570" s="328" t="n"/>
      <c r="W570" s="328" t="n"/>
      <c r="X570" s="152" t="n"/>
    </row>
    <row r="571" customFormat="1" s="145">
      <c r="A571" s="36">
        <f>ROW()-ROW(A$559)</f>
        <v/>
      </c>
      <c r="B571" s="29" t="inlineStr">
        <is>
          <t>测量电流互感器</t>
        </is>
      </c>
      <c r="C571" s="29" t="inlineStr">
        <is>
          <t>SD-0.66-60II-C 600/5A</t>
        </is>
      </c>
      <c r="D571" s="29" t="inlineStr">
        <is>
          <t>杭州桑迪</t>
        </is>
      </c>
      <c r="E571" s="30" t="inlineStr">
        <is>
          <t>只</t>
        </is>
      </c>
      <c r="F571" s="30" t="n">
        <v>9</v>
      </c>
      <c r="G571" s="297">
        <f>IF(AND(B571="",C571=""),"",ROUND(M571*L571*N571,2))</f>
        <v/>
      </c>
      <c r="H571" s="297">
        <f>IF(AND(B571="",C571=""),"",ROUND(F571*G571,2))</f>
        <v/>
      </c>
      <c r="I571" s="135" t="n"/>
      <c r="J571" s="329">
        <f>IF(AND(B571="",C571=""),"",ROUND(M571*N571,2))</f>
        <v/>
      </c>
      <c r="K571" s="330">
        <f>IF(AND(B571="",C571=""),"",ROUND(J571*F571,2))</f>
        <v/>
      </c>
      <c r="L571" s="126" t="n">
        <v>1</v>
      </c>
      <c r="M571" s="331" t="n">
        <v>76.7</v>
      </c>
      <c r="N571" s="128" t="n">
        <v>1</v>
      </c>
      <c r="O571" s="129">
        <f t="array" ref="O571">IF(AND(B571="",C571=""),"",IF(G571&gt;=20000,0.05,IF(G571&gt;=10000,0.1,IF(G571&gt;=5000,0.2,IF(G571&gt;=1000,0.3,IF(G571&gt;=0,0.4,{0}))))))</f>
        <v/>
      </c>
      <c r="P571" s="332">
        <f>IF(AND(B571="",C571=""),"",ROUND(H571*O571,2))</f>
        <v/>
      </c>
      <c r="Q571" s="327" t="inlineStr">
        <is>
          <t>元件</t>
        </is>
      </c>
      <c r="R571" s="150" t="n"/>
      <c r="S571" s="150" t="n"/>
      <c r="T571" s="150" t="inlineStr">
        <is>
          <t>0</t>
        </is>
      </c>
      <c r="U571" s="150" t="n"/>
      <c r="V571" s="328" t="n"/>
      <c r="W571" s="328" t="n"/>
      <c r="X571" s="152" t="n"/>
    </row>
    <row r="572" customFormat="1" s="145">
      <c r="A572" s="36">
        <f>ROW()-ROW(A$559)</f>
        <v/>
      </c>
      <c r="B572" s="25" t="inlineStr">
        <is>
          <t>多功能表</t>
        </is>
      </c>
      <c r="C572" s="25" t="inlineStr">
        <is>
          <t>PM4101</t>
        </is>
      </c>
      <c r="D572" s="25" t="inlineStr">
        <is>
          <t>甲供/施耐德电气</t>
        </is>
      </c>
      <c r="E572" s="30" t="inlineStr">
        <is>
          <t>只</t>
        </is>
      </c>
      <c r="F572" s="26" t="n">
        <v>6</v>
      </c>
      <c r="G572" s="293">
        <f>IF(AND(B572="",C572=""),"",ROUND(M572*L572*N572,2))</f>
        <v/>
      </c>
      <c r="H572" s="293">
        <f>IF(AND(B572="",C572=""),"",ROUND(F572*G572,2))</f>
        <v/>
      </c>
      <c r="I572" s="91" t="n"/>
      <c r="J572" s="329">
        <f>IF(AND(B572="",C572=""),"",ROUND(M572*N572,2))</f>
        <v/>
      </c>
      <c r="K572" s="330">
        <f>IF(AND(B572="",C572=""),"",ROUND(J572*F572,2))</f>
        <v/>
      </c>
      <c r="L572" s="126" t="n">
        <v>1</v>
      </c>
      <c r="M572" s="331" t="n">
        <v>1e-07</v>
      </c>
      <c r="N572" s="128" t="n">
        <v>0</v>
      </c>
      <c r="O572" s="129">
        <f t="array" ref="O572">IF(AND(B572="",C572=""),"",IF(G572&gt;=20000,0.05,IF(G572&gt;=10000,0.1,IF(G572&gt;=5000,0.2,IF(G572&gt;=1000,0.3,IF(G572&gt;=0,0.4,{0}))))))</f>
        <v/>
      </c>
      <c r="P572" s="332">
        <f>IF(AND(B572="",C572=""),"",ROUND(H572*O572,2))</f>
        <v/>
      </c>
      <c r="Q572" s="327" t="inlineStr">
        <is>
          <t>元件</t>
        </is>
      </c>
      <c r="R572" s="150" t="n"/>
      <c r="S572" s="150" t="n"/>
      <c r="T572" s="150" t="inlineStr">
        <is>
          <t>0</t>
        </is>
      </c>
      <c r="U572" s="150" t="n"/>
      <c r="V572" s="328" t="n"/>
      <c r="W572" s="328" t="n"/>
      <c r="X572" s="152" t="n"/>
    </row>
    <row r="573" customFormat="1" s="145">
      <c r="A573" s="36">
        <f>ROW()-ROW(A$559)</f>
        <v/>
      </c>
      <c r="B573" s="29" t="inlineStr">
        <is>
          <t>指示灯</t>
        </is>
      </c>
      <c r="C573" s="29" t="inlineStr">
        <is>
          <t>XA2EVM3LC</t>
        </is>
      </c>
      <c r="D573" s="29" t="inlineStr">
        <is>
          <t>施耐德电气</t>
        </is>
      </c>
      <c r="E573" s="30" t="inlineStr">
        <is>
          <t>只</t>
        </is>
      </c>
      <c r="F573" s="30" t="n">
        <v>6</v>
      </c>
      <c r="G573" s="297">
        <f>IF(AND(B573="",C573=""),"",ROUND(M573*L573*N573,2))</f>
        <v/>
      </c>
      <c r="H573" s="297">
        <f>IF(AND(B573="",C573=""),"",ROUND(F573*G573,2))</f>
        <v/>
      </c>
      <c r="I573" s="136" t="n"/>
      <c r="J573" s="329">
        <f>IF(AND(B573="",C573=""),"",ROUND(M573*N573,2))</f>
        <v/>
      </c>
      <c r="K573" s="330">
        <f>IF(AND(B573="",C573=""),"",ROUND(J573*F573,2))</f>
        <v/>
      </c>
      <c r="L573" s="126" t="n">
        <v>1</v>
      </c>
      <c r="M573" s="331" t="n">
        <v>16.43</v>
      </c>
      <c r="N573" s="137" t="n">
        <v>0.5</v>
      </c>
      <c r="O573" s="138">
        <f t="array" ref="O573">IF(AND(B573="",C573=""),"",IF(G573&gt;=20000,0.05,IF(G573&gt;=10000,0.1,IF(G573&gt;=5000,0.2,IF(G573&gt;=1000,0.3,IF(G573&gt;=0,0.4,{0}))))))</f>
        <v/>
      </c>
      <c r="P573" s="333">
        <f>IF(AND(B573="",C573=""),"",ROUND(H573*O573,2))</f>
        <v/>
      </c>
      <c r="Q573" s="334" t="inlineStr">
        <is>
          <t>元件</t>
        </is>
      </c>
      <c r="R573" s="154" t="n"/>
      <c r="S573" s="154" t="n"/>
      <c r="T573" s="154" t="inlineStr">
        <is>
          <t>0</t>
        </is>
      </c>
      <c r="U573" s="154" t="inlineStr">
        <is>
          <t>XA2EVM3LC</t>
        </is>
      </c>
      <c r="V573" s="335" t="n"/>
      <c r="W573" s="335" t="n"/>
      <c r="X573" s="152" t="n"/>
    </row>
    <row r="574" customFormat="1" s="145">
      <c r="A574" s="36">
        <f>ROW()-ROW(A$559)</f>
        <v/>
      </c>
      <c r="B574" s="29" t="inlineStr">
        <is>
          <t>指示灯</t>
        </is>
      </c>
      <c r="C574" s="25" t="inlineStr">
        <is>
          <t>XA2EVM4LC</t>
        </is>
      </c>
      <c r="D574" s="29" t="inlineStr">
        <is>
          <t>施耐德电气</t>
        </is>
      </c>
      <c r="E574" s="30" t="inlineStr">
        <is>
          <t>只</t>
        </is>
      </c>
      <c r="F574" s="30" t="n">
        <v>6</v>
      </c>
      <c r="G574" s="297">
        <f>IF(AND(B574="",C574=""),"",ROUND(M574*L574*N574,2))</f>
        <v/>
      </c>
      <c r="H574" s="297">
        <f>IF(AND(B574="",C574=""),"",ROUND(F574*G574,2))</f>
        <v/>
      </c>
      <c r="I574" s="136" t="n"/>
      <c r="J574" s="329">
        <f>IF(AND(B574="",C574=""),"",ROUND(M574*N574,2))</f>
        <v/>
      </c>
      <c r="K574" s="330">
        <f>IF(AND(B574="",C574=""),"",ROUND(J574*F574,2))</f>
        <v/>
      </c>
      <c r="L574" s="126" t="n">
        <v>1</v>
      </c>
      <c r="M574" s="331" t="n">
        <v>16.43</v>
      </c>
      <c r="N574" s="137" t="n">
        <v>0.5</v>
      </c>
      <c r="O574" s="138">
        <f t="array" ref="O574">IF(AND(B574="",C574=""),"",IF(G574&gt;=20000,0.05,IF(G574&gt;=10000,0.1,IF(G574&gt;=5000,0.2,IF(G574&gt;=1000,0.3,IF(G574&gt;=0,0.4,{0}))))))</f>
        <v/>
      </c>
      <c r="P574" s="333">
        <f>IF(AND(B574="",C574=""),"",ROUND(H574*O574,2))</f>
        <v/>
      </c>
      <c r="Q574" s="334" t="inlineStr">
        <is>
          <t>元件</t>
        </is>
      </c>
      <c r="R574" s="154" t="n"/>
      <c r="S574" s="154" t="n"/>
      <c r="T574" s="154" t="inlineStr">
        <is>
          <t>0</t>
        </is>
      </c>
      <c r="U574" s="154" t="inlineStr">
        <is>
          <t>XA2EVM4LC</t>
        </is>
      </c>
      <c r="V574" s="335" t="n"/>
      <c r="W574" s="335" t="n"/>
      <c r="X574" s="152" t="n"/>
    </row>
    <row r="575" customFormat="1" s="145">
      <c r="A575" s="36">
        <f>ROW()-ROW(A$559)</f>
        <v/>
      </c>
      <c r="B575" s="25" t="inlineStr">
        <is>
          <t>中间继电器</t>
        </is>
      </c>
      <c r="C575" s="25" t="inlineStr">
        <is>
          <t>RXM4AB2P7+RXZE1M4C+RXZ410</t>
        </is>
      </c>
      <c r="D575" s="25" t="inlineStr">
        <is>
          <t>甲供/施耐德电气</t>
        </is>
      </c>
      <c r="E575" s="26" t="inlineStr">
        <is>
          <t>只</t>
        </is>
      </c>
      <c r="F575" s="26" t="n">
        <v>6</v>
      </c>
      <c r="G575" s="292">
        <f>IF(AND(B575="",C575=""),"",ROUND(M575*L575*N575,2))</f>
        <v/>
      </c>
      <c r="H575" s="297">
        <f>IF(AND(B575="",C575=""),"",ROUND(F575*G575,2))</f>
        <v/>
      </c>
      <c r="I575" s="135" t="n"/>
      <c r="J575" s="329">
        <f>IF(AND(B575="",C575=""),"",ROUND(M575*N575,2))</f>
        <v/>
      </c>
      <c r="K575" s="330">
        <f>IF(AND(B575="",C575=""),"",ROUND(J575*F575,2))</f>
        <v/>
      </c>
      <c r="L575" s="126" t="n">
        <v>1</v>
      </c>
      <c r="M575" s="331" t="n">
        <v>1e-07</v>
      </c>
      <c r="N575" s="128" t="n">
        <v>0</v>
      </c>
      <c r="O575" s="129">
        <f t="array" ref="O575">IF(AND(B575="",C575=""),"",IF(G575&gt;=20000,0.05,IF(G575&gt;=10000,0.1,IF(G575&gt;=5000,0.2,IF(G575&gt;=1000,0.3,IF(G575&gt;=0,0.4,{0}))))))</f>
        <v/>
      </c>
      <c r="P575" s="332">
        <f>IF(AND(B575="",C575=""),"",ROUND(H575*O575,2))</f>
        <v/>
      </c>
      <c r="Q575" s="327" t="inlineStr">
        <is>
          <t>元件</t>
        </is>
      </c>
      <c r="R575" s="150" t="n"/>
      <c r="S575" s="150" t="n"/>
      <c r="T575" s="150" t="inlineStr">
        <is>
          <t>0</t>
        </is>
      </c>
      <c r="U575" s="150" t="n"/>
      <c r="V575" s="328" t="n"/>
      <c r="W575" s="328" t="n"/>
      <c r="X575" s="152" t="n"/>
    </row>
    <row r="576" customFormat="1" s="145">
      <c r="A576" s="36">
        <f>ROW()-ROW(A$559)</f>
        <v/>
      </c>
      <c r="B576" s="29" t="inlineStr">
        <is>
          <t>熔断器</t>
        </is>
      </c>
      <c r="C576" s="29" t="inlineStr">
        <is>
          <t>UK5-HESI</t>
        </is>
      </c>
      <c r="D576" s="25" t="inlineStr">
        <is>
          <t>菲尼克斯</t>
        </is>
      </c>
      <c r="E576" s="26" t="inlineStr">
        <is>
          <t>只</t>
        </is>
      </c>
      <c r="F576" s="26" t="n">
        <v>24</v>
      </c>
      <c r="G576" s="293">
        <f>IF(AND(B576="",C576=""),"",ROUND(M576*L576*N576,2))</f>
        <v/>
      </c>
      <c r="H576" s="297">
        <f>IF(AND(B576="",C576=""),"",ROUND(F576*G576,2))</f>
        <v/>
      </c>
      <c r="I576" s="136" t="n"/>
      <c r="J576" s="329">
        <f>IF(AND(B576="",C576=""),"",ROUND(M576*N576,2))</f>
        <v/>
      </c>
      <c r="K576" s="330">
        <f>IF(AND(B576="",C576=""),"",ROUND(J576*F576,2))</f>
        <v/>
      </c>
      <c r="L576" s="126" t="n">
        <v>1</v>
      </c>
      <c r="M576" s="331" t="n">
        <v>7</v>
      </c>
      <c r="N576" s="128" t="n">
        <v>1</v>
      </c>
      <c r="O576" s="129">
        <f t="array" ref="O576">IF(AND(B576="",C576=""),"",IF(G576&gt;=20000,0.05,IF(G576&gt;=10000,0.1,IF(G576&gt;=5000,0.2,IF(G576&gt;=1000,0.3,IF(G576&gt;=0,0.4,{0}))))))</f>
        <v/>
      </c>
      <c r="P576" s="332">
        <f>IF(AND(B576="",C576=""),"",ROUND(H576*O576,2))</f>
        <v/>
      </c>
      <c r="Q576" s="327" t="inlineStr">
        <is>
          <t>元件</t>
        </is>
      </c>
      <c r="R576" s="150" t="n"/>
      <c r="S576" s="150" t="n"/>
      <c r="T576" s="150" t="inlineStr">
        <is>
          <t>0</t>
        </is>
      </c>
      <c r="U576" s="150" t="n"/>
      <c r="V576" s="328" t="n"/>
      <c r="W576" s="328" t="n"/>
      <c r="X576" s="152" t="n"/>
    </row>
    <row r="577" customFormat="1" s="145">
      <c r="A577" s="36">
        <f>ROW()-ROW(A$559)</f>
        <v/>
      </c>
      <c r="B577" s="29" t="inlineStr">
        <is>
          <t>SP元件</t>
        </is>
      </c>
      <c r="C577" s="25" t="inlineStr">
        <is>
          <t>智能网关 PAS700</t>
        </is>
      </c>
      <c r="D577" s="25" t="inlineStr">
        <is>
          <t>甲供/施耐德电气</t>
        </is>
      </c>
      <c r="E577" s="30" t="inlineStr">
        <is>
          <t>只</t>
        </is>
      </c>
      <c r="F577" s="30">
        <f>IF(AND(B577="",C577=""),"",1)</f>
        <v/>
      </c>
      <c r="G577" s="297">
        <f>IF(AND(B577="",C577=""),"",ROUND(M577*L577*N577,2))</f>
        <v/>
      </c>
      <c r="H577" s="297">
        <f>IF(AND(B577="",C577=""),"",ROUND(F577*G577,2))</f>
        <v/>
      </c>
      <c r="I577" s="135" t="n"/>
      <c r="J577" s="329">
        <f>IF(AND(B577="",C577=""),"",ROUND(M577*N577,2))</f>
        <v/>
      </c>
      <c r="K577" s="330">
        <f>IF(AND(B577="",C577=""),"",ROUND(J577*F577,2))</f>
        <v/>
      </c>
      <c r="L577" s="126" t="n">
        <v>1</v>
      </c>
      <c r="M577" s="331" t="n">
        <v>1e-07</v>
      </c>
      <c r="N577" s="128" t="n">
        <v>0</v>
      </c>
      <c r="O577" s="129">
        <f t="array" ref="O577">IF(AND(B577="",C577=""),"",IF(G577&gt;=20000,0.05,IF(G577&gt;=10000,0.1,IF(G577&gt;=5000,0.2,IF(G577&gt;=1000,0.3,IF(G577&gt;=0,0.4,{0}))))))</f>
        <v/>
      </c>
      <c r="P577" s="332">
        <f>IF(AND(B577="",C577=""),"",ROUND(H577*O577,2))</f>
        <v/>
      </c>
      <c r="Q577" s="327" t="inlineStr">
        <is>
          <t>元件</t>
        </is>
      </c>
      <c r="R577" s="150" t="n"/>
      <c r="S577" s="150" t="n"/>
      <c r="T577" s="150" t="inlineStr">
        <is>
          <t>0</t>
        </is>
      </c>
      <c r="U577" s="150" t="n"/>
      <c r="V577" s="328" t="n"/>
      <c r="W577" s="328" t="n"/>
      <c r="X577" s="152" t="n"/>
    </row>
    <row r="578" customFormat="1" s="145">
      <c r="A578" s="36">
        <f>ROW()-ROW(A$559)</f>
        <v/>
      </c>
      <c r="B578" s="25" t="inlineStr">
        <is>
          <t>水平排4000A</t>
        </is>
      </c>
      <c r="C578" s="25" t="inlineStr">
        <is>
          <t>TMY 3*(4*125*5)+2*125*5+2*50*5</t>
        </is>
      </c>
      <c r="D578" s="25" t="inlineStr">
        <is>
          <t>国产优质</t>
        </is>
      </c>
      <c r="E578" s="26" t="inlineStr">
        <is>
          <t>米</t>
        </is>
      </c>
      <c r="F578" s="30" t="n">
        <v>0.6</v>
      </c>
      <c r="G578" s="297">
        <f>IF(AND(B578="",C578=""),"",ROUND(M578*L578*N578,2))</f>
        <v/>
      </c>
      <c r="H578" s="297">
        <f>IF(AND(B578="",C578=""),"",ROUND(F578*G578,2))</f>
        <v/>
      </c>
      <c r="I578" s="135" t="n"/>
      <c r="J578" s="329">
        <f>IF(AND(B578="",C578=""),"",ROUND(M578*N578,2))</f>
        <v/>
      </c>
      <c r="K578" s="330">
        <f>IF(AND(B578="",C578=""),"",ROUND(J578*F578,2))</f>
        <v/>
      </c>
      <c r="L578" s="126" t="n">
        <v>1</v>
      </c>
      <c r="M578" s="331" t="n">
        <v>6895.130375</v>
      </c>
      <c r="N578" s="128" t="n">
        <v>1</v>
      </c>
      <c r="O578" s="129">
        <f t="array" ref="O578">IF(AND(B578="",C578=""),"",IF(G578&gt;=20000,0.05,IF(G578&gt;=10000,0.1,IF(G578&gt;=5000,0.2,IF(G578&gt;=1000,0.3,IF(G578&gt;=0,0.4,{0}))))))</f>
        <v/>
      </c>
      <c r="P578" s="332">
        <f>IF(AND(B578="",C578=""),"",ROUND(H578*O578,2))</f>
        <v/>
      </c>
      <c r="Q578" s="327" t="inlineStr">
        <is>
          <t>母排</t>
        </is>
      </c>
      <c r="R578" s="150" t="n"/>
      <c r="S578" s="150" t="n"/>
      <c r="T578" s="150" t="inlineStr">
        <is>
          <t>0</t>
        </is>
      </c>
      <c r="U578" s="150" t="n"/>
      <c r="V578" s="328" t="n"/>
      <c r="W578" s="328" t="n"/>
      <c r="X578" s="152" t="n"/>
    </row>
    <row r="579" customFormat="1" s="145">
      <c r="A579" s="36">
        <f>ROW()-ROW(A$559)</f>
        <v/>
      </c>
      <c r="B579" s="25" t="inlineStr">
        <is>
          <t>垂直排</t>
        </is>
      </c>
      <c r="C579" s="25" t="inlineStr">
        <is>
          <t>TMY 100*10</t>
        </is>
      </c>
      <c r="D579" s="25" t="inlineStr">
        <is>
          <t>国产优质</t>
        </is>
      </c>
      <c r="E579" s="26" t="inlineStr">
        <is>
          <t>米</t>
        </is>
      </c>
      <c r="F579" s="30" t="n">
        <v>5.7</v>
      </c>
      <c r="G579" s="297">
        <f>IF(AND(B579="",C579=""),"",ROUND(M579*L579*N579,2))</f>
        <v/>
      </c>
      <c r="H579" s="297">
        <f>IF(AND(B579="",C579=""),"",ROUND(F579*G579,2))</f>
        <v/>
      </c>
      <c r="I579" s="135" t="n"/>
      <c r="J579" s="329">
        <f>IF(AND(B579="",C579=""),"",ROUND(M579*N579,2))</f>
        <v/>
      </c>
      <c r="K579" s="330">
        <f>IF(AND(B579="",C579=""),"",ROUND(J579*F579,2))</f>
        <v/>
      </c>
      <c r="L579" s="126" t="n">
        <v>1</v>
      </c>
      <c r="M579" s="331" t="n">
        <v>745.4195</v>
      </c>
      <c r="N579" s="128" t="n">
        <v>1</v>
      </c>
      <c r="O579" s="129">
        <f t="array" ref="O579">IF(AND(B579="",C579=""),"",IF(G579&gt;=20000,0.05,IF(G579&gt;=10000,0.1,IF(G579&gt;=5000,0.2,IF(G579&gt;=1000,0.3,IF(G579&gt;=0,0.4,{0}))))))</f>
        <v/>
      </c>
      <c r="P579" s="332">
        <f>IF(AND(B579="",C579=""),"",ROUND(H579*O579,2))</f>
        <v/>
      </c>
      <c r="Q579" s="327" t="inlineStr">
        <is>
          <t>母排</t>
        </is>
      </c>
      <c r="R579" s="150" t="n"/>
      <c r="S579" s="150" t="n"/>
      <c r="T579" s="150" t="inlineStr">
        <is>
          <t>0</t>
        </is>
      </c>
      <c r="U579" s="150" t="n"/>
      <c r="V579" s="328" t="n"/>
      <c r="W579" s="328" t="n"/>
      <c r="X579" s="152" t="n"/>
    </row>
    <row r="580" customFormat="1" s="145">
      <c r="A580" s="36">
        <f>ROW()-ROW(A$559)</f>
        <v/>
      </c>
      <c r="B580" s="25" t="inlineStr">
        <is>
          <t>连接排</t>
        </is>
      </c>
      <c r="C580" s="25" t="inlineStr">
        <is>
          <t>TMY 50*10</t>
        </is>
      </c>
      <c r="D580" s="25" t="inlineStr">
        <is>
          <t>国产优质</t>
        </is>
      </c>
      <c r="E580" s="26" t="inlineStr">
        <is>
          <t>米</t>
        </is>
      </c>
      <c r="F580" s="30" t="n">
        <v>4.9</v>
      </c>
      <c r="G580" s="297">
        <f>IF(AND(B580="",C580=""),"",ROUND(M580*L580*N580,2))</f>
        <v/>
      </c>
      <c r="H580" s="297">
        <f>IF(AND(B580="",C580=""),"",ROUND(F580*G580,2))</f>
        <v/>
      </c>
      <c r="I580" s="135" t="n"/>
      <c r="J580" s="329">
        <f>IF(AND(B580="",C580=""),"",ROUND(M580*N580,2))</f>
        <v/>
      </c>
      <c r="K580" s="330">
        <f>IF(AND(B580="",C580=""),"",ROUND(J580*F580,2))</f>
        <v/>
      </c>
      <c r="L580" s="126" t="n">
        <v>1</v>
      </c>
      <c r="M580" s="331" t="n">
        <v>372.70975</v>
      </c>
      <c r="N580" s="128" t="n">
        <v>1</v>
      </c>
      <c r="O580" s="129">
        <f t="array" ref="O580">IF(AND(B580="",C580=""),"",IF(G580&gt;=20000,0.05,IF(G580&gt;=10000,0.1,IF(G580&gt;=5000,0.2,IF(G580&gt;=1000,0.3,IF(G580&gt;=0,0.4,{0}))))))</f>
        <v/>
      </c>
      <c r="P580" s="332">
        <f>IF(AND(B580="",C580=""),"",ROUND(H580*O580,2))</f>
        <v/>
      </c>
      <c r="Q580" s="327" t="inlineStr">
        <is>
          <t>母排</t>
        </is>
      </c>
      <c r="R580" s="150" t="n"/>
      <c r="S580" s="150" t="n"/>
      <c r="T580" s="150" t="inlineStr">
        <is>
          <t>0</t>
        </is>
      </c>
      <c r="U580" s="150" t="n"/>
      <c r="V580" s="328" t="n"/>
      <c r="W580" s="328" t="n"/>
      <c r="X580" s="152" t="n"/>
    </row>
    <row r="581" customFormat="1" s="145">
      <c r="A581" s="36">
        <f>ROW()-ROW(A$559)</f>
        <v/>
      </c>
      <c r="B581" s="25" t="inlineStr">
        <is>
          <t>N排</t>
        </is>
      </c>
      <c r="C581" s="25" t="inlineStr">
        <is>
          <t>TMY 50*10</t>
        </is>
      </c>
      <c r="D581" s="25" t="inlineStr">
        <is>
          <t>国产优质</t>
        </is>
      </c>
      <c r="E581" s="26" t="inlineStr">
        <is>
          <t>米</t>
        </is>
      </c>
      <c r="F581" s="30" t="n">
        <v>3.3</v>
      </c>
      <c r="G581" s="297">
        <f>IF(AND(B581="",C581=""),"",ROUND(M581*L581*N581,2))</f>
        <v/>
      </c>
      <c r="H581" s="297">
        <f>IF(AND(B581="",C581=""),"",ROUND(F581*G581,2))</f>
        <v/>
      </c>
      <c r="I581" s="135" t="n"/>
      <c r="J581" s="329">
        <f>IF(AND(B581="",C581=""),"",ROUND(M581*N581,2))</f>
        <v/>
      </c>
      <c r="K581" s="330">
        <f>IF(AND(B581="",C581=""),"",ROUND(J581*F581,2))</f>
        <v/>
      </c>
      <c r="L581" s="126" t="n">
        <v>1</v>
      </c>
      <c r="M581" s="331" t="n">
        <v>372.70975</v>
      </c>
      <c r="N581" s="128" t="n">
        <v>1</v>
      </c>
      <c r="O581" s="129">
        <f t="array" ref="O581">IF(AND(B581="",C581=""),"",IF(G581&gt;=20000,0.05,IF(G581&gt;=10000,0.1,IF(G581&gt;=5000,0.2,IF(G581&gt;=1000,0.3,IF(G581&gt;=0,0.4,{0}))))))</f>
        <v/>
      </c>
      <c r="P581" s="332">
        <f>IF(AND(B581="",C581=""),"",ROUND(H581*O581,2))</f>
        <v/>
      </c>
      <c r="Q581" s="327" t="inlineStr">
        <is>
          <t>母排</t>
        </is>
      </c>
      <c r="R581" s="150" t="n"/>
      <c r="S581" s="150" t="n"/>
      <c r="T581" s="150" t="inlineStr">
        <is>
          <t>0</t>
        </is>
      </c>
      <c r="U581" s="150" t="n"/>
      <c r="V581" s="328" t="n"/>
      <c r="W581" s="328" t="n"/>
      <c r="X581" s="152" t="n"/>
    </row>
    <row r="582" customFormat="1" s="145">
      <c r="A582" s="36">
        <f>ROW()-ROW(A$559)</f>
        <v/>
      </c>
      <c r="B582" s="25" t="inlineStr">
        <is>
          <t>630A连接排</t>
        </is>
      </c>
      <c r="C582" s="25" t="inlineStr">
        <is>
          <t>TMY 30*10</t>
        </is>
      </c>
      <c r="D582" s="25" t="inlineStr">
        <is>
          <t>国产优质</t>
        </is>
      </c>
      <c r="E582" s="26" t="inlineStr">
        <is>
          <t>米</t>
        </is>
      </c>
      <c r="F582" s="30">
        <f>3.2*3</f>
        <v/>
      </c>
      <c r="G582" s="297">
        <f>IF(AND(B582="",C582=""),"",ROUND(M582*L582*N582,2))</f>
        <v/>
      </c>
      <c r="H582" s="297">
        <f>IF(AND(B582="",C582=""),"",ROUND(F582*G582,2))</f>
        <v/>
      </c>
      <c r="I582" s="135" t="n"/>
      <c r="J582" s="329">
        <f>IF(AND(B582="",C582=""),"",ROUND(M582*N582,2))</f>
        <v/>
      </c>
      <c r="K582" s="330">
        <f>IF(AND(B582="",C582=""),"",ROUND(J582*F582,2))</f>
        <v/>
      </c>
      <c r="L582" s="126" t="n">
        <v>1</v>
      </c>
      <c r="M582" s="331" t="n">
        <v>223.62585</v>
      </c>
      <c r="N582" s="128" t="n">
        <v>1</v>
      </c>
      <c r="O582" s="129">
        <f t="array" ref="O582">IF(AND(B582="",C582=""),"",IF(G582&gt;=20000,0.05,IF(G582&gt;=10000,0.1,IF(G582&gt;=5000,0.2,IF(G582&gt;=1000,0.3,IF(G582&gt;=0,0.4,{0}))))))</f>
        <v/>
      </c>
      <c r="P582" s="332">
        <f>IF(AND(B582="",C582=""),"",ROUND(H582*O582,2))</f>
        <v/>
      </c>
      <c r="Q582" s="327" t="inlineStr">
        <is>
          <t>母排</t>
        </is>
      </c>
      <c r="R582" s="150" t="n"/>
      <c r="S582" s="150" t="n"/>
      <c r="T582" s="150" t="inlineStr">
        <is>
          <t>0</t>
        </is>
      </c>
      <c r="U582" s="150" t="n"/>
      <c r="V582" s="328" t="n"/>
      <c r="W582" s="328" t="n"/>
      <c r="X582" s="152" t="n"/>
    </row>
    <row r="583" customFormat="1" s="145">
      <c r="A583" s="36">
        <f>ROW()-ROW(A$559)</f>
        <v/>
      </c>
      <c r="B583" s="25" t="inlineStr">
        <is>
          <t>导线及辅料</t>
        </is>
      </c>
      <c r="C583" s="25" t="n"/>
      <c r="D583" s="25" t="inlineStr">
        <is>
          <t>国产优质</t>
        </is>
      </c>
      <c r="E583" s="26" t="inlineStr">
        <is>
          <t>套</t>
        </is>
      </c>
      <c r="F583" s="26" t="n">
        <v>1</v>
      </c>
      <c r="G583" s="293">
        <f>IF(AND(B583="",C583=""),"",ROUND(M583*L583*N583,2))</f>
        <v/>
      </c>
      <c r="H583" s="293">
        <f>IF(AND(B583="",C583=""),"",ROUND(F583*G583,2))</f>
        <v/>
      </c>
      <c r="I583" s="164" t="n"/>
      <c r="J583" s="329">
        <f>IF(AND(B583="",C583=""),"",ROUND(M583*N583,2))</f>
        <v/>
      </c>
      <c r="K583" s="330">
        <f>IF(AND(B583="",C583=""),"",ROUND(J583*F583,2))</f>
        <v/>
      </c>
      <c r="L583" s="126" t="n">
        <v>1</v>
      </c>
      <c r="M583" s="331" t="n">
        <v>1420</v>
      </c>
      <c r="N583" s="137" t="n">
        <v>1</v>
      </c>
      <c r="O583" s="138">
        <f t="array" ref="O583">IF(AND(B583="",C583=""),"",IF(G583&gt;=20000,0.05,IF(G583&gt;=10000,0.1,IF(G583&gt;=5000,0.2,IF(G583&gt;=1000,0.3,IF(G583&gt;=0,0.4,{0}))))))</f>
        <v/>
      </c>
      <c r="P583" s="333">
        <f>IF(AND(B583="",C583=""),"",ROUND(H583*O583,2))</f>
        <v/>
      </c>
      <c r="Q583" s="334" t="inlineStr">
        <is>
          <t>辅料</t>
        </is>
      </c>
      <c r="R583" s="154" t="n"/>
      <c r="S583" s="154" t="n"/>
      <c r="T583" s="154" t="inlineStr">
        <is>
          <t>0</t>
        </is>
      </c>
      <c r="U583" s="154" t="n"/>
      <c r="V583" s="335" t="n"/>
      <c r="W583" s="335" t="n"/>
      <c r="X583" s="152" t="n"/>
    </row>
    <row r="584" customFormat="1" s="145">
      <c r="A584" s="36">
        <f>ROW()-ROW(A$559)</f>
        <v/>
      </c>
      <c r="B584" s="25" t="inlineStr">
        <is>
          <t>通风顶盖</t>
        </is>
      </c>
      <c r="C584" s="25" t="n"/>
      <c r="D584" s="25" t="inlineStr">
        <is>
          <t>清科</t>
        </is>
      </c>
      <c r="E584" s="30" t="inlineStr">
        <is>
          <t>台</t>
        </is>
      </c>
      <c r="F584" s="26">
        <f>IF(AND(B584="",C584=""),"",1)</f>
        <v/>
      </c>
      <c r="G584" s="293">
        <f>IF(AND(B584="",C584=""),"",ROUND(M584*L584*N584,2))</f>
        <v/>
      </c>
      <c r="H584" s="293">
        <f>IF(AND(B584="",C584=""),"",ROUND(F584*G584,2))</f>
        <v/>
      </c>
      <c r="I584" s="164" t="n"/>
      <c r="J584" s="329">
        <f>IF(AND(B584="",C584=""),"",ROUND(M584*N584,2))</f>
        <v/>
      </c>
      <c r="K584" s="330">
        <f>IF(AND(B584="",C584=""),"",ROUND(J584*F584,2))</f>
        <v/>
      </c>
      <c r="L584" s="126">
        <f>IF(AND(B584="",C584=""),"",1)</f>
        <v/>
      </c>
      <c r="M584" s="331" t="n">
        <v>138</v>
      </c>
      <c r="N584" s="137">
        <f>IF(AND(B584="",C584=""),"",1)</f>
        <v/>
      </c>
      <c r="O584" s="138">
        <f t="array" ref="O584">IF(AND(B584="",C584=""),"",IF(G584&gt;=20000,0.05,IF(G584&gt;=10000,0.1,IF(G584&gt;=5000,0.2,IF(G584&gt;=1000,0.3,IF(G584&gt;=0,0.4,{0}))))))</f>
        <v/>
      </c>
      <c r="P584" s="333">
        <f>IF(AND(B584="",C584=""),"",ROUND(H584*O584,2))</f>
        <v/>
      </c>
      <c r="Q584" s="334">
        <f>IF(AND(B584="",C584=""),"","元件")</f>
        <v/>
      </c>
      <c r="R584" s="154" t="n"/>
      <c r="S584" s="154" t="n"/>
      <c r="T584" s="154" t="n"/>
      <c r="U584" s="154" t="n"/>
      <c r="V584" s="335" t="n"/>
      <c r="W584" s="335" t="n"/>
      <c r="X584" s="152" t="n"/>
    </row>
    <row r="585" customFormat="1" s="145">
      <c r="A585" s="36">
        <f>ROW()-ROW(A$559)</f>
        <v/>
      </c>
      <c r="B585" s="29" t="inlineStr">
        <is>
          <t>Blokset柜</t>
        </is>
      </c>
      <c r="C585" s="25" t="inlineStr">
        <is>
          <t>600W*1000D*2200H</t>
        </is>
      </c>
      <c r="D585" s="25" t="inlineStr">
        <is>
          <t>清科</t>
        </is>
      </c>
      <c r="E585" s="30" t="inlineStr">
        <is>
          <t>台</t>
        </is>
      </c>
      <c r="F585" s="30" t="n">
        <v>1</v>
      </c>
      <c r="G585" s="297">
        <f>IF(AND(B585="",C585=""),"",ROUND(M585*L585*N585,2))</f>
        <v/>
      </c>
      <c r="H585" s="297">
        <f>IF(AND(B585="",C585=""),"",ROUND(F585*G585,2))</f>
        <v/>
      </c>
      <c r="I585" s="135" t="n"/>
      <c r="J585" s="329">
        <f>IF(AND(B585="",C585=""),"",ROUND(M585*N585,2))</f>
        <v/>
      </c>
      <c r="K585" s="330">
        <f>IF(AND(B585="",C585=""),"",ROUND(J585*F585,2))</f>
        <v/>
      </c>
      <c r="L585" s="126" t="n">
        <v>1</v>
      </c>
      <c r="M585" s="331" t="n">
        <v>8265</v>
      </c>
      <c r="N585" s="137" t="n">
        <v>1</v>
      </c>
      <c r="O585" s="138">
        <f t="array" ref="O585">IF(AND(B585="",C585=""),"",IF(G585&gt;=20000,0.05,IF(G585&gt;=10000,0.1,IF(G585&gt;=5000,0.2,IF(G585&gt;=1000,0.3,IF(G585&gt;=0,0.4,{0}))))))</f>
        <v/>
      </c>
      <c r="P585" s="333">
        <f>IF(AND(B585="",C585=""),"",ROUND(H585*O585,2))</f>
        <v/>
      </c>
      <c r="Q585" s="334" t="inlineStr">
        <is>
          <t>箱体</t>
        </is>
      </c>
      <c r="R585" s="154" t="n"/>
      <c r="S585" s="154" t="n"/>
      <c r="T585" s="154" t="inlineStr">
        <is>
          <t>0</t>
        </is>
      </c>
      <c r="U585" s="154" t="n"/>
      <c r="V585" s="335" t="n"/>
      <c r="W585" s="335" t="n"/>
      <c r="X585" s="152" t="n"/>
    </row>
    <row r="586" customFormat="1" s="145">
      <c r="A586" s="36">
        <f>ROW()-ROW(A$559)</f>
        <v/>
      </c>
      <c r="B586" s="25" t="n"/>
      <c r="C586" s="25" t="n"/>
      <c r="D586" s="25" t="n"/>
      <c r="E586" s="26" t="n"/>
      <c r="F586" s="26">
        <f>IF(AND(B586="",C586=""),"",1)</f>
        <v/>
      </c>
      <c r="G586" s="293">
        <f>IF(AND(B586="",C586=""),"",ROUND(M586*L586*N586,2))</f>
        <v/>
      </c>
      <c r="H586" s="297">
        <f>IF(AND(B586="",C586=""),"",ROUND(F586*G586,2))</f>
        <v/>
      </c>
      <c r="I586" s="135" t="n"/>
      <c r="J586" s="329">
        <f>IF(AND(B586="",C586=""),"",ROUND(M586*N586,2))</f>
        <v/>
      </c>
      <c r="K586" s="330">
        <f>IF(AND(B586="",C586=""),"",ROUND(J586*F586,2))</f>
        <v/>
      </c>
      <c r="L586" s="126">
        <f>IF(AND(B586="",C586=""),"",1)</f>
        <v/>
      </c>
      <c r="M586" s="331" t="n"/>
      <c r="N586" s="128">
        <f>IF(AND(B586="",C586=""),"",1)</f>
        <v/>
      </c>
      <c r="O586" s="129">
        <f t="array" ref="O586">IF(AND(B586="",C586=""),"",IF(G586&gt;=20000,0.05,IF(G586&gt;=10000,0.1,IF(G586&gt;=5000,0.2,IF(G586&gt;=1000,0.3,IF(G586&gt;=0,0.4,{0}))))))</f>
        <v/>
      </c>
      <c r="P586" s="332">
        <f>IF(AND(B586="",C586=""),"",ROUND(H586*O586,2))</f>
        <v/>
      </c>
      <c r="Q586" s="327">
        <f>IF(AND(B586="",C586=""),"","元件")</f>
        <v/>
      </c>
      <c r="R586" s="150" t="n"/>
      <c r="S586" s="150" t="n"/>
      <c r="T586" s="150" t="n"/>
      <c r="U586" s="150" t="n"/>
      <c r="V586" s="328" t="n"/>
      <c r="W586" s="328" t="n"/>
      <c r="X586" s="152" t="n"/>
    </row>
    <row r="587" customFormat="1" s="145">
      <c r="A587" s="36">
        <f>ROW()-ROW(A$559)</f>
        <v/>
      </c>
      <c r="B587" s="25" t="n"/>
      <c r="C587" s="25" t="n"/>
      <c r="D587" s="25" t="n"/>
      <c r="E587" s="26" t="n"/>
      <c r="F587" s="26">
        <f>IF(AND(B587="",C587=""),"",1)</f>
        <v/>
      </c>
      <c r="G587" s="293">
        <f>IF(AND(B587="",C587=""),"",ROUND(M587*L587*N587,2))</f>
        <v/>
      </c>
      <c r="H587" s="297">
        <f>IF(AND(B587="",C587=""),"",ROUND(F587*G587,2))</f>
        <v/>
      </c>
      <c r="I587" s="135" t="n"/>
      <c r="J587" s="329">
        <f>IF(AND(B587="",C587=""),"",ROUND(M587*N587,2))</f>
        <v/>
      </c>
      <c r="K587" s="330">
        <f>IF(AND(B587="",C587=""),"",ROUND(J587*F587,2))</f>
        <v/>
      </c>
      <c r="L587" s="126">
        <f>IF(AND(B587="",C587=""),"",1)</f>
        <v/>
      </c>
      <c r="M587" s="331" t="n"/>
      <c r="N587" s="128">
        <f>IF(AND(B587="",C587=""),"",1)</f>
        <v/>
      </c>
      <c r="O587" s="129">
        <f t="array" ref="O587">IF(AND(B587="",C587=""),"",IF(G587&gt;=20000,0.05,IF(G587&gt;=10000,0.1,IF(G587&gt;=5000,0.2,IF(G587&gt;=1000,0.3,IF(G587&gt;=0,0.4,{0}))))))</f>
        <v/>
      </c>
      <c r="P587" s="332">
        <f>IF(AND(B587="",C587=""),"",ROUND(H587*O587,2))</f>
        <v/>
      </c>
      <c r="Q587" s="327">
        <f>IF(AND(B587="",C587=""),"","元件")</f>
        <v/>
      </c>
      <c r="R587" s="150" t="n"/>
      <c r="S587" s="150" t="n"/>
      <c r="T587" s="150" t="n"/>
      <c r="U587" s="150" t="n"/>
      <c r="V587" s="328" t="n"/>
      <c r="W587" s="328" t="n"/>
      <c r="X587" s="152" t="n"/>
    </row>
    <row r="588" customFormat="1" s="145">
      <c r="A588" s="36">
        <f>ROW()-ROW(A$559)</f>
        <v/>
      </c>
      <c r="B588" s="156" t="inlineStr">
        <is>
          <t>小计</t>
        </is>
      </c>
      <c r="C588" s="157" t="n"/>
      <c r="D588" s="54" t="n"/>
      <c r="E588" s="30" t="n"/>
      <c r="F588" s="30" t="n"/>
      <c r="G588" s="297" t="n"/>
      <c r="H588" s="297">
        <f>ROUND(SUM(H559:INDEX(H:H,ROW()-1)),2)</f>
        <v/>
      </c>
      <c r="I588" s="91" t="n"/>
      <c r="J588" s="329" t="n"/>
      <c r="K588" s="330">
        <f>ROUND(SUM(K559:INDEX(K:K,ROW()-1)),2)</f>
        <v/>
      </c>
      <c r="L588" s="126" t="n"/>
      <c r="M588" s="331" t="n"/>
      <c r="N588" s="128" t="n"/>
      <c r="O588" s="129" t="n"/>
      <c r="P588" s="332" t="n"/>
      <c r="Q588" s="327" t="n"/>
      <c r="R588" s="150" t="n"/>
      <c r="S588" s="150" t="n"/>
      <c r="T588" s="150" t="n"/>
      <c r="U588" s="150" t="n"/>
      <c r="V588" s="328">
        <f t="array" ref="V588">ROUND(SUMPRODUCT(F559:INDEX(F:F,ROW()-1),V559:INDEX(V:V,ROW()-1)),2)</f>
        <v/>
      </c>
      <c r="W588" s="328">
        <f t="array" ref="W588">ROUND(SUMPRODUCT(F559:INDEX(F:F,ROW()-1),W559:INDEX(W:W,ROW()-1)),2)</f>
        <v/>
      </c>
      <c r="X588" s="152" t="n"/>
    </row>
    <row r="589" customFormat="1" s="145">
      <c r="A589" s="36">
        <f>ROW()-ROW(A$559)</f>
        <v/>
      </c>
      <c r="B589" s="156" t="inlineStr">
        <is>
          <t>成套费</t>
        </is>
      </c>
      <c r="C589" s="157" t="n"/>
      <c r="D589" s="54" t="n"/>
      <c r="E589" s="30" t="n"/>
      <c r="F589" s="30" t="n"/>
      <c r="G589" s="297" t="n"/>
      <c r="H589" s="297" t="n">
        <v>944.76</v>
      </c>
      <c r="I589" s="91" t="n"/>
      <c r="J589" s="329" t="n"/>
      <c r="K589" s="330" t="n">
        <v>944.76</v>
      </c>
      <c r="L589" s="126" t="n"/>
      <c r="M589" s="331" t="n"/>
      <c r="N589" s="128" t="n"/>
      <c r="O589" s="129" t="n"/>
      <c r="P589" s="332" t="n"/>
      <c r="Q589" s="327" t="n"/>
      <c r="R589" s="150" t="n"/>
      <c r="S589" s="150" t="n"/>
      <c r="T589" s="150" t="n"/>
      <c r="U589" s="150" t="n"/>
      <c r="V589" s="328" t="n"/>
      <c r="W589" s="328" t="n"/>
      <c r="X589" s="152" t="n"/>
    </row>
    <row r="590" customFormat="1" s="145">
      <c r="A590" s="36">
        <f>ROW()-ROW(A$559)</f>
        <v/>
      </c>
      <c r="B590" s="156" t="n"/>
      <c r="C590" s="157" t="n"/>
      <c r="D590" s="54" t="n"/>
      <c r="E590" s="30" t="n"/>
      <c r="F590" s="30" t="n"/>
      <c r="G590" s="297" t="n"/>
      <c r="H590" s="297" t="n">
        <v>17.26</v>
      </c>
      <c r="I590" s="91" t="n"/>
      <c r="J590" s="329" t="n"/>
      <c r="K590" s="330" t="n"/>
      <c r="L590" s="126" t="n"/>
      <c r="M590" s="331" t="n"/>
      <c r="N590" s="128" t="n"/>
      <c r="O590" s="129" t="n"/>
      <c r="P590" s="332" t="n"/>
      <c r="Q590" s="327" t="n"/>
      <c r="R590" s="150" t="n"/>
      <c r="S590" s="150" t="n"/>
      <c r="T590" s="150" t="n"/>
      <c r="U590" s="150" t="n"/>
      <c r="V590" s="328" t="n"/>
      <c r="W590" s="328" t="n"/>
      <c r="X590" s="152" t="n"/>
    </row>
    <row r="591" customFormat="1" s="145">
      <c r="A591" s="36">
        <f>ROW()-ROW(A$559)</f>
        <v/>
      </c>
      <c r="B591" s="54" t="inlineStr">
        <is>
          <t>单台合计</t>
        </is>
      </c>
      <c r="C591" s="157" t="n"/>
      <c r="D591" s="54" t="n"/>
      <c r="E591" s="30" t="n"/>
      <c r="F591" s="30" t="n"/>
      <c r="G591" s="297" t="n"/>
      <c r="H591" s="297">
        <f>ROUND(SUM(H588:H589),2)</f>
        <v/>
      </c>
      <c r="I591" s="165" t="n"/>
      <c r="J591" s="329" t="n"/>
      <c r="K591" s="330">
        <f>ROUND(SUM(K588:K589),2)</f>
        <v/>
      </c>
      <c r="L591" s="166" t="n"/>
      <c r="M591" s="331" t="n"/>
      <c r="N591" s="167" t="n"/>
      <c r="O591" s="168" t="n"/>
      <c r="P591" s="332" t="n"/>
      <c r="Q591" s="327" t="n"/>
      <c r="R591" s="150" t="n"/>
      <c r="S591" s="150" t="n"/>
      <c r="T591" s="150" t="n"/>
      <c r="U591" s="150" t="n"/>
      <c r="V591" s="328" t="n"/>
      <c r="W591" s="328" t="n"/>
      <c r="X591" s="152" t="n"/>
    </row>
    <row r="592" customFormat="1" s="145">
      <c r="A592" s="158" t="inlineStr">
        <is>
          <t>总计</t>
        </is>
      </c>
      <c r="B592" s="159" t="n"/>
      <c r="C592" s="160" t="n"/>
      <c r="D592" s="161" t="n"/>
      <c r="E592" s="161" t="inlineStr">
        <is>
          <t>台</t>
        </is>
      </c>
      <c r="F592" s="161" t="n">
        <v>2</v>
      </c>
      <c r="G592" s="336">
        <f>ROUND(H591,2)</f>
        <v/>
      </c>
      <c r="H592" s="336">
        <f>ROUND(F592*G592,2)</f>
        <v/>
      </c>
      <c r="I592" s="169" t="n"/>
      <c r="J592" s="337" t="n"/>
      <c r="K592" s="338">
        <f>ROUND(K591*F592,2)</f>
        <v/>
      </c>
      <c r="L592" s="172" t="n"/>
      <c r="M592" s="339" t="n"/>
      <c r="N592" s="174" t="n"/>
      <c r="O592" s="175" t="n"/>
      <c r="P592" s="340" t="n"/>
      <c r="Q592" s="327" t="n"/>
      <c r="R592" s="150" t="n"/>
      <c r="S592" s="150" t="n"/>
      <c r="T592" s="150" t="n"/>
      <c r="U592" s="150" t="n"/>
      <c r="V592" s="328" t="n"/>
      <c r="W592" s="328" t="n"/>
      <c r="X592" s="152" t="n"/>
    </row>
    <row r="593" customFormat="1" s="146">
      <c r="A593" s="3" t="n"/>
      <c r="B593" s="117" t="n"/>
      <c r="C593" s="117" t="n"/>
      <c r="D593" s="117" t="n"/>
      <c r="E593" s="146" t="n"/>
      <c r="F593" s="146" t="n"/>
      <c r="G593" s="146" t="n"/>
      <c r="H593" s="146" t="n"/>
      <c r="Q593" s="144" t="n"/>
      <c r="R593" s="144" t="n"/>
      <c r="S593" s="144" t="n"/>
      <c r="T593" s="144" t="n"/>
      <c r="U593" s="144" t="n"/>
      <c r="X593" s="117" t="n"/>
    </row>
    <row r="594" customFormat="1" s="146">
      <c r="A594" s="3" t="n"/>
      <c r="B594" s="117" t="n"/>
      <c r="C594" s="117" t="n"/>
      <c r="D594" s="117" t="n"/>
      <c r="E594" s="146" t="n"/>
      <c r="F594" s="146" t="n"/>
      <c r="G594" s="146" t="n"/>
      <c r="H594" s="146" t="n"/>
      <c r="Q594" s="144" t="n"/>
      <c r="R594" s="144" t="n"/>
      <c r="S594" s="144" t="n"/>
      <c r="T594" s="144" t="n"/>
      <c r="U594" s="144" t="n"/>
      <c r="X594" s="117" t="n"/>
    </row>
    <row r="595" customFormat="1" s="145">
      <c r="A595" s="63">
        <f>CONCATENATE("报价人：",项目信息!$B$8)</f>
        <v/>
      </c>
      <c r="B595" s="63" t="n"/>
      <c r="C595" s="146" t="n"/>
      <c r="D595" s="146" t="n"/>
      <c r="E595" s="146" t="n"/>
      <c r="F595" s="146" t="n"/>
      <c r="G595" s="146" t="n"/>
      <c r="H595" s="163">
        <f>项目信息!$B$9</f>
        <v/>
      </c>
      <c r="Q595" s="144" t="n"/>
      <c r="R595" s="144" t="n"/>
      <c r="S595" s="144" t="n"/>
      <c r="T595" s="144" t="n"/>
      <c r="U595" s="144" t="n"/>
      <c r="X595" s="148" t="n"/>
    </row>
    <row r="596" customFormat="1" s="145">
      <c r="A596" s="5">
        <f>T(项目信息!$B$22)</f>
        <v/>
      </c>
      <c r="Q596" s="144" t="n"/>
      <c r="R596" s="144" t="n"/>
      <c r="S596" s="144" t="n"/>
      <c r="T596" s="144" t="n"/>
      <c r="U596" s="144" t="n"/>
      <c r="X596" s="145" t="n"/>
    </row>
    <row r="597" customFormat="1" s="145">
      <c r="A597" s="6">
        <f>T(项目信息!$B$23)</f>
        <v/>
      </c>
      <c r="Q597" s="144" t="n"/>
      <c r="R597" s="144" t="n"/>
      <c r="S597" s="144" t="n"/>
      <c r="T597" s="144" t="n"/>
      <c r="U597" s="144" t="n"/>
      <c r="X597" s="145" t="n"/>
    </row>
    <row r="598" customFormat="1" s="145">
      <c r="A598" s="68" t="inlineStr">
        <is>
          <t>成套产品报价明细表</t>
        </is>
      </c>
      <c r="B598" s="318" t="n"/>
      <c r="C598" s="318" t="n"/>
      <c r="D598" s="318" t="n"/>
      <c r="E598" s="318" t="n"/>
      <c r="F598" s="318" t="n"/>
      <c r="G598" s="318" t="n"/>
      <c r="H598" s="318" t="n"/>
      <c r="I598" s="318" t="n"/>
      <c r="Q598" s="144" t="n"/>
      <c r="R598" s="144" t="n"/>
      <c r="S598" s="144" t="n"/>
      <c r="T598" s="144" t="n"/>
      <c r="U598" s="144" t="n"/>
      <c r="X598" s="145" t="n"/>
    </row>
    <row r="599" customFormat="1" s="146">
      <c r="A599" s="69" t="inlineStr">
        <is>
          <t>柜号:</t>
        </is>
      </c>
      <c r="B599" s="70" t="inlineStr">
        <is>
          <t>3D7</t>
        </is>
      </c>
      <c r="C599" s="71" t="inlineStr">
        <is>
          <t>型号:</t>
        </is>
      </c>
      <c r="D599" s="70" t="inlineStr">
        <is>
          <t>Blokset</t>
        </is>
      </c>
      <c r="E599" s="319" t="n"/>
      <c r="F599" s="72" t="inlineStr">
        <is>
          <t>名称:</t>
        </is>
      </c>
      <c r="G599" s="70" t="inlineStr">
        <is>
          <t>出线柜</t>
        </is>
      </c>
      <c r="H599" s="319" t="n"/>
      <c r="I599" s="320" t="n"/>
      <c r="J599" s="116" t="inlineStr">
        <is>
          <t>箱柜尺寸:</t>
        </is>
      </c>
      <c r="K599" s="117" t="inlineStr">
        <is>
          <t>600W*1000D*2200H</t>
        </is>
      </c>
      <c r="L599" s="116" t="inlineStr">
        <is>
          <t>类别:</t>
        </is>
      </c>
      <c r="M599" s="117" t="n"/>
      <c r="N599" s="321" t="n"/>
      <c r="Q599" s="144" t="n"/>
      <c r="R599" s="144" t="n"/>
      <c r="S599" s="144" t="n"/>
      <c r="T599" s="144" t="n"/>
      <c r="U599" s="144" t="n"/>
      <c r="X599" s="146" t="n"/>
    </row>
    <row r="600" ht="20.1" customFormat="1" customHeight="1" s="145">
      <c r="A600" s="13" t="inlineStr">
        <is>
          <t>序号</t>
        </is>
      </c>
      <c r="B600" s="73" t="inlineStr">
        <is>
          <t>元件名称</t>
        </is>
      </c>
      <c r="C600" s="73" t="inlineStr">
        <is>
          <t>型号规格</t>
        </is>
      </c>
      <c r="D600" s="74" t="inlineStr">
        <is>
          <t>生产厂家</t>
        </is>
      </c>
      <c r="E600" s="15" t="inlineStr">
        <is>
          <t>单位</t>
        </is>
      </c>
      <c r="F600" s="15" t="inlineStr">
        <is>
          <t>数量</t>
        </is>
      </c>
      <c r="G600" s="287" t="inlineStr">
        <is>
          <t>单   价</t>
        </is>
      </c>
      <c r="H600" s="256" t="inlineStr">
        <is>
          <t>总   价</t>
        </is>
      </c>
      <c r="I600" s="119" t="inlineStr">
        <is>
          <t>备注</t>
        </is>
      </c>
      <c r="J600" s="322" t="inlineStr">
        <is>
          <t>成本单价</t>
        </is>
      </c>
      <c r="K600" s="322" t="inlineStr">
        <is>
          <t>成本总价</t>
        </is>
      </c>
      <c r="L600" s="121" t="inlineStr">
        <is>
          <t>报出
系数</t>
        </is>
      </c>
      <c r="M600" s="322" t="inlineStr">
        <is>
          <t>表价</t>
        </is>
      </c>
      <c r="N600" s="121" t="inlineStr">
        <is>
          <t>折扣
系数</t>
        </is>
      </c>
      <c r="O600" s="122" t="inlineStr">
        <is>
          <t>取费
系数</t>
        </is>
      </c>
      <c r="P600" s="322" t="inlineStr">
        <is>
          <t>成套费</t>
        </is>
      </c>
      <c r="Q600" s="147" t="inlineStr">
        <is>
          <t>类别</t>
        </is>
      </c>
      <c r="R600" s="147" t="inlineStr">
        <is>
          <t>物料编码</t>
        </is>
      </c>
      <c r="S600" s="147" t="inlineStr">
        <is>
          <t>产地</t>
        </is>
      </c>
      <c r="T600" s="147" t="inlineStr">
        <is>
          <t>加工费</t>
        </is>
      </c>
      <c r="U600" s="147" t="inlineStr">
        <is>
          <t>订货号</t>
        </is>
      </c>
      <c r="V600" s="147" t="inlineStr">
        <is>
          <t>人工</t>
        </is>
      </c>
      <c r="W600" s="147" t="inlineStr">
        <is>
          <t>辅料</t>
        </is>
      </c>
      <c r="X600" s="148" t="n"/>
    </row>
    <row r="601" customFormat="1" s="145">
      <c r="A601" s="36">
        <f>ROW()-ROW(A$600)</f>
        <v/>
      </c>
      <c r="B601" s="29" t="inlineStr">
        <is>
          <t>交流塑壳断路器</t>
        </is>
      </c>
      <c r="C601" s="25" t="inlineStr">
        <is>
          <t>NSX100N TMD 100 3P3D F</t>
        </is>
      </c>
      <c r="D601" s="29" t="inlineStr">
        <is>
          <t>甲供/施耐德电气</t>
        </is>
      </c>
      <c r="E601" s="30" t="inlineStr">
        <is>
          <t>只</t>
        </is>
      </c>
      <c r="F601" s="26" t="n">
        <v>1</v>
      </c>
      <c r="G601" s="293">
        <f>IF(AND(B601="",C601=""),"",ROUND(M601*L601*N601,2))</f>
        <v/>
      </c>
      <c r="H601" s="293">
        <f>IF(AND(B601="",C601=""),"",ROUND(F601*G601,2))</f>
        <v/>
      </c>
      <c r="I601" s="91" t="n"/>
      <c r="J601" s="329">
        <f>IF(AND(B601="",C601=""),"",ROUND(M601*N601,2))</f>
        <v/>
      </c>
      <c r="K601" s="330">
        <f>IF(AND(B601="",C601=""),"",ROUND(J601*F601,2))</f>
        <v/>
      </c>
      <c r="L601" s="126" t="n">
        <v>1</v>
      </c>
      <c r="M601" s="331" t="n">
        <v>1024.28</v>
      </c>
      <c r="N601" s="128" t="n">
        <v>0</v>
      </c>
      <c r="O601" s="129">
        <f t="array" ref="O601">IF(AND(B601="",C601=""),"",IF(G601&gt;=20000,0.05,IF(G601&gt;=10000,0.1,IF(G601&gt;=5000,0.2,IF(G601&gt;=1000,0.3,IF(G601&gt;=0,0.4,{0}))))))</f>
        <v/>
      </c>
      <c r="P601" s="332">
        <f>IF(AND(B601="",C601=""),"",ROUND(H601*O601,2))</f>
        <v/>
      </c>
      <c r="Q601" s="327" t="inlineStr">
        <is>
          <t>元件</t>
        </is>
      </c>
      <c r="R601" s="150" t="n"/>
      <c r="S601" s="150" t="n"/>
      <c r="T601" s="150" t="inlineStr">
        <is>
          <t>0</t>
        </is>
      </c>
      <c r="U601" s="150" t="inlineStr">
        <is>
          <t>C10N3TM100</t>
        </is>
      </c>
      <c r="V601" s="328" t="n"/>
      <c r="W601" s="328" t="n"/>
      <c r="X601" s="152" t="inlineStr">
        <is>
          <t>NSX160N TMD 160 3P3D F</t>
        </is>
      </c>
    </row>
    <row r="602" customFormat="1" s="145">
      <c r="A602" s="36">
        <f>ROW()-ROW(A$600)</f>
        <v/>
      </c>
      <c r="B602" s="29" t="inlineStr">
        <is>
          <t>交流塑壳断路器</t>
        </is>
      </c>
      <c r="C602" s="25" t="inlineStr">
        <is>
          <t>NSX250N MA 220 3P3D F</t>
        </is>
      </c>
      <c r="D602" s="29" t="inlineStr">
        <is>
          <t>甲供/施耐德电气</t>
        </is>
      </c>
      <c r="E602" s="30" t="inlineStr">
        <is>
          <t>只</t>
        </is>
      </c>
      <c r="F602" s="26" t="n">
        <v>1</v>
      </c>
      <c r="G602" s="293">
        <f>IF(AND(B602="",C602=""),"",ROUND(M602*L602*N602,2))</f>
        <v/>
      </c>
      <c r="H602" s="293">
        <f>IF(AND(B602="",C602=""),"",ROUND(F602*G602,2))</f>
        <v/>
      </c>
      <c r="I602" s="91" t="n"/>
      <c r="J602" s="329">
        <f>IF(AND(B602="",C602=""),"",ROUND(M602*N602,2))</f>
        <v/>
      </c>
      <c r="K602" s="330">
        <f>IF(AND(B602="",C602=""),"",ROUND(J602*F602,2))</f>
        <v/>
      </c>
      <c r="L602" s="126" t="n">
        <v>1</v>
      </c>
      <c r="M602" s="331" t="n">
        <v>2020.88</v>
      </c>
      <c r="N602" s="128" t="n">
        <v>0</v>
      </c>
      <c r="O602" s="129">
        <f t="array" ref="O602">IF(AND(B602="",C602=""),"",IF(G602&gt;=20000,0.05,IF(G602&gt;=10000,0.1,IF(G602&gt;=5000,0.2,IF(G602&gt;=1000,0.3,IF(G602&gt;=0,0.4,{0}))))))</f>
        <v/>
      </c>
      <c r="P602" s="332">
        <f>IF(AND(B602="",C602=""),"",ROUND(H602*O602,2))</f>
        <v/>
      </c>
      <c r="Q602" s="327" t="inlineStr">
        <is>
          <t>元件</t>
        </is>
      </c>
      <c r="R602" s="150" t="n"/>
      <c r="S602" s="150" t="n"/>
      <c r="T602" s="150" t="inlineStr">
        <is>
          <t>0</t>
        </is>
      </c>
      <c r="U602" s="150" t="inlineStr">
        <is>
          <t>C25N3MA220</t>
        </is>
      </c>
      <c r="V602" s="328" t="n"/>
      <c r="W602" s="328" t="n"/>
      <c r="X602" s="152" t="n"/>
    </row>
    <row r="603" customFormat="1" s="145">
      <c r="A603" s="36">
        <f>ROW()-ROW(A$600)</f>
        <v/>
      </c>
      <c r="B603" s="29" t="inlineStr">
        <is>
          <t>交流塑壳断路器</t>
        </is>
      </c>
      <c r="C603" s="25" t="inlineStr">
        <is>
          <t>NSX250N TMD 250 3P3D F</t>
        </is>
      </c>
      <c r="D603" s="29" t="inlineStr">
        <is>
          <t>甲供/施耐德电气</t>
        </is>
      </c>
      <c r="E603" s="30" t="inlineStr">
        <is>
          <t>只</t>
        </is>
      </c>
      <c r="F603" s="26" t="n">
        <v>1</v>
      </c>
      <c r="G603" s="293">
        <f>IF(AND(B603="",C603=""),"",ROUND(M603*L603*N603,2))</f>
        <v/>
      </c>
      <c r="H603" s="293">
        <f>IF(AND(B603="",C603=""),"",ROUND(F603*G603,2))</f>
        <v/>
      </c>
      <c r="I603" s="91" t="n"/>
      <c r="J603" s="329">
        <f>IF(AND(B603="",C603=""),"",ROUND(M603*N603,2))</f>
        <v/>
      </c>
      <c r="K603" s="330">
        <f>IF(AND(B603="",C603=""),"",ROUND(J603*F603,2))</f>
        <v/>
      </c>
      <c r="L603" s="126" t="n">
        <v>1</v>
      </c>
      <c r="M603" s="331" t="n">
        <v>2315.28</v>
      </c>
      <c r="N603" s="128" t="n">
        <v>0</v>
      </c>
      <c r="O603" s="129">
        <f t="array" ref="O603">IF(AND(B603="",C603=""),"",IF(G603&gt;=20000,0.05,IF(G603&gt;=10000,0.1,IF(G603&gt;=5000,0.2,IF(G603&gt;=1000,0.3,IF(G603&gt;=0,0.4,{0}))))))</f>
        <v/>
      </c>
      <c r="P603" s="332">
        <f>IF(AND(B603="",C603=""),"",ROUND(H603*O603,2))</f>
        <v/>
      </c>
      <c r="Q603" s="327" t="inlineStr">
        <is>
          <t>元件</t>
        </is>
      </c>
      <c r="R603" s="150" t="n"/>
      <c r="S603" s="150" t="n"/>
      <c r="T603" s="150" t="inlineStr">
        <is>
          <t>0</t>
        </is>
      </c>
      <c r="U603" s="150" t="inlineStr">
        <is>
          <t>C25N3TM250</t>
        </is>
      </c>
      <c r="V603" s="328" t="n"/>
      <c r="W603" s="328" t="n"/>
      <c r="X603" s="152" t="n"/>
    </row>
    <row r="604" customFormat="1" s="145">
      <c r="A604" s="36">
        <f>ROW()-ROW(A$600)</f>
        <v/>
      </c>
      <c r="B604" s="29" t="inlineStr">
        <is>
          <t>交流塑壳断路器</t>
        </is>
      </c>
      <c r="C604" s="25" t="inlineStr">
        <is>
          <t>NSX400N MIC 2.3 400 3P F</t>
        </is>
      </c>
      <c r="D604" s="29" t="inlineStr">
        <is>
          <t>甲供/施耐德电气</t>
        </is>
      </c>
      <c r="E604" s="30" t="inlineStr">
        <is>
          <t>只</t>
        </is>
      </c>
      <c r="F604" s="26" t="n">
        <v>3</v>
      </c>
      <c r="G604" s="293">
        <f>IF(AND(B604="",C604=""),"",ROUND(M604*L604*N604,2))</f>
        <v/>
      </c>
      <c r="H604" s="293">
        <f>IF(AND(B604="",C604=""),"",ROUND(F604*G604,2))</f>
        <v/>
      </c>
      <c r="I604" s="91" t="n"/>
      <c r="J604" s="329">
        <f>IF(AND(B604="",C604=""),"",ROUND(M604*N604,2))</f>
        <v/>
      </c>
      <c r="K604" s="330">
        <f>IF(AND(B604="",C604=""),"",ROUND(J604*F604,2))</f>
        <v/>
      </c>
      <c r="L604" s="126" t="n">
        <v>1</v>
      </c>
      <c r="M604" s="331" t="n">
        <v>3474.03</v>
      </c>
      <c r="N604" s="128" t="n">
        <v>0</v>
      </c>
      <c r="O604" s="129">
        <f t="array" ref="O604">IF(AND(B604="",C604=""),"",IF(G604&gt;=20000,0.05,IF(G604&gt;=10000,0.1,IF(G604&gt;=5000,0.2,IF(G604&gt;=1000,0.3,IF(G604&gt;=0,0.4,{0}))))))</f>
        <v/>
      </c>
      <c r="P604" s="332">
        <f>IF(AND(B604="",C604=""),"",ROUND(H604*O604,2))</f>
        <v/>
      </c>
      <c r="Q604" s="327" t="inlineStr">
        <is>
          <t>元件</t>
        </is>
      </c>
      <c r="R604" s="150" t="n"/>
      <c r="S604" s="150" t="n"/>
      <c r="T604" s="150" t="inlineStr">
        <is>
          <t>0</t>
        </is>
      </c>
      <c r="U604" s="150" t="inlineStr">
        <is>
          <t>C40N32D400</t>
        </is>
      </c>
      <c r="V604" s="328" t="n"/>
      <c r="W604" s="328" t="n"/>
      <c r="X604" s="152" t="inlineStr">
        <is>
          <t>NSX630N TMD 630 3P3D F→NSX630N MIC 2.3 630 3P F</t>
        </is>
      </c>
    </row>
    <row r="605" customFormat="1" s="145">
      <c r="A605" s="36">
        <f>ROW()-ROW(A$600)</f>
        <v/>
      </c>
      <c r="B605" s="29" t="inlineStr">
        <is>
          <t>新外观延伸旋转手柄</t>
        </is>
      </c>
      <c r="C605" s="29" t="inlineStr">
        <is>
          <t>标准延伸旋转手柄/新外观延伸旋转手柄 100/160/250A</t>
        </is>
      </c>
      <c r="D605" s="29" t="inlineStr">
        <is>
          <t>甲供/施耐德电气</t>
        </is>
      </c>
      <c r="E605" s="30" t="inlineStr">
        <is>
          <t>只</t>
        </is>
      </c>
      <c r="F605" s="30" t="n">
        <v>3</v>
      </c>
      <c r="G605" s="297">
        <f>IF(AND(B605="",C605=""),"",ROUND(M605*L605*N605,2))</f>
        <v/>
      </c>
      <c r="H605" s="293">
        <f>IF(AND(B605="",C605=""),"",ROUND(F605*G605,2))</f>
        <v/>
      </c>
      <c r="I605" s="91" t="n"/>
      <c r="J605" s="329">
        <f>IF(AND(B605="",C605=""),"",ROUND(M605*N605,2))</f>
        <v/>
      </c>
      <c r="K605" s="330">
        <f>IF(AND(B605="",C605=""),"",ROUND(J605*F605,2))</f>
        <v/>
      </c>
      <c r="L605" s="126" t="n">
        <v>1</v>
      </c>
      <c r="M605" s="331" t="n">
        <v>189.75</v>
      </c>
      <c r="N605" s="128" t="n">
        <v>0</v>
      </c>
      <c r="O605" s="129">
        <f t="array" ref="O605">IF(AND(B605="",C605=""),"",IF(G605&gt;=20000,0.05,IF(G605&gt;=10000,0.1,IF(G605&gt;=5000,0.2,IF(G605&gt;=1000,0.3,IF(G605&gt;=0,0.4,{0}))))))</f>
        <v/>
      </c>
      <c r="P605" s="332">
        <f>IF(AND(B605="",C605=""),"",ROUND(H605*O605,2))</f>
        <v/>
      </c>
      <c r="Q605" s="327" t="inlineStr">
        <is>
          <t>元件</t>
        </is>
      </c>
      <c r="R605" s="150" t="n"/>
      <c r="S605" s="150" t="n"/>
      <c r="T605" s="150" t="inlineStr">
        <is>
          <t>0</t>
        </is>
      </c>
      <c r="U605" s="150" t="inlineStr">
        <is>
          <t>LV429338T</t>
        </is>
      </c>
      <c r="V605" s="328" t="n"/>
      <c r="W605" s="328" t="n"/>
      <c r="X605" s="152" t="n"/>
    </row>
    <row r="606" customFormat="1" s="145">
      <c r="A606" s="36">
        <f>ROW()-ROW(A$600)</f>
        <v/>
      </c>
      <c r="B606" s="29" t="inlineStr">
        <is>
          <t>新外观延伸旋转手柄</t>
        </is>
      </c>
      <c r="C606" s="29" t="inlineStr">
        <is>
          <t>标准延伸旋转手柄/新外观延伸旋转手柄 400/630A</t>
        </is>
      </c>
      <c r="D606" s="29" t="inlineStr">
        <is>
          <t>甲供/施耐德电气</t>
        </is>
      </c>
      <c r="E606" s="30" t="inlineStr">
        <is>
          <t>只</t>
        </is>
      </c>
      <c r="F606" s="30" t="n">
        <v>3</v>
      </c>
      <c r="G606" s="297">
        <f>IF(AND(B606="",C606=""),"",ROUND(M606*L606*N606,2))</f>
        <v/>
      </c>
      <c r="H606" s="297">
        <f>IF(AND(B606="",C606=""),"",ROUND(F606*G606,2))</f>
        <v/>
      </c>
      <c r="I606" s="135" t="n"/>
      <c r="J606" s="329">
        <f>IF(AND(B606="",C606=""),"",ROUND(M606*N606,2))</f>
        <v/>
      </c>
      <c r="K606" s="330">
        <f>IF(AND(B606="",C606=""),"",ROUND(J606*F606,2))</f>
        <v/>
      </c>
      <c r="L606" s="126" t="n">
        <v>1</v>
      </c>
      <c r="M606" s="331" t="n">
        <v>270.62</v>
      </c>
      <c r="N606" s="128" t="n">
        <v>0</v>
      </c>
      <c r="O606" s="129">
        <f t="array" ref="O606">IF(AND(B606="",C606=""),"",IF(G606&gt;=20000,0.05,IF(G606&gt;=10000,0.1,IF(G606&gt;=5000,0.2,IF(G606&gt;=1000,0.3,IF(G606&gt;=0,0.4,{0}))))))</f>
        <v/>
      </c>
      <c r="P606" s="332">
        <f>IF(AND(B606="",C606=""),"",ROUND(H606*O606,2))</f>
        <v/>
      </c>
      <c r="Q606" s="327" t="inlineStr">
        <is>
          <t>元件</t>
        </is>
      </c>
      <c r="R606" s="150" t="n"/>
      <c r="S606" s="150" t="n"/>
      <c r="T606" s="150" t="inlineStr">
        <is>
          <t>0</t>
        </is>
      </c>
      <c r="U606" s="150" t="inlineStr">
        <is>
          <t>LV432598T</t>
        </is>
      </c>
      <c r="V606" s="328" t="n"/>
      <c r="W606" s="328" t="n"/>
      <c r="X606" s="152" t="n"/>
    </row>
    <row r="607" customFormat="1" s="145">
      <c r="A607" s="36">
        <f>ROW()-ROW(A$600)</f>
        <v/>
      </c>
      <c r="B607" s="29" t="inlineStr">
        <is>
          <t>MX分励脱扣器</t>
        </is>
      </c>
      <c r="C607" s="29" t="inlineStr">
        <is>
          <t>MX分励AC220-240V/208-277V/100-630A</t>
        </is>
      </c>
      <c r="D607" s="29" t="inlineStr">
        <is>
          <t>甲供/施耐德电气</t>
        </is>
      </c>
      <c r="E607" s="30" t="inlineStr">
        <is>
          <t>只</t>
        </is>
      </c>
      <c r="F607" s="30" t="n">
        <v>6</v>
      </c>
      <c r="G607" s="297">
        <f>IF(AND(B607="",C607=""),"",ROUND(M607*L607*N607,2))</f>
        <v/>
      </c>
      <c r="H607" s="297">
        <f>IF(AND(B607="",C607=""),"",ROUND(F607*G607,2))</f>
        <v/>
      </c>
      <c r="I607" s="135" t="n"/>
      <c r="J607" s="329">
        <f>IF(AND(B607="",C607=""),"",ROUND(M607*N607,2))</f>
        <v/>
      </c>
      <c r="K607" s="330">
        <f>IF(AND(B607="",C607=""),"",ROUND(J607*F607,2))</f>
        <v/>
      </c>
      <c r="L607" s="126" t="n">
        <v>1</v>
      </c>
      <c r="M607" s="331" t="n">
        <v>314.03</v>
      </c>
      <c r="N607" s="128" t="n">
        <v>0</v>
      </c>
      <c r="O607" s="129">
        <f t="array" ref="O607">IF(AND(B607="",C607=""),"",IF(G607&gt;=20000,0.05,IF(G607&gt;=10000,0.1,IF(G607&gt;=5000,0.2,IF(G607&gt;=1000,0.3,IF(G607&gt;=0,0.4,{0}))))))</f>
        <v/>
      </c>
      <c r="P607" s="332">
        <f>IF(AND(B607="",C607=""),"",ROUND(H607*O607,2))</f>
        <v/>
      </c>
      <c r="Q607" s="327" t="inlineStr">
        <is>
          <t>元件</t>
        </is>
      </c>
      <c r="R607" s="150" t="n"/>
      <c r="S607" s="150" t="n"/>
      <c r="T607" s="150" t="inlineStr">
        <is>
          <t>0</t>
        </is>
      </c>
      <c r="U607" s="150" t="inlineStr">
        <is>
          <t>LV429387</t>
        </is>
      </c>
      <c r="V607" s="328" t="n"/>
      <c r="W607" s="328" t="n"/>
      <c r="X607" s="152" t="n"/>
    </row>
    <row r="608" customFormat="1" s="145">
      <c r="A608" s="36">
        <f>ROW()-ROW(A$600)</f>
        <v/>
      </c>
      <c r="B608" s="29" t="inlineStr">
        <is>
          <t>辅助触点OF</t>
        </is>
      </c>
      <c r="C608" s="25" t="inlineStr">
        <is>
          <t>OF</t>
        </is>
      </c>
      <c r="D608" s="29" t="inlineStr">
        <is>
          <t>甲供/施耐德电气</t>
        </is>
      </c>
      <c r="E608" s="30" t="inlineStr">
        <is>
          <t>只</t>
        </is>
      </c>
      <c r="F608" s="30" t="n">
        <v>12</v>
      </c>
      <c r="G608" s="297">
        <f>IF(AND(B608="",C608=""),"",ROUND(M608*L608*N608,2))</f>
        <v/>
      </c>
      <c r="H608" s="297">
        <f>IF(AND(B608="",C608=""),"",ROUND(F608*G608,2))</f>
        <v/>
      </c>
      <c r="I608" s="135" t="n"/>
      <c r="J608" s="329">
        <f>IF(AND(B608="",C608=""),"",ROUND(M608*N608,2))</f>
        <v/>
      </c>
      <c r="K608" s="330">
        <f>IF(AND(B608="",C608=""),"",ROUND(J608*F608,2))</f>
        <v/>
      </c>
      <c r="L608" s="126" t="n">
        <v>1</v>
      </c>
      <c r="M608" s="331" t="n">
        <v>174.01</v>
      </c>
      <c r="N608" s="128" t="n">
        <v>0</v>
      </c>
      <c r="O608" s="129">
        <f t="array" ref="O608">IF(AND(B608="",C608=""),"",IF(G608&gt;=20000,0.05,IF(G608&gt;=10000,0.1,IF(G608&gt;=5000,0.2,IF(G608&gt;=1000,0.3,IF(G608&gt;=0,0.4,{0}))))))</f>
        <v/>
      </c>
      <c r="P608" s="332">
        <f>IF(AND(B608="",C608=""),"",ROUND(H608*O608,2))</f>
        <v/>
      </c>
      <c r="Q608" s="327" t="inlineStr">
        <is>
          <t>元件</t>
        </is>
      </c>
      <c r="R608" s="150" t="n"/>
      <c r="S608" s="150" t="n"/>
      <c r="T608" s="150" t="inlineStr">
        <is>
          <t>0</t>
        </is>
      </c>
      <c r="U608" s="150" t="inlineStr">
        <is>
          <t>29450</t>
        </is>
      </c>
      <c r="V608" s="328" t="n"/>
      <c r="W608" s="328" t="n"/>
      <c r="X608" s="152" t="n"/>
    </row>
    <row r="609" customFormat="1" s="145">
      <c r="A609" s="36">
        <f>ROW()-ROW(A$600)</f>
        <v/>
      </c>
      <c r="B609" s="29" t="inlineStr">
        <is>
          <t>热过载继电器</t>
        </is>
      </c>
      <c r="C609" s="29" t="inlineStr">
        <is>
          <t>LRD05C+LAD7B106C</t>
        </is>
      </c>
      <c r="D609" s="29" t="inlineStr">
        <is>
          <t>甲供/施耐德电气</t>
        </is>
      </c>
      <c r="E609" s="30" t="inlineStr">
        <is>
          <t>只</t>
        </is>
      </c>
      <c r="F609" s="30" t="n">
        <v>1</v>
      </c>
      <c r="G609" s="297">
        <f>IF(AND(B609="",C609=""),"",ROUND(M609*L609*N609,2))</f>
        <v/>
      </c>
      <c r="H609" s="297">
        <f>IF(AND(B609="",C609=""),"",ROUND(F609*G609,2))</f>
        <v/>
      </c>
      <c r="I609" s="135" t="n"/>
      <c r="J609" s="329">
        <f>IF(AND(B609="",C609=""),"",ROUND(M609*N609,2))</f>
        <v/>
      </c>
      <c r="K609" s="330">
        <f>IF(AND(B609="",C609=""),"",ROUND(J609*F609,2))</f>
        <v/>
      </c>
      <c r="L609" s="126" t="n">
        <v>1</v>
      </c>
      <c r="M609" s="331" t="n">
        <v>161.66</v>
      </c>
      <c r="N609" s="128" t="n">
        <v>0</v>
      </c>
      <c r="O609" s="129">
        <f t="array" ref="O609">IF(AND(B609="",C609=""),"",IF(G609&gt;=20000,0.05,IF(G609&gt;=10000,0.1,IF(G609&gt;=5000,0.2,IF(G609&gt;=1000,0.3,IF(G609&gt;=0,0.4,{0}))))))</f>
        <v/>
      </c>
      <c r="P609" s="332">
        <f>IF(AND(B609="",C609=""),"",ROUND(H609*O609,2))</f>
        <v/>
      </c>
      <c r="Q609" s="327" t="inlineStr">
        <is>
          <t>元件</t>
        </is>
      </c>
      <c r="R609" s="150" t="n"/>
      <c r="S609" s="150" t="n"/>
      <c r="T609" s="150" t="inlineStr">
        <is>
          <t>0</t>
        </is>
      </c>
      <c r="U609" s="150" t="inlineStr">
        <is>
          <t>LRD05C+LAD7B106C</t>
        </is>
      </c>
      <c r="V609" s="328" t="n"/>
      <c r="W609" s="328" t="n"/>
      <c r="X609" s="152" t="n"/>
    </row>
    <row r="610" customFormat="1" s="145">
      <c r="A610" s="36">
        <f>ROW()-ROW(A$600)</f>
        <v/>
      </c>
      <c r="B610" s="29" t="inlineStr">
        <is>
          <t>测量电流互感器</t>
        </is>
      </c>
      <c r="C610" s="29" t="inlineStr">
        <is>
          <t>SD-0.66-M8 100/5A</t>
        </is>
      </c>
      <c r="D610" s="29" t="inlineStr">
        <is>
          <t>杭州桑迪</t>
        </is>
      </c>
      <c r="E610" s="30" t="inlineStr">
        <is>
          <t>只</t>
        </is>
      </c>
      <c r="F610" s="30" t="n">
        <v>3</v>
      </c>
      <c r="G610" s="297">
        <f>IF(AND(B610="",C610=""),"",ROUND(M610*L610*N610,2))</f>
        <v/>
      </c>
      <c r="H610" s="297">
        <f>IF(AND(B610="",C610=""),"",ROUND(F610*G610,2))</f>
        <v/>
      </c>
      <c r="I610" s="135" t="n"/>
      <c r="J610" s="329">
        <f>IF(AND(B610="",C610=""),"",ROUND(M610*N610,2))</f>
        <v/>
      </c>
      <c r="K610" s="330">
        <f>IF(AND(B610="",C610=""),"",ROUND(J610*F610,2))</f>
        <v/>
      </c>
      <c r="L610" s="126" t="n">
        <v>1</v>
      </c>
      <c r="M610" s="331" t="n">
        <v>61.75</v>
      </c>
      <c r="N610" s="128" t="n">
        <v>1</v>
      </c>
      <c r="O610" s="129">
        <f t="array" ref="O610">IF(AND(B610="",C610=""),"",IF(G610&gt;=20000,0.05,IF(G610&gt;=10000,0.1,IF(G610&gt;=5000,0.2,IF(G610&gt;=1000,0.3,IF(G610&gt;=0,0.4,{0}))))))</f>
        <v/>
      </c>
      <c r="P610" s="332">
        <f>IF(AND(B610="",C610=""),"",ROUND(H610*O610,2))</f>
        <v/>
      </c>
      <c r="Q610" s="327" t="inlineStr">
        <is>
          <t>元件</t>
        </is>
      </c>
      <c r="R610" s="150" t="n"/>
      <c r="S610" s="150" t="n"/>
      <c r="T610" s="150" t="inlineStr">
        <is>
          <t>0</t>
        </is>
      </c>
      <c r="U610" s="150" t="n"/>
      <c r="V610" s="328" t="n"/>
      <c r="W610" s="328" t="n"/>
      <c r="X610" s="152" t="n"/>
    </row>
    <row r="611" customFormat="1" s="145">
      <c r="A611" s="36">
        <f>ROW()-ROW(A$600)</f>
        <v/>
      </c>
      <c r="B611" s="29" t="inlineStr">
        <is>
          <t>测量电流互感器</t>
        </is>
      </c>
      <c r="C611" s="29" t="inlineStr">
        <is>
          <t>SD-0.66-30I 250/5A</t>
        </is>
      </c>
      <c r="D611" s="29" t="inlineStr">
        <is>
          <t>杭州桑迪</t>
        </is>
      </c>
      <c r="E611" s="30" t="inlineStr">
        <is>
          <t>只</t>
        </is>
      </c>
      <c r="F611" s="30" t="n">
        <v>6</v>
      </c>
      <c r="G611" s="297">
        <f>IF(AND(B611="",C611=""),"",ROUND(M611*L611*N611,2))</f>
        <v/>
      </c>
      <c r="H611" s="297">
        <f>IF(AND(B611="",C611=""),"",ROUND(F611*G611,2))</f>
        <v/>
      </c>
      <c r="I611" s="135" t="n"/>
      <c r="J611" s="329">
        <f>IF(AND(B611="",C611=""),"",ROUND(M611*N611,2))</f>
        <v/>
      </c>
      <c r="K611" s="330">
        <f>IF(AND(B611="",C611=""),"",ROUND(J611*F611,2))</f>
        <v/>
      </c>
      <c r="L611" s="126" t="n">
        <v>1</v>
      </c>
      <c r="M611" s="331" t="n">
        <v>26.65</v>
      </c>
      <c r="N611" s="128" t="n">
        <v>1</v>
      </c>
      <c r="O611" s="129">
        <f t="array" ref="O611">IF(AND(B611="",C611=""),"",IF(G611&gt;=20000,0.05,IF(G611&gt;=10000,0.1,IF(G611&gt;=5000,0.2,IF(G611&gt;=1000,0.3,IF(G611&gt;=0,0.4,{0}))))))</f>
        <v/>
      </c>
      <c r="P611" s="332">
        <f>IF(AND(B611="",C611=""),"",ROUND(H611*O611,2))</f>
        <v/>
      </c>
      <c r="Q611" s="327" t="inlineStr">
        <is>
          <t>元件</t>
        </is>
      </c>
      <c r="R611" s="150" t="n"/>
      <c r="S611" s="150" t="n"/>
      <c r="T611" s="150" t="inlineStr">
        <is>
          <t>0</t>
        </is>
      </c>
      <c r="U611" s="150" t="n"/>
      <c r="V611" s="328" t="n"/>
      <c r="W611" s="328" t="n"/>
      <c r="X611" s="152" t="n"/>
    </row>
    <row r="612" customFormat="1" s="145">
      <c r="A612" s="36">
        <f>ROW()-ROW(A$600)</f>
        <v/>
      </c>
      <c r="B612" s="29" t="inlineStr">
        <is>
          <t>测量电流互感器</t>
        </is>
      </c>
      <c r="C612" s="29" t="inlineStr">
        <is>
          <t>SD-0.66-40II-C 400/5A</t>
        </is>
      </c>
      <c r="D612" s="29" t="inlineStr">
        <is>
          <t>杭州桑迪</t>
        </is>
      </c>
      <c r="E612" s="30" t="inlineStr">
        <is>
          <t>只</t>
        </is>
      </c>
      <c r="F612" s="30" t="n">
        <v>9</v>
      </c>
      <c r="G612" s="297">
        <f>IF(AND(B612="",C612=""),"",ROUND(M612*L612*N612,2))</f>
        <v/>
      </c>
      <c r="H612" s="297">
        <f>IF(AND(B612="",C612=""),"",ROUND(F612*G612,2))</f>
        <v/>
      </c>
      <c r="I612" s="135" t="n"/>
      <c r="J612" s="329">
        <f>IF(AND(B612="",C612=""),"",ROUND(M612*N612,2))</f>
        <v/>
      </c>
      <c r="K612" s="330">
        <f>IF(AND(B612="",C612=""),"",ROUND(J612*F612,2))</f>
        <v/>
      </c>
      <c r="L612" s="126" t="n">
        <v>1</v>
      </c>
      <c r="M612" s="331" t="n">
        <v>52</v>
      </c>
      <c r="N612" s="128" t="n">
        <v>1</v>
      </c>
      <c r="O612" s="129">
        <f t="array" ref="O612">IF(AND(B612="",C612=""),"",IF(G612&gt;=20000,0.05,IF(G612&gt;=10000,0.1,IF(G612&gt;=5000,0.2,IF(G612&gt;=1000,0.3,IF(G612&gt;=0,0.4,{0}))))))</f>
        <v/>
      </c>
      <c r="P612" s="332">
        <f>IF(AND(B612="",C612=""),"",ROUND(H612*O612,2))</f>
        <v/>
      </c>
      <c r="Q612" s="327" t="inlineStr">
        <is>
          <t>元件</t>
        </is>
      </c>
      <c r="R612" s="150" t="n"/>
      <c r="S612" s="150" t="n"/>
      <c r="T612" s="150" t="inlineStr">
        <is>
          <t>0</t>
        </is>
      </c>
      <c r="U612" s="150" t="n"/>
      <c r="V612" s="328" t="n"/>
      <c r="W612" s="328" t="n"/>
      <c r="X612" s="152" t="n"/>
    </row>
    <row r="613" customFormat="1" s="145">
      <c r="A613" s="36">
        <f>ROW()-ROW(A$600)</f>
        <v/>
      </c>
      <c r="B613" s="25" t="inlineStr">
        <is>
          <t>多功能表</t>
        </is>
      </c>
      <c r="C613" s="25" t="inlineStr">
        <is>
          <t>PM4101</t>
        </is>
      </c>
      <c r="D613" s="25" t="inlineStr">
        <is>
          <t>甲供/施耐德电气</t>
        </is>
      </c>
      <c r="E613" s="30" t="inlineStr">
        <is>
          <t>只</t>
        </is>
      </c>
      <c r="F613" s="26" t="n">
        <v>6</v>
      </c>
      <c r="G613" s="293">
        <f>IF(AND(B613="",C613=""),"",ROUND(M613*L613*N613,2))</f>
        <v/>
      </c>
      <c r="H613" s="293">
        <f>IF(AND(B613="",C613=""),"",ROUND(F613*G613,2))</f>
        <v/>
      </c>
      <c r="I613" s="91" t="n"/>
      <c r="J613" s="329">
        <f>IF(AND(B613="",C613=""),"",ROUND(M613*N613,2))</f>
        <v/>
      </c>
      <c r="K613" s="330">
        <f>IF(AND(B613="",C613=""),"",ROUND(J613*F613,2))</f>
        <v/>
      </c>
      <c r="L613" s="126" t="n">
        <v>1</v>
      </c>
      <c r="M613" s="331" t="n">
        <v>1e-07</v>
      </c>
      <c r="N613" s="128" t="n">
        <v>0</v>
      </c>
      <c r="O613" s="129">
        <f t="array" ref="O613">IF(AND(B613="",C613=""),"",IF(G613&gt;=20000,0.05,IF(G613&gt;=10000,0.1,IF(G613&gt;=5000,0.2,IF(G613&gt;=1000,0.3,IF(G613&gt;=0,0.4,{0}))))))</f>
        <v/>
      </c>
      <c r="P613" s="332">
        <f>IF(AND(B613="",C613=""),"",ROUND(H613*O613,2))</f>
        <v/>
      </c>
      <c r="Q613" s="327" t="inlineStr">
        <is>
          <t>元件</t>
        </is>
      </c>
      <c r="R613" s="150" t="n"/>
      <c r="S613" s="150" t="n"/>
      <c r="T613" s="150" t="inlineStr">
        <is>
          <t>0</t>
        </is>
      </c>
      <c r="U613" s="150" t="n"/>
      <c r="V613" s="328" t="n"/>
      <c r="W613" s="328" t="n"/>
      <c r="X613" s="152" t="n"/>
    </row>
    <row r="614" customFormat="1" s="145">
      <c r="A614" s="36">
        <f>ROW()-ROW(A$600)</f>
        <v/>
      </c>
      <c r="B614" s="29" t="inlineStr">
        <is>
          <t>指示灯</t>
        </is>
      </c>
      <c r="C614" s="29" t="inlineStr">
        <is>
          <t>XA2EVM3LC</t>
        </is>
      </c>
      <c r="D614" s="29" t="inlineStr">
        <is>
          <t>施耐德电气</t>
        </is>
      </c>
      <c r="E614" s="30" t="inlineStr">
        <is>
          <t>只</t>
        </is>
      </c>
      <c r="F614" s="30" t="n">
        <v>6</v>
      </c>
      <c r="G614" s="297">
        <f>IF(AND(B614="",C614=""),"",ROUND(M614*L614*N614,2))</f>
        <v/>
      </c>
      <c r="H614" s="297">
        <f>IF(AND(B614="",C614=""),"",ROUND(F614*G614,2))</f>
        <v/>
      </c>
      <c r="I614" s="136" t="n"/>
      <c r="J614" s="329">
        <f>IF(AND(B614="",C614=""),"",ROUND(M614*N614,2))</f>
        <v/>
      </c>
      <c r="K614" s="330">
        <f>IF(AND(B614="",C614=""),"",ROUND(J614*F614,2))</f>
        <v/>
      </c>
      <c r="L614" s="126" t="n">
        <v>1</v>
      </c>
      <c r="M614" s="331" t="n">
        <v>16.43</v>
      </c>
      <c r="N614" s="137" t="n">
        <v>0.5</v>
      </c>
      <c r="O614" s="138">
        <f t="array" ref="O614">IF(AND(B614="",C614=""),"",IF(G614&gt;=20000,0.05,IF(G614&gt;=10000,0.1,IF(G614&gt;=5000,0.2,IF(G614&gt;=1000,0.3,IF(G614&gt;=0,0.4,{0}))))))</f>
        <v/>
      </c>
      <c r="P614" s="333">
        <f>IF(AND(B614="",C614=""),"",ROUND(H614*O614,2))</f>
        <v/>
      </c>
      <c r="Q614" s="334" t="inlineStr">
        <is>
          <t>元件</t>
        </is>
      </c>
      <c r="R614" s="154" t="n"/>
      <c r="S614" s="154" t="n"/>
      <c r="T614" s="154" t="inlineStr">
        <is>
          <t>0</t>
        </is>
      </c>
      <c r="U614" s="154" t="inlineStr">
        <is>
          <t>XA2EVM3LC</t>
        </is>
      </c>
      <c r="V614" s="335" t="n"/>
      <c r="W614" s="335" t="n"/>
      <c r="X614" s="152" t="n"/>
    </row>
    <row r="615" customFormat="1" s="145">
      <c r="A615" s="36">
        <f>ROW()-ROW(A$600)</f>
        <v/>
      </c>
      <c r="B615" s="29" t="inlineStr">
        <is>
          <t>指示灯</t>
        </is>
      </c>
      <c r="C615" s="25" t="inlineStr">
        <is>
          <t>XA2EVM4LC</t>
        </is>
      </c>
      <c r="D615" s="29" t="inlineStr">
        <is>
          <t>施耐德电气</t>
        </is>
      </c>
      <c r="E615" s="30" t="inlineStr">
        <is>
          <t>只</t>
        </is>
      </c>
      <c r="F615" s="30" t="n">
        <v>6</v>
      </c>
      <c r="G615" s="297">
        <f>IF(AND(B615="",C615=""),"",ROUND(M615*L615*N615,2))</f>
        <v/>
      </c>
      <c r="H615" s="297">
        <f>IF(AND(B615="",C615=""),"",ROUND(F615*G615,2))</f>
        <v/>
      </c>
      <c r="I615" s="136" t="n"/>
      <c r="J615" s="329">
        <f>IF(AND(B615="",C615=""),"",ROUND(M615*N615,2))</f>
        <v/>
      </c>
      <c r="K615" s="330">
        <f>IF(AND(B615="",C615=""),"",ROUND(J615*F615,2))</f>
        <v/>
      </c>
      <c r="L615" s="126" t="n">
        <v>1</v>
      </c>
      <c r="M615" s="331" t="n">
        <v>16.43</v>
      </c>
      <c r="N615" s="137" t="n">
        <v>0.5</v>
      </c>
      <c r="O615" s="138">
        <f t="array" ref="O615">IF(AND(B615="",C615=""),"",IF(G615&gt;=20000,0.05,IF(G615&gt;=10000,0.1,IF(G615&gt;=5000,0.2,IF(G615&gt;=1000,0.3,IF(G615&gt;=0,0.4,{0}))))))</f>
        <v/>
      </c>
      <c r="P615" s="333">
        <f>IF(AND(B615="",C615=""),"",ROUND(H615*O615,2))</f>
        <v/>
      </c>
      <c r="Q615" s="334" t="inlineStr">
        <is>
          <t>元件</t>
        </is>
      </c>
      <c r="R615" s="154" t="n"/>
      <c r="S615" s="154" t="n"/>
      <c r="T615" s="154" t="inlineStr">
        <is>
          <t>0</t>
        </is>
      </c>
      <c r="U615" s="154" t="inlineStr">
        <is>
          <t>XA2EVM4LC</t>
        </is>
      </c>
      <c r="V615" s="335" t="n"/>
      <c r="W615" s="335" t="n"/>
      <c r="X615" s="152" t="n"/>
    </row>
    <row r="616" customFormat="1" s="145">
      <c r="A616" s="36">
        <f>ROW()-ROW(A$600)</f>
        <v/>
      </c>
      <c r="B616" s="25" t="inlineStr">
        <is>
          <t>中间继电器</t>
        </is>
      </c>
      <c r="C616" s="25" t="inlineStr">
        <is>
          <t>RXM4AB2P7+RXZE1M4C+RXZ410</t>
        </is>
      </c>
      <c r="D616" s="25" t="inlineStr">
        <is>
          <t>甲供/施耐德电气</t>
        </is>
      </c>
      <c r="E616" s="26" t="inlineStr">
        <is>
          <t>只</t>
        </is>
      </c>
      <c r="F616" s="26" t="n">
        <v>6</v>
      </c>
      <c r="G616" s="292">
        <f>IF(AND(B616="",C616=""),"",ROUND(M616*L616*N616,2))</f>
        <v/>
      </c>
      <c r="H616" s="297">
        <f>IF(AND(B616="",C616=""),"",ROUND(F616*G616,2))</f>
        <v/>
      </c>
      <c r="I616" s="135" t="n"/>
      <c r="J616" s="329">
        <f>IF(AND(B616="",C616=""),"",ROUND(M616*N616,2))</f>
        <v/>
      </c>
      <c r="K616" s="330">
        <f>IF(AND(B616="",C616=""),"",ROUND(J616*F616,2))</f>
        <v/>
      </c>
      <c r="L616" s="126" t="n">
        <v>1</v>
      </c>
      <c r="M616" s="331" t="n">
        <v>1e-07</v>
      </c>
      <c r="N616" s="128" t="n">
        <v>0</v>
      </c>
      <c r="O616" s="129">
        <f t="array" ref="O616">IF(AND(B616="",C616=""),"",IF(G616&gt;=20000,0.05,IF(G616&gt;=10000,0.1,IF(G616&gt;=5000,0.2,IF(G616&gt;=1000,0.3,IF(G616&gt;=0,0.4,{0}))))))</f>
        <v/>
      </c>
      <c r="P616" s="332">
        <f>IF(AND(B616="",C616=""),"",ROUND(H616*O616,2))</f>
        <v/>
      </c>
      <c r="Q616" s="327" t="inlineStr">
        <is>
          <t>元件</t>
        </is>
      </c>
      <c r="R616" s="150" t="n"/>
      <c r="S616" s="150" t="n"/>
      <c r="T616" s="150" t="inlineStr">
        <is>
          <t>0</t>
        </is>
      </c>
      <c r="U616" s="150" t="n"/>
      <c r="V616" s="328" t="n"/>
      <c r="W616" s="328" t="n"/>
      <c r="X616" s="152" t="n"/>
    </row>
    <row r="617" customFormat="1" s="145">
      <c r="A617" s="36">
        <f>ROW()-ROW(A$600)</f>
        <v/>
      </c>
      <c r="B617" s="29" t="inlineStr">
        <is>
          <t>熔断器</t>
        </is>
      </c>
      <c r="C617" s="29" t="inlineStr">
        <is>
          <t>UK5-HESI</t>
        </is>
      </c>
      <c r="D617" s="25" t="inlineStr">
        <is>
          <t>菲尼克斯</t>
        </is>
      </c>
      <c r="E617" s="26" t="inlineStr">
        <is>
          <t>只</t>
        </is>
      </c>
      <c r="F617" s="26" t="n">
        <v>24</v>
      </c>
      <c r="G617" s="293">
        <f>IF(AND(B617="",C617=""),"",ROUND(M617*L617*N617,2))</f>
        <v/>
      </c>
      <c r="H617" s="297">
        <f>IF(AND(B617="",C617=""),"",ROUND(F617*G617,2))</f>
        <v/>
      </c>
      <c r="I617" s="136" t="n"/>
      <c r="J617" s="329">
        <f>IF(AND(B617="",C617=""),"",ROUND(M617*N617,2))</f>
        <v/>
      </c>
      <c r="K617" s="330">
        <f>IF(AND(B617="",C617=""),"",ROUND(J617*F617,2))</f>
        <v/>
      </c>
      <c r="L617" s="126" t="n">
        <v>1</v>
      </c>
      <c r="M617" s="331" t="n">
        <v>7</v>
      </c>
      <c r="N617" s="128" t="n">
        <v>1</v>
      </c>
      <c r="O617" s="129">
        <f t="array" ref="O617">IF(AND(B617="",C617=""),"",IF(G617&gt;=20000,0.05,IF(G617&gt;=10000,0.1,IF(G617&gt;=5000,0.2,IF(G617&gt;=1000,0.3,IF(G617&gt;=0,0.4,{0}))))))</f>
        <v/>
      </c>
      <c r="P617" s="332">
        <f>IF(AND(B617="",C617=""),"",ROUND(H617*O617,2))</f>
        <v/>
      </c>
      <c r="Q617" s="327" t="inlineStr">
        <is>
          <t>元件</t>
        </is>
      </c>
      <c r="R617" s="150" t="n"/>
      <c r="S617" s="150" t="n"/>
      <c r="T617" s="150" t="inlineStr">
        <is>
          <t>0</t>
        </is>
      </c>
      <c r="U617" s="150" t="n"/>
      <c r="V617" s="328" t="n"/>
      <c r="W617" s="328" t="n"/>
      <c r="X617" s="152" t="n"/>
    </row>
    <row r="618" customFormat="1" s="145">
      <c r="A618" s="36">
        <f>ROW()-ROW(A$600)</f>
        <v/>
      </c>
      <c r="B618" s="29" t="inlineStr">
        <is>
          <t>SP元件</t>
        </is>
      </c>
      <c r="C618" s="25" t="inlineStr">
        <is>
          <t>智能网关 PAS700</t>
        </is>
      </c>
      <c r="D618" s="25" t="inlineStr">
        <is>
          <t>甲供/施耐德电气</t>
        </is>
      </c>
      <c r="E618" s="30" t="inlineStr">
        <is>
          <t>只</t>
        </is>
      </c>
      <c r="F618" s="30">
        <f>IF(AND(B618="",C618=""),"",1)</f>
        <v/>
      </c>
      <c r="G618" s="297">
        <f>IF(AND(B618="",C618=""),"",ROUND(M618*L618*N618,2))</f>
        <v/>
      </c>
      <c r="H618" s="297">
        <f>IF(AND(B618="",C618=""),"",ROUND(F618*G618,2))</f>
        <v/>
      </c>
      <c r="I618" s="135" t="n"/>
      <c r="J618" s="329">
        <f>IF(AND(B618="",C618=""),"",ROUND(M618*N618,2))</f>
        <v/>
      </c>
      <c r="K618" s="330">
        <f>IF(AND(B618="",C618=""),"",ROUND(J618*F618,2))</f>
        <v/>
      </c>
      <c r="L618" s="126" t="n">
        <v>1</v>
      </c>
      <c r="M618" s="331" t="n">
        <v>1e-07</v>
      </c>
      <c r="N618" s="128" t="n">
        <v>0</v>
      </c>
      <c r="O618" s="129">
        <f t="array" ref="O618">IF(AND(B618="",C618=""),"",IF(G618&gt;=20000,0.05,IF(G618&gt;=10000,0.1,IF(G618&gt;=5000,0.2,IF(G618&gt;=1000,0.3,IF(G618&gt;=0,0.4,{0}))))))</f>
        <v/>
      </c>
      <c r="P618" s="332">
        <f>IF(AND(B618="",C618=""),"",ROUND(H618*O618,2))</f>
        <v/>
      </c>
      <c r="Q618" s="327" t="inlineStr">
        <is>
          <t>元件</t>
        </is>
      </c>
      <c r="R618" s="150" t="n"/>
      <c r="S618" s="150" t="n"/>
      <c r="T618" s="150" t="inlineStr">
        <is>
          <t>0</t>
        </is>
      </c>
      <c r="U618" s="150" t="n"/>
      <c r="V618" s="328" t="n"/>
      <c r="W618" s="328" t="n"/>
      <c r="X618" s="152" t="n"/>
    </row>
    <row r="619" customFormat="1" s="145">
      <c r="A619" s="36">
        <f>ROW()-ROW(A$600)</f>
        <v/>
      </c>
      <c r="B619" s="25" t="inlineStr">
        <is>
          <t>水平排4000A</t>
        </is>
      </c>
      <c r="C619" s="25" t="inlineStr">
        <is>
          <t>TMY 3*(4*125*5)+2*125*5+2*50*5</t>
        </is>
      </c>
      <c r="D619" s="25" t="inlineStr">
        <is>
          <t>国产优质</t>
        </is>
      </c>
      <c r="E619" s="26" t="inlineStr">
        <is>
          <t>米</t>
        </is>
      </c>
      <c r="F619" s="30" t="n">
        <v>0.6</v>
      </c>
      <c r="G619" s="297">
        <f>IF(AND(B619="",C619=""),"",ROUND(M619*L619*N619,2))</f>
        <v/>
      </c>
      <c r="H619" s="297">
        <f>IF(AND(B619="",C619=""),"",ROUND(F619*G619,2))</f>
        <v/>
      </c>
      <c r="I619" s="135" t="n"/>
      <c r="J619" s="329">
        <f>IF(AND(B619="",C619=""),"",ROUND(M619*N619,2))</f>
        <v/>
      </c>
      <c r="K619" s="330">
        <f>IF(AND(B619="",C619=""),"",ROUND(J619*F619,2))</f>
        <v/>
      </c>
      <c r="L619" s="126" t="n">
        <v>1</v>
      </c>
      <c r="M619" s="331" t="n">
        <v>6895.130375</v>
      </c>
      <c r="N619" s="128" t="n">
        <v>1</v>
      </c>
      <c r="O619" s="129">
        <f t="array" ref="O619">IF(AND(B619="",C619=""),"",IF(G619&gt;=20000,0.05,IF(G619&gt;=10000,0.1,IF(G619&gt;=5000,0.2,IF(G619&gt;=1000,0.3,IF(G619&gt;=0,0.4,{0}))))))</f>
        <v/>
      </c>
      <c r="P619" s="332">
        <f>IF(AND(B619="",C619=""),"",ROUND(H619*O619,2))</f>
        <v/>
      </c>
      <c r="Q619" s="327" t="inlineStr">
        <is>
          <t>母排</t>
        </is>
      </c>
      <c r="R619" s="150" t="n"/>
      <c r="S619" s="150" t="n"/>
      <c r="T619" s="150" t="inlineStr">
        <is>
          <t>0</t>
        </is>
      </c>
      <c r="U619" s="150" t="n"/>
      <c r="V619" s="328" t="n"/>
      <c r="W619" s="328" t="n"/>
      <c r="X619" s="152" t="n"/>
    </row>
    <row r="620" customFormat="1" s="145">
      <c r="A620" s="36">
        <f>ROW()-ROW(A$600)</f>
        <v/>
      </c>
      <c r="B620" s="25" t="inlineStr">
        <is>
          <t>垂直排</t>
        </is>
      </c>
      <c r="C620" s="25" t="inlineStr">
        <is>
          <t>TMY 80*10</t>
        </is>
      </c>
      <c r="D620" s="25" t="inlineStr">
        <is>
          <t>国产优质</t>
        </is>
      </c>
      <c r="E620" s="26" t="inlineStr">
        <is>
          <t>米</t>
        </is>
      </c>
      <c r="F620" s="30" t="n">
        <v>5.7</v>
      </c>
      <c r="G620" s="297">
        <f>IF(AND(B620="",C620=""),"",ROUND(M620*L620*N620,2))</f>
        <v/>
      </c>
      <c r="H620" s="297">
        <f>IF(AND(B620="",C620=""),"",ROUND(F620*G620,2))</f>
        <v/>
      </c>
      <c r="I620" s="135" t="n"/>
      <c r="J620" s="329">
        <f>IF(AND(B620="",C620=""),"",ROUND(M620*N620,2))</f>
        <v/>
      </c>
      <c r="K620" s="330">
        <f>IF(AND(B620="",C620=""),"",ROUND(J620*F620,2))</f>
        <v/>
      </c>
      <c r="L620" s="126" t="n">
        <v>1</v>
      </c>
      <c r="M620" s="331" t="n">
        <v>596.3356</v>
      </c>
      <c r="N620" s="128" t="n">
        <v>1</v>
      </c>
      <c r="O620" s="129">
        <f t="array" ref="O620">IF(AND(B620="",C620=""),"",IF(G620&gt;=20000,0.05,IF(G620&gt;=10000,0.1,IF(G620&gt;=5000,0.2,IF(G620&gt;=1000,0.3,IF(G620&gt;=0,0.4,{0}))))))</f>
        <v/>
      </c>
      <c r="P620" s="332">
        <f>IF(AND(B620="",C620=""),"",ROUND(H620*O620,2))</f>
        <v/>
      </c>
      <c r="Q620" s="327" t="inlineStr">
        <is>
          <t>母排</t>
        </is>
      </c>
      <c r="R620" s="150" t="n"/>
      <c r="S620" s="150" t="n"/>
      <c r="T620" s="150" t="inlineStr">
        <is>
          <t>0</t>
        </is>
      </c>
      <c r="U620" s="150" t="n"/>
      <c r="V620" s="328" t="n"/>
      <c r="W620" s="328" t="n"/>
      <c r="X620" s="152" t="n"/>
    </row>
    <row r="621" customFormat="1" s="145">
      <c r="A621" s="36">
        <f>ROW()-ROW(A$600)</f>
        <v/>
      </c>
      <c r="B621" s="25" t="inlineStr">
        <is>
          <t>连接排</t>
        </is>
      </c>
      <c r="C621" s="25" t="inlineStr">
        <is>
          <t>TMY 50*10</t>
        </is>
      </c>
      <c r="D621" s="25" t="inlineStr">
        <is>
          <t>国产优质</t>
        </is>
      </c>
      <c r="E621" s="26" t="inlineStr">
        <is>
          <t>米</t>
        </is>
      </c>
      <c r="F621" s="30" t="n">
        <v>4</v>
      </c>
      <c r="G621" s="297">
        <f>IF(AND(B621="",C621=""),"",ROUND(M621*L621*N621,2))</f>
        <v/>
      </c>
      <c r="H621" s="297">
        <f>IF(AND(B621="",C621=""),"",ROUND(F621*G621,2))</f>
        <v/>
      </c>
      <c r="I621" s="135" t="n"/>
      <c r="J621" s="329">
        <f>IF(AND(B621="",C621=""),"",ROUND(M621*N621,2))</f>
        <v/>
      </c>
      <c r="K621" s="330">
        <f>IF(AND(B621="",C621=""),"",ROUND(J621*F621,2))</f>
        <v/>
      </c>
      <c r="L621" s="126" t="n">
        <v>1</v>
      </c>
      <c r="M621" s="331" t="n">
        <v>372.70975</v>
      </c>
      <c r="N621" s="128" t="n">
        <v>1</v>
      </c>
      <c r="O621" s="129">
        <f t="array" ref="O621">IF(AND(B621="",C621=""),"",IF(G621&gt;=20000,0.05,IF(G621&gt;=10000,0.1,IF(G621&gt;=5000,0.2,IF(G621&gt;=1000,0.3,IF(G621&gt;=0,0.4,{0}))))))</f>
        <v/>
      </c>
      <c r="P621" s="332">
        <f>IF(AND(B621="",C621=""),"",ROUND(H621*O621,2))</f>
        <v/>
      </c>
      <c r="Q621" s="327" t="inlineStr">
        <is>
          <t>母排</t>
        </is>
      </c>
      <c r="R621" s="150" t="n"/>
      <c r="S621" s="150" t="n"/>
      <c r="T621" s="150" t="inlineStr">
        <is>
          <t>0</t>
        </is>
      </c>
      <c r="U621" s="150" t="n"/>
      <c r="V621" s="328" t="n"/>
      <c r="W621" s="328" t="n"/>
      <c r="X621" s="152" t="n"/>
    </row>
    <row r="622" customFormat="1" s="145">
      <c r="A622" s="36">
        <f>ROW()-ROW(A$600)</f>
        <v/>
      </c>
      <c r="B622" s="25" t="inlineStr">
        <is>
          <t>N排</t>
        </is>
      </c>
      <c r="C622" s="25" t="inlineStr">
        <is>
          <t>TMY 40*10</t>
        </is>
      </c>
      <c r="D622" s="25" t="inlineStr">
        <is>
          <t>国产优质</t>
        </is>
      </c>
      <c r="E622" s="26" t="inlineStr">
        <is>
          <t>米</t>
        </is>
      </c>
      <c r="F622" s="30" t="n">
        <v>3</v>
      </c>
      <c r="G622" s="297">
        <f>IF(AND(B622="",C622=""),"",ROUND(M622*L622*N622,2))</f>
        <v/>
      </c>
      <c r="H622" s="297">
        <f>IF(AND(B622="",C622=""),"",ROUND(F622*G622,2))</f>
        <v/>
      </c>
      <c r="I622" s="135" t="n"/>
      <c r="J622" s="329">
        <f>IF(AND(B622="",C622=""),"",ROUND(M622*N622,2))</f>
        <v/>
      </c>
      <c r="K622" s="330">
        <f>IF(AND(B622="",C622=""),"",ROUND(J622*F622,2))</f>
        <v/>
      </c>
      <c r="L622" s="126" t="n">
        <v>1</v>
      </c>
      <c r="M622" s="331" t="n">
        <v>298.1678</v>
      </c>
      <c r="N622" s="128" t="n">
        <v>1</v>
      </c>
      <c r="O622" s="129">
        <f t="array" ref="O622">IF(AND(B622="",C622=""),"",IF(G622&gt;=20000,0.05,IF(G622&gt;=10000,0.1,IF(G622&gt;=5000,0.2,IF(G622&gt;=1000,0.3,IF(G622&gt;=0,0.4,{0}))))))</f>
        <v/>
      </c>
      <c r="P622" s="332">
        <f>IF(AND(B622="",C622=""),"",ROUND(H622*O622,2))</f>
        <v/>
      </c>
      <c r="Q622" s="327" t="inlineStr">
        <is>
          <t>母排</t>
        </is>
      </c>
      <c r="R622" s="150" t="n"/>
      <c r="S622" s="150" t="n"/>
      <c r="T622" s="150" t="inlineStr">
        <is>
          <t>0</t>
        </is>
      </c>
      <c r="U622" s="150" t="n"/>
      <c r="V622" s="328" t="n"/>
      <c r="W622" s="328" t="n"/>
      <c r="X622" s="152" t="n"/>
    </row>
    <row r="623" customFormat="1" s="145">
      <c r="A623" s="36">
        <f>ROW()-ROW(A$600)</f>
        <v/>
      </c>
      <c r="B623" s="25" t="inlineStr">
        <is>
          <t>400A连接排</t>
        </is>
      </c>
      <c r="C623" s="25" t="inlineStr">
        <is>
          <t>TMY 30*8</t>
        </is>
      </c>
      <c r="D623" s="25" t="inlineStr">
        <is>
          <t>国产优质</t>
        </is>
      </c>
      <c r="E623" s="26" t="inlineStr">
        <is>
          <t>米</t>
        </is>
      </c>
      <c r="F623" s="30">
        <f>3.2*3</f>
        <v/>
      </c>
      <c r="G623" s="297">
        <f>IF(AND(B623="",C623=""),"",ROUND(M623*L623*N623,2))</f>
        <v/>
      </c>
      <c r="H623" s="297">
        <f>IF(AND(B623="",C623=""),"",ROUND(F623*G623,2))</f>
        <v/>
      </c>
      <c r="I623" s="135" t="n"/>
      <c r="J623" s="329">
        <f>IF(AND(B623="",C623=""),"",ROUND(M623*N623,2))</f>
        <v/>
      </c>
      <c r="K623" s="330">
        <f>IF(AND(B623="",C623=""),"",ROUND(J623*F623,2))</f>
        <v/>
      </c>
      <c r="L623" s="126" t="n">
        <v>1</v>
      </c>
      <c r="M623" s="331" t="n">
        <v>178.90068</v>
      </c>
      <c r="N623" s="128" t="n">
        <v>1</v>
      </c>
      <c r="O623" s="129">
        <f t="array" ref="O623">IF(AND(B623="",C623=""),"",IF(G623&gt;=20000,0.05,IF(G623&gt;=10000,0.1,IF(G623&gt;=5000,0.2,IF(G623&gt;=1000,0.3,IF(G623&gt;=0,0.4,{0}))))))</f>
        <v/>
      </c>
      <c r="P623" s="332">
        <f>IF(AND(B623="",C623=""),"",ROUND(H623*O623,2))</f>
        <v/>
      </c>
      <c r="Q623" s="327" t="inlineStr">
        <is>
          <t>母排</t>
        </is>
      </c>
      <c r="R623" s="150" t="n"/>
      <c r="S623" s="150" t="n"/>
      <c r="T623" s="150" t="inlineStr">
        <is>
          <t>0</t>
        </is>
      </c>
      <c r="U623" s="150" t="n"/>
      <c r="V623" s="328" t="n"/>
      <c r="W623" s="328" t="n"/>
      <c r="X623" s="152" t="n"/>
    </row>
    <row r="624" customFormat="1" s="145">
      <c r="A624" s="36">
        <f>ROW()-ROW(A$600)</f>
        <v/>
      </c>
      <c r="B624" s="25" t="inlineStr">
        <is>
          <t>导线及辅料</t>
        </is>
      </c>
      <c r="C624" s="25" t="n"/>
      <c r="D624" s="25" t="inlineStr">
        <is>
          <t>国产优质</t>
        </is>
      </c>
      <c r="E624" s="26" t="inlineStr">
        <is>
          <t>套</t>
        </is>
      </c>
      <c r="F624" s="26" t="n">
        <v>1</v>
      </c>
      <c r="G624" s="293">
        <f>IF(AND(B624="",C624=""),"",ROUND(M624*L624*N624,2))</f>
        <v/>
      </c>
      <c r="H624" s="293">
        <f>IF(AND(B624="",C624=""),"",ROUND(F624*G624,2))</f>
        <v/>
      </c>
      <c r="I624" s="164" t="n"/>
      <c r="J624" s="329">
        <f>IF(AND(B624="",C624=""),"",ROUND(M624*N624,2))</f>
        <v/>
      </c>
      <c r="K624" s="330">
        <f>IF(AND(B624="",C624=""),"",ROUND(J624*F624,2))</f>
        <v/>
      </c>
      <c r="L624" s="126" t="n">
        <v>1</v>
      </c>
      <c r="M624" s="331" t="n">
        <v>1268</v>
      </c>
      <c r="N624" s="137" t="n">
        <v>1</v>
      </c>
      <c r="O624" s="138">
        <f t="array" ref="O624">IF(AND(B624="",C624=""),"",IF(G624&gt;=20000,0.05,IF(G624&gt;=10000,0.1,IF(G624&gt;=5000,0.2,IF(G624&gt;=1000,0.3,IF(G624&gt;=0,0.4,{0}))))))</f>
        <v/>
      </c>
      <c r="P624" s="333">
        <f>IF(AND(B624="",C624=""),"",ROUND(H624*O624,2))</f>
        <v/>
      </c>
      <c r="Q624" s="334" t="inlineStr">
        <is>
          <t>辅料</t>
        </is>
      </c>
      <c r="R624" s="154" t="n"/>
      <c r="S624" s="154" t="n"/>
      <c r="T624" s="154" t="inlineStr">
        <is>
          <t>0</t>
        </is>
      </c>
      <c r="U624" s="154" t="n"/>
      <c r="V624" s="335" t="n"/>
      <c r="W624" s="335" t="n"/>
      <c r="X624" s="152" t="n"/>
    </row>
    <row r="625" customFormat="1" s="145">
      <c r="A625" s="36">
        <f>ROW()-ROW(A$600)</f>
        <v/>
      </c>
      <c r="B625" s="25" t="inlineStr">
        <is>
          <t>通风顶盖</t>
        </is>
      </c>
      <c r="C625" s="25" t="n"/>
      <c r="D625" s="25" t="inlineStr">
        <is>
          <t>清科</t>
        </is>
      </c>
      <c r="E625" s="30" t="inlineStr">
        <is>
          <t>台</t>
        </is>
      </c>
      <c r="F625" s="26">
        <f>IF(AND(B625="",C625=""),"",1)</f>
        <v/>
      </c>
      <c r="G625" s="293">
        <f>IF(AND(B625="",C625=""),"",ROUND(M625*L625*N625,2))</f>
        <v/>
      </c>
      <c r="H625" s="293">
        <f>IF(AND(B625="",C625=""),"",ROUND(F625*G625,2))</f>
        <v/>
      </c>
      <c r="I625" s="164" t="n"/>
      <c r="J625" s="329">
        <f>IF(AND(B625="",C625=""),"",ROUND(M625*N625,2))</f>
        <v/>
      </c>
      <c r="K625" s="330">
        <f>IF(AND(B625="",C625=""),"",ROUND(J625*F625,2))</f>
        <v/>
      </c>
      <c r="L625" s="126">
        <f>IF(AND(B625="",C625=""),"",1)</f>
        <v/>
      </c>
      <c r="M625" s="331" t="n">
        <v>138</v>
      </c>
      <c r="N625" s="137">
        <f>IF(AND(B625="",C625=""),"",1)</f>
        <v/>
      </c>
      <c r="O625" s="138">
        <f t="array" ref="O625">IF(AND(B625="",C625=""),"",IF(G625&gt;=20000,0.05,IF(G625&gt;=10000,0.1,IF(G625&gt;=5000,0.2,IF(G625&gt;=1000,0.3,IF(G625&gt;=0,0.4,{0}))))))</f>
        <v/>
      </c>
      <c r="P625" s="333">
        <f>IF(AND(B625="",C625=""),"",ROUND(H625*O625,2))</f>
        <v/>
      </c>
      <c r="Q625" s="334">
        <f>IF(AND(B625="",C625=""),"","元件")</f>
        <v/>
      </c>
      <c r="R625" s="154" t="n"/>
      <c r="S625" s="154" t="n"/>
      <c r="T625" s="154" t="n"/>
      <c r="U625" s="154" t="n"/>
      <c r="V625" s="335" t="n"/>
      <c r="W625" s="335" t="n"/>
      <c r="X625" s="152" t="n"/>
    </row>
    <row r="626" customFormat="1" s="145">
      <c r="A626" s="36">
        <f>ROW()-ROW(A$600)</f>
        <v/>
      </c>
      <c r="B626" s="29" t="inlineStr">
        <is>
          <t>Blokset柜</t>
        </is>
      </c>
      <c r="C626" s="25" t="inlineStr">
        <is>
          <t>600W*1000D*2200H</t>
        </is>
      </c>
      <c r="D626" s="25" t="inlineStr">
        <is>
          <t>清科</t>
        </is>
      </c>
      <c r="E626" s="30" t="inlineStr">
        <is>
          <t>台</t>
        </is>
      </c>
      <c r="F626" s="30" t="n">
        <v>1</v>
      </c>
      <c r="G626" s="297">
        <f>IF(AND(B626="",C626=""),"",ROUND(M626*L626*N626,2))</f>
        <v/>
      </c>
      <c r="H626" s="297">
        <f>IF(AND(B626="",C626=""),"",ROUND(F626*G626,2))</f>
        <v/>
      </c>
      <c r="I626" s="135" t="n"/>
      <c r="J626" s="329">
        <f>IF(AND(B626="",C626=""),"",ROUND(M626*N626,2))</f>
        <v/>
      </c>
      <c r="K626" s="330">
        <f>IF(AND(B626="",C626=""),"",ROUND(J626*F626,2))</f>
        <v/>
      </c>
      <c r="L626" s="126" t="n">
        <v>1</v>
      </c>
      <c r="M626" s="331" t="n">
        <v>7818</v>
      </c>
      <c r="N626" s="137" t="n">
        <v>1</v>
      </c>
      <c r="O626" s="138">
        <f t="array" ref="O626">IF(AND(B626="",C626=""),"",IF(G626&gt;=20000,0.05,IF(G626&gt;=10000,0.1,IF(G626&gt;=5000,0.2,IF(G626&gt;=1000,0.3,IF(G626&gt;=0,0.4,{0}))))))</f>
        <v/>
      </c>
      <c r="P626" s="333">
        <f>IF(AND(B626="",C626=""),"",ROUND(H626*O626,2))</f>
        <v/>
      </c>
      <c r="Q626" s="334" t="inlineStr">
        <is>
          <t>箱体</t>
        </is>
      </c>
      <c r="R626" s="154" t="n"/>
      <c r="S626" s="154" t="n"/>
      <c r="T626" s="154" t="inlineStr">
        <is>
          <t>0</t>
        </is>
      </c>
      <c r="U626" s="154" t="n"/>
      <c r="V626" s="335" t="n"/>
      <c r="W626" s="335" t="n"/>
      <c r="X626" s="152" t="n"/>
    </row>
    <row r="627" customFormat="1" s="145">
      <c r="A627" s="36">
        <f>ROW()-ROW(A$600)</f>
        <v/>
      </c>
      <c r="B627" s="25" t="n"/>
      <c r="C627" s="25" t="n"/>
      <c r="D627" s="25" t="n"/>
      <c r="E627" s="26" t="n"/>
      <c r="F627" s="26">
        <f>IF(AND(B627="",C627=""),"",1)</f>
        <v/>
      </c>
      <c r="G627" s="293">
        <f>IF(AND(B627="",C627=""),"",ROUND(M627*L627*N627,2))</f>
        <v/>
      </c>
      <c r="H627" s="297">
        <f>IF(AND(B627="",C627=""),"",ROUND(F627*G627,2))</f>
        <v/>
      </c>
      <c r="I627" s="135" t="n"/>
      <c r="J627" s="329">
        <f>IF(AND(B627="",C627=""),"",ROUND(M627*N627,2))</f>
        <v/>
      </c>
      <c r="K627" s="330">
        <f>IF(AND(B627="",C627=""),"",ROUND(J627*F627,2))</f>
        <v/>
      </c>
      <c r="L627" s="126">
        <f>IF(AND(B627="",C627=""),"",1)</f>
        <v/>
      </c>
      <c r="M627" s="331" t="n"/>
      <c r="N627" s="128">
        <f>IF(AND(B627="",C627=""),"",1)</f>
        <v/>
      </c>
      <c r="O627" s="129">
        <f t="array" ref="O627">IF(AND(B627="",C627=""),"",IF(G627&gt;=20000,0.05,IF(G627&gt;=10000,0.1,IF(G627&gt;=5000,0.2,IF(G627&gt;=1000,0.3,IF(G627&gt;=0,0.4,{0}))))))</f>
        <v/>
      </c>
      <c r="P627" s="332">
        <f>IF(AND(B627="",C627=""),"",ROUND(H627*O627,2))</f>
        <v/>
      </c>
      <c r="Q627" s="327">
        <f>IF(AND(B627="",C627=""),"","元件")</f>
        <v/>
      </c>
      <c r="R627" s="150" t="n"/>
      <c r="S627" s="150" t="n"/>
      <c r="T627" s="150" t="n"/>
      <c r="U627" s="150" t="n"/>
      <c r="V627" s="328" t="n"/>
      <c r="W627" s="328" t="n"/>
      <c r="X627" s="152" t="n"/>
    </row>
    <row r="628" customFormat="1" s="145">
      <c r="A628" s="36">
        <f>ROW()-ROW(A$600)</f>
        <v/>
      </c>
      <c r="B628" s="25" t="n"/>
      <c r="C628" s="25" t="n"/>
      <c r="D628" s="25" t="n"/>
      <c r="E628" s="26" t="n"/>
      <c r="F628" s="26">
        <f>IF(AND(B628="",C628=""),"",1)</f>
        <v/>
      </c>
      <c r="G628" s="293">
        <f>IF(AND(B628="",C628=""),"",ROUND(M628*L628*N628,2))</f>
        <v/>
      </c>
      <c r="H628" s="297">
        <f>IF(AND(B628="",C628=""),"",ROUND(F628*G628,2))</f>
        <v/>
      </c>
      <c r="I628" s="135" t="n"/>
      <c r="J628" s="329">
        <f>IF(AND(B628="",C628=""),"",ROUND(M628*N628,2))</f>
        <v/>
      </c>
      <c r="K628" s="330">
        <f>IF(AND(B628="",C628=""),"",ROUND(J628*F628,2))</f>
        <v/>
      </c>
      <c r="L628" s="126">
        <f>IF(AND(B628="",C628=""),"",1)</f>
        <v/>
      </c>
      <c r="M628" s="331" t="n"/>
      <c r="N628" s="128">
        <f>IF(AND(B628="",C628=""),"",1)</f>
        <v/>
      </c>
      <c r="O628" s="129">
        <f t="array" ref="O628">IF(AND(B628="",C628=""),"",IF(G628&gt;=20000,0.05,IF(G628&gt;=10000,0.1,IF(G628&gt;=5000,0.2,IF(G628&gt;=1000,0.3,IF(G628&gt;=0,0.4,{0}))))))</f>
        <v/>
      </c>
      <c r="P628" s="332">
        <f>IF(AND(B628="",C628=""),"",ROUND(H628*O628,2))</f>
        <v/>
      </c>
      <c r="Q628" s="327">
        <f>IF(AND(B628="",C628=""),"","元件")</f>
        <v/>
      </c>
      <c r="R628" s="150" t="n"/>
      <c r="S628" s="150" t="n"/>
      <c r="T628" s="150" t="n"/>
      <c r="U628" s="150" t="n"/>
      <c r="V628" s="328" t="n"/>
      <c r="W628" s="328" t="n"/>
      <c r="X628" s="152" t="n"/>
    </row>
    <row r="629" customFormat="1" s="145">
      <c r="A629" s="36">
        <f>ROW()-ROW(A$600)</f>
        <v/>
      </c>
      <c r="B629" s="156" t="inlineStr">
        <is>
          <t>小计</t>
        </is>
      </c>
      <c r="C629" s="157" t="n"/>
      <c r="D629" s="54" t="n"/>
      <c r="E629" s="30" t="n"/>
      <c r="F629" s="30" t="n"/>
      <c r="G629" s="297" t="n"/>
      <c r="H629" s="297">
        <f>ROUND(SUM(H600:INDEX(H:H,ROW()-1)),2)</f>
        <v/>
      </c>
      <c r="I629" s="91" t="n"/>
      <c r="J629" s="329" t="n"/>
      <c r="K629" s="330">
        <f>ROUND(SUM(K600:INDEX(K:K,ROW()-1)),2)</f>
        <v/>
      </c>
      <c r="L629" s="126" t="n"/>
      <c r="M629" s="331" t="n"/>
      <c r="N629" s="128" t="n"/>
      <c r="O629" s="129" t="n"/>
      <c r="P629" s="332" t="n"/>
      <c r="Q629" s="327" t="n"/>
      <c r="R629" s="150" t="n"/>
      <c r="S629" s="150" t="n"/>
      <c r="T629" s="150" t="n"/>
      <c r="U629" s="150" t="n"/>
      <c r="V629" s="328">
        <f t="array" ref="V629">ROUND(SUMPRODUCT(F600:INDEX(F:F,ROW()-1),V600:INDEX(V:V,ROW()-1)),2)</f>
        <v/>
      </c>
      <c r="W629" s="328">
        <f t="array" ref="W629">ROUND(SUMPRODUCT(F600:INDEX(F:F,ROW()-1),W600:INDEX(W:W,ROW()-1)),2)</f>
        <v/>
      </c>
      <c r="X629" s="152" t="n"/>
    </row>
    <row r="630" customFormat="1" s="145">
      <c r="A630" s="36">
        <f>ROW()-ROW(A$600)</f>
        <v/>
      </c>
      <c r="B630" s="156" t="inlineStr">
        <is>
          <t>成套费</t>
        </is>
      </c>
      <c r="C630" s="157" t="n"/>
      <c r="D630" s="54" t="n"/>
      <c r="E630" s="30" t="n"/>
      <c r="F630" s="30" t="n"/>
      <c r="G630" s="297" t="n"/>
      <c r="H630" s="297" t="n">
        <v>944.76</v>
      </c>
      <c r="I630" s="91" t="n"/>
      <c r="J630" s="329" t="n"/>
      <c r="K630" s="330" t="n">
        <v>944.76</v>
      </c>
      <c r="L630" s="126" t="n"/>
      <c r="M630" s="331" t="n"/>
      <c r="N630" s="128" t="n"/>
      <c r="O630" s="129" t="n"/>
      <c r="P630" s="332" t="n"/>
      <c r="Q630" s="327" t="n"/>
      <c r="R630" s="150" t="n"/>
      <c r="S630" s="150" t="n"/>
      <c r="T630" s="150" t="n"/>
      <c r="U630" s="150" t="n"/>
      <c r="V630" s="328" t="n"/>
      <c r="W630" s="328" t="n"/>
      <c r="X630" s="152" t="n"/>
    </row>
    <row r="631" customFormat="1" s="145">
      <c r="A631" s="36">
        <f>ROW()-ROW(A$600)</f>
        <v/>
      </c>
      <c r="B631" s="156" t="n"/>
      <c r="C631" s="157" t="n"/>
      <c r="D631" s="54" t="n"/>
      <c r="E631" s="30" t="n"/>
      <c r="F631" s="30" t="n"/>
      <c r="G631" s="297" t="n"/>
      <c r="H631" s="297" t="n">
        <v>17.26</v>
      </c>
      <c r="I631" s="91" t="n"/>
      <c r="J631" s="329" t="n"/>
      <c r="K631" s="330" t="n"/>
      <c r="L631" s="126" t="n"/>
      <c r="M631" s="331" t="n"/>
      <c r="N631" s="128" t="n"/>
      <c r="O631" s="129" t="n"/>
      <c r="P631" s="332" t="n"/>
      <c r="Q631" s="327" t="n"/>
      <c r="R631" s="150" t="n"/>
      <c r="S631" s="150" t="n"/>
      <c r="T631" s="150" t="n"/>
      <c r="U631" s="150" t="n"/>
      <c r="V631" s="328" t="n"/>
      <c r="W631" s="328" t="n"/>
      <c r="X631" s="152" t="n"/>
    </row>
    <row r="632" customFormat="1" s="145">
      <c r="A632" s="36">
        <f>ROW()-ROW(A$600)</f>
        <v/>
      </c>
      <c r="B632" s="54" t="inlineStr">
        <is>
          <t>单台合计</t>
        </is>
      </c>
      <c r="C632" s="157" t="n"/>
      <c r="D632" s="54" t="n"/>
      <c r="E632" s="30" t="n"/>
      <c r="F632" s="30" t="n"/>
      <c r="G632" s="297" t="n"/>
      <c r="H632" s="297">
        <f>ROUND(SUM(H629:H630),2)</f>
        <v/>
      </c>
      <c r="I632" s="165" t="n"/>
      <c r="J632" s="329" t="n"/>
      <c r="K632" s="330">
        <f>ROUND(SUM(K629:K630),2)</f>
        <v/>
      </c>
      <c r="L632" s="166" t="n"/>
      <c r="M632" s="331" t="n"/>
      <c r="N632" s="167" t="n"/>
      <c r="O632" s="168" t="n"/>
      <c r="P632" s="332" t="n"/>
      <c r="Q632" s="327" t="n"/>
      <c r="R632" s="150" t="n"/>
      <c r="S632" s="150" t="n"/>
      <c r="T632" s="150" t="n"/>
      <c r="U632" s="150" t="n"/>
      <c r="V632" s="328" t="n"/>
      <c r="W632" s="328" t="n"/>
      <c r="X632" s="152" t="n"/>
    </row>
    <row r="633" customFormat="1" s="145">
      <c r="A633" s="158" t="inlineStr">
        <is>
          <t>总计</t>
        </is>
      </c>
      <c r="B633" s="159" t="n"/>
      <c r="C633" s="160" t="n"/>
      <c r="D633" s="161" t="n"/>
      <c r="E633" s="161" t="inlineStr">
        <is>
          <t>台</t>
        </is>
      </c>
      <c r="F633" s="161" t="n">
        <v>1</v>
      </c>
      <c r="G633" s="336">
        <f>ROUND(H632,2)</f>
        <v/>
      </c>
      <c r="H633" s="336">
        <f>ROUND(F633*G633,2)</f>
        <v/>
      </c>
      <c r="I633" s="169" t="n"/>
      <c r="J633" s="337" t="n"/>
      <c r="K633" s="338">
        <f>ROUND(K632*F633,2)</f>
        <v/>
      </c>
      <c r="L633" s="172" t="n"/>
      <c r="M633" s="339" t="n"/>
      <c r="N633" s="174" t="n"/>
      <c r="O633" s="175" t="n"/>
      <c r="P633" s="340" t="n"/>
      <c r="Q633" s="327" t="n"/>
      <c r="R633" s="150" t="n"/>
      <c r="S633" s="150" t="n"/>
      <c r="T633" s="150" t="n"/>
      <c r="U633" s="150" t="n"/>
      <c r="V633" s="328" t="n"/>
      <c r="W633" s="328" t="n"/>
      <c r="X633" s="152" t="n"/>
    </row>
    <row r="634" customFormat="1" s="146">
      <c r="A634" s="3" t="n"/>
      <c r="B634" s="117" t="n"/>
      <c r="C634" s="117" t="n"/>
      <c r="D634" s="117" t="n"/>
      <c r="E634" s="146" t="n"/>
      <c r="F634" s="146" t="n"/>
      <c r="G634" s="146" t="n"/>
      <c r="H634" s="146" t="n"/>
      <c r="Q634" s="144" t="n"/>
      <c r="R634" s="144" t="n"/>
      <c r="S634" s="144" t="n"/>
      <c r="T634" s="144" t="n"/>
      <c r="U634" s="144" t="n"/>
      <c r="X634" s="117" t="n"/>
    </row>
    <row r="635" customFormat="1" s="146">
      <c r="A635" s="3" t="n"/>
      <c r="B635" s="117" t="n"/>
      <c r="C635" s="117" t="n"/>
      <c r="D635" s="117" t="n"/>
      <c r="E635" s="146" t="n"/>
      <c r="F635" s="146" t="n"/>
      <c r="G635" s="146" t="n"/>
      <c r="H635" s="146" t="n"/>
      <c r="Q635" s="144" t="n"/>
      <c r="R635" s="144" t="n"/>
      <c r="S635" s="144" t="n"/>
      <c r="T635" s="144" t="n"/>
      <c r="U635" s="144" t="n"/>
      <c r="X635" s="117" t="n"/>
    </row>
    <row r="636" customFormat="1" s="145">
      <c r="A636" s="63">
        <f>CONCATENATE("报价人：",项目信息!$B$8)</f>
        <v/>
      </c>
      <c r="B636" s="63" t="n"/>
      <c r="C636" s="146" t="n"/>
      <c r="D636" s="146" t="n"/>
      <c r="E636" s="146" t="n"/>
      <c r="F636" s="146" t="n"/>
      <c r="G636" s="146" t="n"/>
      <c r="H636" s="163">
        <f>项目信息!$B$9</f>
        <v/>
      </c>
      <c r="Q636" s="144" t="n"/>
      <c r="R636" s="144" t="n"/>
      <c r="S636" s="144" t="n"/>
      <c r="T636" s="144" t="n"/>
      <c r="U636" s="144" t="n"/>
      <c r="X636" s="148" t="n"/>
    </row>
    <row r="637" customFormat="1" s="145">
      <c r="A637" s="5">
        <f>T(项目信息!$B$22)</f>
        <v/>
      </c>
      <c r="Q637" s="144" t="n"/>
      <c r="R637" s="144" t="n"/>
      <c r="S637" s="144" t="n"/>
      <c r="T637" s="144" t="n"/>
      <c r="U637" s="144" t="n"/>
      <c r="X637" s="145" t="n"/>
    </row>
    <row r="638" customFormat="1" s="145">
      <c r="A638" s="6">
        <f>T(项目信息!$B$23)</f>
        <v/>
      </c>
      <c r="Q638" s="144" t="n"/>
      <c r="R638" s="144" t="n"/>
      <c r="S638" s="144" t="n"/>
      <c r="T638" s="144" t="n"/>
      <c r="U638" s="144" t="n"/>
      <c r="X638" s="145" t="n"/>
    </row>
    <row r="639" customFormat="1" s="145">
      <c r="A639" s="68" t="inlineStr">
        <is>
          <t>成套产品报价明细表</t>
        </is>
      </c>
      <c r="B639" s="318" t="n"/>
      <c r="C639" s="318" t="n"/>
      <c r="D639" s="318" t="n"/>
      <c r="E639" s="318" t="n"/>
      <c r="F639" s="318" t="n"/>
      <c r="G639" s="318" t="n"/>
      <c r="H639" s="318" t="n"/>
      <c r="I639" s="318" t="n"/>
      <c r="Q639" s="144" t="n"/>
      <c r="R639" s="144" t="n"/>
      <c r="S639" s="144" t="n"/>
      <c r="T639" s="144" t="n"/>
      <c r="U639" s="144" t="n"/>
      <c r="X639" s="145" t="n"/>
    </row>
    <row r="640" customFormat="1" s="146">
      <c r="A640" s="69" t="inlineStr">
        <is>
          <t>柜号:</t>
        </is>
      </c>
      <c r="B640" s="70" t="inlineStr">
        <is>
          <t>3D8</t>
        </is>
      </c>
      <c r="C640" s="71" t="inlineStr">
        <is>
          <t>型号:</t>
        </is>
      </c>
      <c r="D640" s="70" t="inlineStr">
        <is>
          <t>Blokset</t>
        </is>
      </c>
      <c r="E640" s="319" t="n"/>
      <c r="F640" s="72" t="inlineStr">
        <is>
          <t>名称:</t>
        </is>
      </c>
      <c r="G640" s="70" t="inlineStr">
        <is>
          <t>出线柜</t>
        </is>
      </c>
      <c r="H640" s="319" t="n"/>
      <c r="I640" s="320" t="n"/>
      <c r="J640" s="116" t="inlineStr">
        <is>
          <t>箱柜尺寸:</t>
        </is>
      </c>
      <c r="K640" s="117" t="inlineStr">
        <is>
          <t>800W*1000D*2200H</t>
        </is>
      </c>
      <c r="L640" s="116" t="inlineStr">
        <is>
          <t>类别:</t>
        </is>
      </c>
      <c r="M640" s="117" t="n"/>
      <c r="N640" s="321" t="n"/>
      <c r="Q640" s="144" t="n"/>
      <c r="R640" s="144" t="n"/>
      <c r="S640" s="144" t="n"/>
      <c r="T640" s="144" t="n"/>
      <c r="U640" s="144" t="n"/>
      <c r="X640" s="146" t="n"/>
    </row>
    <row r="641" ht="20.1" customFormat="1" customHeight="1" s="145">
      <c r="A641" s="13" t="inlineStr">
        <is>
          <t>序号</t>
        </is>
      </c>
      <c r="B641" s="73" t="inlineStr">
        <is>
          <t>元件名称</t>
        </is>
      </c>
      <c r="C641" s="73" t="inlineStr">
        <is>
          <t>型号规格</t>
        </is>
      </c>
      <c r="D641" s="74" t="inlineStr">
        <is>
          <t>生产厂家</t>
        </is>
      </c>
      <c r="E641" s="15" t="inlineStr">
        <is>
          <t>单位</t>
        </is>
      </c>
      <c r="F641" s="15" t="inlineStr">
        <is>
          <t>数量</t>
        </is>
      </c>
      <c r="G641" s="287" t="inlineStr">
        <is>
          <t>单   价</t>
        </is>
      </c>
      <c r="H641" s="256" t="inlineStr">
        <is>
          <t>总   价</t>
        </is>
      </c>
      <c r="I641" s="119" t="inlineStr">
        <is>
          <t>备注</t>
        </is>
      </c>
      <c r="J641" s="322" t="inlineStr">
        <is>
          <t>成本单价</t>
        </is>
      </c>
      <c r="K641" s="322" t="inlineStr">
        <is>
          <t>成本总价</t>
        </is>
      </c>
      <c r="L641" s="121" t="inlineStr">
        <is>
          <t>报出
系数</t>
        </is>
      </c>
      <c r="M641" s="322" t="inlineStr">
        <is>
          <t>表价</t>
        </is>
      </c>
      <c r="N641" s="121" t="inlineStr">
        <is>
          <t>折扣
系数</t>
        </is>
      </c>
      <c r="O641" s="122" t="inlineStr">
        <is>
          <t>取费
系数</t>
        </is>
      </c>
      <c r="P641" s="322" t="inlineStr">
        <is>
          <t>成套费</t>
        </is>
      </c>
      <c r="Q641" s="147" t="inlineStr">
        <is>
          <t>类别</t>
        </is>
      </c>
      <c r="R641" s="147" t="inlineStr">
        <is>
          <t>物料编码</t>
        </is>
      </c>
      <c r="S641" s="147" t="inlineStr">
        <is>
          <t>产地</t>
        </is>
      </c>
      <c r="T641" s="147" t="inlineStr">
        <is>
          <t>加工费</t>
        </is>
      </c>
      <c r="U641" s="147" t="inlineStr">
        <is>
          <t>订货号</t>
        </is>
      </c>
      <c r="V641" s="147" t="inlineStr">
        <is>
          <t>人工</t>
        </is>
      </c>
      <c r="W641" s="147" t="inlineStr">
        <is>
          <t>辅料</t>
        </is>
      </c>
      <c r="X641" s="148" t="n"/>
    </row>
    <row r="642" customFormat="1" s="145">
      <c r="A642" s="75">
        <f>ROW()-ROW(A$641)</f>
        <v/>
      </c>
      <c r="B642" s="20" t="inlineStr">
        <is>
          <t>智能框架断路器</t>
        </is>
      </c>
      <c r="C642" s="20" t="inlineStr">
        <is>
          <t>MT08 H1 3P D/O MIC 5.0E 800A+LR/标准+MCH AC200-240V+MX标准型 200-250Vac/dc+XF标准型 200-250Vac/dc+抽架+CDP+上端后水平接线+下端后水平接线</t>
        </is>
      </c>
      <c r="D642" s="25" t="inlineStr">
        <is>
          <t>甲供/施耐德电气</t>
        </is>
      </c>
      <c r="E642" s="21" t="inlineStr">
        <is>
          <t>只</t>
        </is>
      </c>
      <c r="F642" s="21" t="n">
        <v>1</v>
      </c>
      <c r="G642" s="289">
        <f>IF(AND(B642="",C642=""),"",ROUND(M642*L642*N642,2))</f>
        <v/>
      </c>
      <c r="H642" s="289">
        <f>IF(AND(B642="",C642=""),"",ROUND(F642*G642,2))</f>
        <v/>
      </c>
      <c r="I642" s="123" t="n"/>
      <c r="J642" s="323">
        <f>IF(AND(B642="",C642=""),"",ROUND(M642*N642,2))</f>
        <v/>
      </c>
      <c r="K642" s="324">
        <f>IF(AND(B642="",C642=""),"",ROUND(J642*F642,2))</f>
        <v/>
      </c>
      <c r="L642" s="126" t="n">
        <v>1</v>
      </c>
      <c r="M642" s="325" t="n">
        <v>41024.73</v>
      </c>
      <c r="N642" s="128" t="n">
        <v>0</v>
      </c>
      <c r="O642" s="129">
        <f t="array" ref="O642">IF(AND(B642="",C642=""),"",IF(G642&gt;=20000,0.05,IF(G642&gt;=10000,0.1,IF(G642&gt;=5000,0.2,IF(G642&gt;=1000,0.3,IF(G642&gt;=0,0.4,{0}))))))</f>
        <v/>
      </c>
      <c r="P642" s="326">
        <f>IF(AND(B642="",C642=""),"",ROUND(H642*O642,2))</f>
        <v/>
      </c>
      <c r="Q642" s="327" t="inlineStr">
        <is>
          <t>元件</t>
        </is>
      </c>
      <c r="R642" s="150" t="n"/>
      <c r="S642" s="150" t="n"/>
      <c r="T642" s="150" t="inlineStr">
        <is>
          <t>0</t>
        </is>
      </c>
      <c r="U642" s="150" t="inlineStr">
        <is>
          <t>48231+48499+33542+48527+48494+48484+48392+48603+48143+48148</t>
        </is>
      </c>
      <c r="V642" s="328" t="n"/>
      <c r="W642" s="328" t="n"/>
      <c r="X642" s="152" t="n"/>
    </row>
    <row r="643" customFormat="1" s="145">
      <c r="A643" s="36">
        <f>ROW()-ROW(A$641)</f>
        <v/>
      </c>
      <c r="B643" s="29" t="inlineStr">
        <is>
          <t>交流塑壳断路器</t>
        </is>
      </c>
      <c r="C643" s="25" t="inlineStr">
        <is>
          <t>NSX100N TMD 100 3P3D F</t>
        </is>
      </c>
      <c r="D643" s="25" t="inlineStr">
        <is>
          <t>甲供/施耐德电气</t>
        </is>
      </c>
      <c r="E643" s="30" t="inlineStr">
        <is>
          <t>只</t>
        </is>
      </c>
      <c r="F643" s="26" t="n">
        <v>1</v>
      </c>
      <c r="G643" s="297">
        <f>IF(AND(B643="",C643=""),"",ROUND(M643*L643*N643,2))</f>
        <v/>
      </c>
      <c r="H643" s="293">
        <f>IF(AND(B643="",C643=""),"",ROUND(F643*G643,2))</f>
        <v/>
      </c>
      <c r="I643" s="91" t="n"/>
      <c r="J643" s="329">
        <f>IF(AND(B643="",C643=""),"",ROUND(M643*N643,2))</f>
        <v/>
      </c>
      <c r="K643" s="330">
        <f>IF(AND(B643="",C643=""),"",ROUND(J643*F643,2))</f>
        <v/>
      </c>
      <c r="L643" s="126" t="n">
        <v>1</v>
      </c>
      <c r="M643" s="331" t="n">
        <v>1024.28</v>
      </c>
      <c r="N643" s="128" t="n">
        <v>0</v>
      </c>
      <c r="O643" s="129">
        <f t="array" ref="O643">IF(AND(B643="",C643=""),"",IF(G643&gt;=20000,0.05,IF(G643&gt;=10000,0.1,IF(G643&gt;=5000,0.2,IF(G643&gt;=1000,0.3,IF(G643&gt;=0,0.4,{0}))))))</f>
        <v/>
      </c>
      <c r="P643" s="332">
        <f>IF(AND(B643="",C643=""),"",ROUND(H643*O643,2))</f>
        <v/>
      </c>
      <c r="Q643" s="327" t="inlineStr">
        <is>
          <t>元件</t>
        </is>
      </c>
      <c r="R643" s="150" t="n"/>
      <c r="S643" s="150" t="n"/>
      <c r="T643" s="150" t="inlineStr">
        <is>
          <t>0</t>
        </is>
      </c>
      <c r="U643" s="150" t="inlineStr">
        <is>
          <t>C10N3TM100</t>
        </is>
      </c>
      <c r="V643" s="328" t="n"/>
      <c r="W643" s="328" t="n"/>
      <c r="X643" s="152" t="n"/>
    </row>
    <row r="644" customFormat="1" s="145">
      <c r="A644" s="36">
        <f>ROW()-ROW(A$641)</f>
        <v/>
      </c>
      <c r="B644" s="29" t="inlineStr">
        <is>
          <t>交流塑壳断路器</t>
        </is>
      </c>
      <c r="C644" s="25" t="inlineStr">
        <is>
          <t>NSX400N MIC 2.3 400 3P F</t>
        </is>
      </c>
      <c r="D644" s="25" t="inlineStr">
        <is>
          <t>甲供/施耐德电气</t>
        </is>
      </c>
      <c r="E644" s="30" t="inlineStr">
        <is>
          <t>只</t>
        </is>
      </c>
      <c r="F644" s="26" t="n">
        <v>2</v>
      </c>
      <c r="G644" s="293">
        <f>IF(AND(B644="",C644=""),"",ROUND(M644*L644*N644,2))</f>
        <v/>
      </c>
      <c r="H644" s="293">
        <f>IF(AND(B644="",C644=""),"",ROUND(F644*G644,2))</f>
        <v/>
      </c>
      <c r="I644" s="91" t="n"/>
      <c r="J644" s="329">
        <f>IF(AND(B644="",C644=""),"",ROUND(M644*N644,2))</f>
        <v/>
      </c>
      <c r="K644" s="330">
        <f>IF(AND(B644="",C644=""),"",ROUND(J644*F644,2))</f>
        <v/>
      </c>
      <c r="L644" s="126" t="n">
        <v>1</v>
      </c>
      <c r="M644" s="331" t="n">
        <v>3474.03</v>
      </c>
      <c r="N644" s="128" t="n">
        <v>0</v>
      </c>
      <c r="O644" s="129">
        <f t="array" ref="O644">IF(AND(B644="",C644=""),"",IF(G644&gt;=20000,0.05,IF(G644&gt;=10000,0.1,IF(G644&gt;=5000,0.2,IF(G644&gt;=1000,0.3,IF(G644&gt;=0,0.4,{0}))))))</f>
        <v/>
      </c>
      <c r="P644" s="332">
        <f>IF(AND(B644="",C644=""),"",ROUND(H644*O644,2))</f>
        <v/>
      </c>
      <c r="Q644" s="327" t="inlineStr">
        <is>
          <t>元件</t>
        </is>
      </c>
      <c r="R644" s="150" t="n"/>
      <c r="S644" s="150" t="n"/>
      <c r="T644" s="150" t="inlineStr">
        <is>
          <t>0</t>
        </is>
      </c>
      <c r="U644" s="150" t="inlineStr">
        <is>
          <t>C40N32D400</t>
        </is>
      </c>
      <c r="V644" s="328" t="n"/>
      <c r="W644" s="328" t="n"/>
      <c r="X644" s="152" t="n"/>
    </row>
    <row r="645" customFormat="1" s="145">
      <c r="A645" s="36">
        <f>ROW()-ROW(A$641)</f>
        <v/>
      </c>
      <c r="B645" s="29" t="inlineStr">
        <is>
          <t>新外观延伸旋转手柄</t>
        </is>
      </c>
      <c r="C645" s="29" t="inlineStr">
        <is>
          <t>标准延伸旋转手柄/新外观延伸旋转手柄 100/160/250A</t>
        </is>
      </c>
      <c r="D645" s="25" t="inlineStr">
        <is>
          <t>甲供/施耐德电气</t>
        </is>
      </c>
      <c r="E645" s="30" t="inlineStr">
        <is>
          <t>只</t>
        </is>
      </c>
      <c r="F645" s="30" t="n">
        <v>1</v>
      </c>
      <c r="G645" s="297">
        <f>IF(AND(B645="",C645=""),"",ROUND(M645*L645*N645,2))</f>
        <v/>
      </c>
      <c r="H645" s="293">
        <f>IF(AND(B645="",C645=""),"",ROUND(F645*G645,2))</f>
        <v/>
      </c>
      <c r="I645" s="91" t="n"/>
      <c r="J645" s="329">
        <f>IF(AND(B645="",C645=""),"",ROUND(M645*N645,2))</f>
        <v/>
      </c>
      <c r="K645" s="330">
        <f>IF(AND(B645="",C645=""),"",ROUND(J645*F645,2))</f>
        <v/>
      </c>
      <c r="L645" s="126" t="n">
        <v>1</v>
      </c>
      <c r="M645" s="331" t="n">
        <v>189.75</v>
      </c>
      <c r="N645" s="128" t="n">
        <v>0</v>
      </c>
      <c r="O645" s="129">
        <f t="array" ref="O645">IF(AND(B645="",C645=""),"",IF(G645&gt;=20000,0.05,IF(G645&gt;=10000,0.1,IF(G645&gt;=5000,0.2,IF(G645&gt;=1000,0.3,IF(G645&gt;=0,0.4,{0}))))))</f>
        <v/>
      </c>
      <c r="P645" s="332">
        <f>IF(AND(B645="",C645=""),"",ROUND(H645*O645,2))</f>
        <v/>
      </c>
      <c r="Q645" s="327" t="inlineStr">
        <is>
          <t>元件</t>
        </is>
      </c>
      <c r="R645" s="150" t="n"/>
      <c r="S645" s="150" t="n"/>
      <c r="T645" s="150" t="inlineStr">
        <is>
          <t>0</t>
        </is>
      </c>
      <c r="U645" s="150" t="inlineStr">
        <is>
          <t>LV429338T</t>
        </is>
      </c>
      <c r="V645" s="328" t="n"/>
      <c r="W645" s="328" t="n"/>
      <c r="X645" s="152" t="n"/>
    </row>
    <row r="646" customFormat="1" s="145">
      <c r="A646" s="36">
        <f>ROW()-ROW(A$641)</f>
        <v/>
      </c>
      <c r="B646" s="29" t="inlineStr">
        <is>
          <t>新外观延伸旋转手柄</t>
        </is>
      </c>
      <c r="C646" s="29" t="inlineStr">
        <is>
          <t>标准延伸旋转手柄/新外观延伸旋转手柄 400/630A</t>
        </is>
      </c>
      <c r="D646" s="25" t="inlineStr">
        <is>
          <t>甲供/施耐德电气</t>
        </is>
      </c>
      <c r="E646" s="30" t="inlineStr">
        <is>
          <t>只</t>
        </is>
      </c>
      <c r="F646" s="30" t="n">
        <v>2</v>
      </c>
      <c r="G646" s="297">
        <f>IF(AND(B646="",C646=""),"",ROUND(M646*L646*N646,2))</f>
        <v/>
      </c>
      <c r="H646" s="297">
        <f>IF(AND(B646="",C646=""),"",ROUND(F646*G646,2))</f>
        <v/>
      </c>
      <c r="I646" s="135" t="n"/>
      <c r="J646" s="329">
        <f>IF(AND(B646="",C646=""),"",ROUND(M646*N646,2))</f>
        <v/>
      </c>
      <c r="K646" s="330">
        <f>IF(AND(B646="",C646=""),"",ROUND(J646*F646,2))</f>
        <v/>
      </c>
      <c r="L646" s="126" t="n">
        <v>1</v>
      </c>
      <c r="M646" s="331" t="n">
        <v>270.62</v>
      </c>
      <c r="N646" s="128" t="n">
        <v>0</v>
      </c>
      <c r="O646" s="129">
        <f t="array" ref="O646">IF(AND(B646="",C646=""),"",IF(G646&gt;=20000,0.05,IF(G646&gt;=10000,0.1,IF(G646&gt;=5000,0.2,IF(G646&gt;=1000,0.3,IF(G646&gt;=0,0.4,{0}))))))</f>
        <v/>
      </c>
      <c r="P646" s="332">
        <f>IF(AND(B646="",C646=""),"",ROUND(H646*O646,2))</f>
        <v/>
      </c>
      <c r="Q646" s="327" t="inlineStr">
        <is>
          <t>元件</t>
        </is>
      </c>
      <c r="R646" s="150" t="n"/>
      <c r="S646" s="150" t="n"/>
      <c r="T646" s="150" t="inlineStr">
        <is>
          <t>0</t>
        </is>
      </c>
      <c r="U646" s="150" t="inlineStr">
        <is>
          <t>LV432598T</t>
        </is>
      </c>
      <c r="V646" s="328" t="n"/>
      <c r="W646" s="328" t="n"/>
      <c r="X646" s="152" t="n"/>
    </row>
    <row r="647" customFormat="1" s="145">
      <c r="A647" s="36">
        <f>ROW()-ROW(A$641)</f>
        <v/>
      </c>
      <c r="B647" s="29" t="inlineStr">
        <is>
          <t>MX分励脱扣器</t>
        </is>
      </c>
      <c r="C647" s="29" t="inlineStr">
        <is>
          <t>MX分励AC220-240V/208-277V/100-630A</t>
        </is>
      </c>
      <c r="D647" s="25" t="inlineStr">
        <is>
          <t>甲供/施耐德电气</t>
        </is>
      </c>
      <c r="E647" s="30" t="inlineStr">
        <is>
          <t>只</t>
        </is>
      </c>
      <c r="F647" s="30" t="n">
        <v>3</v>
      </c>
      <c r="G647" s="297">
        <f>IF(AND(B647="",C647=""),"",ROUND(M647*L647*N647,2))</f>
        <v/>
      </c>
      <c r="H647" s="297">
        <f>IF(AND(B647="",C647=""),"",ROUND(F647*G647,2))</f>
        <v/>
      </c>
      <c r="I647" s="135" t="n"/>
      <c r="J647" s="329">
        <f>IF(AND(B647="",C647=""),"",ROUND(M647*N647,2))</f>
        <v/>
      </c>
      <c r="K647" s="330">
        <f>IF(AND(B647="",C647=""),"",ROUND(J647*F647,2))</f>
        <v/>
      </c>
      <c r="L647" s="126" t="n">
        <v>1</v>
      </c>
      <c r="M647" s="331" t="n">
        <v>314.03</v>
      </c>
      <c r="N647" s="128" t="n">
        <v>0</v>
      </c>
      <c r="O647" s="129">
        <f t="array" ref="O647">IF(AND(B647="",C647=""),"",IF(G647&gt;=20000,0.05,IF(G647&gt;=10000,0.1,IF(G647&gt;=5000,0.2,IF(G647&gt;=1000,0.3,IF(G647&gt;=0,0.4,{0}))))))</f>
        <v/>
      </c>
      <c r="P647" s="332">
        <f>IF(AND(B647="",C647=""),"",ROUND(H647*O647,2))</f>
        <v/>
      </c>
      <c r="Q647" s="327" t="inlineStr">
        <is>
          <t>元件</t>
        </is>
      </c>
      <c r="R647" s="150" t="n"/>
      <c r="S647" s="150" t="n"/>
      <c r="T647" s="150" t="inlineStr">
        <is>
          <t>0</t>
        </is>
      </c>
      <c r="U647" s="150" t="inlineStr">
        <is>
          <t>LV429387</t>
        </is>
      </c>
      <c r="V647" s="328" t="n"/>
      <c r="W647" s="328" t="n"/>
      <c r="X647" s="152" t="n"/>
    </row>
    <row r="648" customFormat="1" s="145">
      <c r="A648" s="36">
        <f>ROW()-ROW(A$641)</f>
        <v/>
      </c>
      <c r="B648" s="29" t="inlineStr">
        <is>
          <t>辅助触点OF</t>
        </is>
      </c>
      <c r="C648" s="25" t="inlineStr">
        <is>
          <t>OF</t>
        </is>
      </c>
      <c r="D648" s="25" t="inlineStr">
        <is>
          <t>甲供/施耐德电气</t>
        </is>
      </c>
      <c r="E648" s="30" t="inlineStr">
        <is>
          <t>只</t>
        </is>
      </c>
      <c r="F648" s="30" t="n">
        <v>6</v>
      </c>
      <c r="G648" s="297">
        <f>IF(AND(B648="",C648=""),"",ROUND(M648*L648*N648,2))</f>
        <v/>
      </c>
      <c r="H648" s="297">
        <f>IF(AND(B648="",C648=""),"",ROUND(F648*G648,2))</f>
        <v/>
      </c>
      <c r="I648" s="135" t="n"/>
      <c r="J648" s="329">
        <f>IF(AND(B648="",C648=""),"",ROUND(M648*N648,2))</f>
        <v/>
      </c>
      <c r="K648" s="330">
        <f>IF(AND(B648="",C648=""),"",ROUND(J648*F648,2))</f>
        <v/>
      </c>
      <c r="L648" s="126" t="n">
        <v>1</v>
      </c>
      <c r="M648" s="331" t="n">
        <v>174.01</v>
      </c>
      <c r="N648" s="128" t="n">
        <v>0</v>
      </c>
      <c r="O648" s="129">
        <f t="array" ref="O648">IF(AND(B648="",C648=""),"",IF(G648&gt;=20000,0.05,IF(G648&gt;=10000,0.1,IF(G648&gt;=5000,0.2,IF(G648&gt;=1000,0.3,IF(G648&gt;=0,0.4,{0}))))))</f>
        <v/>
      </c>
      <c r="P648" s="332">
        <f>IF(AND(B648="",C648=""),"",ROUND(H648*O648,2))</f>
        <v/>
      </c>
      <c r="Q648" s="327" t="inlineStr">
        <is>
          <t>元件</t>
        </is>
      </c>
      <c r="R648" s="150" t="n"/>
      <c r="S648" s="150" t="n"/>
      <c r="T648" s="150" t="inlineStr">
        <is>
          <t>0</t>
        </is>
      </c>
      <c r="U648" s="150" t="inlineStr">
        <is>
          <t>29450</t>
        </is>
      </c>
      <c r="V648" s="328" t="n"/>
      <c r="W648" s="328" t="n"/>
      <c r="X648" s="152" t="n"/>
    </row>
    <row r="649" customFormat="1" s="145">
      <c r="A649" s="36">
        <f>ROW()-ROW(A$641)</f>
        <v/>
      </c>
      <c r="B649" s="29" t="inlineStr">
        <is>
          <t>测量电流互感器</t>
        </is>
      </c>
      <c r="C649" s="25" t="inlineStr">
        <is>
          <t>SD-0.66-80II-V 1000/5A</t>
        </is>
      </c>
      <c r="D649" s="29" t="inlineStr">
        <is>
          <t>杭州桑迪</t>
        </is>
      </c>
      <c r="E649" s="30" t="inlineStr">
        <is>
          <t>只</t>
        </is>
      </c>
      <c r="F649" s="30" t="n">
        <v>3</v>
      </c>
      <c r="G649" s="297">
        <f>IF(AND(B649="",C649=""),"",ROUND(M649*L649*N649,2))</f>
        <v/>
      </c>
      <c r="H649" s="297">
        <f>IF(AND(B649="",C649=""),"",ROUND(F649*G649,2))</f>
        <v/>
      </c>
      <c r="I649" s="135" t="n"/>
      <c r="J649" s="329">
        <f>IF(AND(B649="",C649=""),"",ROUND(M649*N649,2))</f>
        <v/>
      </c>
      <c r="K649" s="330">
        <f>IF(AND(B649="",C649=""),"",ROUND(J649*F649,2))</f>
        <v/>
      </c>
      <c r="L649" s="126" t="n">
        <v>1</v>
      </c>
      <c r="M649" s="331" t="n">
        <v>91.65000000000001</v>
      </c>
      <c r="N649" s="128" t="n">
        <v>1</v>
      </c>
      <c r="O649" s="129">
        <f t="array" ref="O649">IF(AND(B649="",C649=""),"",IF(G649&gt;=20000,0.05,IF(G649&gt;=10000,0.1,IF(G649&gt;=5000,0.2,IF(G649&gt;=1000,0.3,IF(G649&gt;=0,0.4,{0}))))))</f>
        <v/>
      </c>
      <c r="P649" s="332">
        <f>IF(AND(B649="",C649=""),"",ROUND(H649*O649,2))</f>
        <v/>
      </c>
      <c r="Q649" s="327" t="inlineStr">
        <is>
          <t>元件</t>
        </is>
      </c>
      <c r="R649" s="150" t="n"/>
      <c r="S649" s="150" t="n"/>
      <c r="T649" s="150" t="inlineStr">
        <is>
          <t>0</t>
        </is>
      </c>
      <c r="U649" s="150" t="n"/>
      <c r="V649" s="328" t="n"/>
      <c r="W649" s="328" t="n"/>
      <c r="X649" s="152" t="n"/>
    </row>
    <row r="650" customFormat="1" s="145">
      <c r="A650" s="36">
        <f>ROW()-ROW(A$641)</f>
        <v/>
      </c>
      <c r="B650" s="29" t="inlineStr">
        <is>
          <t>测量电流互感器</t>
        </is>
      </c>
      <c r="C650" s="29" t="inlineStr">
        <is>
          <t>SD-0.66-M8 100/5A</t>
        </is>
      </c>
      <c r="D650" s="29" t="inlineStr">
        <is>
          <t>杭州桑迪</t>
        </is>
      </c>
      <c r="E650" s="30" t="inlineStr">
        <is>
          <t>只</t>
        </is>
      </c>
      <c r="F650" s="30" t="n">
        <v>3</v>
      </c>
      <c r="G650" s="297">
        <f>IF(AND(B650="",C650=""),"",ROUND(M650*L650*N650,2))</f>
        <v/>
      </c>
      <c r="H650" s="297">
        <f>IF(AND(B650="",C650=""),"",ROUND(F650*G650,2))</f>
        <v/>
      </c>
      <c r="I650" s="135" t="n"/>
      <c r="J650" s="329">
        <f>IF(AND(B650="",C650=""),"",ROUND(M650*N650,2))</f>
        <v/>
      </c>
      <c r="K650" s="330">
        <f>IF(AND(B650="",C650=""),"",ROUND(J650*F650,2))</f>
        <v/>
      </c>
      <c r="L650" s="126" t="n">
        <v>1</v>
      </c>
      <c r="M650" s="331" t="n">
        <v>61.75</v>
      </c>
      <c r="N650" s="128" t="n">
        <v>1</v>
      </c>
      <c r="O650" s="129">
        <f t="array" ref="O650">IF(AND(B650="",C650=""),"",IF(G650&gt;=20000,0.05,IF(G650&gt;=10000,0.1,IF(G650&gt;=5000,0.2,IF(G650&gt;=1000,0.3,IF(G650&gt;=0,0.4,{0}))))))</f>
        <v/>
      </c>
      <c r="P650" s="332">
        <f>IF(AND(B650="",C650=""),"",ROUND(H650*O650,2))</f>
        <v/>
      </c>
      <c r="Q650" s="327" t="inlineStr">
        <is>
          <t>元件</t>
        </is>
      </c>
      <c r="R650" s="150" t="n"/>
      <c r="S650" s="150" t="n"/>
      <c r="T650" s="150" t="inlineStr">
        <is>
          <t>0</t>
        </is>
      </c>
      <c r="U650" s="150" t="n"/>
      <c r="V650" s="328" t="n"/>
      <c r="W650" s="328" t="n"/>
      <c r="X650" s="152" t="n"/>
    </row>
    <row r="651" customFormat="1" s="145">
      <c r="A651" s="36">
        <f>ROW()-ROW(A$641)</f>
        <v/>
      </c>
      <c r="B651" s="29" t="inlineStr">
        <is>
          <t>测量电流互感器</t>
        </is>
      </c>
      <c r="C651" s="29" t="inlineStr">
        <is>
          <t>SD-0.66-40II-C 400/5A</t>
        </is>
      </c>
      <c r="D651" s="29" t="inlineStr">
        <is>
          <t>杭州桑迪</t>
        </is>
      </c>
      <c r="E651" s="30" t="inlineStr">
        <is>
          <t>只</t>
        </is>
      </c>
      <c r="F651" s="30" t="n">
        <v>6</v>
      </c>
      <c r="G651" s="297">
        <f>IF(AND(B651="",C651=""),"",ROUND(M651*L651*N651,2))</f>
        <v/>
      </c>
      <c r="H651" s="297">
        <f>IF(AND(B651="",C651=""),"",ROUND(F651*G651,2))</f>
        <v/>
      </c>
      <c r="I651" s="135" t="n"/>
      <c r="J651" s="329">
        <f>IF(AND(B651="",C651=""),"",ROUND(M651*N651,2))</f>
        <v/>
      </c>
      <c r="K651" s="330">
        <f>IF(AND(B651="",C651=""),"",ROUND(J651*F651,2))</f>
        <v/>
      </c>
      <c r="L651" s="126" t="n">
        <v>1</v>
      </c>
      <c r="M651" s="331" t="n">
        <v>52</v>
      </c>
      <c r="N651" s="128" t="n">
        <v>1</v>
      </c>
      <c r="O651" s="129">
        <f t="array" ref="O651">IF(AND(B651="",C651=""),"",IF(G651&gt;=20000,0.05,IF(G651&gt;=10000,0.1,IF(G651&gt;=5000,0.2,IF(G651&gt;=1000,0.3,IF(G651&gt;=0,0.4,{0}))))))</f>
        <v/>
      </c>
      <c r="P651" s="332">
        <f>IF(AND(B651="",C651=""),"",ROUND(H651*O651,2))</f>
        <v/>
      </c>
      <c r="Q651" s="327" t="inlineStr">
        <is>
          <t>元件</t>
        </is>
      </c>
      <c r="R651" s="150" t="n"/>
      <c r="S651" s="150" t="n"/>
      <c r="T651" s="150" t="inlineStr">
        <is>
          <t>0</t>
        </is>
      </c>
      <c r="U651" s="150" t="n"/>
      <c r="V651" s="328" t="n"/>
      <c r="W651" s="328" t="n"/>
      <c r="X651" s="152" t="n"/>
    </row>
    <row r="652" customFormat="1" s="145">
      <c r="A652" s="36">
        <f>ROW()-ROW(A$641)</f>
        <v/>
      </c>
      <c r="B652" s="25" t="inlineStr">
        <is>
          <t>多功能表</t>
        </is>
      </c>
      <c r="C652" s="25" t="inlineStr">
        <is>
          <t>PM4101</t>
        </is>
      </c>
      <c r="D652" s="25" t="inlineStr">
        <is>
          <t>甲供/施耐德电气</t>
        </is>
      </c>
      <c r="E652" s="30" t="inlineStr">
        <is>
          <t>只</t>
        </is>
      </c>
      <c r="F652" s="26" t="n">
        <v>4</v>
      </c>
      <c r="G652" s="293">
        <f>IF(AND(B652="",C652=""),"",ROUND(M652*L652*N652,2))</f>
        <v/>
      </c>
      <c r="H652" s="293">
        <f>IF(AND(B652="",C652=""),"",ROUND(F652*G652,2))</f>
        <v/>
      </c>
      <c r="I652" s="91" t="n"/>
      <c r="J652" s="329">
        <f>IF(AND(B652="",C652=""),"",ROUND(M652*N652,2))</f>
        <v/>
      </c>
      <c r="K652" s="330">
        <f>IF(AND(B652="",C652=""),"",ROUND(J652*F652,2))</f>
        <v/>
      </c>
      <c r="L652" s="126" t="n">
        <v>1</v>
      </c>
      <c r="M652" s="331" t="n">
        <v>1e-07</v>
      </c>
      <c r="N652" s="128" t="n">
        <v>0</v>
      </c>
      <c r="O652" s="129">
        <f t="array" ref="O652">IF(AND(B652="",C652=""),"",IF(G652&gt;=20000,0.05,IF(G652&gt;=10000,0.1,IF(G652&gt;=5000,0.2,IF(G652&gt;=1000,0.3,IF(G652&gt;=0,0.4,{0}))))))</f>
        <v/>
      </c>
      <c r="P652" s="332">
        <f>IF(AND(B652="",C652=""),"",ROUND(H652*O652,2))</f>
        <v/>
      </c>
      <c r="Q652" s="327" t="inlineStr">
        <is>
          <t>元件</t>
        </is>
      </c>
      <c r="R652" s="150" t="n"/>
      <c r="S652" s="150" t="n"/>
      <c r="T652" s="150" t="inlineStr">
        <is>
          <t>0</t>
        </is>
      </c>
      <c r="U652" s="150" t="n"/>
      <c r="V652" s="328" t="n"/>
      <c r="W652" s="328" t="n"/>
      <c r="X652" s="152" t="n"/>
    </row>
    <row r="653" customFormat="1" s="145">
      <c r="A653" s="36">
        <f>ROW()-ROW(A$641)</f>
        <v/>
      </c>
      <c r="B653" s="29" t="inlineStr">
        <is>
          <t>指示灯</t>
        </is>
      </c>
      <c r="C653" s="29" t="inlineStr">
        <is>
          <t>XA2EVM3LC</t>
        </is>
      </c>
      <c r="D653" s="29" t="inlineStr">
        <is>
          <t>施耐德电气</t>
        </is>
      </c>
      <c r="E653" s="30" t="inlineStr">
        <is>
          <t>只</t>
        </is>
      </c>
      <c r="F653" s="30" t="n">
        <v>4</v>
      </c>
      <c r="G653" s="297">
        <f>IF(AND(B653="",C653=""),"",ROUND(M653*L653*N653,2))</f>
        <v/>
      </c>
      <c r="H653" s="297">
        <f>IF(AND(B653="",C653=""),"",ROUND(F653*G653,2))</f>
        <v/>
      </c>
      <c r="I653" s="136" t="n"/>
      <c r="J653" s="329">
        <f>IF(AND(B653="",C653=""),"",ROUND(M653*N653,2))</f>
        <v/>
      </c>
      <c r="K653" s="330">
        <f>IF(AND(B653="",C653=""),"",ROUND(J653*F653,2))</f>
        <v/>
      </c>
      <c r="L653" s="126" t="n">
        <v>1</v>
      </c>
      <c r="M653" s="331" t="n">
        <v>16.43</v>
      </c>
      <c r="N653" s="137" t="n">
        <v>0.5</v>
      </c>
      <c r="O653" s="138">
        <f t="array" ref="O653">IF(AND(B653="",C653=""),"",IF(G653&gt;=20000,0.05,IF(G653&gt;=10000,0.1,IF(G653&gt;=5000,0.2,IF(G653&gt;=1000,0.3,IF(G653&gt;=0,0.4,{0}))))))</f>
        <v/>
      </c>
      <c r="P653" s="333">
        <f>IF(AND(B653="",C653=""),"",ROUND(H653*O653,2))</f>
        <v/>
      </c>
      <c r="Q653" s="334" t="inlineStr">
        <is>
          <t>元件</t>
        </is>
      </c>
      <c r="R653" s="154" t="n"/>
      <c r="S653" s="154" t="n"/>
      <c r="T653" s="154" t="inlineStr">
        <is>
          <t>0</t>
        </is>
      </c>
      <c r="U653" s="154" t="inlineStr">
        <is>
          <t>XA2EVM3LC</t>
        </is>
      </c>
      <c r="V653" s="335" t="n"/>
      <c r="W653" s="335" t="n"/>
      <c r="X653" s="152" t="n"/>
    </row>
    <row r="654" customFormat="1" s="145">
      <c r="A654" s="36">
        <f>ROW()-ROW(A$641)</f>
        <v/>
      </c>
      <c r="B654" s="29" t="inlineStr">
        <is>
          <t>指示灯</t>
        </is>
      </c>
      <c r="C654" s="25" t="inlineStr">
        <is>
          <t>XA2EVM4LC</t>
        </is>
      </c>
      <c r="D654" s="29" t="inlineStr">
        <is>
          <t>施耐德电气</t>
        </is>
      </c>
      <c r="E654" s="30" t="inlineStr">
        <is>
          <t>只</t>
        </is>
      </c>
      <c r="F654" s="30" t="n">
        <v>4</v>
      </c>
      <c r="G654" s="297">
        <f>IF(AND(B654="",C654=""),"",ROUND(M654*L654*N654,2))</f>
        <v/>
      </c>
      <c r="H654" s="297">
        <f>IF(AND(B654="",C654=""),"",ROUND(F654*G654,2))</f>
        <v/>
      </c>
      <c r="I654" s="136" t="n"/>
      <c r="J654" s="329">
        <f>IF(AND(B654="",C654=""),"",ROUND(M654*N654,2))</f>
        <v/>
      </c>
      <c r="K654" s="330">
        <f>IF(AND(B654="",C654=""),"",ROUND(J654*F654,2))</f>
        <v/>
      </c>
      <c r="L654" s="126" t="n">
        <v>1</v>
      </c>
      <c r="M654" s="331" t="n">
        <v>16.43</v>
      </c>
      <c r="N654" s="137" t="n">
        <v>0.5</v>
      </c>
      <c r="O654" s="138">
        <f t="array" ref="O654">IF(AND(B654="",C654=""),"",IF(G654&gt;=20000,0.05,IF(G654&gt;=10000,0.1,IF(G654&gt;=5000,0.2,IF(G654&gt;=1000,0.3,IF(G654&gt;=0,0.4,{0}))))))</f>
        <v/>
      </c>
      <c r="P654" s="333">
        <f>IF(AND(B654="",C654=""),"",ROUND(H654*O654,2))</f>
        <v/>
      </c>
      <c r="Q654" s="334" t="inlineStr">
        <is>
          <t>元件</t>
        </is>
      </c>
      <c r="R654" s="154" t="n"/>
      <c r="S654" s="154" t="n"/>
      <c r="T654" s="154" t="inlineStr">
        <is>
          <t>0</t>
        </is>
      </c>
      <c r="U654" s="154" t="inlineStr">
        <is>
          <t>XA2EVM4LC</t>
        </is>
      </c>
      <c r="V654" s="335" t="n"/>
      <c r="W654" s="335" t="n"/>
      <c r="X654" s="152" t="n"/>
    </row>
    <row r="655" customFormat="1" s="145">
      <c r="A655" s="36">
        <f>ROW()-ROW(A$641)</f>
        <v/>
      </c>
      <c r="B655" s="29" t="inlineStr">
        <is>
          <t>指示灯</t>
        </is>
      </c>
      <c r="C655" s="29" t="inlineStr">
        <is>
          <t>XA2EVM5LC</t>
        </is>
      </c>
      <c r="D655" s="29" t="inlineStr">
        <is>
          <t>施耐德电气</t>
        </is>
      </c>
      <c r="E655" s="30" t="inlineStr">
        <is>
          <t>只</t>
        </is>
      </c>
      <c r="F655" s="30" t="n">
        <v>1</v>
      </c>
      <c r="G655" s="297">
        <f>IF(AND(B655="",C655=""),"",ROUND(M655*L655*N655,2))</f>
        <v/>
      </c>
      <c r="H655" s="297">
        <f>IF(AND(B655="",C655=""),"",ROUND(F655*G655,2))</f>
        <v/>
      </c>
      <c r="I655" s="136" t="n"/>
      <c r="J655" s="329">
        <f>IF(AND(B655="",C655=""),"",ROUND(M655*N655,2))</f>
        <v/>
      </c>
      <c r="K655" s="330">
        <f>IF(AND(B655="",C655=""),"",ROUND(J655*F655,2))</f>
        <v/>
      </c>
      <c r="L655" s="126" t="n">
        <v>1</v>
      </c>
      <c r="M655" s="331" t="n">
        <v>16.43</v>
      </c>
      <c r="N655" s="137" t="n">
        <v>0.5</v>
      </c>
      <c r="O655" s="138">
        <f t="array" ref="O655">IF(AND(B655="",C655=""),"",IF(G655&gt;=20000,0.05,IF(G655&gt;=10000,0.1,IF(G655&gt;=5000,0.2,IF(G655&gt;=1000,0.3,IF(G655&gt;=0,0.4,{0}))))))</f>
        <v/>
      </c>
      <c r="P655" s="333">
        <f>IF(AND(B655="",C655=""),"",ROUND(H655*O655,2))</f>
        <v/>
      </c>
      <c r="Q655" s="334" t="inlineStr">
        <is>
          <t>元件</t>
        </is>
      </c>
      <c r="R655" s="154" t="n"/>
      <c r="S655" s="154" t="n"/>
      <c r="T655" s="154" t="inlineStr">
        <is>
          <t>0</t>
        </is>
      </c>
      <c r="U655" s="154" t="inlineStr">
        <is>
          <t>XA2EVM5LC</t>
        </is>
      </c>
      <c r="V655" s="335" t="n"/>
      <c r="W655" s="335" t="n"/>
      <c r="X655" s="152" t="n"/>
    </row>
    <row r="656" customFormat="1" s="145">
      <c r="A656" s="36">
        <f>ROW()-ROW(A$641)</f>
        <v/>
      </c>
      <c r="B656" s="29" t="inlineStr">
        <is>
          <t>按钮</t>
        </is>
      </c>
      <c r="C656" s="29" t="inlineStr">
        <is>
          <t>XA2EA31</t>
        </is>
      </c>
      <c r="D656" s="29" t="inlineStr">
        <is>
          <t>施耐德电气</t>
        </is>
      </c>
      <c r="E656" s="30" t="inlineStr">
        <is>
          <t>只</t>
        </is>
      </c>
      <c r="F656" s="30" t="n">
        <v>1</v>
      </c>
      <c r="G656" s="297">
        <f>IF(AND(B656="",C656=""),"",ROUND(M656*L656*N656,2))</f>
        <v/>
      </c>
      <c r="H656" s="297">
        <f>IF(AND(B656="",C656=""),"",ROUND(F656*G656,2))</f>
        <v/>
      </c>
      <c r="I656" s="136" t="n"/>
      <c r="J656" s="329">
        <f>IF(AND(B656="",C656=""),"",ROUND(M656*N656,2))</f>
        <v/>
      </c>
      <c r="K656" s="330">
        <f>IF(AND(B656="",C656=""),"",ROUND(J656*F656,2))</f>
        <v/>
      </c>
      <c r="L656" s="126" t="n">
        <v>1</v>
      </c>
      <c r="M656" s="331" t="n">
        <v>15.55</v>
      </c>
      <c r="N656" s="137" t="n">
        <v>0.5</v>
      </c>
      <c r="O656" s="138">
        <f t="array" ref="O656">IF(AND(B656="",C656=""),"",IF(G656&gt;=20000,0.05,IF(G656&gt;=10000,0.1,IF(G656&gt;=5000,0.2,IF(G656&gt;=1000,0.3,IF(G656&gt;=0,0.4,{0}))))))</f>
        <v/>
      </c>
      <c r="P656" s="333">
        <f>IF(AND(B656="",C656=""),"",ROUND(H656*O656,2))</f>
        <v/>
      </c>
      <c r="Q656" s="334" t="inlineStr">
        <is>
          <t>元件</t>
        </is>
      </c>
      <c r="R656" s="154" t="n"/>
      <c r="S656" s="154" t="n"/>
      <c r="T656" s="154" t="inlineStr">
        <is>
          <t>0</t>
        </is>
      </c>
      <c r="U656" s="154" t="inlineStr">
        <is>
          <t>XA2EA31</t>
        </is>
      </c>
      <c r="V656" s="335" t="n"/>
      <c r="W656" s="335" t="n"/>
      <c r="X656" s="152" t="n"/>
    </row>
    <row r="657" customFormat="1" s="145">
      <c r="A657" s="36">
        <f>ROW()-ROW(A$641)</f>
        <v/>
      </c>
      <c r="B657" s="25" t="inlineStr">
        <is>
          <t>按钮</t>
        </is>
      </c>
      <c r="C657" s="25" t="inlineStr">
        <is>
          <t>XA2EA41</t>
        </is>
      </c>
      <c r="D657" s="25" t="inlineStr">
        <is>
          <t>施耐德电气</t>
        </is>
      </c>
      <c r="E657" s="26" t="inlineStr">
        <is>
          <t>只</t>
        </is>
      </c>
      <c r="F657" s="26" t="n">
        <v>1</v>
      </c>
      <c r="G657" s="293">
        <f>IF(AND(B657="",C657=""),"",ROUND(M657*L657*N657,2))</f>
        <v/>
      </c>
      <c r="H657" s="297">
        <f>IF(AND(B657="",C657=""),"",ROUND(F657*G657,2))</f>
        <v/>
      </c>
      <c r="I657" s="136" t="n"/>
      <c r="J657" s="329">
        <f>IF(AND(B657="",C657=""),"",ROUND(M657*N657,2))</f>
        <v/>
      </c>
      <c r="K657" s="330">
        <f>IF(AND(B657="",C657=""),"",ROUND(J657*F657,2))</f>
        <v/>
      </c>
      <c r="L657" s="126" t="n">
        <v>1</v>
      </c>
      <c r="M657" s="331" t="n">
        <v>15.55</v>
      </c>
      <c r="N657" s="137" t="n">
        <v>0.5</v>
      </c>
      <c r="O657" s="138">
        <f t="array" ref="O657">IF(AND(B657="",C657=""),"",IF(G657&gt;=20000,0.05,IF(G657&gt;=10000,0.1,IF(G657&gt;=5000,0.2,IF(G657&gt;=1000,0.3,IF(G657&gt;=0,0.4,{0}))))))</f>
        <v/>
      </c>
      <c r="P657" s="333">
        <f>IF(AND(B657="",C657=""),"",ROUND(H657*O657,2))</f>
        <v/>
      </c>
      <c r="Q657" s="334" t="inlineStr">
        <is>
          <t>元件</t>
        </is>
      </c>
      <c r="R657" s="154" t="n"/>
      <c r="S657" s="154" t="n"/>
      <c r="T657" s="154" t="inlineStr">
        <is>
          <t>0</t>
        </is>
      </c>
      <c r="U657" s="154" t="inlineStr">
        <is>
          <t>XA2EA41</t>
        </is>
      </c>
      <c r="V657" s="335" t="n"/>
      <c r="W657" s="335" t="n"/>
      <c r="X657" s="152" t="n"/>
    </row>
    <row r="658" customFormat="1" s="145">
      <c r="A658" s="36">
        <f>ROW()-ROW(A$641)</f>
        <v/>
      </c>
      <c r="B658" s="25" t="inlineStr">
        <is>
          <t>中间继电器</t>
        </is>
      </c>
      <c r="C658" s="25" t="inlineStr">
        <is>
          <t>RXM4AB2P7+RXZE1M4C+RXZ410</t>
        </is>
      </c>
      <c r="D658" s="25" t="inlineStr">
        <is>
          <t>甲供/施耐德电气</t>
        </is>
      </c>
      <c r="E658" s="26" t="inlineStr">
        <is>
          <t>只</t>
        </is>
      </c>
      <c r="F658" s="26" t="n">
        <v>4</v>
      </c>
      <c r="G658" s="292">
        <f>IF(AND(B658="",C658=""),"",ROUND(M658*L658*N658,2))</f>
        <v/>
      </c>
      <c r="H658" s="297">
        <f>IF(AND(B658="",C658=""),"",ROUND(F658*G658,2))</f>
        <v/>
      </c>
      <c r="I658" s="135" t="n"/>
      <c r="J658" s="329">
        <f>IF(AND(B658="",C658=""),"",ROUND(M658*N658,2))</f>
        <v/>
      </c>
      <c r="K658" s="330">
        <f>IF(AND(B658="",C658=""),"",ROUND(J658*F658,2))</f>
        <v/>
      </c>
      <c r="L658" s="126" t="n">
        <v>1</v>
      </c>
      <c r="M658" s="331" t="n">
        <v>1e-07</v>
      </c>
      <c r="N658" s="128" t="n">
        <v>0</v>
      </c>
      <c r="O658" s="129">
        <f t="array" ref="O658">IF(AND(B658="",C658=""),"",IF(G658&gt;=20000,0.05,IF(G658&gt;=10000,0.1,IF(G658&gt;=5000,0.2,IF(G658&gt;=1000,0.3,IF(G658&gt;=0,0.4,{0}))))))</f>
        <v/>
      </c>
      <c r="P658" s="332">
        <f>IF(AND(B658="",C658=""),"",ROUND(H658*O658,2))</f>
        <v/>
      </c>
      <c r="Q658" s="327" t="inlineStr">
        <is>
          <t>元件</t>
        </is>
      </c>
      <c r="R658" s="150" t="n"/>
      <c r="S658" s="150" t="n"/>
      <c r="T658" s="150" t="inlineStr">
        <is>
          <t>0</t>
        </is>
      </c>
      <c r="U658" s="150" t="n"/>
      <c r="V658" s="328" t="n"/>
      <c r="W658" s="328" t="n"/>
      <c r="X658" s="152" t="n"/>
    </row>
    <row r="659" customFormat="1" s="145">
      <c r="A659" s="36">
        <f>ROW()-ROW(A$641)</f>
        <v/>
      </c>
      <c r="B659" s="25" t="inlineStr">
        <is>
          <t>熔断器</t>
        </is>
      </c>
      <c r="C659" s="25" t="inlineStr">
        <is>
          <t>UK5-HESI</t>
        </is>
      </c>
      <c r="D659" s="25" t="inlineStr">
        <is>
          <t>菲尼克斯</t>
        </is>
      </c>
      <c r="E659" s="26" t="inlineStr">
        <is>
          <t>只</t>
        </is>
      </c>
      <c r="F659" s="26" t="n">
        <v>16</v>
      </c>
      <c r="G659" s="293">
        <f>IF(AND(B659="",C659=""),"",ROUND(M659*L659*N659,2))</f>
        <v/>
      </c>
      <c r="H659" s="297">
        <f>IF(AND(B659="",C659=""),"",ROUND(F659*G659,2))</f>
        <v/>
      </c>
      <c r="I659" s="136" t="n"/>
      <c r="J659" s="329">
        <f>IF(AND(B659="",C659=""),"",ROUND(M659*N659,2))</f>
        <v/>
      </c>
      <c r="K659" s="330">
        <f>IF(AND(B659="",C659=""),"",ROUND(J659*F659,2))</f>
        <v/>
      </c>
      <c r="L659" s="126" t="n">
        <v>1</v>
      </c>
      <c r="M659" s="331" t="n">
        <v>7</v>
      </c>
      <c r="N659" s="137" t="n">
        <v>1</v>
      </c>
      <c r="O659" s="138">
        <f t="array" ref="O659">IF(AND(B659="",C659=""),"",IF(G659&gt;=20000,0.05,IF(G659&gt;=10000,0.1,IF(G659&gt;=5000,0.2,IF(G659&gt;=1000,0.3,IF(G659&gt;=0,0.4,{0}))))))</f>
        <v/>
      </c>
      <c r="P659" s="333">
        <f>IF(AND(B659="",C659=""),"",ROUND(H659*O659,2))</f>
        <v/>
      </c>
      <c r="Q659" s="334" t="inlineStr">
        <is>
          <t>元件</t>
        </is>
      </c>
      <c r="R659" s="154" t="n"/>
      <c r="S659" s="154" t="n"/>
      <c r="T659" s="154" t="inlineStr">
        <is>
          <t>0</t>
        </is>
      </c>
      <c r="U659" s="154" t="n"/>
      <c r="V659" s="335" t="n"/>
      <c r="W659" s="335" t="n"/>
      <c r="X659" s="152" t="n"/>
    </row>
    <row r="660" customFormat="1" s="145">
      <c r="A660" s="36">
        <f>ROW()-ROW(A$641)</f>
        <v/>
      </c>
      <c r="B660" s="29" t="inlineStr">
        <is>
          <t>SP元件</t>
        </is>
      </c>
      <c r="C660" s="25" t="inlineStr">
        <is>
          <t>智能网关 PAS700</t>
        </is>
      </c>
      <c r="D660" s="25" t="inlineStr">
        <is>
          <t>甲供/施耐德电气</t>
        </is>
      </c>
      <c r="E660" s="30" t="inlineStr">
        <is>
          <t>只</t>
        </is>
      </c>
      <c r="F660" s="30">
        <f>IF(AND(B660="",C660=""),"",1)</f>
        <v/>
      </c>
      <c r="G660" s="297">
        <f>IF(AND(B660="",C660=""),"",ROUND(M660*L660*N660,2))</f>
        <v/>
      </c>
      <c r="H660" s="297">
        <f>IF(AND(B660="",C660=""),"",ROUND(F660*G660,2))</f>
        <v/>
      </c>
      <c r="I660" s="135" t="n"/>
      <c r="J660" s="329">
        <f>IF(AND(B660="",C660=""),"",ROUND(M660*N660,2))</f>
        <v/>
      </c>
      <c r="K660" s="330">
        <f>IF(AND(B660="",C660=""),"",ROUND(J660*F660,2))</f>
        <v/>
      </c>
      <c r="L660" s="126" t="n">
        <v>1</v>
      </c>
      <c r="M660" s="331" t="n">
        <v>1e-07</v>
      </c>
      <c r="N660" s="128" t="n">
        <v>0</v>
      </c>
      <c r="O660" s="129">
        <f t="array" ref="O660">IF(AND(B660="",C660=""),"",IF(G660&gt;=20000,0.05,IF(G660&gt;=10000,0.1,IF(G660&gt;=5000,0.2,IF(G660&gt;=1000,0.3,IF(G660&gt;=0,0.4,{0}))))))</f>
        <v/>
      </c>
      <c r="P660" s="332">
        <f>IF(AND(B660="",C660=""),"",ROUND(H660*O660,2))</f>
        <v/>
      </c>
      <c r="Q660" s="327" t="inlineStr">
        <is>
          <t>元件</t>
        </is>
      </c>
      <c r="R660" s="150" t="n"/>
      <c r="S660" s="150" t="n"/>
      <c r="T660" s="150" t="inlineStr">
        <is>
          <t>0</t>
        </is>
      </c>
      <c r="U660" s="150" t="n"/>
      <c r="V660" s="328" t="n"/>
      <c r="W660" s="328" t="n"/>
      <c r="X660" s="152" t="n"/>
    </row>
    <row r="661" customFormat="1" s="145">
      <c r="A661" s="36">
        <f>ROW()-ROW(A$641)</f>
        <v/>
      </c>
      <c r="B661" s="25" t="inlineStr">
        <is>
          <t>水平排4000A</t>
        </is>
      </c>
      <c r="C661" s="25" t="inlineStr">
        <is>
          <t>TMY 3*(4*125*5)+2*125*5+2*50*5</t>
        </is>
      </c>
      <c r="D661" s="25" t="inlineStr">
        <is>
          <t>国产优质</t>
        </is>
      </c>
      <c r="E661" s="26" t="inlineStr">
        <is>
          <t>米</t>
        </is>
      </c>
      <c r="F661" s="30" t="n">
        <v>0.8</v>
      </c>
      <c r="G661" s="297">
        <f>IF(AND(B661="",C661=""),"",ROUND(M661*L661*N661,2))</f>
        <v/>
      </c>
      <c r="H661" s="297">
        <f>IF(AND(B661="",C661=""),"",ROUND(F661*G661,2))</f>
        <v/>
      </c>
      <c r="I661" s="135" t="n"/>
      <c r="J661" s="329">
        <f>IF(AND(B661="",C661=""),"",ROUND(M661*N661,2))</f>
        <v/>
      </c>
      <c r="K661" s="330">
        <f>IF(AND(B661="",C661=""),"",ROUND(J661*F661,2))</f>
        <v/>
      </c>
      <c r="L661" s="126" t="n">
        <v>1</v>
      </c>
      <c r="M661" s="331" t="n">
        <v>6895.130375</v>
      </c>
      <c r="N661" s="128" t="n">
        <v>1</v>
      </c>
      <c r="O661" s="129">
        <f t="array" ref="O661">IF(AND(B661="",C661=""),"",IF(G661&gt;=20000,0.05,IF(G661&gt;=10000,0.1,IF(G661&gt;=5000,0.2,IF(G661&gt;=1000,0.3,IF(G661&gt;=0,0.4,{0}))))))</f>
        <v/>
      </c>
      <c r="P661" s="332">
        <f>IF(AND(B661="",C661=""),"",ROUND(H661*O661,2))</f>
        <v/>
      </c>
      <c r="Q661" s="327" t="inlineStr">
        <is>
          <t>母排</t>
        </is>
      </c>
      <c r="R661" s="150" t="n"/>
      <c r="S661" s="150" t="n"/>
      <c r="T661" s="150" t="inlineStr">
        <is>
          <t>0</t>
        </is>
      </c>
      <c r="U661" s="150" t="n"/>
      <c r="V661" s="328" t="n"/>
      <c r="W661" s="328" t="n"/>
      <c r="X661" s="152" t="n"/>
    </row>
    <row r="662" customFormat="1" s="145">
      <c r="A662" s="36">
        <f>ROW()-ROW(A$641)</f>
        <v/>
      </c>
      <c r="B662" s="25" t="inlineStr">
        <is>
          <t>MT08上桩头</t>
        </is>
      </c>
      <c r="C662" s="25" t="inlineStr">
        <is>
          <t>TMY 3*(2*60*5)</t>
        </is>
      </c>
      <c r="D662" s="25" t="inlineStr">
        <is>
          <t>国产优质</t>
        </is>
      </c>
      <c r="E662" s="26" t="inlineStr">
        <is>
          <t>米</t>
        </is>
      </c>
      <c r="F662" s="26" t="n">
        <v>0.8</v>
      </c>
      <c r="G662" s="293">
        <f>IF(AND(B662="",C662=""),"",ROUND(M662*L662*N662,2))</f>
        <v/>
      </c>
      <c r="H662" s="293">
        <f>IF(AND(B662="",C662=""),"",ROUND(F662*G662,2))</f>
        <v/>
      </c>
      <c r="I662" s="91" t="n"/>
      <c r="J662" s="329">
        <f>IF(AND(B662="",C662=""),"",ROUND(M662*N662,2))</f>
        <v/>
      </c>
      <c r="K662" s="330">
        <f>IF(AND(B662="",C662=""),"",ROUND(J662*F662,2))</f>
        <v/>
      </c>
      <c r="L662" s="126" t="n">
        <v>1</v>
      </c>
      <c r="M662" s="331" t="n">
        <v>1341.7551</v>
      </c>
      <c r="N662" s="128" t="n">
        <v>1</v>
      </c>
      <c r="O662" s="129">
        <f t="array" ref="O662">IF(AND(B662="",C662=""),"",IF(G662&gt;=20000,0.05,IF(G662&gt;=10000,0.1,IF(G662&gt;=5000,0.2,IF(G662&gt;=1000,0.3,IF(G662&gt;=0,0.4,{0}))))))</f>
        <v/>
      </c>
      <c r="P662" s="332">
        <f>IF(AND(B662="",C662=""),"",ROUND(H662*O662,2))</f>
        <v/>
      </c>
      <c r="Q662" s="327" t="inlineStr">
        <is>
          <t>母排</t>
        </is>
      </c>
      <c r="R662" s="150" t="n"/>
      <c r="S662" s="150" t="n"/>
      <c r="T662" s="150" t="inlineStr">
        <is>
          <t>0</t>
        </is>
      </c>
      <c r="U662" s="150" t="n"/>
      <c r="V662" s="328" t="n"/>
      <c r="W662" s="328" t="n"/>
      <c r="X662" s="152" t="n"/>
    </row>
    <row r="663" customFormat="1" s="145">
      <c r="A663" s="36">
        <f>ROW()-ROW(A$641)</f>
        <v/>
      </c>
      <c r="B663" s="25" t="inlineStr">
        <is>
          <t>MT08下桩头</t>
        </is>
      </c>
      <c r="C663" s="25" t="inlineStr">
        <is>
          <t>TMY 3*(2*60*5)</t>
        </is>
      </c>
      <c r="D663" s="25" t="inlineStr">
        <is>
          <t>国产优质</t>
        </is>
      </c>
      <c r="E663" s="26" t="inlineStr">
        <is>
          <t>米</t>
        </is>
      </c>
      <c r="F663" s="30" t="n">
        <v>0.65</v>
      </c>
      <c r="G663" s="297">
        <f>IF(AND(B663="",C663=""),"",ROUND(M663*L663*N663,2))</f>
        <v/>
      </c>
      <c r="H663" s="293">
        <f>IF(AND(B663="",C663=""),"",ROUND(F663*G663,2))</f>
        <v/>
      </c>
      <c r="I663" s="91" t="n"/>
      <c r="J663" s="329">
        <f>IF(AND(B663="",C663=""),"",ROUND(M663*N663,2))</f>
        <v/>
      </c>
      <c r="K663" s="330">
        <f>IF(AND(B663="",C663=""),"",ROUND(J663*F663,2))</f>
        <v/>
      </c>
      <c r="L663" s="126" t="n">
        <v>1</v>
      </c>
      <c r="M663" s="331" t="n">
        <v>1341.7551</v>
      </c>
      <c r="N663" s="128" t="n">
        <v>1</v>
      </c>
      <c r="O663" s="129">
        <f t="array" ref="O663">IF(AND(B663="",C663=""),"",IF(G663&gt;=20000,0.05,IF(G663&gt;=10000,0.1,IF(G663&gt;=5000,0.2,IF(G663&gt;=1000,0.3,IF(G663&gt;=0,0.4,{0}))))))</f>
        <v/>
      </c>
      <c r="P663" s="332">
        <f>IF(AND(B663="",C663=""),"",ROUND(H663*O663,2))</f>
        <v/>
      </c>
      <c r="Q663" s="327" t="inlineStr">
        <is>
          <t>母排</t>
        </is>
      </c>
      <c r="R663" s="150" t="n"/>
      <c r="S663" s="150" t="n"/>
      <c r="T663" s="150" t="inlineStr">
        <is>
          <t>0</t>
        </is>
      </c>
      <c r="U663" s="150" t="n"/>
      <c r="V663" s="328" t="n"/>
      <c r="W663" s="328" t="n"/>
      <c r="X663" s="152" t="n"/>
    </row>
    <row r="664" customFormat="1" s="145">
      <c r="A664" s="36">
        <f>ROW()-ROW(A$641)</f>
        <v/>
      </c>
      <c r="B664" s="25" t="inlineStr">
        <is>
          <t>垂直排</t>
        </is>
      </c>
      <c r="C664" s="25" t="inlineStr">
        <is>
          <t>TMY 40*10</t>
        </is>
      </c>
      <c r="D664" s="25" t="inlineStr">
        <is>
          <t>国产优质</t>
        </is>
      </c>
      <c r="E664" s="26" t="inlineStr">
        <is>
          <t>米</t>
        </is>
      </c>
      <c r="F664" s="30" t="n">
        <v>5.7</v>
      </c>
      <c r="G664" s="297">
        <f>IF(AND(B664="",C664=""),"",ROUND(M664*L664*N664,2))</f>
        <v/>
      </c>
      <c r="H664" s="297">
        <f>IF(AND(B664="",C664=""),"",ROUND(F664*G664,2))</f>
        <v/>
      </c>
      <c r="I664" s="135" t="n"/>
      <c r="J664" s="329">
        <f>IF(AND(B664="",C664=""),"",ROUND(M664*N664,2))</f>
        <v/>
      </c>
      <c r="K664" s="330">
        <f>IF(AND(B664="",C664=""),"",ROUND(J664*F664,2))</f>
        <v/>
      </c>
      <c r="L664" s="126" t="n">
        <v>1</v>
      </c>
      <c r="M664" s="331" t="n">
        <v>298.1678</v>
      </c>
      <c r="N664" s="128" t="n">
        <v>1</v>
      </c>
      <c r="O664" s="129">
        <f t="array" ref="O664">IF(AND(B664="",C664=""),"",IF(G664&gt;=20000,0.05,IF(G664&gt;=10000,0.1,IF(G664&gt;=5000,0.2,IF(G664&gt;=1000,0.3,IF(G664&gt;=0,0.4,{0}))))))</f>
        <v/>
      </c>
      <c r="P664" s="332">
        <f>IF(AND(B664="",C664=""),"",ROUND(H664*O664,2))</f>
        <v/>
      </c>
      <c r="Q664" s="327" t="inlineStr">
        <is>
          <t>母排</t>
        </is>
      </c>
      <c r="R664" s="150" t="n"/>
      <c r="S664" s="150" t="n"/>
      <c r="T664" s="150" t="inlineStr">
        <is>
          <t>0</t>
        </is>
      </c>
      <c r="U664" s="150" t="n"/>
      <c r="V664" s="328" t="n"/>
      <c r="W664" s="328" t="n"/>
      <c r="X664" s="152" t="n"/>
    </row>
    <row r="665" customFormat="1" s="145">
      <c r="A665" s="36">
        <f>ROW()-ROW(A$641)</f>
        <v/>
      </c>
      <c r="B665" s="25" t="inlineStr">
        <is>
          <t>连接排</t>
        </is>
      </c>
      <c r="C665" s="25" t="inlineStr">
        <is>
          <t>TMY 50*10</t>
        </is>
      </c>
      <c r="D665" s="25" t="inlineStr">
        <is>
          <t>国产优质</t>
        </is>
      </c>
      <c r="E665" s="26" t="inlineStr">
        <is>
          <t>米</t>
        </is>
      </c>
      <c r="F665" s="30" t="n">
        <v>1.9</v>
      </c>
      <c r="G665" s="297">
        <f>IF(AND(B665="",C665=""),"",ROUND(M665*L665*N665,2))</f>
        <v/>
      </c>
      <c r="H665" s="297">
        <f>IF(AND(B665="",C665=""),"",ROUND(F665*G665,2))</f>
        <v/>
      </c>
      <c r="I665" s="135" t="n"/>
      <c r="J665" s="329">
        <f>IF(AND(B665="",C665=""),"",ROUND(M665*N665,2))</f>
        <v/>
      </c>
      <c r="K665" s="330">
        <f>IF(AND(B665="",C665=""),"",ROUND(J665*F665,2))</f>
        <v/>
      </c>
      <c r="L665" s="126" t="n">
        <v>1</v>
      </c>
      <c r="M665" s="331" t="n">
        <v>372.70975</v>
      </c>
      <c r="N665" s="128" t="n">
        <v>1</v>
      </c>
      <c r="O665" s="129">
        <f t="array" ref="O665">IF(AND(B665="",C665=""),"",IF(G665&gt;=20000,0.05,IF(G665&gt;=10000,0.1,IF(G665&gt;=5000,0.2,IF(G665&gt;=1000,0.3,IF(G665&gt;=0,0.4,{0}))))))</f>
        <v/>
      </c>
      <c r="P665" s="332">
        <f>IF(AND(B665="",C665=""),"",ROUND(H665*O665,2))</f>
        <v/>
      </c>
      <c r="Q665" s="327" t="inlineStr">
        <is>
          <t>母排</t>
        </is>
      </c>
      <c r="R665" s="150" t="n"/>
      <c r="S665" s="150" t="n"/>
      <c r="T665" s="150" t="inlineStr">
        <is>
          <t>0</t>
        </is>
      </c>
      <c r="U665" s="150" t="n"/>
      <c r="V665" s="328" t="n"/>
      <c r="W665" s="328" t="n"/>
      <c r="X665" s="152" t="n"/>
    </row>
    <row r="666" customFormat="1" s="145">
      <c r="A666" s="36">
        <f>ROW()-ROW(A$641)</f>
        <v/>
      </c>
      <c r="B666" s="25" t="inlineStr">
        <is>
          <t>N排</t>
        </is>
      </c>
      <c r="C666" s="25" t="inlineStr">
        <is>
          <t>TMY 50*5</t>
        </is>
      </c>
      <c r="D666" s="25" t="inlineStr">
        <is>
          <t>国产优质</t>
        </is>
      </c>
      <c r="E666" s="26" t="inlineStr">
        <is>
          <t>米</t>
        </is>
      </c>
      <c r="F666" s="30" t="n">
        <v>2.8</v>
      </c>
      <c r="G666" s="297">
        <f>IF(AND(B666="",C666=""),"",ROUND(M666*L666*N666,2))</f>
        <v/>
      </c>
      <c r="H666" s="297">
        <f>IF(AND(B666="",C666=""),"",ROUND(F666*G666,2))</f>
        <v/>
      </c>
      <c r="I666" s="135" t="n"/>
      <c r="J666" s="329">
        <f>IF(AND(B666="",C666=""),"",ROUND(M666*N666,2))</f>
        <v/>
      </c>
      <c r="K666" s="330">
        <f>IF(AND(B666="",C666=""),"",ROUND(J666*F666,2))</f>
        <v/>
      </c>
      <c r="L666" s="126" t="n">
        <v>1</v>
      </c>
      <c r="M666" s="331" t="n">
        <v>186.354875</v>
      </c>
      <c r="N666" s="128" t="n">
        <v>1</v>
      </c>
      <c r="O666" s="129">
        <f t="array" ref="O666">IF(AND(B666="",C666=""),"",IF(G666&gt;=20000,0.05,IF(G666&gt;=10000,0.1,IF(G666&gt;=5000,0.2,IF(G666&gt;=1000,0.3,IF(G666&gt;=0,0.4,{0}))))))</f>
        <v/>
      </c>
      <c r="P666" s="332">
        <f>IF(AND(B666="",C666=""),"",ROUND(H666*O666,2))</f>
        <v/>
      </c>
      <c r="Q666" s="327" t="inlineStr">
        <is>
          <t>母排</t>
        </is>
      </c>
      <c r="R666" s="150" t="n"/>
      <c r="S666" s="150" t="n"/>
      <c r="T666" s="150" t="inlineStr">
        <is>
          <t>0</t>
        </is>
      </c>
      <c r="U666" s="150" t="n"/>
      <c r="V666" s="328" t="n"/>
      <c r="W666" s="328" t="n"/>
      <c r="X666" s="152" t="n"/>
    </row>
    <row r="667" customFormat="1" s="145">
      <c r="A667" s="36">
        <f>ROW()-ROW(A$641)</f>
        <v/>
      </c>
      <c r="B667" s="25" t="inlineStr">
        <is>
          <t>400A连接排</t>
        </is>
      </c>
      <c r="C667" s="25" t="inlineStr">
        <is>
          <t>TMY 30*8</t>
        </is>
      </c>
      <c r="D667" s="25" t="inlineStr">
        <is>
          <t>国产优质</t>
        </is>
      </c>
      <c r="E667" s="26" t="inlineStr">
        <is>
          <t>米</t>
        </is>
      </c>
      <c r="F667" s="30">
        <f>3.2*2</f>
        <v/>
      </c>
      <c r="G667" s="297">
        <f>IF(AND(B667="",C667=""),"",ROUND(M667*L667*N667,2))</f>
        <v/>
      </c>
      <c r="H667" s="297">
        <f>IF(AND(B667="",C667=""),"",ROUND(F667*G667,2))</f>
        <v/>
      </c>
      <c r="I667" s="135" t="n"/>
      <c r="J667" s="329">
        <f>IF(AND(B667="",C667=""),"",ROUND(M667*N667,2))</f>
        <v/>
      </c>
      <c r="K667" s="330">
        <f>IF(AND(B667="",C667=""),"",ROUND(J667*F667,2))</f>
        <v/>
      </c>
      <c r="L667" s="126" t="n">
        <v>1</v>
      </c>
      <c r="M667" s="331" t="n">
        <v>178.90068</v>
      </c>
      <c r="N667" s="128" t="n">
        <v>1</v>
      </c>
      <c r="O667" s="129">
        <f t="array" ref="O667">IF(AND(B667="",C667=""),"",IF(G667&gt;=20000,0.05,IF(G667&gt;=10000,0.1,IF(G667&gt;=5000,0.2,IF(G667&gt;=1000,0.3,IF(G667&gt;=0,0.4,{0}))))))</f>
        <v/>
      </c>
      <c r="P667" s="332">
        <f>IF(AND(B667="",C667=""),"",ROUND(H667*O667,2))</f>
        <v/>
      </c>
      <c r="Q667" s="327" t="inlineStr">
        <is>
          <t>母排</t>
        </is>
      </c>
      <c r="R667" s="150" t="n"/>
      <c r="S667" s="150" t="n"/>
      <c r="T667" s="150" t="inlineStr">
        <is>
          <t>0</t>
        </is>
      </c>
      <c r="U667" s="150" t="n"/>
      <c r="V667" s="328" t="n"/>
      <c r="W667" s="328" t="n"/>
      <c r="X667" s="152" t="n"/>
    </row>
    <row r="668" customFormat="1" s="145">
      <c r="A668" s="36">
        <f>ROW()-ROW(A$641)</f>
        <v/>
      </c>
      <c r="B668" s="25" t="inlineStr">
        <is>
          <t>导线及辅料</t>
        </is>
      </c>
      <c r="C668" s="25" t="n"/>
      <c r="D668" s="25" t="inlineStr">
        <is>
          <t>国产优质</t>
        </is>
      </c>
      <c r="E668" s="26" t="inlineStr">
        <is>
          <t>套</t>
        </is>
      </c>
      <c r="F668" s="26" t="n">
        <v>1</v>
      </c>
      <c r="G668" s="293">
        <f>IF(AND(B668="",C668=""),"",ROUND(M668*L668*N668,2))</f>
        <v/>
      </c>
      <c r="H668" s="293">
        <f>IF(AND(B668="",C668=""),"",ROUND(F668*G668,2))</f>
        <v/>
      </c>
      <c r="I668" s="164" t="n"/>
      <c r="J668" s="329">
        <f>IF(AND(B668="",C668=""),"",ROUND(M668*N668,2))</f>
        <v/>
      </c>
      <c r="K668" s="330">
        <f>IF(AND(B668="",C668=""),"",ROUND(J668*F668,2))</f>
        <v/>
      </c>
      <c r="L668" s="126" t="n">
        <v>1</v>
      </c>
      <c r="M668" s="331" t="n">
        <v>887</v>
      </c>
      <c r="N668" s="137" t="n">
        <v>1</v>
      </c>
      <c r="O668" s="138">
        <f t="array" ref="O668">IF(AND(B668="",C668=""),"",IF(G668&gt;=20000,0.05,IF(G668&gt;=10000,0.1,IF(G668&gt;=5000,0.2,IF(G668&gt;=1000,0.3,IF(G668&gt;=0,0.4,{0}))))))</f>
        <v/>
      </c>
      <c r="P668" s="333">
        <f>IF(AND(B668="",C668=""),"",ROUND(H668*O668,2))</f>
        <v/>
      </c>
      <c r="Q668" s="334" t="inlineStr">
        <is>
          <t>辅料</t>
        </is>
      </c>
      <c r="R668" s="154" t="n"/>
      <c r="S668" s="154" t="n"/>
      <c r="T668" s="154" t="inlineStr">
        <is>
          <t>0</t>
        </is>
      </c>
      <c r="U668" s="154" t="n"/>
      <c r="V668" s="335" t="n"/>
      <c r="W668" s="335" t="n"/>
      <c r="X668" s="152" t="n"/>
    </row>
    <row r="669" customFormat="1" s="145">
      <c r="A669" s="36">
        <f>ROW()-ROW(A$641)</f>
        <v/>
      </c>
      <c r="B669" s="25" t="inlineStr">
        <is>
          <t>通风顶盖</t>
        </is>
      </c>
      <c r="C669" s="25" t="n"/>
      <c r="D669" s="25" t="inlineStr">
        <is>
          <t>清科</t>
        </is>
      </c>
      <c r="E669" s="30" t="inlineStr">
        <is>
          <t>台</t>
        </is>
      </c>
      <c r="F669" s="26">
        <f>IF(AND(B669="",C669=""),"",1)</f>
        <v/>
      </c>
      <c r="G669" s="293">
        <f>IF(AND(B669="",C669=""),"",ROUND(M669*L669*N669,2))</f>
        <v/>
      </c>
      <c r="H669" s="293">
        <f>IF(AND(B669="",C669=""),"",ROUND(F669*G669,2))</f>
        <v/>
      </c>
      <c r="I669" s="164" t="n"/>
      <c r="J669" s="329">
        <f>IF(AND(B669="",C669=""),"",ROUND(M669*N669,2))</f>
        <v/>
      </c>
      <c r="K669" s="330">
        <f>IF(AND(B669="",C669=""),"",ROUND(J669*F669,2))</f>
        <v/>
      </c>
      <c r="L669" s="126">
        <f>IF(AND(B669="",C669=""),"",1)</f>
        <v/>
      </c>
      <c r="M669" s="331" t="n">
        <v>138</v>
      </c>
      <c r="N669" s="137">
        <f>IF(AND(B669="",C669=""),"",1)</f>
        <v/>
      </c>
      <c r="O669" s="138">
        <f t="array" ref="O669">IF(AND(B669="",C669=""),"",IF(G669&gt;=20000,0.05,IF(G669&gt;=10000,0.1,IF(G669&gt;=5000,0.2,IF(G669&gt;=1000,0.3,IF(G669&gt;=0,0.4,{0}))))))</f>
        <v/>
      </c>
      <c r="P669" s="333">
        <f>IF(AND(B669="",C669=""),"",ROUND(H669*O669,2))</f>
        <v/>
      </c>
      <c r="Q669" s="334">
        <f>IF(AND(B669="",C669=""),"","元件")</f>
        <v/>
      </c>
      <c r="R669" s="154" t="n"/>
      <c r="S669" s="154" t="n"/>
      <c r="T669" s="154" t="n"/>
      <c r="U669" s="154" t="n"/>
      <c r="V669" s="335" t="n"/>
      <c r="W669" s="335" t="n"/>
      <c r="X669" s="152" t="n"/>
    </row>
    <row r="670" customFormat="1" s="145">
      <c r="A670" s="36">
        <f>ROW()-ROW(A$641)</f>
        <v/>
      </c>
      <c r="B670" s="29" t="inlineStr">
        <is>
          <t>Blokset柜</t>
        </is>
      </c>
      <c r="C670" s="25" t="inlineStr">
        <is>
          <t>800W*1000D*2200H</t>
        </is>
      </c>
      <c r="D670" s="25" t="inlineStr">
        <is>
          <t>清科</t>
        </is>
      </c>
      <c r="E670" s="30" t="inlineStr">
        <is>
          <t>台</t>
        </is>
      </c>
      <c r="F670" s="30" t="n">
        <v>1</v>
      </c>
      <c r="G670" s="297">
        <f>IF(AND(B670="",C670=""),"",ROUND(M670*L670*N670,2))</f>
        <v/>
      </c>
      <c r="H670" s="297">
        <f>IF(AND(B670="",C670=""),"",ROUND(F670*G670,2))</f>
        <v/>
      </c>
      <c r="I670" s="135" t="n"/>
      <c r="J670" s="329">
        <f>IF(AND(B670="",C670=""),"",ROUND(M670*N670,2))</f>
        <v/>
      </c>
      <c r="K670" s="330">
        <f>IF(AND(B670="",C670=""),"",ROUND(J670*F670,2))</f>
        <v/>
      </c>
      <c r="L670" s="126" t="n">
        <v>1</v>
      </c>
      <c r="M670" s="331" t="n">
        <v>6783</v>
      </c>
      <c r="N670" s="137" t="n">
        <v>1</v>
      </c>
      <c r="O670" s="138">
        <f t="array" ref="O670">IF(AND(B670="",C670=""),"",IF(G670&gt;=20000,0.05,IF(G670&gt;=10000,0.1,IF(G670&gt;=5000,0.2,IF(G670&gt;=1000,0.3,IF(G670&gt;=0,0.4,{0}))))))</f>
        <v/>
      </c>
      <c r="P670" s="333">
        <f>IF(AND(B670="",C670=""),"",ROUND(H670*O670,2))</f>
        <v/>
      </c>
      <c r="Q670" s="334" t="inlineStr">
        <is>
          <t>箱体</t>
        </is>
      </c>
      <c r="R670" s="154" t="n"/>
      <c r="S670" s="154" t="n"/>
      <c r="T670" s="154" t="inlineStr">
        <is>
          <t>0</t>
        </is>
      </c>
      <c r="U670" s="154" t="n"/>
      <c r="V670" s="335" t="n"/>
      <c r="W670" s="335" t="n"/>
      <c r="X670" s="152" t="n"/>
    </row>
    <row r="671" customFormat="1" s="145">
      <c r="A671" s="36">
        <f>ROW()-ROW(A$641)</f>
        <v/>
      </c>
      <c r="B671" s="29" t="n"/>
      <c r="C671" s="29" t="n"/>
      <c r="D671" s="29" t="n"/>
      <c r="E671" s="30" t="n"/>
      <c r="F671" s="30">
        <f>IF(AND(B671="",C671=""),"",1)</f>
        <v/>
      </c>
      <c r="G671" s="297">
        <f>IF(AND(B671="",C671=""),"",ROUND(M671*L671*N671,2))</f>
        <v/>
      </c>
      <c r="H671" s="293">
        <f>IF(AND(B671="",C671=""),"",ROUND(F671*G671,2))</f>
        <v/>
      </c>
      <c r="I671" s="91" t="n"/>
      <c r="J671" s="329">
        <f>IF(AND(B671="",C671=""),"",ROUND(M671*N671,2))</f>
        <v/>
      </c>
      <c r="K671" s="330">
        <f>IF(AND(B671="",C671=""),"",ROUND(J671*F671,2))</f>
        <v/>
      </c>
      <c r="L671" s="126">
        <f>IF(AND(B671="",C671=""),"",1)</f>
        <v/>
      </c>
      <c r="M671" s="331" t="n"/>
      <c r="N671" s="128">
        <f>IF(AND(B671="",C671=""),"",1)</f>
        <v/>
      </c>
      <c r="O671" s="129">
        <f t="array" ref="O671">IF(AND(B671="",C671=""),"",IF(G671&gt;=20000,0.05,IF(G671&gt;=10000,0.1,IF(G671&gt;=5000,0.2,IF(G671&gt;=1000,0.3,IF(G671&gt;=0,0.4,{0}))))))</f>
        <v/>
      </c>
      <c r="P671" s="332">
        <f>IF(AND(B671="",C671=""),"",ROUND(H671*O671,2))</f>
        <v/>
      </c>
      <c r="Q671" s="327">
        <f>IF(AND(B671="",C671=""),"","元件")</f>
        <v/>
      </c>
      <c r="R671" s="150" t="n"/>
      <c r="S671" s="150" t="n"/>
      <c r="T671" s="150" t="n"/>
      <c r="U671" s="150" t="n"/>
      <c r="V671" s="328" t="n"/>
      <c r="W671" s="328" t="n"/>
      <c r="X671" s="152" t="n"/>
    </row>
    <row r="672" customFormat="1" s="145">
      <c r="A672" s="36">
        <f>ROW()-ROW(A$641)</f>
        <v/>
      </c>
      <c r="B672" s="29" t="n"/>
      <c r="C672" s="29" t="n"/>
      <c r="D672" s="29" t="n"/>
      <c r="E672" s="30" t="n"/>
      <c r="F672" s="30">
        <f>IF(AND(B672="",C672=""),"",1)</f>
        <v/>
      </c>
      <c r="G672" s="297">
        <f>IF(AND(B672="",C672=""),"",ROUND(M672*L672*N672,2))</f>
        <v/>
      </c>
      <c r="H672" s="297">
        <f>IF(AND(B672="",C672=""),"",ROUND(F672*G672,2))</f>
        <v/>
      </c>
      <c r="I672" s="135" t="n"/>
      <c r="J672" s="329">
        <f>IF(AND(B672="",C672=""),"",ROUND(M672*N672,2))</f>
        <v/>
      </c>
      <c r="K672" s="330">
        <f>IF(AND(B672="",C672=""),"",ROUND(J672*F672,2))</f>
        <v/>
      </c>
      <c r="L672" s="126">
        <f>IF(AND(B672="",C672=""),"",1)</f>
        <v/>
      </c>
      <c r="M672" s="331" t="n"/>
      <c r="N672" s="128">
        <f>IF(AND(B672="",C672=""),"",1)</f>
        <v/>
      </c>
      <c r="O672" s="129">
        <f t="array" ref="O672">IF(AND(B672="",C672=""),"",IF(G672&gt;=20000,0.05,IF(G672&gt;=10000,0.1,IF(G672&gt;=5000,0.2,IF(G672&gt;=1000,0.3,IF(G672&gt;=0,0.4,{0}))))))</f>
        <v/>
      </c>
      <c r="P672" s="332">
        <f>IF(AND(B672="",C672=""),"",ROUND(H672*O672,2))</f>
        <v/>
      </c>
      <c r="Q672" s="327">
        <f>IF(AND(B672="",C672=""),"","元件")</f>
        <v/>
      </c>
      <c r="R672" s="150" t="n"/>
      <c r="S672" s="150" t="n"/>
      <c r="T672" s="150" t="n"/>
      <c r="U672" s="150" t="n"/>
      <c r="V672" s="328" t="n"/>
      <c r="W672" s="328" t="n"/>
      <c r="X672" s="152" t="n"/>
    </row>
    <row r="673" customFormat="1" s="145">
      <c r="A673" s="36">
        <f>ROW()-ROW(A$641)</f>
        <v/>
      </c>
      <c r="B673" s="156" t="inlineStr">
        <is>
          <t>小计</t>
        </is>
      </c>
      <c r="C673" s="157" t="n"/>
      <c r="D673" s="54" t="n"/>
      <c r="E673" s="30" t="n"/>
      <c r="F673" s="30" t="n"/>
      <c r="G673" s="297" t="n"/>
      <c r="H673" s="297">
        <f>ROUND(SUM(H641:INDEX(H:H,ROW()-1)),2)</f>
        <v/>
      </c>
      <c r="I673" s="91" t="n"/>
      <c r="J673" s="329" t="n"/>
      <c r="K673" s="330">
        <f>ROUND(SUM(K641:INDEX(K:K,ROW()-1)),2)</f>
        <v/>
      </c>
      <c r="L673" s="126" t="n"/>
      <c r="M673" s="331" t="n"/>
      <c r="N673" s="128" t="n"/>
      <c r="O673" s="129" t="n"/>
      <c r="P673" s="332" t="n"/>
      <c r="Q673" s="327" t="n"/>
      <c r="R673" s="150" t="n"/>
      <c r="S673" s="150" t="n"/>
      <c r="T673" s="150" t="n"/>
      <c r="U673" s="150" t="n"/>
      <c r="V673" s="328">
        <f t="array" ref="V673">ROUND(SUMPRODUCT(F641:INDEX(F:F,ROW()-1),V641:INDEX(V:V,ROW()-1)),2)</f>
        <v/>
      </c>
      <c r="W673" s="328">
        <f t="array" ref="W673">ROUND(SUMPRODUCT(F641:INDEX(F:F,ROW()-1),W641:INDEX(W:W,ROW()-1)),2)</f>
        <v/>
      </c>
      <c r="X673" s="152" t="n"/>
    </row>
    <row r="674" customFormat="1" s="145">
      <c r="A674" s="36">
        <f>ROW()-ROW(A$641)</f>
        <v/>
      </c>
      <c r="B674" s="156" t="inlineStr">
        <is>
          <t>成套费</t>
        </is>
      </c>
      <c r="C674" s="157" t="n"/>
      <c r="D674" s="54" t="n"/>
      <c r="E674" s="30" t="n"/>
      <c r="F674" s="30" t="n"/>
      <c r="G674" s="297" t="n"/>
      <c r="H674" s="297" t="n">
        <v>944.76</v>
      </c>
      <c r="I674" s="91" t="n"/>
      <c r="J674" s="329" t="n"/>
      <c r="K674" s="330" t="n">
        <v>944.76</v>
      </c>
      <c r="L674" s="126" t="n"/>
      <c r="M674" s="331" t="n"/>
      <c r="N674" s="128" t="n"/>
      <c r="O674" s="129" t="n"/>
      <c r="P674" s="332" t="n"/>
      <c r="Q674" s="327" t="n"/>
      <c r="R674" s="150" t="n"/>
      <c r="S674" s="150" t="n"/>
      <c r="T674" s="150" t="n"/>
      <c r="U674" s="150" t="n"/>
      <c r="V674" s="328" t="n"/>
      <c r="W674" s="328" t="n"/>
      <c r="X674" s="152" t="n"/>
    </row>
    <row r="675" customFormat="1" s="145">
      <c r="A675" s="36">
        <f>ROW()-ROW(A$641)</f>
        <v/>
      </c>
      <c r="B675" s="156" t="n"/>
      <c r="C675" s="157" t="n"/>
      <c r="D675" s="54" t="n"/>
      <c r="E675" s="30" t="n"/>
      <c r="F675" s="30" t="n"/>
      <c r="G675" s="297" t="n"/>
      <c r="H675" s="297" t="n">
        <v>17.26</v>
      </c>
      <c r="I675" s="91" t="n"/>
      <c r="J675" s="329" t="n"/>
      <c r="K675" s="330" t="n"/>
      <c r="L675" s="126" t="n"/>
      <c r="M675" s="331" t="n"/>
      <c r="N675" s="128" t="n"/>
      <c r="O675" s="129" t="n"/>
      <c r="P675" s="332" t="n"/>
      <c r="Q675" s="327" t="n"/>
      <c r="R675" s="150" t="n"/>
      <c r="S675" s="150" t="n"/>
      <c r="T675" s="150" t="n"/>
      <c r="U675" s="150" t="n"/>
      <c r="V675" s="328" t="n"/>
      <c r="W675" s="328" t="n"/>
      <c r="X675" s="152" t="n"/>
    </row>
    <row r="676" customFormat="1" s="145">
      <c r="A676" s="36">
        <f>ROW()-ROW(A$641)</f>
        <v/>
      </c>
      <c r="B676" s="54" t="inlineStr">
        <is>
          <t>单台合计</t>
        </is>
      </c>
      <c r="C676" s="157" t="n"/>
      <c r="D676" s="54" t="n"/>
      <c r="E676" s="30" t="n"/>
      <c r="F676" s="30" t="n"/>
      <c r="G676" s="297" t="n"/>
      <c r="H676" s="297">
        <f>ROUND(SUM(H673:H674),2)</f>
        <v/>
      </c>
      <c r="I676" s="165" t="n"/>
      <c r="J676" s="329" t="n"/>
      <c r="K676" s="330">
        <f>ROUND(SUM(K673:K674),2)</f>
        <v/>
      </c>
      <c r="L676" s="166" t="n"/>
      <c r="M676" s="331" t="n"/>
      <c r="N676" s="167" t="n"/>
      <c r="O676" s="168" t="n"/>
      <c r="P676" s="332" t="n"/>
      <c r="Q676" s="327" t="n"/>
      <c r="R676" s="150" t="n"/>
      <c r="S676" s="150" t="n"/>
      <c r="T676" s="150" t="n"/>
      <c r="U676" s="150" t="n"/>
      <c r="V676" s="328" t="n"/>
      <c r="W676" s="328" t="n"/>
      <c r="X676" s="152" t="n"/>
    </row>
    <row r="677" customFormat="1" s="145">
      <c r="A677" s="158" t="inlineStr">
        <is>
          <t>总计</t>
        </is>
      </c>
      <c r="B677" s="159" t="n"/>
      <c r="C677" s="160" t="n"/>
      <c r="D677" s="161" t="n"/>
      <c r="E677" s="161" t="inlineStr">
        <is>
          <t>台</t>
        </is>
      </c>
      <c r="F677" s="161" t="n">
        <v>1</v>
      </c>
      <c r="G677" s="336">
        <f>ROUND(H676,2)</f>
        <v/>
      </c>
      <c r="H677" s="336">
        <f>ROUND(F677*G677,2)</f>
        <v/>
      </c>
      <c r="I677" s="169" t="n"/>
      <c r="J677" s="337" t="n"/>
      <c r="K677" s="338">
        <f>ROUND(K676*F677,2)</f>
        <v/>
      </c>
      <c r="L677" s="172" t="n"/>
      <c r="M677" s="339" t="n"/>
      <c r="N677" s="174" t="n"/>
      <c r="O677" s="175" t="n"/>
      <c r="P677" s="340" t="n"/>
      <c r="Q677" s="327" t="n"/>
      <c r="R677" s="150" t="n"/>
      <c r="S677" s="150" t="n"/>
      <c r="T677" s="150" t="n"/>
      <c r="U677" s="150" t="n"/>
      <c r="V677" s="328" t="n"/>
      <c r="W677" s="328" t="n"/>
      <c r="X677" s="152" t="n"/>
    </row>
    <row r="678" customFormat="1" s="146">
      <c r="A678" s="3" t="n"/>
      <c r="B678" s="117" t="n"/>
      <c r="C678" s="117" t="n"/>
      <c r="D678" s="117" t="n"/>
      <c r="E678" s="146" t="n"/>
      <c r="F678" s="146" t="n"/>
      <c r="G678" s="146" t="n"/>
      <c r="H678" s="146" t="n"/>
      <c r="Q678" s="144" t="n"/>
      <c r="R678" s="144" t="n"/>
      <c r="S678" s="144" t="n"/>
      <c r="T678" s="144" t="n"/>
      <c r="U678" s="144" t="n"/>
      <c r="X678" s="117" t="n"/>
    </row>
    <row r="679" customFormat="1" s="146">
      <c r="A679" s="3" t="n"/>
      <c r="B679" s="117" t="n"/>
      <c r="C679" s="117" t="n"/>
      <c r="D679" s="117" t="n"/>
      <c r="E679" s="146" t="n"/>
      <c r="F679" s="146" t="n"/>
      <c r="G679" s="146" t="n"/>
      <c r="H679" s="146" t="n"/>
      <c r="Q679" s="144" t="n"/>
      <c r="R679" s="144" t="n"/>
      <c r="S679" s="144" t="n"/>
      <c r="T679" s="144" t="n"/>
      <c r="U679" s="144" t="n"/>
      <c r="X679" s="117" t="n"/>
    </row>
    <row r="680" customFormat="1" s="145">
      <c r="A680" s="63">
        <f>CONCATENATE("报价人：",项目信息!$B$8)</f>
        <v/>
      </c>
      <c r="B680" s="63" t="n"/>
      <c r="C680" s="146" t="n"/>
      <c r="D680" s="146" t="n"/>
      <c r="E680" s="146" t="n"/>
      <c r="F680" s="146" t="n"/>
      <c r="G680" s="146" t="n"/>
      <c r="H680" s="163">
        <f>项目信息!$B$9</f>
        <v/>
      </c>
      <c r="Q680" s="144" t="n"/>
      <c r="R680" s="144" t="n"/>
      <c r="S680" s="144" t="n"/>
      <c r="T680" s="144" t="n"/>
      <c r="U680" s="144" t="n"/>
      <c r="X680" s="148" t="n"/>
    </row>
    <row r="681" customFormat="1" s="145">
      <c r="A681" s="5">
        <f>T(项目信息!$B$22)</f>
        <v/>
      </c>
      <c r="Q681" s="144" t="n"/>
      <c r="R681" s="144" t="n"/>
      <c r="S681" s="144" t="n"/>
      <c r="T681" s="144" t="n"/>
      <c r="U681" s="144" t="n"/>
      <c r="X681" s="145" t="n"/>
    </row>
    <row r="682" customFormat="1" s="145">
      <c r="A682" s="6">
        <f>T(项目信息!$B$23)</f>
        <v/>
      </c>
      <c r="Q682" s="144" t="n"/>
      <c r="R682" s="144" t="n"/>
      <c r="S682" s="144" t="n"/>
      <c r="T682" s="144" t="n"/>
      <c r="U682" s="144" t="n"/>
      <c r="X682" s="145" t="n"/>
    </row>
    <row r="683" customFormat="1" s="145">
      <c r="A683" s="68" t="inlineStr">
        <is>
          <t>成套产品报价明细表</t>
        </is>
      </c>
      <c r="B683" s="318" t="n"/>
      <c r="C683" s="318" t="n"/>
      <c r="D683" s="318" t="n"/>
      <c r="E683" s="318" t="n"/>
      <c r="F683" s="318" t="n"/>
      <c r="G683" s="318" t="n"/>
      <c r="H683" s="318" t="n"/>
      <c r="I683" s="318" t="n"/>
      <c r="Q683" s="144" t="n"/>
      <c r="R683" s="144" t="n"/>
      <c r="S683" s="144" t="n"/>
      <c r="T683" s="144" t="n"/>
      <c r="U683" s="144" t="n"/>
      <c r="X683" s="145" t="n"/>
    </row>
    <row r="684" customFormat="1" s="146">
      <c r="A684" s="69" t="inlineStr">
        <is>
          <t>柜号:</t>
        </is>
      </c>
      <c r="B684" s="70" t="inlineStr">
        <is>
          <t>3D9 4D10</t>
        </is>
      </c>
      <c r="C684" s="71" t="inlineStr">
        <is>
          <t>型号:</t>
        </is>
      </c>
      <c r="D684" s="70" t="inlineStr">
        <is>
          <t>Blokset</t>
        </is>
      </c>
      <c r="E684" s="319" t="n"/>
      <c r="F684" s="72" t="inlineStr">
        <is>
          <t>名称:</t>
        </is>
      </c>
      <c r="G684" s="70" t="inlineStr">
        <is>
          <t>出线柜</t>
        </is>
      </c>
      <c r="H684" s="319" t="n"/>
      <c r="I684" s="320" t="n"/>
      <c r="J684" s="116" t="inlineStr">
        <is>
          <t>箱柜尺寸:</t>
        </is>
      </c>
      <c r="K684" s="117" t="inlineStr">
        <is>
          <t>800W*1000D*2200H</t>
        </is>
      </c>
      <c r="L684" s="116" t="inlineStr">
        <is>
          <t>类别:</t>
        </is>
      </c>
      <c r="M684" s="117" t="n"/>
      <c r="N684" s="321" t="n"/>
      <c r="Q684" s="144" t="n"/>
      <c r="R684" s="144" t="n"/>
      <c r="S684" s="144" t="n"/>
      <c r="T684" s="144" t="n"/>
      <c r="U684" s="144" t="n"/>
      <c r="X684" s="146" t="n"/>
    </row>
    <row r="685" ht="20.1" customFormat="1" customHeight="1" s="145">
      <c r="A685" s="13" t="inlineStr">
        <is>
          <t>序号</t>
        </is>
      </c>
      <c r="B685" s="73" t="inlineStr">
        <is>
          <t>元件名称</t>
        </is>
      </c>
      <c r="C685" s="73" t="inlineStr">
        <is>
          <t>型号规格</t>
        </is>
      </c>
      <c r="D685" s="74" t="inlineStr">
        <is>
          <t>生产厂家</t>
        </is>
      </c>
      <c r="E685" s="15" t="inlineStr">
        <is>
          <t>单位</t>
        </is>
      </c>
      <c r="F685" s="15" t="inlineStr">
        <is>
          <t>数量</t>
        </is>
      </c>
      <c r="G685" s="287" t="inlineStr">
        <is>
          <t>单   价</t>
        </is>
      </c>
      <c r="H685" s="256" t="inlineStr">
        <is>
          <t>总   价</t>
        </is>
      </c>
      <c r="I685" s="119" t="inlineStr">
        <is>
          <t>备注</t>
        </is>
      </c>
      <c r="J685" s="322" t="inlineStr">
        <is>
          <t>成本单价</t>
        </is>
      </c>
      <c r="K685" s="322" t="inlineStr">
        <is>
          <t>成本总价</t>
        </is>
      </c>
      <c r="L685" s="121" t="inlineStr">
        <is>
          <t>报出
系数</t>
        </is>
      </c>
      <c r="M685" s="322" t="inlineStr">
        <is>
          <t>表价</t>
        </is>
      </c>
      <c r="N685" s="121" t="inlineStr">
        <is>
          <t>折扣
系数</t>
        </is>
      </c>
      <c r="O685" s="122" t="inlineStr">
        <is>
          <t>取费
系数</t>
        </is>
      </c>
      <c r="P685" s="322" t="inlineStr">
        <is>
          <t>成套费</t>
        </is>
      </c>
      <c r="Q685" s="147" t="inlineStr">
        <is>
          <t>类别</t>
        </is>
      </c>
      <c r="R685" s="147" t="inlineStr">
        <is>
          <t>物料编码</t>
        </is>
      </c>
      <c r="S685" s="147" t="inlineStr">
        <is>
          <t>产地</t>
        </is>
      </c>
      <c r="T685" s="147" t="inlineStr">
        <is>
          <t>加工费</t>
        </is>
      </c>
      <c r="U685" s="147" t="inlineStr">
        <is>
          <t>订货号</t>
        </is>
      </c>
      <c r="V685" s="147" t="inlineStr">
        <is>
          <t>人工</t>
        </is>
      </c>
      <c r="W685" s="147" t="inlineStr">
        <is>
          <t>辅料</t>
        </is>
      </c>
      <c r="X685" s="148" t="n"/>
    </row>
    <row r="686" customFormat="1" s="145">
      <c r="A686" s="75">
        <f>ROW()-ROW(A$685)</f>
        <v/>
      </c>
      <c r="B686" s="20" t="inlineStr">
        <is>
          <t>智能框架断路器</t>
        </is>
      </c>
      <c r="C686" s="20" t="inlineStr">
        <is>
          <t>MT08 H1 3P D/O MIC 5.0E 800A+LR/标准+MCH AC200-240V+MX标准型 200-250Vac/dc+XF标准型 200-250Vac/dc+抽架+CDP+上端后水平接线+下端后水平接线</t>
        </is>
      </c>
      <c r="D686" s="25" t="inlineStr">
        <is>
          <t>甲供/施耐德电气</t>
        </is>
      </c>
      <c r="E686" s="21" t="inlineStr">
        <is>
          <t>只</t>
        </is>
      </c>
      <c r="F686" s="21" t="n">
        <v>1</v>
      </c>
      <c r="G686" s="289">
        <f>IF(AND(B686="",C686=""),"",ROUND(M686*L686*N686,2))</f>
        <v/>
      </c>
      <c r="H686" s="289">
        <f>IF(AND(B686="",C686=""),"",ROUND(F686*G686,2))</f>
        <v/>
      </c>
      <c r="I686" s="123" t="n"/>
      <c r="J686" s="323">
        <f>IF(AND(B686="",C686=""),"",ROUND(M686*N686,2))</f>
        <v/>
      </c>
      <c r="K686" s="324">
        <f>IF(AND(B686="",C686=""),"",ROUND(J686*F686,2))</f>
        <v/>
      </c>
      <c r="L686" s="126" t="n">
        <v>1</v>
      </c>
      <c r="M686" s="325" t="n">
        <v>41024.73</v>
      </c>
      <c r="N686" s="128" t="n">
        <v>0</v>
      </c>
      <c r="O686" s="129">
        <f t="array" ref="O686">IF(AND(B686="",C686=""),"",IF(G686&gt;=20000,0.05,IF(G686&gt;=10000,0.1,IF(G686&gt;=5000,0.2,IF(G686&gt;=1000,0.3,IF(G686&gt;=0,0.4,{0}))))))</f>
        <v/>
      </c>
      <c r="P686" s="326">
        <f>IF(AND(B686="",C686=""),"",ROUND(H686*O686,2))</f>
        <v/>
      </c>
      <c r="Q686" s="327" t="inlineStr">
        <is>
          <t>元件</t>
        </is>
      </c>
      <c r="R686" s="150" t="n"/>
      <c r="S686" s="150" t="n"/>
      <c r="T686" s="150" t="inlineStr">
        <is>
          <t>0</t>
        </is>
      </c>
      <c r="U686" s="150" t="inlineStr">
        <is>
          <t>48231+48499+33542+48527+48494+48484+48392+48603+48143+48148</t>
        </is>
      </c>
      <c r="V686" s="328" t="n"/>
      <c r="W686" s="328" t="n"/>
      <c r="X686" s="152" t="n"/>
    </row>
    <row r="687" customFormat="1" s="145">
      <c r="A687" s="75">
        <f>ROW()-ROW(A$685)</f>
        <v/>
      </c>
      <c r="B687" s="20" t="inlineStr">
        <is>
          <t>交流塑壳断路器</t>
        </is>
      </c>
      <c r="C687" s="20" t="inlineStr">
        <is>
          <t>NSX250N TMD 250 3P3D F</t>
        </is>
      </c>
      <c r="D687" s="25" t="inlineStr">
        <is>
          <t>甲供/施耐德电气</t>
        </is>
      </c>
      <c r="E687" s="21" t="inlineStr">
        <is>
          <t>只</t>
        </is>
      </c>
      <c r="F687" s="21" t="n">
        <v>1</v>
      </c>
      <c r="G687" s="289">
        <f>IF(AND(B687="",C687=""),"",ROUND(M687*L687*N687,2))</f>
        <v/>
      </c>
      <c r="H687" s="289">
        <f>IF(AND(B687="",C687=""),"",ROUND(F687*G687,2))</f>
        <v/>
      </c>
      <c r="I687" s="123" t="n"/>
      <c r="J687" s="323">
        <f>IF(AND(B687="",C687=""),"",ROUND(M687*N687,2))</f>
        <v/>
      </c>
      <c r="K687" s="324">
        <f>IF(AND(B687="",C687=""),"",ROUND(J687*F687,2))</f>
        <v/>
      </c>
      <c r="L687" s="126" t="n">
        <v>1</v>
      </c>
      <c r="M687" s="325" t="n">
        <v>2315.28</v>
      </c>
      <c r="N687" s="128" t="n">
        <v>0</v>
      </c>
      <c r="O687" s="129">
        <f t="array" ref="O687">IF(AND(B687="",C687=""),"",IF(G687&gt;=20000,0.05,IF(G687&gt;=10000,0.1,IF(G687&gt;=5000,0.2,IF(G687&gt;=1000,0.3,IF(G687&gt;=0,0.4,{0}))))))</f>
        <v/>
      </c>
      <c r="P687" s="326">
        <f>IF(AND(B687="",C687=""),"",ROUND(H687*O687,2))</f>
        <v/>
      </c>
      <c r="Q687" s="327" t="inlineStr">
        <is>
          <t>元件</t>
        </is>
      </c>
      <c r="R687" s="150" t="n"/>
      <c r="S687" s="150" t="n"/>
      <c r="T687" s="150" t="inlineStr">
        <is>
          <t>0</t>
        </is>
      </c>
      <c r="U687" s="150" t="inlineStr">
        <is>
          <t>C25N3TM250</t>
        </is>
      </c>
      <c r="V687" s="328" t="n"/>
      <c r="W687" s="328" t="n"/>
      <c r="X687" s="152" t="n"/>
    </row>
    <row r="688" customFormat="1" s="145">
      <c r="A688" s="36">
        <f>ROW()-ROW(A$685)</f>
        <v/>
      </c>
      <c r="B688" s="29" t="inlineStr">
        <is>
          <t>交流塑壳断路器</t>
        </is>
      </c>
      <c r="C688" s="25" t="inlineStr">
        <is>
          <t>NSX400N MIC 2.3 400 3P F</t>
        </is>
      </c>
      <c r="D688" s="25" t="inlineStr">
        <is>
          <t>甲供/施耐德电气</t>
        </is>
      </c>
      <c r="E688" s="30" t="inlineStr">
        <is>
          <t>只</t>
        </is>
      </c>
      <c r="F688" s="26" t="n">
        <v>2</v>
      </c>
      <c r="G688" s="293">
        <f>IF(AND(B688="",C688=""),"",ROUND(M688*L688*N688,2))</f>
        <v/>
      </c>
      <c r="H688" s="293">
        <f>IF(AND(B688="",C688=""),"",ROUND(F688*G688,2))</f>
        <v/>
      </c>
      <c r="I688" s="91" t="n"/>
      <c r="J688" s="329">
        <f>IF(AND(B688="",C688=""),"",ROUND(M688*N688,2))</f>
        <v/>
      </c>
      <c r="K688" s="330">
        <f>IF(AND(B688="",C688=""),"",ROUND(J688*F688,2))</f>
        <v/>
      </c>
      <c r="L688" s="126" t="n">
        <v>1</v>
      </c>
      <c r="M688" s="331" t="n">
        <v>3474.03</v>
      </c>
      <c r="N688" s="128" t="n">
        <v>0</v>
      </c>
      <c r="O688" s="129">
        <f t="array" ref="O688">IF(AND(B688="",C688=""),"",IF(G688&gt;=20000,0.05,IF(G688&gt;=10000,0.1,IF(G688&gt;=5000,0.2,IF(G688&gt;=1000,0.3,IF(G688&gt;=0,0.4,{0}))))))</f>
        <v/>
      </c>
      <c r="P688" s="332">
        <f>IF(AND(B688="",C688=""),"",ROUND(H688*O688,2))</f>
        <v/>
      </c>
      <c r="Q688" s="327" t="inlineStr">
        <is>
          <t>元件</t>
        </is>
      </c>
      <c r="R688" s="150" t="n"/>
      <c r="S688" s="150" t="n"/>
      <c r="T688" s="150" t="inlineStr">
        <is>
          <t>0</t>
        </is>
      </c>
      <c r="U688" s="150" t="inlineStr">
        <is>
          <t>C40N32D400</t>
        </is>
      </c>
      <c r="V688" s="328" t="n"/>
      <c r="W688" s="328" t="n"/>
      <c r="X688" s="152" t="n"/>
    </row>
    <row r="689" customFormat="1" s="145">
      <c r="A689" s="36">
        <f>ROW()-ROW(A$685)</f>
        <v/>
      </c>
      <c r="B689" s="29" t="inlineStr">
        <is>
          <t>新外观延伸旋转手柄</t>
        </is>
      </c>
      <c r="C689" s="29" t="inlineStr">
        <is>
          <t>标准延伸旋转手柄/新外观延伸旋转手柄 100/160/250A</t>
        </is>
      </c>
      <c r="D689" s="25" t="inlineStr">
        <is>
          <t>甲供/施耐德电气</t>
        </is>
      </c>
      <c r="E689" s="30" t="inlineStr">
        <is>
          <t>只</t>
        </is>
      </c>
      <c r="F689" s="30" t="n">
        <v>1</v>
      </c>
      <c r="G689" s="297">
        <f>IF(AND(B689="",C689=""),"",ROUND(M689*L689*N689,2))</f>
        <v/>
      </c>
      <c r="H689" s="293">
        <f>IF(AND(B689="",C689=""),"",ROUND(F689*G689,2))</f>
        <v/>
      </c>
      <c r="I689" s="91" t="n"/>
      <c r="J689" s="329">
        <f>IF(AND(B689="",C689=""),"",ROUND(M689*N689,2))</f>
        <v/>
      </c>
      <c r="K689" s="330">
        <f>IF(AND(B689="",C689=""),"",ROUND(J689*F689,2))</f>
        <v/>
      </c>
      <c r="L689" s="126" t="n">
        <v>1</v>
      </c>
      <c r="M689" s="331" t="n">
        <v>189.75</v>
      </c>
      <c r="N689" s="128" t="n">
        <v>0</v>
      </c>
      <c r="O689" s="129">
        <f t="array" ref="O689">IF(AND(B689="",C689=""),"",IF(G689&gt;=20000,0.05,IF(G689&gt;=10000,0.1,IF(G689&gt;=5000,0.2,IF(G689&gt;=1000,0.3,IF(G689&gt;=0,0.4,{0}))))))</f>
        <v/>
      </c>
      <c r="P689" s="332">
        <f>IF(AND(B689="",C689=""),"",ROUND(H689*O689,2))</f>
        <v/>
      </c>
      <c r="Q689" s="327" t="inlineStr">
        <is>
          <t>元件</t>
        </is>
      </c>
      <c r="R689" s="150" t="n"/>
      <c r="S689" s="150" t="n"/>
      <c r="T689" s="150" t="inlineStr">
        <is>
          <t>0</t>
        </is>
      </c>
      <c r="U689" s="150" t="inlineStr">
        <is>
          <t>LV429338T</t>
        </is>
      </c>
      <c r="V689" s="328" t="n"/>
      <c r="W689" s="328" t="n"/>
      <c r="X689" s="152" t="n"/>
    </row>
    <row r="690" customFormat="1" s="145">
      <c r="A690" s="36">
        <f>ROW()-ROW(A$685)</f>
        <v/>
      </c>
      <c r="B690" s="29" t="inlineStr">
        <is>
          <t>新外观延伸旋转手柄</t>
        </is>
      </c>
      <c r="C690" s="29" t="inlineStr">
        <is>
          <t>标准延伸旋转手柄/新外观延伸旋转手柄 400/630A</t>
        </is>
      </c>
      <c r="D690" s="25" t="inlineStr">
        <is>
          <t>甲供/施耐德电气</t>
        </is>
      </c>
      <c r="E690" s="30" t="inlineStr">
        <is>
          <t>只</t>
        </is>
      </c>
      <c r="F690" s="30" t="n">
        <v>2</v>
      </c>
      <c r="G690" s="297">
        <f>IF(AND(B690="",C690=""),"",ROUND(M690*L690*N690,2))</f>
        <v/>
      </c>
      <c r="H690" s="297">
        <f>IF(AND(B690="",C690=""),"",ROUND(F690*G690,2))</f>
        <v/>
      </c>
      <c r="I690" s="135" t="n"/>
      <c r="J690" s="329">
        <f>IF(AND(B690="",C690=""),"",ROUND(M690*N690,2))</f>
        <v/>
      </c>
      <c r="K690" s="330">
        <f>IF(AND(B690="",C690=""),"",ROUND(J690*F690,2))</f>
        <v/>
      </c>
      <c r="L690" s="126" t="n">
        <v>1</v>
      </c>
      <c r="M690" s="331" t="n">
        <v>270.62</v>
      </c>
      <c r="N690" s="128" t="n">
        <v>0</v>
      </c>
      <c r="O690" s="129">
        <f t="array" ref="O690">IF(AND(B690="",C690=""),"",IF(G690&gt;=20000,0.05,IF(G690&gt;=10000,0.1,IF(G690&gt;=5000,0.2,IF(G690&gt;=1000,0.3,IF(G690&gt;=0,0.4,{0}))))))</f>
        <v/>
      </c>
      <c r="P690" s="332">
        <f>IF(AND(B690="",C690=""),"",ROUND(H690*O690,2))</f>
        <v/>
      </c>
      <c r="Q690" s="327" t="inlineStr">
        <is>
          <t>元件</t>
        </is>
      </c>
      <c r="R690" s="150" t="n"/>
      <c r="S690" s="150" t="n"/>
      <c r="T690" s="150" t="inlineStr">
        <is>
          <t>0</t>
        </is>
      </c>
      <c r="U690" s="150" t="inlineStr">
        <is>
          <t>LV432598T</t>
        </is>
      </c>
      <c r="V690" s="328" t="n"/>
      <c r="W690" s="328" t="n"/>
      <c r="X690" s="152" t="n"/>
    </row>
    <row r="691" customFormat="1" s="145">
      <c r="A691" s="36">
        <f>ROW()-ROW(A$685)</f>
        <v/>
      </c>
      <c r="B691" s="29" t="inlineStr">
        <is>
          <t>MX分励脱扣器</t>
        </is>
      </c>
      <c r="C691" s="29" t="inlineStr">
        <is>
          <t>MX分励AC220-240V/208-277V/100-630A</t>
        </is>
      </c>
      <c r="D691" s="25" t="inlineStr">
        <is>
          <t>甲供/施耐德电气</t>
        </is>
      </c>
      <c r="E691" s="30" t="inlineStr">
        <is>
          <t>只</t>
        </is>
      </c>
      <c r="F691" s="30" t="n">
        <v>3</v>
      </c>
      <c r="G691" s="297">
        <f>IF(AND(B691="",C691=""),"",ROUND(M691*L691*N691,2))</f>
        <v/>
      </c>
      <c r="H691" s="297">
        <f>IF(AND(B691="",C691=""),"",ROUND(F691*G691,2))</f>
        <v/>
      </c>
      <c r="I691" s="135" t="n"/>
      <c r="J691" s="329">
        <f>IF(AND(B691="",C691=""),"",ROUND(M691*N691,2))</f>
        <v/>
      </c>
      <c r="K691" s="330">
        <f>IF(AND(B691="",C691=""),"",ROUND(J691*F691,2))</f>
        <v/>
      </c>
      <c r="L691" s="126" t="n">
        <v>1</v>
      </c>
      <c r="M691" s="331" t="n">
        <v>314.03</v>
      </c>
      <c r="N691" s="128" t="n">
        <v>0</v>
      </c>
      <c r="O691" s="129">
        <f t="array" ref="O691">IF(AND(B691="",C691=""),"",IF(G691&gt;=20000,0.05,IF(G691&gt;=10000,0.1,IF(G691&gt;=5000,0.2,IF(G691&gt;=1000,0.3,IF(G691&gt;=0,0.4,{0}))))))</f>
        <v/>
      </c>
      <c r="P691" s="332">
        <f>IF(AND(B691="",C691=""),"",ROUND(H691*O691,2))</f>
        <v/>
      </c>
      <c r="Q691" s="327" t="inlineStr">
        <is>
          <t>元件</t>
        </is>
      </c>
      <c r="R691" s="150" t="n"/>
      <c r="S691" s="150" t="n"/>
      <c r="T691" s="150" t="inlineStr">
        <is>
          <t>0</t>
        </is>
      </c>
      <c r="U691" s="150" t="inlineStr">
        <is>
          <t>LV429387</t>
        </is>
      </c>
      <c r="V691" s="328" t="n"/>
      <c r="W691" s="328" t="n"/>
      <c r="X691" s="152" t="n"/>
    </row>
    <row r="692" customFormat="1" s="145">
      <c r="A692" s="36">
        <f>ROW()-ROW(A$685)</f>
        <v/>
      </c>
      <c r="B692" s="29" t="inlineStr">
        <is>
          <t>辅助触点OF</t>
        </is>
      </c>
      <c r="C692" s="25" t="inlineStr">
        <is>
          <t>OF</t>
        </is>
      </c>
      <c r="D692" s="25" t="inlineStr">
        <is>
          <t>甲供/施耐德电气</t>
        </is>
      </c>
      <c r="E692" s="30" t="inlineStr">
        <is>
          <t>只</t>
        </is>
      </c>
      <c r="F692" s="30" t="n">
        <v>6</v>
      </c>
      <c r="G692" s="297">
        <f>IF(AND(B692="",C692=""),"",ROUND(M692*L692*N692,2))</f>
        <v/>
      </c>
      <c r="H692" s="297">
        <f>IF(AND(B692="",C692=""),"",ROUND(F692*G692,2))</f>
        <v/>
      </c>
      <c r="I692" s="135" t="n"/>
      <c r="J692" s="329">
        <f>IF(AND(B692="",C692=""),"",ROUND(M692*N692,2))</f>
        <v/>
      </c>
      <c r="K692" s="330">
        <f>IF(AND(B692="",C692=""),"",ROUND(J692*F692,2))</f>
        <v/>
      </c>
      <c r="L692" s="126" t="n">
        <v>1</v>
      </c>
      <c r="M692" s="331" t="n">
        <v>174.01</v>
      </c>
      <c r="N692" s="128" t="n">
        <v>0</v>
      </c>
      <c r="O692" s="129">
        <f t="array" ref="O692">IF(AND(B692="",C692=""),"",IF(G692&gt;=20000,0.05,IF(G692&gt;=10000,0.1,IF(G692&gt;=5000,0.2,IF(G692&gt;=1000,0.3,IF(G692&gt;=0,0.4,{0}))))))</f>
        <v/>
      </c>
      <c r="P692" s="332">
        <f>IF(AND(B692="",C692=""),"",ROUND(H692*O692,2))</f>
        <v/>
      </c>
      <c r="Q692" s="327" t="inlineStr">
        <is>
          <t>元件</t>
        </is>
      </c>
      <c r="R692" s="150" t="n"/>
      <c r="S692" s="150" t="n"/>
      <c r="T692" s="150" t="inlineStr">
        <is>
          <t>0</t>
        </is>
      </c>
      <c r="U692" s="150" t="inlineStr">
        <is>
          <t>29450</t>
        </is>
      </c>
      <c r="V692" s="328" t="n"/>
      <c r="W692" s="328" t="n"/>
      <c r="X692" s="152" t="n"/>
    </row>
    <row r="693" customFormat="1" s="145">
      <c r="A693" s="36">
        <f>ROW()-ROW(A$685)</f>
        <v/>
      </c>
      <c r="B693" s="29" t="inlineStr">
        <is>
          <t>测量电流互感器</t>
        </is>
      </c>
      <c r="C693" s="25" t="inlineStr">
        <is>
          <t>SD-0.66-80II-V 1000/5A</t>
        </is>
      </c>
      <c r="D693" s="29" t="inlineStr">
        <is>
          <t>杭州桑迪</t>
        </is>
      </c>
      <c r="E693" s="30" t="inlineStr">
        <is>
          <t>只</t>
        </is>
      </c>
      <c r="F693" s="30" t="n">
        <v>3</v>
      </c>
      <c r="G693" s="297">
        <f>IF(AND(B693="",C693=""),"",ROUND(M693*L693*N693,2))</f>
        <v/>
      </c>
      <c r="H693" s="297">
        <f>IF(AND(B693="",C693=""),"",ROUND(F693*G693,2))</f>
        <v/>
      </c>
      <c r="I693" s="135" t="n"/>
      <c r="J693" s="329">
        <f>IF(AND(B693="",C693=""),"",ROUND(M693*N693,2))</f>
        <v/>
      </c>
      <c r="K693" s="330">
        <f>IF(AND(B693="",C693=""),"",ROUND(J693*F693,2))</f>
        <v/>
      </c>
      <c r="L693" s="126" t="n">
        <v>1</v>
      </c>
      <c r="M693" s="331" t="n">
        <v>91.65000000000001</v>
      </c>
      <c r="N693" s="128" t="n">
        <v>1</v>
      </c>
      <c r="O693" s="129">
        <f t="array" ref="O693">IF(AND(B693="",C693=""),"",IF(G693&gt;=20000,0.05,IF(G693&gt;=10000,0.1,IF(G693&gt;=5000,0.2,IF(G693&gt;=1000,0.3,IF(G693&gt;=0,0.4,{0}))))))</f>
        <v/>
      </c>
      <c r="P693" s="332">
        <f>IF(AND(B693="",C693=""),"",ROUND(H693*O693,2))</f>
        <v/>
      </c>
      <c r="Q693" s="327" t="inlineStr">
        <is>
          <t>元件</t>
        </is>
      </c>
      <c r="R693" s="150" t="n"/>
      <c r="S693" s="150" t="n"/>
      <c r="T693" s="150" t="inlineStr">
        <is>
          <t>0</t>
        </is>
      </c>
      <c r="U693" s="150" t="n"/>
      <c r="V693" s="328" t="n"/>
      <c r="W693" s="328" t="n"/>
      <c r="X693" s="152" t="n"/>
    </row>
    <row r="694" customFormat="1" s="145">
      <c r="A694" s="36">
        <f>ROW()-ROW(A$685)</f>
        <v/>
      </c>
      <c r="B694" s="29" t="inlineStr">
        <is>
          <t>测量电流互感器</t>
        </is>
      </c>
      <c r="C694" s="25" t="inlineStr">
        <is>
          <t>SD-0.66-30I 250/5A</t>
        </is>
      </c>
      <c r="D694" s="29" t="inlineStr">
        <is>
          <t>杭州桑迪</t>
        </is>
      </c>
      <c r="E694" s="30" t="inlineStr">
        <is>
          <t>只</t>
        </is>
      </c>
      <c r="F694" s="30" t="n">
        <v>3</v>
      </c>
      <c r="G694" s="297">
        <f>IF(AND(B694="",C694=""),"",ROUND(M694*L694*N694,2))</f>
        <v/>
      </c>
      <c r="H694" s="297">
        <f>IF(AND(B694="",C694=""),"",ROUND(F694*G694,2))</f>
        <v/>
      </c>
      <c r="I694" s="135" t="n"/>
      <c r="J694" s="329">
        <f>IF(AND(B694="",C694=""),"",ROUND(M694*N694,2))</f>
        <v/>
      </c>
      <c r="K694" s="330">
        <f>IF(AND(B694="",C694=""),"",ROUND(J694*F694,2))</f>
        <v/>
      </c>
      <c r="L694" s="126" t="n">
        <v>1</v>
      </c>
      <c r="M694" s="331" t="n">
        <v>26.65</v>
      </c>
      <c r="N694" s="128" t="n">
        <v>1</v>
      </c>
      <c r="O694" s="129">
        <f t="array" ref="O694">IF(AND(B694="",C694=""),"",IF(G694&gt;=20000,0.05,IF(G694&gt;=10000,0.1,IF(G694&gt;=5000,0.2,IF(G694&gt;=1000,0.3,IF(G694&gt;=0,0.4,{0}))))))</f>
        <v/>
      </c>
      <c r="P694" s="332">
        <f>IF(AND(B694="",C694=""),"",ROUND(H694*O694,2))</f>
        <v/>
      </c>
      <c r="Q694" s="327" t="inlineStr">
        <is>
          <t>元件</t>
        </is>
      </c>
      <c r="R694" s="150" t="n"/>
      <c r="S694" s="150" t="n"/>
      <c r="T694" s="150" t="inlineStr">
        <is>
          <t>0</t>
        </is>
      </c>
      <c r="U694" s="150" t="n"/>
      <c r="V694" s="328" t="n"/>
      <c r="W694" s="328" t="n"/>
      <c r="X694" s="152" t="n"/>
    </row>
    <row r="695" customFormat="1" s="145">
      <c r="A695" s="36">
        <f>ROW()-ROW(A$685)</f>
        <v/>
      </c>
      <c r="B695" s="29" t="inlineStr">
        <is>
          <t>测量电流互感器</t>
        </is>
      </c>
      <c r="C695" s="29" t="inlineStr">
        <is>
          <t>SD-0.66-40II-C 400/5A</t>
        </is>
      </c>
      <c r="D695" s="29" t="inlineStr">
        <is>
          <t>杭州桑迪</t>
        </is>
      </c>
      <c r="E695" s="30" t="inlineStr">
        <is>
          <t>只</t>
        </is>
      </c>
      <c r="F695" s="30" t="n">
        <v>6</v>
      </c>
      <c r="G695" s="297">
        <f>IF(AND(B695="",C695=""),"",ROUND(M695*L695*N695,2))</f>
        <v/>
      </c>
      <c r="H695" s="297">
        <f>IF(AND(B695="",C695=""),"",ROUND(F695*G695,2))</f>
        <v/>
      </c>
      <c r="I695" s="135" t="n"/>
      <c r="J695" s="329">
        <f>IF(AND(B695="",C695=""),"",ROUND(M695*N695,2))</f>
        <v/>
      </c>
      <c r="K695" s="330">
        <f>IF(AND(B695="",C695=""),"",ROUND(J695*F695,2))</f>
        <v/>
      </c>
      <c r="L695" s="126" t="n">
        <v>1</v>
      </c>
      <c r="M695" s="331" t="n">
        <v>52</v>
      </c>
      <c r="N695" s="128" t="n">
        <v>1</v>
      </c>
      <c r="O695" s="129">
        <f t="array" ref="O695">IF(AND(B695="",C695=""),"",IF(G695&gt;=20000,0.05,IF(G695&gt;=10000,0.1,IF(G695&gt;=5000,0.2,IF(G695&gt;=1000,0.3,IF(G695&gt;=0,0.4,{0}))))))</f>
        <v/>
      </c>
      <c r="P695" s="332">
        <f>IF(AND(B695="",C695=""),"",ROUND(H695*O695,2))</f>
        <v/>
      </c>
      <c r="Q695" s="327" t="inlineStr">
        <is>
          <t>元件</t>
        </is>
      </c>
      <c r="R695" s="150" t="n"/>
      <c r="S695" s="150" t="n"/>
      <c r="T695" s="150" t="inlineStr">
        <is>
          <t>0</t>
        </is>
      </c>
      <c r="U695" s="150" t="n"/>
      <c r="V695" s="328" t="n"/>
      <c r="W695" s="328" t="n"/>
      <c r="X695" s="152" t="n"/>
    </row>
    <row r="696" customFormat="1" s="145">
      <c r="A696" s="36">
        <f>ROW()-ROW(A$685)</f>
        <v/>
      </c>
      <c r="B696" s="25" t="inlineStr">
        <is>
          <t>多功能表</t>
        </is>
      </c>
      <c r="C696" s="25" t="inlineStr">
        <is>
          <t>PM4101</t>
        </is>
      </c>
      <c r="D696" s="25" t="inlineStr">
        <is>
          <t>甲供/施耐德电气</t>
        </is>
      </c>
      <c r="E696" s="30" t="inlineStr">
        <is>
          <t>只</t>
        </is>
      </c>
      <c r="F696" s="26" t="n">
        <v>4</v>
      </c>
      <c r="G696" s="293">
        <f>IF(AND(B696="",C696=""),"",ROUND(M696*L696*N696,2))</f>
        <v/>
      </c>
      <c r="H696" s="293">
        <f>IF(AND(B696="",C696=""),"",ROUND(F696*G696,2))</f>
        <v/>
      </c>
      <c r="I696" s="91" t="n"/>
      <c r="J696" s="329">
        <f>IF(AND(B696="",C696=""),"",ROUND(M696*N696,2))</f>
        <v/>
      </c>
      <c r="K696" s="330">
        <f>IF(AND(B696="",C696=""),"",ROUND(J696*F696,2))</f>
        <v/>
      </c>
      <c r="L696" s="126" t="n">
        <v>1</v>
      </c>
      <c r="M696" s="331" t="n">
        <v>1e-07</v>
      </c>
      <c r="N696" s="128" t="n">
        <v>0</v>
      </c>
      <c r="O696" s="129">
        <f t="array" ref="O696">IF(AND(B696="",C696=""),"",IF(G696&gt;=20000,0.05,IF(G696&gt;=10000,0.1,IF(G696&gt;=5000,0.2,IF(G696&gt;=1000,0.3,IF(G696&gt;=0,0.4,{0}))))))</f>
        <v/>
      </c>
      <c r="P696" s="332">
        <f>IF(AND(B696="",C696=""),"",ROUND(H696*O696,2))</f>
        <v/>
      </c>
      <c r="Q696" s="327" t="inlineStr">
        <is>
          <t>元件</t>
        </is>
      </c>
      <c r="R696" s="150" t="n"/>
      <c r="S696" s="150" t="n"/>
      <c r="T696" s="150" t="inlineStr">
        <is>
          <t>0</t>
        </is>
      </c>
      <c r="U696" s="150" t="n"/>
      <c r="V696" s="328" t="n"/>
      <c r="W696" s="328" t="n"/>
      <c r="X696" s="152" t="n"/>
    </row>
    <row r="697" customFormat="1" s="145">
      <c r="A697" s="36">
        <f>ROW()-ROW(A$685)</f>
        <v/>
      </c>
      <c r="B697" s="29" t="inlineStr">
        <is>
          <t>指示灯</t>
        </is>
      </c>
      <c r="C697" s="29" t="inlineStr">
        <is>
          <t>XA2EVM3LC</t>
        </is>
      </c>
      <c r="D697" s="29" t="inlineStr">
        <is>
          <t>施耐德电气</t>
        </is>
      </c>
      <c r="E697" s="30" t="inlineStr">
        <is>
          <t>只</t>
        </is>
      </c>
      <c r="F697" s="30" t="n">
        <v>4</v>
      </c>
      <c r="G697" s="297">
        <f>IF(AND(B697="",C697=""),"",ROUND(M697*L697*N697,2))</f>
        <v/>
      </c>
      <c r="H697" s="297">
        <f>IF(AND(B697="",C697=""),"",ROUND(F697*G697,2))</f>
        <v/>
      </c>
      <c r="I697" s="136" t="n"/>
      <c r="J697" s="329">
        <f>IF(AND(B697="",C697=""),"",ROUND(M697*N697,2))</f>
        <v/>
      </c>
      <c r="K697" s="330">
        <f>IF(AND(B697="",C697=""),"",ROUND(J697*F697,2))</f>
        <v/>
      </c>
      <c r="L697" s="126" t="n">
        <v>1</v>
      </c>
      <c r="M697" s="331" t="n">
        <v>16.43</v>
      </c>
      <c r="N697" s="137" t="n">
        <v>0.5</v>
      </c>
      <c r="O697" s="138">
        <f t="array" ref="O697">IF(AND(B697="",C697=""),"",IF(G697&gt;=20000,0.05,IF(G697&gt;=10000,0.1,IF(G697&gt;=5000,0.2,IF(G697&gt;=1000,0.3,IF(G697&gt;=0,0.4,{0}))))))</f>
        <v/>
      </c>
      <c r="P697" s="333">
        <f>IF(AND(B697="",C697=""),"",ROUND(H697*O697,2))</f>
        <v/>
      </c>
      <c r="Q697" s="334" t="inlineStr">
        <is>
          <t>元件</t>
        </is>
      </c>
      <c r="R697" s="154" t="n"/>
      <c r="S697" s="154" t="n"/>
      <c r="T697" s="154" t="inlineStr">
        <is>
          <t>0</t>
        </is>
      </c>
      <c r="U697" s="154" t="inlineStr">
        <is>
          <t>XA2EVM3LC</t>
        </is>
      </c>
      <c r="V697" s="335" t="n"/>
      <c r="W697" s="335" t="n"/>
      <c r="X697" s="152" t="n"/>
    </row>
    <row r="698" customFormat="1" s="145">
      <c r="A698" s="36">
        <f>ROW()-ROW(A$685)</f>
        <v/>
      </c>
      <c r="B698" s="29" t="inlineStr">
        <is>
          <t>指示灯</t>
        </is>
      </c>
      <c r="C698" s="25" t="inlineStr">
        <is>
          <t>XA2EVM4LC</t>
        </is>
      </c>
      <c r="D698" s="29" t="inlineStr">
        <is>
          <t>施耐德电气</t>
        </is>
      </c>
      <c r="E698" s="30" t="inlineStr">
        <is>
          <t>只</t>
        </is>
      </c>
      <c r="F698" s="30" t="n">
        <v>4</v>
      </c>
      <c r="G698" s="297">
        <f>IF(AND(B698="",C698=""),"",ROUND(M698*L698*N698,2))</f>
        <v/>
      </c>
      <c r="H698" s="297">
        <f>IF(AND(B698="",C698=""),"",ROUND(F698*G698,2))</f>
        <v/>
      </c>
      <c r="I698" s="136" t="n"/>
      <c r="J698" s="329">
        <f>IF(AND(B698="",C698=""),"",ROUND(M698*N698,2))</f>
        <v/>
      </c>
      <c r="K698" s="330">
        <f>IF(AND(B698="",C698=""),"",ROUND(J698*F698,2))</f>
        <v/>
      </c>
      <c r="L698" s="126" t="n">
        <v>1</v>
      </c>
      <c r="M698" s="331" t="n">
        <v>16.43</v>
      </c>
      <c r="N698" s="137" t="n">
        <v>0.5</v>
      </c>
      <c r="O698" s="138">
        <f t="array" ref="O698">IF(AND(B698="",C698=""),"",IF(G698&gt;=20000,0.05,IF(G698&gt;=10000,0.1,IF(G698&gt;=5000,0.2,IF(G698&gt;=1000,0.3,IF(G698&gt;=0,0.4,{0}))))))</f>
        <v/>
      </c>
      <c r="P698" s="333">
        <f>IF(AND(B698="",C698=""),"",ROUND(H698*O698,2))</f>
        <v/>
      </c>
      <c r="Q698" s="334" t="inlineStr">
        <is>
          <t>元件</t>
        </is>
      </c>
      <c r="R698" s="154" t="n"/>
      <c r="S698" s="154" t="n"/>
      <c r="T698" s="154" t="inlineStr">
        <is>
          <t>0</t>
        </is>
      </c>
      <c r="U698" s="154" t="inlineStr">
        <is>
          <t>XA2EVM4LC</t>
        </is>
      </c>
      <c r="V698" s="335" t="n"/>
      <c r="W698" s="335" t="n"/>
      <c r="X698" s="152" t="n"/>
    </row>
    <row r="699" customFormat="1" s="145">
      <c r="A699" s="36">
        <f>ROW()-ROW(A$685)</f>
        <v/>
      </c>
      <c r="B699" s="29" t="inlineStr">
        <is>
          <t>指示灯</t>
        </is>
      </c>
      <c r="C699" s="29" t="inlineStr">
        <is>
          <t>XA2EVM5LC</t>
        </is>
      </c>
      <c r="D699" s="29" t="inlineStr">
        <is>
          <t>施耐德电气</t>
        </is>
      </c>
      <c r="E699" s="30" t="inlineStr">
        <is>
          <t>只</t>
        </is>
      </c>
      <c r="F699" s="30" t="n">
        <v>1</v>
      </c>
      <c r="G699" s="297">
        <f>IF(AND(B699="",C699=""),"",ROUND(M699*L699*N699,2))</f>
        <v/>
      </c>
      <c r="H699" s="297">
        <f>IF(AND(B699="",C699=""),"",ROUND(F699*G699,2))</f>
        <v/>
      </c>
      <c r="I699" s="136" t="n"/>
      <c r="J699" s="329">
        <f>IF(AND(B699="",C699=""),"",ROUND(M699*N699,2))</f>
        <v/>
      </c>
      <c r="K699" s="330">
        <f>IF(AND(B699="",C699=""),"",ROUND(J699*F699,2))</f>
        <v/>
      </c>
      <c r="L699" s="126" t="n">
        <v>1</v>
      </c>
      <c r="M699" s="331" t="n">
        <v>16.43</v>
      </c>
      <c r="N699" s="137" t="n">
        <v>0.5</v>
      </c>
      <c r="O699" s="138">
        <f t="array" ref="O699">IF(AND(B699="",C699=""),"",IF(G699&gt;=20000,0.05,IF(G699&gt;=10000,0.1,IF(G699&gt;=5000,0.2,IF(G699&gt;=1000,0.3,IF(G699&gt;=0,0.4,{0}))))))</f>
        <v/>
      </c>
      <c r="P699" s="333">
        <f>IF(AND(B699="",C699=""),"",ROUND(H699*O699,2))</f>
        <v/>
      </c>
      <c r="Q699" s="334" t="inlineStr">
        <is>
          <t>元件</t>
        </is>
      </c>
      <c r="R699" s="154" t="n"/>
      <c r="S699" s="154" t="n"/>
      <c r="T699" s="154" t="inlineStr">
        <is>
          <t>0</t>
        </is>
      </c>
      <c r="U699" s="154" t="inlineStr">
        <is>
          <t>XA2EVM5LC</t>
        </is>
      </c>
      <c r="V699" s="335" t="n"/>
      <c r="W699" s="335" t="n"/>
      <c r="X699" s="152" t="n"/>
    </row>
    <row r="700" customFormat="1" s="145">
      <c r="A700" s="36">
        <f>ROW()-ROW(A$685)</f>
        <v/>
      </c>
      <c r="B700" s="29" t="inlineStr">
        <is>
          <t>按钮</t>
        </is>
      </c>
      <c r="C700" s="29" t="inlineStr">
        <is>
          <t>XA2EA31</t>
        </is>
      </c>
      <c r="D700" s="29" t="inlineStr">
        <is>
          <t>施耐德电气</t>
        </is>
      </c>
      <c r="E700" s="30" t="inlineStr">
        <is>
          <t>只</t>
        </is>
      </c>
      <c r="F700" s="30" t="n">
        <v>1</v>
      </c>
      <c r="G700" s="297">
        <f>IF(AND(B700="",C700=""),"",ROUND(M700*L700*N700,2))</f>
        <v/>
      </c>
      <c r="H700" s="297">
        <f>IF(AND(B700="",C700=""),"",ROUND(F700*G700,2))</f>
        <v/>
      </c>
      <c r="I700" s="136" t="n"/>
      <c r="J700" s="329">
        <f>IF(AND(B700="",C700=""),"",ROUND(M700*N700,2))</f>
        <v/>
      </c>
      <c r="K700" s="330">
        <f>IF(AND(B700="",C700=""),"",ROUND(J700*F700,2))</f>
        <v/>
      </c>
      <c r="L700" s="126" t="n">
        <v>1</v>
      </c>
      <c r="M700" s="331" t="n">
        <v>15.55</v>
      </c>
      <c r="N700" s="137" t="n">
        <v>0.5</v>
      </c>
      <c r="O700" s="138">
        <f t="array" ref="O700">IF(AND(B700="",C700=""),"",IF(G700&gt;=20000,0.05,IF(G700&gt;=10000,0.1,IF(G700&gt;=5000,0.2,IF(G700&gt;=1000,0.3,IF(G700&gt;=0,0.4,{0}))))))</f>
        <v/>
      </c>
      <c r="P700" s="333">
        <f>IF(AND(B700="",C700=""),"",ROUND(H700*O700,2))</f>
        <v/>
      </c>
      <c r="Q700" s="334" t="inlineStr">
        <is>
          <t>元件</t>
        </is>
      </c>
      <c r="R700" s="154" t="n"/>
      <c r="S700" s="154" t="n"/>
      <c r="T700" s="154" t="inlineStr">
        <is>
          <t>0</t>
        </is>
      </c>
      <c r="U700" s="154" t="inlineStr">
        <is>
          <t>XA2EA31</t>
        </is>
      </c>
      <c r="V700" s="335" t="n"/>
      <c r="W700" s="335" t="n"/>
      <c r="X700" s="152" t="n"/>
    </row>
    <row r="701" customFormat="1" s="145">
      <c r="A701" s="36">
        <f>ROW()-ROW(A$685)</f>
        <v/>
      </c>
      <c r="B701" s="25" t="inlineStr">
        <is>
          <t>按钮</t>
        </is>
      </c>
      <c r="C701" s="25" t="inlineStr">
        <is>
          <t>XA2EA41</t>
        </is>
      </c>
      <c r="D701" s="25" t="inlineStr">
        <is>
          <t>施耐德电气</t>
        </is>
      </c>
      <c r="E701" s="26" t="inlineStr">
        <is>
          <t>只</t>
        </is>
      </c>
      <c r="F701" s="26" t="n">
        <v>1</v>
      </c>
      <c r="G701" s="293">
        <f>IF(AND(B701="",C701=""),"",ROUND(M701*L701*N701,2))</f>
        <v/>
      </c>
      <c r="H701" s="297">
        <f>IF(AND(B701="",C701=""),"",ROUND(F701*G701,2))</f>
        <v/>
      </c>
      <c r="I701" s="136" t="n"/>
      <c r="J701" s="329">
        <f>IF(AND(B701="",C701=""),"",ROUND(M701*N701,2))</f>
        <v/>
      </c>
      <c r="K701" s="330">
        <f>IF(AND(B701="",C701=""),"",ROUND(J701*F701,2))</f>
        <v/>
      </c>
      <c r="L701" s="126" t="n">
        <v>1</v>
      </c>
      <c r="M701" s="331" t="n">
        <v>15.55</v>
      </c>
      <c r="N701" s="137" t="n">
        <v>0.5</v>
      </c>
      <c r="O701" s="138">
        <f t="array" ref="O701">IF(AND(B701="",C701=""),"",IF(G701&gt;=20000,0.05,IF(G701&gt;=10000,0.1,IF(G701&gt;=5000,0.2,IF(G701&gt;=1000,0.3,IF(G701&gt;=0,0.4,{0}))))))</f>
        <v/>
      </c>
      <c r="P701" s="333">
        <f>IF(AND(B701="",C701=""),"",ROUND(H701*O701,2))</f>
        <v/>
      </c>
      <c r="Q701" s="334" t="inlineStr">
        <is>
          <t>元件</t>
        </is>
      </c>
      <c r="R701" s="154" t="n"/>
      <c r="S701" s="154" t="n"/>
      <c r="T701" s="154" t="inlineStr">
        <is>
          <t>0</t>
        </is>
      </c>
      <c r="U701" s="154" t="inlineStr">
        <is>
          <t>XA2EA41</t>
        </is>
      </c>
      <c r="V701" s="335" t="n"/>
      <c r="W701" s="335" t="n"/>
      <c r="X701" s="152" t="n"/>
    </row>
    <row r="702" customFormat="1" s="145">
      <c r="A702" s="36">
        <f>ROW()-ROW(A$685)</f>
        <v/>
      </c>
      <c r="B702" s="25" t="inlineStr">
        <is>
          <t>中间继电器</t>
        </is>
      </c>
      <c r="C702" s="25" t="inlineStr">
        <is>
          <t>RXM4AB2P7+RXZE1M4C+RXZ410</t>
        </is>
      </c>
      <c r="D702" s="25" t="inlineStr">
        <is>
          <t>甲供/施耐德电气</t>
        </is>
      </c>
      <c r="E702" s="26" t="inlineStr">
        <is>
          <t>只</t>
        </is>
      </c>
      <c r="F702" s="26" t="n">
        <v>4</v>
      </c>
      <c r="G702" s="292">
        <f>IF(AND(B702="",C702=""),"",ROUND(M702*L702*N702,2))</f>
        <v/>
      </c>
      <c r="H702" s="297">
        <f>IF(AND(B702="",C702=""),"",ROUND(F702*G702,2))</f>
        <v/>
      </c>
      <c r="I702" s="135" t="n"/>
      <c r="J702" s="329">
        <f>IF(AND(B702="",C702=""),"",ROUND(M702*N702,2))</f>
        <v/>
      </c>
      <c r="K702" s="330">
        <f>IF(AND(B702="",C702=""),"",ROUND(J702*F702,2))</f>
        <v/>
      </c>
      <c r="L702" s="126" t="n">
        <v>1</v>
      </c>
      <c r="M702" s="331" t="n">
        <v>1e-07</v>
      </c>
      <c r="N702" s="128" t="n">
        <v>0</v>
      </c>
      <c r="O702" s="129">
        <f t="array" ref="O702">IF(AND(B702="",C702=""),"",IF(G702&gt;=20000,0.05,IF(G702&gt;=10000,0.1,IF(G702&gt;=5000,0.2,IF(G702&gt;=1000,0.3,IF(G702&gt;=0,0.4,{0}))))))</f>
        <v/>
      </c>
      <c r="P702" s="332">
        <f>IF(AND(B702="",C702=""),"",ROUND(H702*O702,2))</f>
        <v/>
      </c>
      <c r="Q702" s="327" t="inlineStr">
        <is>
          <t>元件</t>
        </is>
      </c>
      <c r="R702" s="150" t="n"/>
      <c r="S702" s="150" t="n"/>
      <c r="T702" s="150" t="inlineStr">
        <is>
          <t>0</t>
        </is>
      </c>
      <c r="U702" s="150" t="n"/>
      <c r="V702" s="328" t="n"/>
      <c r="W702" s="328" t="n"/>
      <c r="X702" s="152" t="n"/>
    </row>
    <row r="703" customFormat="1" s="145">
      <c r="A703" s="36">
        <f>ROW()-ROW(A$685)</f>
        <v/>
      </c>
      <c r="B703" s="25" t="inlineStr">
        <is>
          <t>熔断器</t>
        </is>
      </c>
      <c r="C703" s="25" t="inlineStr">
        <is>
          <t>UK5-HESI</t>
        </is>
      </c>
      <c r="D703" s="25" t="inlineStr">
        <is>
          <t>菲尼克斯</t>
        </is>
      </c>
      <c r="E703" s="26" t="inlineStr">
        <is>
          <t>只</t>
        </is>
      </c>
      <c r="F703" s="26" t="n">
        <v>16</v>
      </c>
      <c r="G703" s="293">
        <f>IF(AND(B703="",C703=""),"",ROUND(M703*L703*N703,2))</f>
        <v/>
      </c>
      <c r="H703" s="297">
        <f>IF(AND(B703="",C703=""),"",ROUND(F703*G703,2))</f>
        <v/>
      </c>
      <c r="I703" s="136" t="n"/>
      <c r="J703" s="329">
        <f>IF(AND(B703="",C703=""),"",ROUND(M703*N703,2))</f>
        <v/>
      </c>
      <c r="K703" s="330">
        <f>IF(AND(B703="",C703=""),"",ROUND(J703*F703,2))</f>
        <v/>
      </c>
      <c r="L703" s="126" t="n">
        <v>1</v>
      </c>
      <c r="M703" s="331" t="n">
        <v>7</v>
      </c>
      <c r="N703" s="137" t="n">
        <v>1</v>
      </c>
      <c r="O703" s="138">
        <f t="array" ref="O703">IF(AND(B703="",C703=""),"",IF(G703&gt;=20000,0.05,IF(G703&gt;=10000,0.1,IF(G703&gt;=5000,0.2,IF(G703&gt;=1000,0.3,IF(G703&gt;=0,0.4,{0}))))))</f>
        <v/>
      </c>
      <c r="P703" s="333">
        <f>IF(AND(B703="",C703=""),"",ROUND(H703*O703,2))</f>
        <v/>
      </c>
      <c r="Q703" s="334" t="inlineStr">
        <is>
          <t>元件</t>
        </is>
      </c>
      <c r="R703" s="154" t="n"/>
      <c r="S703" s="154" t="n"/>
      <c r="T703" s="154" t="inlineStr">
        <is>
          <t>0</t>
        </is>
      </c>
      <c r="U703" s="154" t="n"/>
      <c r="V703" s="335" t="n"/>
      <c r="W703" s="335" t="n"/>
      <c r="X703" s="152" t="n"/>
    </row>
    <row r="704" customFormat="1" s="145">
      <c r="A704" s="36">
        <f>ROW()-ROW(A$685)</f>
        <v/>
      </c>
      <c r="B704" s="29" t="inlineStr">
        <is>
          <t>SP元件</t>
        </is>
      </c>
      <c r="C704" s="25" t="inlineStr">
        <is>
          <t>智能网关 PAS700</t>
        </is>
      </c>
      <c r="D704" s="25" t="inlineStr">
        <is>
          <t>甲供/施耐德电气</t>
        </is>
      </c>
      <c r="E704" s="30" t="inlineStr">
        <is>
          <t>只</t>
        </is>
      </c>
      <c r="F704" s="30">
        <f>IF(AND(B704="",C704=""),"",1)</f>
        <v/>
      </c>
      <c r="G704" s="297">
        <f>IF(AND(B704="",C704=""),"",ROUND(M704*L704*N704,2))</f>
        <v/>
      </c>
      <c r="H704" s="297">
        <f>IF(AND(B704="",C704=""),"",ROUND(F704*G704,2))</f>
        <v/>
      </c>
      <c r="I704" s="135" t="n"/>
      <c r="J704" s="329">
        <f>IF(AND(B704="",C704=""),"",ROUND(M704*N704,2))</f>
        <v/>
      </c>
      <c r="K704" s="330">
        <f>IF(AND(B704="",C704=""),"",ROUND(J704*F704,2))</f>
        <v/>
      </c>
      <c r="L704" s="126" t="n">
        <v>1</v>
      </c>
      <c r="M704" s="331" t="n">
        <v>1e-07</v>
      </c>
      <c r="N704" s="128" t="n">
        <v>0</v>
      </c>
      <c r="O704" s="129">
        <f t="array" ref="O704">IF(AND(B704="",C704=""),"",IF(G704&gt;=20000,0.05,IF(G704&gt;=10000,0.1,IF(G704&gt;=5000,0.2,IF(G704&gt;=1000,0.3,IF(G704&gt;=0,0.4,{0}))))))</f>
        <v/>
      </c>
      <c r="P704" s="332">
        <f>IF(AND(B704="",C704=""),"",ROUND(H704*O704,2))</f>
        <v/>
      </c>
      <c r="Q704" s="327" t="inlineStr">
        <is>
          <t>元件</t>
        </is>
      </c>
      <c r="R704" s="150" t="n"/>
      <c r="S704" s="150" t="n"/>
      <c r="T704" s="150" t="inlineStr">
        <is>
          <t>0</t>
        </is>
      </c>
      <c r="U704" s="150" t="n"/>
      <c r="V704" s="328" t="n"/>
      <c r="W704" s="328" t="n"/>
      <c r="X704" s="152" t="n"/>
    </row>
    <row r="705" customFormat="1" s="145">
      <c r="A705" s="36">
        <f>ROW()-ROW(A$685)</f>
        <v/>
      </c>
      <c r="B705" s="25" t="inlineStr">
        <is>
          <t>水平排4000A</t>
        </is>
      </c>
      <c r="C705" s="25" t="inlineStr">
        <is>
          <t>TMY 3*(4*125*5)+2*125*5+2*50*5</t>
        </is>
      </c>
      <c r="D705" s="25" t="inlineStr">
        <is>
          <t>国产优质</t>
        </is>
      </c>
      <c r="E705" s="26" t="inlineStr">
        <is>
          <t>米</t>
        </is>
      </c>
      <c r="F705" s="30" t="n">
        <v>0.8</v>
      </c>
      <c r="G705" s="297">
        <f>IF(AND(B705="",C705=""),"",ROUND(M705*L705*N705,2))</f>
        <v/>
      </c>
      <c r="H705" s="297">
        <f>IF(AND(B705="",C705=""),"",ROUND(F705*G705,2))</f>
        <v/>
      </c>
      <c r="I705" s="135" t="n"/>
      <c r="J705" s="329">
        <f>IF(AND(B705="",C705=""),"",ROUND(M705*N705,2))</f>
        <v/>
      </c>
      <c r="K705" s="330">
        <f>IF(AND(B705="",C705=""),"",ROUND(J705*F705,2))</f>
        <v/>
      </c>
      <c r="L705" s="126" t="n">
        <v>1</v>
      </c>
      <c r="M705" s="331" t="n">
        <v>6895.130375</v>
      </c>
      <c r="N705" s="128" t="n">
        <v>1</v>
      </c>
      <c r="O705" s="129">
        <f t="array" ref="O705">IF(AND(B705="",C705=""),"",IF(G705&gt;=20000,0.05,IF(G705&gt;=10000,0.1,IF(G705&gt;=5000,0.2,IF(G705&gt;=1000,0.3,IF(G705&gt;=0,0.4,{0}))))))</f>
        <v/>
      </c>
      <c r="P705" s="332">
        <f>IF(AND(B705="",C705=""),"",ROUND(H705*O705,2))</f>
        <v/>
      </c>
      <c r="Q705" s="327" t="inlineStr">
        <is>
          <t>母排</t>
        </is>
      </c>
      <c r="R705" s="150" t="n"/>
      <c r="S705" s="150" t="n"/>
      <c r="T705" s="150" t="inlineStr">
        <is>
          <t>0</t>
        </is>
      </c>
      <c r="U705" s="150" t="n"/>
      <c r="V705" s="328" t="n"/>
      <c r="W705" s="328" t="n"/>
      <c r="X705" s="152" t="n"/>
    </row>
    <row r="706" customFormat="1" s="145">
      <c r="A706" s="36">
        <f>ROW()-ROW(A$685)</f>
        <v/>
      </c>
      <c r="B706" s="25" t="inlineStr">
        <is>
          <t>MT08上桩头</t>
        </is>
      </c>
      <c r="C706" s="25" t="inlineStr">
        <is>
          <t>TMY 3*(2*60*5)</t>
        </is>
      </c>
      <c r="D706" s="25" t="inlineStr">
        <is>
          <t>国产优质</t>
        </is>
      </c>
      <c r="E706" s="26" t="inlineStr">
        <is>
          <t>米</t>
        </is>
      </c>
      <c r="F706" s="26" t="n">
        <v>0.8</v>
      </c>
      <c r="G706" s="293">
        <f>IF(AND(B706="",C706=""),"",ROUND(M706*L706*N706,2))</f>
        <v/>
      </c>
      <c r="H706" s="293">
        <f>IF(AND(B706="",C706=""),"",ROUND(F706*G706,2))</f>
        <v/>
      </c>
      <c r="I706" s="91" t="n"/>
      <c r="J706" s="329">
        <f>IF(AND(B706="",C706=""),"",ROUND(M706*N706,2))</f>
        <v/>
      </c>
      <c r="K706" s="330">
        <f>IF(AND(B706="",C706=""),"",ROUND(J706*F706,2))</f>
        <v/>
      </c>
      <c r="L706" s="126" t="n">
        <v>1</v>
      </c>
      <c r="M706" s="331" t="n">
        <v>1341.7551</v>
      </c>
      <c r="N706" s="128" t="n">
        <v>1</v>
      </c>
      <c r="O706" s="129">
        <f t="array" ref="O706">IF(AND(B706="",C706=""),"",IF(G706&gt;=20000,0.05,IF(G706&gt;=10000,0.1,IF(G706&gt;=5000,0.2,IF(G706&gt;=1000,0.3,IF(G706&gt;=0,0.4,{0}))))))</f>
        <v/>
      </c>
      <c r="P706" s="332">
        <f>IF(AND(B706="",C706=""),"",ROUND(H706*O706,2))</f>
        <v/>
      </c>
      <c r="Q706" s="327" t="inlineStr">
        <is>
          <t>母排</t>
        </is>
      </c>
      <c r="R706" s="150" t="n"/>
      <c r="S706" s="150" t="n"/>
      <c r="T706" s="150" t="inlineStr">
        <is>
          <t>0</t>
        </is>
      </c>
      <c r="U706" s="150" t="n"/>
      <c r="V706" s="328" t="n"/>
      <c r="W706" s="328" t="n"/>
      <c r="X706" s="152" t="n"/>
    </row>
    <row r="707" customFormat="1" s="145">
      <c r="A707" s="36">
        <f>ROW()-ROW(A$685)</f>
        <v/>
      </c>
      <c r="B707" s="25" t="inlineStr">
        <is>
          <t>MT08下桩头</t>
        </is>
      </c>
      <c r="C707" s="25" t="inlineStr">
        <is>
          <t>TMY 3*(2*60*5)</t>
        </is>
      </c>
      <c r="D707" s="25" t="inlineStr">
        <is>
          <t>国产优质</t>
        </is>
      </c>
      <c r="E707" s="26" t="inlineStr">
        <is>
          <t>米</t>
        </is>
      </c>
      <c r="F707" s="30" t="n">
        <v>0.65</v>
      </c>
      <c r="G707" s="297">
        <f>IF(AND(B707="",C707=""),"",ROUND(M707*L707*N707,2))</f>
        <v/>
      </c>
      <c r="H707" s="293">
        <f>IF(AND(B707="",C707=""),"",ROUND(F707*G707,2))</f>
        <v/>
      </c>
      <c r="I707" s="91" t="n"/>
      <c r="J707" s="329">
        <f>IF(AND(B707="",C707=""),"",ROUND(M707*N707,2))</f>
        <v/>
      </c>
      <c r="K707" s="330">
        <f>IF(AND(B707="",C707=""),"",ROUND(J707*F707,2))</f>
        <v/>
      </c>
      <c r="L707" s="126" t="n">
        <v>1</v>
      </c>
      <c r="M707" s="331" t="n">
        <v>1341.7551</v>
      </c>
      <c r="N707" s="128" t="n">
        <v>1</v>
      </c>
      <c r="O707" s="129">
        <f t="array" ref="O707">IF(AND(B707="",C707=""),"",IF(G707&gt;=20000,0.05,IF(G707&gt;=10000,0.1,IF(G707&gt;=5000,0.2,IF(G707&gt;=1000,0.3,IF(G707&gt;=0,0.4,{0}))))))</f>
        <v/>
      </c>
      <c r="P707" s="332">
        <f>IF(AND(B707="",C707=""),"",ROUND(H707*O707,2))</f>
        <v/>
      </c>
      <c r="Q707" s="327" t="inlineStr">
        <is>
          <t>母排</t>
        </is>
      </c>
      <c r="R707" s="150" t="n"/>
      <c r="S707" s="150" t="n"/>
      <c r="T707" s="150" t="inlineStr">
        <is>
          <t>0</t>
        </is>
      </c>
      <c r="U707" s="150" t="n"/>
      <c r="V707" s="328" t="n"/>
      <c r="W707" s="328" t="n"/>
      <c r="X707" s="152" t="n"/>
    </row>
    <row r="708" customFormat="1" s="145">
      <c r="A708" s="36">
        <f>ROW()-ROW(A$685)</f>
        <v/>
      </c>
      <c r="B708" s="25" t="inlineStr">
        <is>
          <t>垂直排</t>
        </is>
      </c>
      <c r="C708" s="25" t="inlineStr">
        <is>
          <t>TMY 40*10</t>
        </is>
      </c>
      <c r="D708" s="25" t="inlineStr">
        <is>
          <t>国产优质</t>
        </is>
      </c>
      <c r="E708" s="26" t="inlineStr">
        <is>
          <t>米</t>
        </is>
      </c>
      <c r="F708" s="30" t="n">
        <v>5.7</v>
      </c>
      <c r="G708" s="297">
        <f>IF(AND(B708="",C708=""),"",ROUND(M708*L708*N708,2))</f>
        <v/>
      </c>
      <c r="H708" s="297">
        <f>IF(AND(B708="",C708=""),"",ROUND(F708*G708,2))</f>
        <v/>
      </c>
      <c r="I708" s="135" t="n"/>
      <c r="J708" s="329">
        <f>IF(AND(B708="",C708=""),"",ROUND(M708*N708,2))</f>
        <v/>
      </c>
      <c r="K708" s="330">
        <f>IF(AND(B708="",C708=""),"",ROUND(J708*F708,2))</f>
        <v/>
      </c>
      <c r="L708" s="126" t="n">
        <v>1</v>
      </c>
      <c r="M708" s="331" t="n">
        <v>298.1678</v>
      </c>
      <c r="N708" s="128" t="n">
        <v>1</v>
      </c>
      <c r="O708" s="129">
        <f t="array" ref="O708">IF(AND(B708="",C708=""),"",IF(G708&gt;=20000,0.05,IF(G708&gt;=10000,0.1,IF(G708&gt;=5000,0.2,IF(G708&gt;=1000,0.3,IF(G708&gt;=0,0.4,{0}))))))</f>
        <v/>
      </c>
      <c r="P708" s="332">
        <f>IF(AND(B708="",C708=""),"",ROUND(H708*O708,2))</f>
        <v/>
      </c>
      <c r="Q708" s="327" t="inlineStr">
        <is>
          <t>母排</t>
        </is>
      </c>
      <c r="R708" s="150" t="n"/>
      <c r="S708" s="150" t="n"/>
      <c r="T708" s="150" t="inlineStr">
        <is>
          <t>0</t>
        </is>
      </c>
      <c r="U708" s="150" t="n"/>
      <c r="V708" s="328" t="n"/>
      <c r="W708" s="328" t="n"/>
      <c r="X708" s="152" t="n"/>
    </row>
    <row r="709" customFormat="1" s="145">
      <c r="A709" s="36">
        <f>ROW()-ROW(A$685)</f>
        <v/>
      </c>
      <c r="B709" s="25" t="inlineStr">
        <is>
          <t>连接排</t>
        </is>
      </c>
      <c r="C709" s="25" t="inlineStr">
        <is>
          <t>TMY 50*10</t>
        </is>
      </c>
      <c r="D709" s="25" t="inlineStr">
        <is>
          <t>国产优质</t>
        </is>
      </c>
      <c r="E709" s="26" t="inlineStr">
        <is>
          <t>米</t>
        </is>
      </c>
      <c r="F709" s="30" t="n">
        <v>1.9</v>
      </c>
      <c r="G709" s="297">
        <f>IF(AND(B709="",C709=""),"",ROUND(M709*L709*N709,2))</f>
        <v/>
      </c>
      <c r="H709" s="297">
        <f>IF(AND(B709="",C709=""),"",ROUND(F709*G709,2))</f>
        <v/>
      </c>
      <c r="I709" s="135" t="n"/>
      <c r="J709" s="329">
        <f>IF(AND(B709="",C709=""),"",ROUND(M709*N709,2))</f>
        <v/>
      </c>
      <c r="K709" s="330">
        <f>IF(AND(B709="",C709=""),"",ROUND(J709*F709,2))</f>
        <v/>
      </c>
      <c r="L709" s="126" t="n">
        <v>1</v>
      </c>
      <c r="M709" s="331" t="n">
        <v>372.70975</v>
      </c>
      <c r="N709" s="128" t="n">
        <v>1</v>
      </c>
      <c r="O709" s="129">
        <f t="array" ref="O709">IF(AND(B709="",C709=""),"",IF(G709&gt;=20000,0.05,IF(G709&gt;=10000,0.1,IF(G709&gt;=5000,0.2,IF(G709&gt;=1000,0.3,IF(G709&gt;=0,0.4,{0}))))))</f>
        <v/>
      </c>
      <c r="P709" s="332">
        <f>IF(AND(B709="",C709=""),"",ROUND(H709*O709,2))</f>
        <v/>
      </c>
      <c r="Q709" s="327" t="inlineStr">
        <is>
          <t>母排</t>
        </is>
      </c>
      <c r="R709" s="150" t="n"/>
      <c r="S709" s="150" t="n"/>
      <c r="T709" s="150" t="inlineStr">
        <is>
          <t>0</t>
        </is>
      </c>
      <c r="U709" s="150" t="n"/>
      <c r="V709" s="328" t="n"/>
      <c r="W709" s="328" t="n"/>
      <c r="X709" s="152" t="n"/>
    </row>
    <row r="710" customFormat="1" s="145">
      <c r="A710" s="36">
        <f>ROW()-ROW(A$685)</f>
        <v/>
      </c>
      <c r="B710" s="25" t="inlineStr">
        <is>
          <t>N排</t>
        </is>
      </c>
      <c r="C710" s="25" t="inlineStr">
        <is>
          <t>TMY 50*5</t>
        </is>
      </c>
      <c r="D710" s="25" t="inlineStr">
        <is>
          <t>国产优质</t>
        </is>
      </c>
      <c r="E710" s="26" t="inlineStr">
        <is>
          <t>米</t>
        </is>
      </c>
      <c r="F710" s="30" t="n">
        <v>2.8</v>
      </c>
      <c r="G710" s="297">
        <f>IF(AND(B710="",C710=""),"",ROUND(M710*L710*N710,2))</f>
        <v/>
      </c>
      <c r="H710" s="297">
        <f>IF(AND(B710="",C710=""),"",ROUND(F710*G710,2))</f>
        <v/>
      </c>
      <c r="I710" s="135" t="n"/>
      <c r="J710" s="329">
        <f>IF(AND(B710="",C710=""),"",ROUND(M710*N710,2))</f>
        <v/>
      </c>
      <c r="K710" s="330">
        <f>IF(AND(B710="",C710=""),"",ROUND(J710*F710,2))</f>
        <v/>
      </c>
      <c r="L710" s="126" t="n">
        <v>1</v>
      </c>
      <c r="M710" s="331" t="n">
        <v>186.354875</v>
      </c>
      <c r="N710" s="128" t="n">
        <v>1</v>
      </c>
      <c r="O710" s="129">
        <f t="array" ref="O710">IF(AND(B710="",C710=""),"",IF(G710&gt;=20000,0.05,IF(G710&gt;=10000,0.1,IF(G710&gt;=5000,0.2,IF(G710&gt;=1000,0.3,IF(G710&gt;=0,0.4,{0}))))))</f>
        <v/>
      </c>
      <c r="P710" s="332">
        <f>IF(AND(B710="",C710=""),"",ROUND(H710*O710,2))</f>
        <v/>
      </c>
      <c r="Q710" s="327" t="inlineStr">
        <is>
          <t>母排</t>
        </is>
      </c>
      <c r="R710" s="150" t="n"/>
      <c r="S710" s="150" t="n"/>
      <c r="T710" s="150" t="inlineStr">
        <is>
          <t>0</t>
        </is>
      </c>
      <c r="U710" s="150" t="n"/>
      <c r="V710" s="328" t="n"/>
      <c r="W710" s="328" t="n"/>
      <c r="X710" s="152" t="n"/>
    </row>
    <row r="711" customFormat="1" s="145">
      <c r="A711" s="36">
        <f>ROW()-ROW(A$685)</f>
        <v/>
      </c>
      <c r="B711" s="25" t="inlineStr">
        <is>
          <t>400A连接排</t>
        </is>
      </c>
      <c r="C711" s="25" t="inlineStr">
        <is>
          <t>TMY 30*8</t>
        </is>
      </c>
      <c r="D711" s="25" t="inlineStr">
        <is>
          <t>国产优质</t>
        </is>
      </c>
      <c r="E711" s="26" t="inlineStr">
        <is>
          <t>米</t>
        </is>
      </c>
      <c r="F711" s="30">
        <f>3.2*2</f>
        <v/>
      </c>
      <c r="G711" s="297">
        <f>IF(AND(B711="",C711=""),"",ROUND(M711*L711*N711,2))</f>
        <v/>
      </c>
      <c r="H711" s="297">
        <f>IF(AND(B711="",C711=""),"",ROUND(F711*G711,2))</f>
        <v/>
      </c>
      <c r="I711" s="135" t="n"/>
      <c r="J711" s="329">
        <f>IF(AND(B711="",C711=""),"",ROUND(M711*N711,2))</f>
        <v/>
      </c>
      <c r="K711" s="330">
        <f>IF(AND(B711="",C711=""),"",ROUND(J711*F711,2))</f>
        <v/>
      </c>
      <c r="L711" s="126" t="n">
        <v>1</v>
      </c>
      <c r="M711" s="331" t="n">
        <v>178.90068</v>
      </c>
      <c r="N711" s="128" t="n">
        <v>1</v>
      </c>
      <c r="O711" s="129">
        <f t="array" ref="O711">IF(AND(B711="",C711=""),"",IF(G711&gt;=20000,0.05,IF(G711&gt;=10000,0.1,IF(G711&gt;=5000,0.2,IF(G711&gt;=1000,0.3,IF(G711&gt;=0,0.4,{0}))))))</f>
        <v/>
      </c>
      <c r="P711" s="332">
        <f>IF(AND(B711="",C711=""),"",ROUND(H711*O711,2))</f>
        <v/>
      </c>
      <c r="Q711" s="327" t="inlineStr">
        <is>
          <t>母排</t>
        </is>
      </c>
      <c r="R711" s="150" t="n"/>
      <c r="S711" s="150" t="n"/>
      <c r="T711" s="150" t="inlineStr">
        <is>
          <t>0</t>
        </is>
      </c>
      <c r="U711" s="150" t="n"/>
      <c r="V711" s="328" t="n"/>
      <c r="W711" s="328" t="n"/>
      <c r="X711" s="152" t="n"/>
    </row>
    <row r="712" customFormat="1" s="145">
      <c r="A712" s="36">
        <f>ROW()-ROW(A$685)</f>
        <v/>
      </c>
      <c r="B712" s="25" t="inlineStr">
        <is>
          <t>导线及辅料</t>
        </is>
      </c>
      <c r="C712" s="25" t="n"/>
      <c r="D712" s="25" t="inlineStr">
        <is>
          <t>国产优质</t>
        </is>
      </c>
      <c r="E712" s="26" t="inlineStr">
        <is>
          <t>套</t>
        </is>
      </c>
      <c r="F712" s="26" t="n">
        <v>1</v>
      </c>
      <c r="G712" s="293">
        <f>IF(AND(B712="",C712=""),"",ROUND(M712*L712*N712,2))</f>
        <v/>
      </c>
      <c r="H712" s="293">
        <f>IF(AND(B712="",C712=""),"",ROUND(F712*G712,2))</f>
        <v/>
      </c>
      <c r="I712" s="164" t="n"/>
      <c r="J712" s="329">
        <f>IF(AND(B712="",C712=""),"",ROUND(M712*N712,2))</f>
        <v/>
      </c>
      <c r="K712" s="330">
        <f>IF(AND(B712="",C712=""),"",ROUND(J712*F712,2))</f>
        <v/>
      </c>
      <c r="L712" s="126" t="n">
        <v>1</v>
      </c>
      <c r="M712" s="331" t="n">
        <v>1000</v>
      </c>
      <c r="N712" s="137" t="n">
        <v>1</v>
      </c>
      <c r="O712" s="138">
        <f t="array" ref="O712">IF(AND(B712="",C712=""),"",IF(G712&gt;=20000,0.05,IF(G712&gt;=10000,0.1,IF(G712&gt;=5000,0.2,IF(G712&gt;=1000,0.3,IF(G712&gt;=0,0.4,{0}))))))</f>
        <v/>
      </c>
      <c r="P712" s="333">
        <f>IF(AND(B712="",C712=""),"",ROUND(H712*O712,2))</f>
        <v/>
      </c>
      <c r="Q712" s="334" t="inlineStr">
        <is>
          <t>辅料</t>
        </is>
      </c>
      <c r="R712" s="154" t="n"/>
      <c r="S712" s="154" t="n"/>
      <c r="T712" s="154" t="inlineStr">
        <is>
          <t>0</t>
        </is>
      </c>
      <c r="U712" s="154" t="n"/>
      <c r="V712" s="335" t="n"/>
      <c r="W712" s="335" t="n"/>
      <c r="X712" s="152" t="n"/>
    </row>
    <row r="713" customFormat="1" s="145">
      <c r="A713" s="36">
        <f>ROW()-ROW(A$685)</f>
        <v/>
      </c>
      <c r="B713" s="25" t="inlineStr">
        <is>
          <t>通风顶盖</t>
        </is>
      </c>
      <c r="C713" s="25" t="n"/>
      <c r="D713" s="25" t="inlineStr">
        <is>
          <t>清科</t>
        </is>
      </c>
      <c r="E713" s="30" t="inlineStr">
        <is>
          <t>台</t>
        </is>
      </c>
      <c r="F713" s="26">
        <f>IF(AND(B713="",C713=""),"",1)</f>
        <v/>
      </c>
      <c r="G713" s="293">
        <f>IF(AND(B713="",C713=""),"",ROUND(M713*L713*N713,2))</f>
        <v/>
      </c>
      <c r="H713" s="293">
        <f>IF(AND(B713="",C713=""),"",ROUND(F713*G713,2))</f>
        <v/>
      </c>
      <c r="I713" s="164" t="n"/>
      <c r="J713" s="329">
        <f>IF(AND(B713="",C713=""),"",ROUND(M713*N713,2))</f>
        <v/>
      </c>
      <c r="K713" s="330">
        <f>IF(AND(B713="",C713=""),"",ROUND(J713*F713,2))</f>
        <v/>
      </c>
      <c r="L713" s="126">
        <f>IF(AND(B713="",C713=""),"",1)</f>
        <v/>
      </c>
      <c r="M713" s="331" t="n">
        <v>138</v>
      </c>
      <c r="N713" s="137">
        <f>IF(AND(B713="",C713=""),"",1)</f>
        <v/>
      </c>
      <c r="O713" s="138">
        <f t="array" ref="O713">IF(AND(B713="",C713=""),"",IF(G713&gt;=20000,0.05,IF(G713&gt;=10000,0.1,IF(G713&gt;=5000,0.2,IF(G713&gt;=1000,0.3,IF(G713&gt;=0,0.4,{0}))))))</f>
        <v/>
      </c>
      <c r="P713" s="333">
        <f>IF(AND(B713="",C713=""),"",ROUND(H713*O713,2))</f>
        <v/>
      </c>
      <c r="Q713" s="334">
        <f>IF(AND(B713="",C713=""),"","元件")</f>
        <v/>
      </c>
      <c r="R713" s="154" t="n"/>
      <c r="S713" s="154" t="n"/>
      <c r="T713" s="154" t="n"/>
      <c r="U713" s="154" t="n"/>
      <c r="V713" s="335" t="n"/>
      <c r="W713" s="335" t="n"/>
      <c r="X713" s="152" t="n"/>
    </row>
    <row r="714" customFormat="1" s="145">
      <c r="A714" s="36">
        <f>ROW()-ROW(A$685)</f>
        <v/>
      </c>
      <c r="B714" s="29" t="inlineStr">
        <is>
          <t>Blokset柜</t>
        </is>
      </c>
      <c r="C714" s="25" t="inlineStr">
        <is>
          <t>800W*1000D*2200H</t>
        </is>
      </c>
      <c r="D714" s="25" t="inlineStr">
        <is>
          <t>清科</t>
        </is>
      </c>
      <c r="E714" s="30" t="inlineStr">
        <is>
          <t>台</t>
        </is>
      </c>
      <c r="F714" s="30" t="n">
        <v>1</v>
      </c>
      <c r="G714" s="297">
        <f>IF(AND(B714="",C714=""),"",ROUND(M714*L714*N714,2))</f>
        <v/>
      </c>
      <c r="H714" s="297">
        <f>IF(AND(B714="",C714=""),"",ROUND(F714*G714,2))</f>
        <v/>
      </c>
      <c r="I714" s="135" t="n"/>
      <c r="J714" s="329">
        <f>IF(AND(B714="",C714=""),"",ROUND(M714*N714,2))</f>
        <v/>
      </c>
      <c r="K714" s="330">
        <f>IF(AND(B714="",C714=""),"",ROUND(J714*F714,2))</f>
        <v/>
      </c>
      <c r="L714" s="126" t="n">
        <v>1</v>
      </c>
      <c r="M714" s="331" t="n">
        <v>6793</v>
      </c>
      <c r="N714" s="137" t="n">
        <v>1</v>
      </c>
      <c r="O714" s="138">
        <f t="array" ref="O714">IF(AND(B714="",C714=""),"",IF(G714&gt;=20000,0.05,IF(G714&gt;=10000,0.1,IF(G714&gt;=5000,0.2,IF(G714&gt;=1000,0.3,IF(G714&gt;=0,0.4,{0}))))))</f>
        <v/>
      </c>
      <c r="P714" s="333">
        <f>IF(AND(B714="",C714=""),"",ROUND(H714*O714,2))</f>
        <v/>
      </c>
      <c r="Q714" s="334" t="inlineStr">
        <is>
          <t>箱体</t>
        </is>
      </c>
      <c r="R714" s="154" t="n"/>
      <c r="S714" s="154" t="n"/>
      <c r="T714" s="154" t="inlineStr">
        <is>
          <t>0</t>
        </is>
      </c>
      <c r="U714" s="154" t="n"/>
      <c r="V714" s="335" t="n"/>
      <c r="W714" s="335" t="n"/>
      <c r="X714" s="152" t="n"/>
    </row>
    <row r="715" customFormat="1" s="145">
      <c r="A715" s="36">
        <f>ROW()-ROW(A$685)</f>
        <v/>
      </c>
      <c r="B715" s="29" t="n"/>
      <c r="C715" s="29" t="n"/>
      <c r="D715" s="29" t="n"/>
      <c r="E715" s="30" t="n"/>
      <c r="F715" s="30">
        <f>IF(AND(B715="",C715=""),"",1)</f>
        <v/>
      </c>
      <c r="G715" s="297">
        <f>IF(AND(B715="",C715=""),"",ROUND(M715*L715*N715,2))</f>
        <v/>
      </c>
      <c r="H715" s="293">
        <f>IF(AND(B715="",C715=""),"",ROUND(F715*G715,2))</f>
        <v/>
      </c>
      <c r="I715" s="91" t="n"/>
      <c r="J715" s="329">
        <f>IF(AND(B715="",C715=""),"",ROUND(M715*N715,2))</f>
        <v/>
      </c>
      <c r="K715" s="330">
        <f>IF(AND(B715="",C715=""),"",ROUND(J715*F715,2))</f>
        <v/>
      </c>
      <c r="L715" s="126">
        <f>IF(AND(B715="",C715=""),"",1)</f>
        <v/>
      </c>
      <c r="M715" s="331" t="n"/>
      <c r="N715" s="128">
        <f>IF(AND(B715="",C715=""),"",1)</f>
        <v/>
      </c>
      <c r="O715" s="129">
        <f t="array" ref="O715">IF(AND(B715="",C715=""),"",IF(G715&gt;=20000,0.05,IF(G715&gt;=10000,0.1,IF(G715&gt;=5000,0.2,IF(G715&gt;=1000,0.3,IF(G715&gt;=0,0.4,{0}))))))</f>
        <v/>
      </c>
      <c r="P715" s="332">
        <f>IF(AND(B715="",C715=""),"",ROUND(H715*O715,2))</f>
        <v/>
      </c>
      <c r="Q715" s="327">
        <f>IF(AND(B715="",C715=""),"","元件")</f>
        <v/>
      </c>
      <c r="R715" s="150" t="n"/>
      <c r="S715" s="150" t="n"/>
      <c r="T715" s="150" t="n"/>
      <c r="U715" s="150" t="n"/>
      <c r="V715" s="328" t="n"/>
      <c r="W715" s="328" t="n"/>
      <c r="X715" s="152" t="n"/>
    </row>
    <row r="716" customFormat="1" s="145">
      <c r="A716" s="36">
        <f>ROW()-ROW(A$685)</f>
        <v/>
      </c>
      <c r="B716" s="29" t="n"/>
      <c r="C716" s="29" t="n"/>
      <c r="D716" s="29" t="n"/>
      <c r="E716" s="30" t="n"/>
      <c r="F716" s="30">
        <f>IF(AND(B716="",C716=""),"",1)</f>
        <v/>
      </c>
      <c r="G716" s="297">
        <f>IF(AND(B716="",C716=""),"",ROUND(M716*L716*N716,2))</f>
        <v/>
      </c>
      <c r="H716" s="297">
        <f>IF(AND(B716="",C716=""),"",ROUND(F716*G716,2))</f>
        <v/>
      </c>
      <c r="I716" s="135" t="n"/>
      <c r="J716" s="329">
        <f>IF(AND(B716="",C716=""),"",ROUND(M716*N716,2))</f>
        <v/>
      </c>
      <c r="K716" s="330">
        <f>IF(AND(B716="",C716=""),"",ROUND(J716*F716,2))</f>
        <v/>
      </c>
      <c r="L716" s="126">
        <f>IF(AND(B716="",C716=""),"",1)</f>
        <v/>
      </c>
      <c r="M716" s="331" t="n"/>
      <c r="N716" s="128">
        <f>IF(AND(B716="",C716=""),"",1)</f>
        <v/>
      </c>
      <c r="O716" s="129">
        <f t="array" ref="O716">IF(AND(B716="",C716=""),"",IF(G716&gt;=20000,0.05,IF(G716&gt;=10000,0.1,IF(G716&gt;=5000,0.2,IF(G716&gt;=1000,0.3,IF(G716&gt;=0,0.4,{0}))))))</f>
        <v/>
      </c>
      <c r="P716" s="332">
        <f>IF(AND(B716="",C716=""),"",ROUND(H716*O716,2))</f>
        <v/>
      </c>
      <c r="Q716" s="327">
        <f>IF(AND(B716="",C716=""),"","元件")</f>
        <v/>
      </c>
      <c r="R716" s="150" t="n"/>
      <c r="S716" s="150" t="n"/>
      <c r="T716" s="150" t="n"/>
      <c r="U716" s="150" t="n"/>
      <c r="V716" s="328" t="n"/>
      <c r="W716" s="328" t="n"/>
      <c r="X716" s="152" t="n"/>
    </row>
    <row r="717" customFormat="1" s="145">
      <c r="A717" s="36">
        <f>ROW()-ROW(A$685)</f>
        <v/>
      </c>
      <c r="B717" s="156" t="inlineStr">
        <is>
          <t>小计</t>
        </is>
      </c>
      <c r="C717" s="157" t="n"/>
      <c r="D717" s="54" t="n"/>
      <c r="E717" s="30" t="n"/>
      <c r="F717" s="30" t="n"/>
      <c r="G717" s="297" t="n"/>
      <c r="H717" s="297">
        <f>ROUND(SUM(H685:INDEX(H:H,ROW()-1)),2)</f>
        <v/>
      </c>
      <c r="I717" s="91" t="n"/>
      <c r="J717" s="329" t="n"/>
      <c r="K717" s="330">
        <f>ROUND(SUM(K685:INDEX(K:K,ROW()-1)),2)</f>
        <v/>
      </c>
      <c r="L717" s="126" t="n"/>
      <c r="M717" s="331" t="n"/>
      <c r="N717" s="128" t="n"/>
      <c r="O717" s="129" t="n"/>
      <c r="P717" s="332" t="n"/>
      <c r="Q717" s="327" t="n"/>
      <c r="R717" s="150" t="n"/>
      <c r="S717" s="150" t="n"/>
      <c r="T717" s="150" t="n"/>
      <c r="U717" s="150" t="n"/>
      <c r="V717" s="328">
        <f t="array" ref="V717">ROUND(SUMPRODUCT(F685:INDEX(F:F,ROW()-1),V685:INDEX(V:V,ROW()-1)),2)</f>
        <v/>
      </c>
      <c r="W717" s="328">
        <f t="array" ref="W717">ROUND(SUMPRODUCT(F685:INDEX(F:F,ROW()-1),W685:INDEX(W:W,ROW()-1)),2)</f>
        <v/>
      </c>
      <c r="X717" s="152" t="n"/>
    </row>
    <row r="718" customFormat="1" s="145">
      <c r="A718" s="36">
        <f>ROW()-ROW(A$685)</f>
        <v/>
      </c>
      <c r="B718" s="156" t="inlineStr">
        <is>
          <t>成套费</t>
        </is>
      </c>
      <c r="C718" s="157" t="n"/>
      <c r="D718" s="54" t="n"/>
      <c r="E718" s="30" t="n"/>
      <c r="F718" s="30" t="n"/>
      <c r="G718" s="297" t="n"/>
      <c r="H718" s="297" t="n">
        <v>944.76</v>
      </c>
      <c r="I718" s="91" t="n"/>
      <c r="J718" s="329" t="n"/>
      <c r="K718" s="330" t="n">
        <v>944.76</v>
      </c>
      <c r="L718" s="126" t="n"/>
      <c r="M718" s="331" t="n"/>
      <c r="N718" s="128" t="n"/>
      <c r="O718" s="129" t="n"/>
      <c r="P718" s="332" t="n"/>
      <c r="Q718" s="327" t="n"/>
      <c r="R718" s="150" t="n"/>
      <c r="S718" s="150" t="n"/>
      <c r="T718" s="150" t="n"/>
      <c r="U718" s="150" t="n"/>
      <c r="V718" s="328" t="n"/>
      <c r="W718" s="328" t="n"/>
      <c r="X718" s="152" t="n"/>
    </row>
    <row r="719" customFormat="1" s="145">
      <c r="A719" s="36">
        <f>ROW()-ROW(A$685)</f>
        <v/>
      </c>
      <c r="B719" s="156" t="n"/>
      <c r="C719" s="157" t="n"/>
      <c r="D719" s="54" t="n"/>
      <c r="E719" s="30" t="n"/>
      <c r="F719" s="30" t="n"/>
      <c r="G719" s="297" t="n"/>
      <c r="H719" s="297" t="n">
        <v>17.26</v>
      </c>
      <c r="I719" s="91" t="n"/>
      <c r="J719" s="329" t="n"/>
      <c r="K719" s="330" t="n"/>
      <c r="L719" s="126" t="n"/>
      <c r="M719" s="331" t="n"/>
      <c r="N719" s="128" t="n"/>
      <c r="O719" s="129" t="n"/>
      <c r="P719" s="332" t="n"/>
      <c r="Q719" s="327" t="n"/>
      <c r="R719" s="150" t="n"/>
      <c r="S719" s="150" t="n"/>
      <c r="T719" s="150" t="n"/>
      <c r="U719" s="150" t="n"/>
      <c r="V719" s="328" t="n"/>
      <c r="W719" s="328" t="n"/>
      <c r="X719" s="152" t="n"/>
    </row>
    <row r="720" customFormat="1" s="145">
      <c r="A720" s="36">
        <f>ROW()-ROW(A$685)</f>
        <v/>
      </c>
      <c r="B720" s="54" t="inlineStr">
        <is>
          <t>单台合计</t>
        </is>
      </c>
      <c r="C720" s="157" t="n"/>
      <c r="D720" s="54" t="n"/>
      <c r="E720" s="30" t="n"/>
      <c r="F720" s="30" t="n"/>
      <c r="G720" s="297" t="n"/>
      <c r="H720" s="297">
        <f>ROUND(SUM(H717:H718),2)</f>
        <v/>
      </c>
      <c r="I720" s="165" t="n"/>
      <c r="J720" s="329" t="n"/>
      <c r="K720" s="330">
        <f>ROUND(SUM(K717:K718),2)</f>
        <v/>
      </c>
      <c r="L720" s="166" t="n"/>
      <c r="M720" s="331" t="n"/>
      <c r="N720" s="167" t="n"/>
      <c r="O720" s="168" t="n"/>
      <c r="P720" s="332" t="n"/>
      <c r="Q720" s="327" t="n"/>
      <c r="R720" s="150" t="n"/>
      <c r="S720" s="150" t="n"/>
      <c r="T720" s="150" t="n"/>
      <c r="U720" s="150" t="n"/>
      <c r="V720" s="328" t="n"/>
      <c r="W720" s="328" t="n"/>
      <c r="X720" s="152" t="n"/>
    </row>
    <row r="721" customFormat="1" s="145">
      <c r="A721" s="158" t="inlineStr">
        <is>
          <t>总计</t>
        </is>
      </c>
      <c r="B721" s="159" t="n"/>
      <c r="C721" s="160" t="n"/>
      <c r="D721" s="161" t="n"/>
      <c r="E721" s="161" t="inlineStr">
        <is>
          <t>台</t>
        </is>
      </c>
      <c r="F721" s="161" t="n">
        <v>2</v>
      </c>
      <c r="G721" s="336">
        <f>ROUND(H720,2)</f>
        <v/>
      </c>
      <c r="H721" s="336">
        <f>ROUND(F721*G721,2)</f>
        <v/>
      </c>
      <c r="I721" s="169" t="n"/>
      <c r="J721" s="337" t="n"/>
      <c r="K721" s="338">
        <f>ROUND(K720*F721,2)</f>
        <v/>
      </c>
      <c r="L721" s="172" t="n"/>
      <c r="M721" s="339" t="n"/>
      <c r="N721" s="174" t="n"/>
      <c r="O721" s="175" t="n"/>
      <c r="P721" s="340" t="n"/>
      <c r="Q721" s="327" t="n"/>
      <c r="R721" s="150" t="n"/>
      <c r="S721" s="150" t="n"/>
      <c r="T721" s="150" t="n"/>
      <c r="U721" s="150" t="n"/>
      <c r="V721" s="328" t="n"/>
      <c r="W721" s="328" t="n"/>
      <c r="X721" s="152" t="n"/>
    </row>
    <row r="722" customFormat="1" s="146">
      <c r="A722" s="3" t="n"/>
      <c r="B722" s="117" t="n"/>
      <c r="C722" s="117" t="n"/>
      <c r="D722" s="117" t="n"/>
      <c r="E722" s="146" t="n"/>
      <c r="F722" s="146" t="n"/>
      <c r="G722" s="146" t="n"/>
      <c r="H722" s="146" t="n"/>
      <c r="Q722" s="144" t="n"/>
      <c r="R722" s="144" t="n"/>
      <c r="S722" s="144" t="n"/>
      <c r="T722" s="144" t="n"/>
      <c r="U722" s="144" t="n"/>
      <c r="X722" s="117" t="n"/>
    </row>
    <row r="723" customFormat="1" s="146">
      <c r="A723" s="3" t="n"/>
      <c r="B723" s="117" t="n"/>
      <c r="C723" s="117" t="n"/>
      <c r="D723" s="117" t="n"/>
      <c r="E723" s="146" t="n"/>
      <c r="F723" s="146" t="n"/>
      <c r="G723" s="146" t="n"/>
      <c r="H723" s="146" t="n"/>
      <c r="Q723" s="144" t="n"/>
      <c r="R723" s="144" t="n"/>
      <c r="S723" s="144" t="n"/>
      <c r="T723" s="144" t="n"/>
      <c r="U723" s="144" t="n"/>
      <c r="X723" s="117" t="n"/>
    </row>
    <row r="724" customFormat="1" s="145">
      <c r="A724" s="63">
        <f>CONCATENATE("报价人：",项目信息!$B$8)</f>
        <v/>
      </c>
      <c r="B724" s="63" t="n"/>
      <c r="C724" s="146" t="n"/>
      <c r="D724" s="146" t="n"/>
      <c r="E724" s="146" t="n"/>
      <c r="F724" s="146" t="n"/>
      <c r="G724" s="146" t="n"/>
      <c r="H724" s="163">
        <f>项目信息!$B$9</f>
        <v/>
      </c>
      <c r="Q724" s="144" t="n"/>
      <c r="R724" s="144" t="n"/>
      <c r="S724" s="144" t="n"/>
      <c r="T724" s="144" t="n"/>
      <c r="U724" s="144" t="n"/>
      <c r="X724" s="148" t="n"/>
    </row>
    <row r="725" customFormat="1" s="145">
      <c r="A725" s="5">
        <f>T(项目信息!$B$22)</f>
        <v/>
      </c>
      <c r="Q725" s="144" t="n"/>
      <c r="R725" s="144" t="n"/>
      <c r="S725" s="144" t="n"/>
      <c r="T725" s="144" t="n"/>
      <c r="U725" s="144" t="n"/>
      <c r="X725" s="145" t="n"/>
    </row>
    <row r="726" customFormat="1" s="145">
      <c r="A726" s="6">
        <f>T(项目信息!$B$23)</f>
        <v/>
      </c>
      <c r="Q726" s="144" t="n"/>
      <c r="R726" s="144" t="n"/>
      <c r="S726" s="144" t="n"/>
      <c r="T726" s="144" t="n"/>
      <c r="U726" s="144" t="n"/>
      <c r="X726" s="145" t="n"/>
    </row>
    <row r="727" customFormat="1" s="145">
      <c r="A727" s="68" t="inlineStr">
        <is>
          <t>成套产品报价明细表</t>
        </is>
      </c>
      <c r="B727" s="318" t="n"/>
      <c r="C727" s="318" t="n"/>
      <c r="D727" s="318" t="n"/>
      <c r="E727" s="318" t="n"/>
      <c r="F727" s="318" t="n"/>
      <c r="G727" s="318" t="n"/>
      <c r="H727" s="318" t="n"/>
      <c r="I727" s="318" t="n"/>
      <c r="Q727" s="144" t="n"/>
      <c r="R727" s="144" t="n"/>
      <c r="S727" s="144" t="n"/>
      <c r="T727" s="144" t="n"/>
      <c r="U727" s="144" t="n"/>
      <c r="X727" s="145" t="n"/>
    </row>
    <row r="728" customFormat="1" s="146">
      <c r="A728" s="69" t="inlineStr">
        <is>
          <t>柜号:</t>
        </is>
      </c>
      <c r="B728" s="70" t="inlineStr">
        <is>
          <t>3D10</t>
        </is>
      </c>
      <c r="C728" s="71" t="inlineStr">
        <is>
          <t>型号:</t>
        </is>
      </c>
      <c r="D728" s="70" t="inlineStr">
        <is>
          <t>Blokset</t>
        </is>
      </c>
      <c r="E728" s="319" t="n"/>
      <c r="F728" s="72" t="inlineStr">
        <is>
          <t>名称:</t>
        </is>
      </c>
      <c r="G728" s="70" t="inlineStr">
        <is>
          <t>出线柜</t>
        </is>
      </c>
      <c r="H728" s="319" t="n"/>
      <c r="I728" s="320" t="n"/>
      <c r="J728" s="116" t="inlineStr">
        <is>
          <t>箱柜尺寸:</t>
        </is>
      </c>
      <c r="K728" s="117" t="inlineStr">
        <is>
          <t>600W*1000D*2200H</t>
        </is>
      </c>
      <c r="L728" s="116" t="inlineStr">
        <is>
          <t>类别:</t>
        </is>
      </c>
      <c r="M728" s="117" t="n"/>
      <c r="N728" s="321" t="n"/>
      <c r="Q728" s="144" t="n"/>
      <c r="R728" s="144" t="n"/>
      <c r="S728" s="144" t="n"/>
      <c r="T728" s="144" t="n"/>
      <c r="U728" s="144" t="n"/>
      <c r="X728" s="146" t="n"/>
    </row>
    <row r="729" ht="20.1" customFormat="1" customHeight="1" s="145">
      <c r="A729" s="13" t="inlineStr">
        <is>
          <t>序号</t>
        </is>
      </c>
      <c r="B729" s="73" t="inlineStr">
        <is>
          <t>元件名称</t>
        </is>
      </c>
      <c r="C729" s="73" t="inlineStr">
        <is>
          <t>型号规格</t>
        </is>
      </c>
      <c r="D729" s="74" t="inlineStr">
        <is>
          <t>生产厂家</t>
        </is>
      </c>
      <c r="E729" s="15" t="inlineStr">
        <is>
          <t>单位</t>
        </is>
      </c>
      <c r="F729" s="15" t="inlineStr">
        <is>
          <t>数量</t>
        </is>
      </c>
      <c r="G729" s="287" t="inlineStr">
        <is>
          <t>单   价</t>
        </is>
      </c>
      <c r="H729" s="256" t="inlineStr">
        <is>
          <t>总   价</t>
        </is>
      </c>
      <c r="I729" s="119" t="inlineStr">
        <is>
          <t>备注</t>
        </is>
      </c>
      <c r="J729" s="322" t="inlineStr">
        <is>
          <t>成本单价</t>
        </is>
      </c>
      <c r="K729" s="322" t="inlineStr">
        <is>
          <t>成本总价</t>
        </is>
      </c>
      <c r="L729" s="121" t="inlineStr">
        <is>
          <t>报出
系数</t>
        </is>
      </c>
      <c r="M729" s="322" t="inlineStr">
        <is>
          <t>表价</t>
        </is>
      </c>
      <c r="N729" s="121" t="inlineStr">
        <is>
          <t>折扣
系数</t>
        </is>
      </c>
      <c r="O729" s="122" t="inlineStr">
        <is>
          <t>取费
系数</t>
        </is>
      </c>
      <c r="P729" s="322" t="inlineStr">
        <is>
          <t>成套费</t>
        </is>
      </c>
      <c r="Q729" s="147" t="inlineStr">
        <is>
          <t>类别</t>
        </is>
      </c>
      <c r="R729" s="147" t="inlineStr">
        <is>
          <t>物料编码</t>
        </is>
      </c>
      <c r="S729" s="147" t="inlineStr">
        <is>
          <t>产地</t>
        </is>
      </c>
      <c r="T729" s="147" t="inlineStr">
        <is>
          <t>加工费</t>
        </is>
      </c>
      <c r="U729" s="147" t="inlineStr">
        <is>
          <t>订货号</t>
        </is>
      </c>
      <c r="V729" s="147" t="inlineStr">
        <is>
          <t>人工</t>
        </is>
      </c>
      <c r="W729" s="147" t="inlineStr">
        <is>
          <t>辅料</t>
        </is>
      </c>
      <c r="X729" s="148" t="n"/>
    </row>
    <row r="730" customFormat="1" s="145">
      <c r="A730" s="75">
        <f>ROW()-ROW(A$729)</f>
        <v/>
      </c>
      <c r="B730" s="20" t="inlineStr">
        <is>
          <t>交流塑壳断路器</t>
        </is>
      </c>
      <c r="C730" s="20" t="inlineStr">
        <is>
          <t>NSX250N TMD 250 3P3D F</t>
        </is>
      </c>
      <c r="D730" s="25" t="inlineStr">
        <is>
          <t>甲供/施耐德电气</t>
        </is>
      </c>
      <c r="E730" s="21" t="inlineStr">
        <is>
          <t>只</t>
        </is>
      </c>
      <c r="F730" s="21" t="n">
        <v>1</v>
      </c>
      <c r="G730" s="289">
        <f>IF(AND(B730="",C730=""),"",ROUND(M730*L730*N730,2))</f>
        <v/>
      </c>
      <c r="H730" s="289">
        <f>IF(AND(B730="",C730=""),"",ROUND(F730*G730,2))</f>
        <v/>
      </c>
      <c r="I730" s="123" t="n"/>
      <c r="J730" s="323">
        <f>IF(AND(B730="",C730=""),"",ROUND(M730*N730,2))</f>
        <v/>
      </c>
      <c r="K730" s="324">
        <f>IF(AND(B730="",C730=""),"",ROUND(J730*F730,2))</f>
        <v/>
      </c>
      <c r="L730" s="126" t="n">
        <v>1</v>
      </c>
      <c r="M730" s="325" t="n">
        <v>2315.28</v>
      </c>
      <c r="N730" s="128" t="n">
        <v>0</v>
      </c>
      <c r="O730" s="129">
        <f t="array" ref="O730">IF(AND(B730="",C730=""),"",IF(G730&gt;=20000,0.05,IF(G730&gt;=10000,0.1,IF(G730&gt;=5000,0.2,IF(G730&gt;=1000,0.3,IF(G730&gt;=0,0.4,{0}))))))</f>
        <v/>
      </c>
      <c r="P730" s="326">
        <f>IF(AND(B730="",C730=""),"",ROUND(H730*O730,2))</f>
        <v/>
      </c>
      <c r="Q730" s="327" t="inlineStr">
        <is>
          <t>元件</t>
        </is>
      </c>
      <c r="R730" s="150" t="n"/>
      <c r="S730" s="150" t="n"/>
      <c r="T730" s="150" t="inlineStr">
        <is>
          <t>0</t>
        </is>
      </c>
      <c r="U730" s="150" t="inlineStr">
        <is>
          <t>C25N3TM250</t>
        </is>
      </c>
      <c r="V730" s="328" t="n"/>
      <c r="W730" s="328" t="n"/>
      <c r="X730" s="152" t="n"/>
    </row>
    <row r="731" customFormat="1" s="145">
      <c r="A731" s="36">
        <f>ROW()-ROW(A$729)</f>
        <v/>
      </c>
      <c r="B731" s="29" t="inlineStr">
        <is>
          <t>交流塑壳断路器</t>
        </is>
      </c>
      <c r="C731" s="25" t="inlineStr">
        <is>
          <t>NSX400N MIC 2.3 400 3P F</t>
        </is>
      </c>
      <c r="D731" s="25" t="inlineStr">
        <is>
          <t>甲供/施耐德电气</t>
        </is>
      </c>
      <c r="E731" s="30" t="inlineStr">
        <is>
          <t>只</t>
        </is>
      </c>
      <c r="F731" s="26" t="n">
        <v>4</v>
      </c>
      <c r="G731" s="293">
        <f>IF(AND(B731="",C731=""),"",ROUND(M731*L731*N731,2))</f>
        <v/>
      </c>
      <c r="H731" s="293">
        <f>IF(AND(B731="",C731=""),"",ROUND(F731*G731,2))</f>
        <v/>
      </c>
      <c r="I731" s="91" t="n"/>
      <c r="J731" s="329">
        <f>IF(AND(B731="",C731=""),"",ROUND(M731*N731,2))</f>
        <v/>
      </c>
      <c r="K731" s="330">
        <f>IF(AND(B731="",C731=""),"",ROUND(J731*F731,2))</f>
        <v/>
      </c>
      <c r="L731" s="126" t="n">
        <v>1</v>
      </c>
      <c r="M731" s="331" t="n">
        <v>3474.03</v>
      </c>
      <c r="N731" s="128" t="n">
        <v>0</v>
      </c>
      <c r="O731" s="129">
        <f t="array" ref="O731">IF(AND(B731="",C731=""),"",IF(G731&gt;=20000,0.05,IF(G731&gt;=10000,0.1,IF(G731&gt;=5000,0.2,IF(G731&gt;=1000,0.3,IF(G731&gt;=0,0.4,{0}))))))</f>
        <v/>
      </c>
      <c r="P731" s="332">
        <f>IF(AND(B731="",C731=""),"",ROUND(H731*O731,2))</f>
        <v/>
      </c>
      <c r="Q731" s="327" t="inlineStr">
        <is>
          <t>元件</t>
        </is>
      </c>
      <c r="R731" s="150" t="n"/>
      <c r="S731" s="150" t="n"/>
      <c r="T731" s="150" t="inlineStr">
        <is>
          <t>0</t>
        </is>
      </c>
      <c r="U731" s="150" t="inlineStr">
        <is>
          <t>C40N32D400</t>
        </is>
      </c>
      <c r="V731" s="328" t="n"/>
      <c r="W731" s="328" t="n"/>
      <c r="X731" s="152" t="n"/>
    </row>
    <row r="732" customFormat="1" s="145">
      <c r="A732" s="36">
        <f>ROW()-ROW(A$729)</f>
        <v/>
      </c>
      <c r="B732" s="29" t="inlineStr">
        <is>
          <t>新外观延伸旋转手柄</t>
        </is>
      </c>
      <c r="C732" s="29" t="inlineStr">
        <is>
          <t>标准延伸旋转手柄/新外观延伸旋转手柄 100/160/250A</t>
        </is>
      </c>
      <c r="D732" s="25" t="inlineStr">
        <is>
          <t>甲供/施耐德电气</t>
        </is>
      </c>
      <c r="E732" s="30" t="inlineStr">
        <is>
          <t>只</t>
        </is>
      </c>
      <c r="F732" s="30" t="n">
        <v>1</v>
      </c>
      <c r="G732" s="297">
        <f>IF(AND(B732="",C732=""),"",ROUND(M732*L732*N732,2))</f>
        <v/>
      </c>
      <c r="H732" s="293">
        <f>IF(AND(B732="",C732=""),"",ROUND(F732*G732,2))</f>
        <v/>
      </c>
      <c r="I732" s="91" t="n"/>
      <c r="J732" s="329">
        <f>IF(AND(B732="",C732=""),"",ROUND(M732*N732,2))</f>
        <v/>
      </c>
      <c r="K732" s="330">
        <f>IF(AND(B732="",C732=""),"",ROUND(J732*F732,2))</f>
        <v/>
      </c>
      <c r="L732" s="126" t="n">
        <v>1</v>
      </c>
      <c r="M732" s="331" t="n">
        <v>189.75</v>
      </c>
      <c r="N732" s="128" t="n">
        <v>0</v>
      </c>
      <c r="O732" s="129">
        <f t="array" ref="O732">IF(AND(B732="",C732=""),"",IF(G732&gt;=20000,0.05,IF(G732&gt;=10000,0.1,IF(G732&gt;=5000,0.2,IF(G732&gt;=1000,0.3,IF(G732&gt;=0,0.4,{0}))))))</f>
        <v/>
      </c>
      <c r="P732" s="332">
        <f>IF(AND(B732="",C732=""),"",ROUND(H732*O732,2))</f>
        <v/>
      </c>
      <c r="Q732" s="327" t="inlineStr">
        <is>
          <t>元件</t>
        </is>
      </c>
      <c r="R732" s="150" t="n"/>
      <c r="S732" s="150" t="n"/>
      <c r="T732" s="150" t="inlineStr">
        <is>
          <t>0</t>
        </is>
      </c>
      <c r="U732" s="150" t="inlineStr">
        <is>
          <t>LV429338T</t>
        </is>
      </c>
      <c r="V732" s="328" t="n"/>
      <c r="W732" s="328" t="n"/>
      <c r="X732" s="152" t="n"/>
    </row>
    <row r="733" customFormat="1" s="145">
      <c r="A733" s="36">
        <f>ROW()-ROW(A$729)</f>
        <v/>
      </c>
      <c r="B733" s="29" t="inlineStr">
        <is>
          <t>新外观延伸旋转手柄</t>
        </is>
      </c>
      <c r="C733" s="29" t="inlineStr">
        <is>
          <t>标准延伸旋转手柄/新外观延伸旋转手柄 400/630A</t>
        </is>
      </c>
      <c r="D733" s="25" t="inlineStr">
        <is>
          <t>甲供/施耐德电气</t>
        </is>
      </c>
      <c r="E733" s="30" t="inlineStr">
        <is>
          <t>只</t>
        </is>
      </c>
      <c r="F733" s="30" t="n">
        <v>4</v>
      </c>
      <c r="G733" s="297">
        <f>IF(AND(B733="",C733=""),"",ROUND(M733*L733*N733,2))</f>
        <v/>
      </c>
      <c r="H733" s="297">
        <f>IF(AND(B733="",C733=""),"",ROUND(F733*G733,2))</f>
        <v/>
      </c>
      <c r="I733" s="135" t="n"/>
      <c r="J733" s="329">
        <f>IF(AND(B733="",C733=""),"",ROUND(M733*N733,2))</f>
        <v/>
      </c>
      <c r="K733" s="330">
        <f>IF(AND(B733="",C733=""),"",ROUND(J733*F733,2))</f>
        <v/>
      </c>
      <c r="L733" s="126" t="n">
        <v>1</v>
      </c>
      <c r="M733" s="331" t="n">
        <v>270.62</v>
      </c>
      <c r="N733" s="128" t="n">
        <v>0</v>
      </c>
      <c r="O733" s="129">
        <f t="array" ref="O733">IF(AND(B733="",C733=""),"",IF(G733&gt;=20000,0.05,IF(G733&gt;=10000,0.1,IF(G733&gt;=5000,0.2,IF(G733&gt;=1000,0.3,IF(G733&gt;=0,0.4,{0}))))))</f>
        <v/>
      </c>
      <c r="P733" s="332">
        <f>IF(AND(B733="",C733=""),"",ROUND(H733*O733,2))</f>
        <v/>
      </c>
      <c r="Q733" s="327" t="inlineStr">
        <is>
          <t>元件</t>
        </is>
      </c>
      <c r="R733" s="150" t="n"/>
      <c r="S733" s="150" t="n"/>
      <c r="T733" s="150" t="inlineStr">
        <is>
          <t>0</t>
        </is>
      </c>
      <c r="U733" s="150" t="inlineStr">
        <is>
          <t>LV432598T</t>
        </is>
      </c>
      <c r="V733" s="328" t="n"/>
      <c r="W733" s="328" t="n"/>
      <c r="X733" s="152" t="n"/>
    </row>
    <row r="734" customFormat="1" s="145">
      <c r="A734" s="36">
        <f>ROW()-ROW(A$729)</f>
        <v/>
      </c>
      <c r="B734" s="29" t="inlineStr">
        <is>
          <t>MX分励脱扣器</t>
        </is>
      </c>
      <c r="C734" s="29" t="inlineStr">
        <is>
          <t>MX分励AC220-240V/208-277V/100-630A</t>
        </is>
      </c>
      <c r="D734" s="25" t="inlineStr">
        <is>
          <t>甲供/施耐德电气</t>
        </is>
      </c>
      <c r="E734" s="30" t="inlineStr">
        <is>
          <t>只</t>
        </is>
      </c>
      <c r="F734" s="30" t="n">
        <v>5</v>
      </c>
      <c r="G734" s="297">
        <f>IF(AND(B734="",C734=""),"",ROUND(M734*L734*N734,2))</f>
        <v/>
      </c>
      <c r="H734" s="297">
        <f>IF(AND(B734="",C734=""),"",ROUND(F734*G734,2))</f>
        <v/>
      </c>
      <c r="I734" s="135" t="n"/>
      <c r="J734" s="329">
        <f>IF(AND(B734="",C734=""),"",ROUND(M734*N734,2))</f>
        <v/>
      </c>
      <c r="K734" s="330">
        <f>IF(AND(B734="",C734=""),"",ROUND(J734*F734,2))</f>
        <v/>
      </c>
      <c r="L734" s="126" t="n">
        <v>1</v>
      </c>
      <c r="M734" s="331" t="n">
        <v>314.03</v>
      </c>
      <c r="N734" s="128" t="n">
        <v>0</v>
      </c>
      <c r="O734" s="129">
        <f t="array" ref="O734">IF(AND(B734="",C734=""),"",IF(G734&gt;=20000,0.05,IF(G734&gt;=10000,0.1,IF(G734&gt;=5000,0.2,IF(G734&gt;=1000,0.3,IF(G734&gt;=0,0.4,{0}))))))</f>
        <v/>
      </c>
      <c r="P734" s="332">
        <f>IF(AND(B734="",C734=""),"",ROUND(H734*O734,2))</f>
        <v/>
      </c>
      <c r="Q734" s="327" t="inlineStr">
        <is>
          <t>元件</t>
        </is>
      </c>
      <c r="R734" s="150" t="n"/>
      <c r="S734" s="150" t="n"/>
      <c r="T734" s="150" t="inlineStr">
        <is>
          <t>0</t>
        </is>
      </c>
      <c r="U734" s="150" t="inlineStr">
        <is>
          <t>LV429387</t>
        </is>
      </c>
      <c r="V734" s="328" t="n"/>
      <c r="W734" s="328" t="n"/>
      <c r="X734" s="152" t="n"/>
    </row>
    <row r="735" customFormat="1" s="145">
      <c r="A735" s="36">
        <f>ROW()-ROW(A$729)</f>
        <v/>
      </c>
      <c r="B735" s="29" t="inlineStr">
        <is>
          <t>辅助触点OF</t>
        </is>
      </c>
      <c r="C735" s="25" t="inlineStr">
        <is>
          <t>OF</t>
        </is>
      </c>
      <c r="D735" s="25" t="inlineStr">
        <is>
          <t>甲供/施耐德电气</t>
        </is>
      </c>
      <c r="E735" s="30" t="inlineStr">
        <is>
          <t>只</t>
        </is>
      </c>
      <c r="F735" s="30" t="n">
        <v>10</v>
      </c>
      <c r="G735" s="297">
        <f>IF(AND(B735="",C735=""),"",ROUND(M735*L735*N735,2))</f>
        <v/>
      </c>
      <c r="H735" s="297">
        <f>IF(AND(B735="",C735=""),"",ROUND(F735*G735,2))</f>
        <v/>
      </c>
      <c r="I735" s="135" t="n"/>
      <c r="J735" s="329">
        <f>IF(AND(B735="",C735=""),"",ROUND(M735*N735,2))</f>
        <v/>
      </c>
      <c r="K735" s="330">
        <f>IF(AND(B735="",C735=""),"",ROUND(J735*F735,2))</f>
        <v/>
      </c>
      <c r="L735" s="126" t="n">
        <v>1</v>
      </c>
      <c r="M735" s="331" t="n">
        <v>174.01</v>
      </c>
      <c r="N735" s="128" t="n">
        <v>0</v>
      </c>
      <c r="O735" s="129">
        <f t="array" ref="O735">IF(AND(B735="",C735=""),"",IF(G735&gt;=20000,0.05,IF(G735&gt;=10000,0.1,IF(G735&gt;=5000,0.2,IF(G735&gt;=1000,0.3,IF(G735&gt;=0,0.4,{0}))))))</f>
        <v/>
      </c>
      <c r="P735" s="332">
        <f>IF(AND(B735="",C735=""),"",ROUND(H735*O735,2))</f>
        <v/>
      </c>
      <c r="Q735" s="327" t="inlineStr">
        <is>
          <t>元件</t>
        </is>
      </c>
      <c r="R735" s="150" t="n"/>
      <c r="S735" s="150" t="n"/>
      <c r="T735" s="150" t="inlineStr">
        <is>
          <t>0</t>
        </is>
      </c>
      <c r="U735" s="150" t="inlineStr">
        <is>
          <t>29450</t>
        </is>
      </c>
      <c r="V735" s="328" t="n"/>
      <c r="W735" s="328" t="n"/>
      <c r="X735" s="152" t="n"/>
    </row>
    <row r="736" customFormat="1" s="145">
      <c r="A736" s="36">
        <f>ROW()-ROW(A$729)</f>
        <v/>
      </c>
      <c r="B736" s="29" t="inlineStr">
        <is>
          <t>测量电流互感器</t>
        </is>
      </c>
      <c r="C736" s="25" t="inlineStr">
        <is>
          <t>SD-0.66-30I 250/5A</t>
        </is>
      </c>
      <c r="D736" s="29" t="inlineStr">
        <is>
          <t>杭州桑迪</t>
        </is>
      </c>
      <c r="E736" s="30" t="inlineStr">
        <is>
          <t>只</t>
        </is>
      </c>
      <c r="F736" s="30" t="n">
        <v>3</v>
      </c>
      <c r="G736" s="297">
        <f>IF(AND(B736="",C736=""),"",ROUND(M736*L736*N736,2))</f>
        <v/>
      </c>
      <c r="H736" s="297">
        <f>IF(AND(B736="",C736=""),"",ROUND(F736*G736,2))</f>
        <v/>
      </c>
      <c r="I736" s="135" t="n"/>
      <c r="J736" s="329">
        <f>IF(AND(B736="",C736=""),"",ROUND(M736*N736,2))</f>
        <v/>
      </c>
      <c r="K736" s="330">
        <f>IF(AND(B736="",C736=""),"",ROUND(J736*F736,2))</f>
        <v/>
      </c>
      <c r="L736" s="126" t="n">
        <v>1</v>
      </c>
      <c r="M736" s="331" t="n">
        <v>26.65</v>
      </c>
      <c r="N736" s="128" t="n">
        <v>1</v>
      </c>
      <c r="O736" s="129">
        <f t="array" ref="O736">IF(AND(B736="",C736=""),"",IF(G736&gt;=20000,0.05,IF(G736&gt;=10000,0.1,IF(G736&gt;=5000,0.2,IF(G736&gt;=1000,0.3,IF(G736&gt;=0,0.4,{0}))))))</f>
        <v/>
      </c>
      <c r="P736" s="332">
        <f>IF(AND(B736="",C736=""),"",ROUND(H736*O736,2))</f>
        <v/>
      </c>
      <c r="Q736" s="327" t="inlineStr">
        <is>
          <t>元件</t>
        </is>
      </c>
      <c r="R736" s="150" t="n"/>
      <c r="S736" s="150" t="n"/>
      <c r="T736" s="150" t="inlineStr">
        <is>
          <t>0</t>
        </is>
      </c>
      <c r="U736" s="150" t="n"/>
      <c r="V736" s="328" t="n"/>
      <c r="W736" s="328" t="n"/>
      <c r="X736" s="152" t="n"/>
    </row>
    <row r="737" customFormat="1" s="145">
      <c r="A737" s="36">
        <f>ROW()-ROW(A$729)</f>
        <v/>
      </c>
      <c r="B737" s="29" t="inlineStr">
        <is>
          <t>测量电流互感器</t>
        </is>
      </c>
      <c r="C737" s="29" t="inlineStr">
        <is>
          <t>SD-0.66-40II-C 400/5A</t>
        </is>
      </c>
      <c r="D737" s="29" t="inlineStr">
        <is>
          <t>杭州桑迪</t>
        </is>
      </c>
      <c r="E737" s="30" t="inlineStr">
        <is>
          <t>只</t>
        </is>
      </c>
      <c r="F737" s="30" t="n">
        <v>12</v>
      </c>
      <c r="G737" s="297">
        <f>IF(AND(B737="",C737=""),"",ROUND(M737*L737*N737,2))</f>
        <v/>
      </c>
      <c r="H737" s="297">
        <f>IF(AND(B737="",C737=""),"",ROUND(F737*G737,2))</f>
        <v/>
      </c>
      <c r="I737" s="135" t="n"/>
      <c r="J737" s="329">
        <f>IF(AND(B737="",C737=""),"",ROUND(M737*N737,2))</f>
        <v/>
      </c>
      <c r="K737" s="330">
        <f>IF(AND(B737="",C737=""),"",ROUND(J737*F737,2))</f>
        <v/>
      </c>
      <c r="L737" s="126" t="n">
        <v>1</v>
      </c>
      <c r="M737" s="331" t="n">
        <v>52</v>
      </c>
      <c r="N737" s="128" t="n">
        <v>1</v>
      </c>
      <c r="O737" s="129">
        <f t="array" ref="O737">IF(AND(B737="",C737=""),"",IF(G737&gt;=20000,0.05,IF(G737&gt;=10000,0.1,IF(G737&gt;=5000,0.2,IF(G737&gt;=1000,0.3,IF(G737&gt;=0,0.4,{0}))))))</f>
        <v/>
      </c>
      <c r="P737" s="332">
        <f>IF(AND(B737="",C737=""),"",ROUND(H737*O737,2))</f>
        <v/>
      </c>
      <c r="Q737" s="327" t="inlineStr">
        <is>
          <t>元件</t>
        </is>
      </c>
      <c r="R737" s="150" t="n"/>
      <c r="S737" s="150" t="n"/>
      <c r="T737" s="150" t="inlineStr">
        <is>
          <t>0</t>
        </is>
      </c>
      <c r="U737" s="150" t="n"/>
      <c r="V737" s="328" t="n"/>
      <c r="W737" s="328" t="n"/>
      <c r="X737" s="152" t="n"/>
    </row>
    <row r="738" customFormat="1" s="145">
      <c r="A738" s="36">
        <f>ROW()-ROW(A$729)</f>
        <v/>
      </c>
      <c r="B738" s="25" t="inlineStr">
        <is>
          <t>多功能表</t>
        </is>
      </c>
      <c r="C738" s="25" t="inlineStr">
        <is>
          <t>PM4101</t>
        </is>
      </c>
      <c r="D738" s="25" t="inlineStr">
        <is>
          <t>甲供/施耐德电气</t>
        </is>
      </c>
      <c r="E738" s="30" t="inlineStr">
        <is>
          <t>只</t>
        </is>
      </c>
      <c r="F738" s="26" t="n">
        <v>5</v>
      </c>
      <c r="G738" s="293">
        <f>IF(AND(B738="",C738=""),"",ROUND(M738*L738*N738,2))</f>
        <v/>
      </c>
      <c r="H738" s="293">
        <f>IF(AND(B738="",C738=""),"",ROUND(F738*G738,2))</f>
        <v/>
      </c>
      <c r="I738" s="91" t="n"/>
      <c r="J738" s="329">
        <f>IF(AND(B738="",C738=""),"",ROUND(M738*N738,2))</f>
        <v/>
      </c>
      <c r="K738" s="330">
        <f>IF(AND(B738="",C738=""),"",ROUND(J738*F738,2))</f>
        <v/>
      </c>
      <c r="L738" s="126" t="n">
        <v>1</v>
      </c>
      <c r="M738" s="331" t="n">
        <v>1e-07</v>
      </c>
      <c r="N738" s="128" t="n">
        <v>0</v>
      </c>
      <c r="O738" s="129">
        <f t="array" ref="O738">IF(AND(B738="",C738=""),"",IF(G738&gt;=20000,0.05,IF(G738&gt;=10000,0.1,IF(G738&gt;=5000,0.2,IF(G738&gt;=1000,0.3,IF(G738&gt;=0,0.4,{0}))))))</f>
        <v/>
      </c>
      <c r="P738" s="332">
        <f>IF(AND(B738="",C738=""),"",ROUND(H738*O738,2))</f>
        <v/>
      </c>
      <c r="Q738" s="327" t="inlineStr">
        <is>
          <t>元件</t>
        </is>
      </c>
      <c r="R738" s="150" t="n"/>
      <c r="S738" s="150" t="n"/>
      <c r="T738" s="150" t="inlineStr">
        <is>
          <t>0</t>
        </is>
      </c>
      <c r="U738" s="150" t="n"/>
      <c r="V738" s="328" t="n"/>
      <c r="W738" s="328" t="n"/>
      <c r="X738" s="152" t="n"/>
    </row>
    <row r="739" customFormat="1" s="145">
      <c r="A739" s="36">
        <f>ROW()-ROW(A$729)</f>
        <v/>
      </c>
      <c r="B739" s="29" t="inlineStr">
        <is>
          <t>指示灯</t>
        </is>
      </c>
      <c r="C739" s="29" t="inlineStr">
        <is>
          <t>XA2EVM3LC</t>
        </is>
      </c>
      <c r="D739" s="29" t="inlineStr">
        <is>
          <t>施耐德电气</t>
        </is>
      </c>
      <c r="E739" s="30" t="inlineStr">
        <is>
          <t>只</t>
        </is>
      </c>
      <c r="F739" s="30" t="n">
        <v>5</v>
      </c>
      <c r="G739" s="297">
        <f>IF(AND(B739="",C739=""),"",ROUND(M739*L739*N739,2))</f>
        <v/>
      </c>
      <c r="H739" s="297">
        <f>IF(AND(B739="",C739=""),"",ROUND(F739*G739,2))</f>
        <v/>
      </c>
      <c r="I739" s="136" t="n"/>
      <c r="J739" s="329">
        <f>IF(AND(B739="",C739=""),"",ROUND(M739*N739,2))</f>
        <v/>
      </c>
      <c r="K739" s="330">
        <f>IF(AND(B739="",C739=""),"",ROUND(J739*F739,2))</f>
        <v/>
      </c>
      <c r="L739" s="126" t="n">
        <v>1</v>
      </c>
      <c r="M739" s="331" t="n">
        <v>16.43</v>
      </c>
      <c r="N739" s="137" t="n">
        <v>0.5</v>
      </c>
      <c r="O739" s="138">
        <f t="array" ref="O739">IF(AND(B739="",C739=""),"",IF(G739&gt;=20000,0.05,IF(G739&gt;=10000,0.1,IF(G739&gt;=5000,0.2,IF(G739&gt;=1000,0.3,IF(G739&gt;=0,0.4,{0}))))))</f>
        <v/>
      </c>
      <c r="P739" s="333">
        <f>IF(AND(B739="",C739=""),"",ROUND(H739*O739,2))</f>
        <v/>
      </c>
      <c r="Q739" s="334" t="inlineStr">
        <is>
          <t>元件</t>
        </is>
      </c>
      <c r="R739" s="154" t="n"/>
      <c r="S739" s="154" t="n"/>
      <c r="T739" s="154" t="inlineStr">
        <is>
          <t>0</t>
        </is>
      </c>
      <c r="U739" s="154" t="inlineStr">
        <is>
          <t>XA2EVM3LC</t>
        </is>
      </c>
      <c r="V739" s="335" t="n"/>
      <c r="W739" s="335" t="n"/>
      <c r="X739" s="152" t="n"/>
    </row>
    <row r="740" customFormat="1" s="145">
      <c r="A740" s="36">
        <f>ROW()-ROW(A$729)</f>
        <v/>
      </c>
      <c r="B740" s="29" t="inlineStr">
        <is>
          <t>指示灯</t>
        </is>
      </c>
      <c r="C740" s="25" t="inlineStr">
        <is>
          <t>XA2EVM4LC</t>
        </is>
      </c>
      <c r="D740" s="29" t="inlineStr">
        <is>
          <t>施耐德电气</t>
        </is>
      </c>
      <c r="E740" s="30" t="inlineStr">
        <is>
          <t>只</t>
        </is>
      </c>
      <c r="F740" s="30" t="n">
        <v>5</v>
      </c>
      <c r="G740" s="297">
        <f>IF(AND(B740="",C740=""),"",ROUND(M740*L740*N740,2))</f>
        <v/>
      </c>
      <c r="H740" s="297">
        <f>IF(AND(B740="",C740=""),"",ROUND(F740*G740,2))</f>
        <v/>
      </c>
      <c r="I740" s="136" t="n"/>
      <c r="J740" s="329">
        <f>IF(AND(B740="",C740=""),"",ROUND(M740*N740,2))</f>
        <v/>
      </c>
      <c r="K740" s="330">
        <f>IF(AND(B740="",C740=""),"",ROUND(J740*F740,2))</f>
        <v/>
      </c>
      <c r="L740" s="126" t="n">
        <v>1</v>
      </c>
      <c r="M740" s="331" t="n">
        <v>16.43</v>
      </c>
      <c r="N740" s="137" t="n">
        <v>0.5</v>
      </c>
      <c r="O740" s="138">
        <f t="array" ref="O740">IF(AND(B740="",C740=""),"",IF(G740&gt;=20000,0.05,IF(G740&gt;=10000,0.1,IF(G740&gt;=5000,0.2,IF(G740&gt;=1000,0.3,IF(G740&gt;=0,0.4,{0}))))))</f>
        <v/>
      </c>
      <c r="P740" s="333">
        <f>IF(AND(B740="",C740=""),"",ROUND(H740*O740,2))</f>
        <v/>
      </c>
      <c r="Q740" s="334" t="inlineStr">
        <is>
          <t>元件</t>
        </is>
      </c>
      <c r="R740" s="154" t="n"/>
      <c r="S740" s="154" t="n"/>
      <c r="T740" s="154" t="inlineStr">
        <is>
          <t>0</t>
        </is>
      </c>
      <c r="U740" s="154" t="inlineStr">
        <is>
          <t>XA2EVM4LC</t>
        </is>
      </c>
      <c r="V740" s="335" t="n"/>
      <c r="W740" s="335" t="n"/>
      <c r="X740" s="152" t="n"/>
    </row>
    <row r="741" customFormat="1" s="145">
      <c r="A741" s="36">
        <f>ROW()-ROW(A$729)</f>
        <v/>
      </c>
      <c r="B741" s="25" t="inlineStr">
        <is>
          <t>中间继电器</t>
        </is>
      </c>
      <c r="C741" s="25" t="inlineStr">
        <is>
          <t>RXM4AB2P7+RXZE1M4C+RXZ410</t>
        </is>
      </c>
      <c r="D741" s="25" t="inlineStr">
        <is>
          <t>甲供/施耐德电气</t>
        </is>
      </c>
      <c r="E741" s="26" t="inlineStr">
        <is>
          <t>只</t>
        </is>
      </c>
      <c r="F741" s="26" t="n">
        <v>5</v>
      </c>
      <c r="G741" s="292">
        <f>IF(AND(B741="",C741=""),"",ROUND(M741*L741*N741,2))</f>
        <v/>
      </c>
      <c r="H741" s="297">
        <f>IF(AND(B741="",C741=""),"",ROUND(F741*G741,2))</f>
        <v/>
      </c>
      <c r="I741" s="135" t="n"/>
      <c r="J741" s="329">
        <f>IF(AND(B741="",C741=""),"",ROUND(M741*N741,2))</f>
        <v/>
      </c>
      <c r="K741" s="330">
        <f>IF(AND(B741="",C741=""),"",ROUND(J741*F741,2))</f>
        <v/>
      </c>
      <c r="L741" s="126" t="n">
        <v>1</v>
      </c>
      <c r="M741" s="331" t="n">
        <v>1e-07</v>
      </c>
      <c r="N741" s="128" t="n">
        <v>0</v>
      </c>
      <c r="O741" s="129">
        <f t="array" ref="O741">IF(AND(B741="",C741=""),"",IF(G741&gt;=20000,0.05,IF(G741&gt;=10000,0.1,IF(G741&gt;=5000,0.2,IF(G741&gt;=1000,0.3,IF(G741&gt;=0,0.4,{0}))))))</f>
        <v/>
      </c>
      <c r="P741" s="332">
        <f>IF(AND(B741="",C741=""),"",ROUND(H741*O741,2))</f>
        <v/>
      </c>
      <c r="Q741" s="327" t="inlineStr">
        <is>
          <t>元件</t>
        </is>
      </c>
      <c r="R741" s="150" t="n"/>
      <c r="S741" s="150" t="n"/>
      <c r="T741" s="150" t="inlineStr">
        <is>
          <t>0</t>
        </is>
      </c>
      <c r="U741" s="150" t="n"/>
      <c r="V741" s="328" t="n"/>
      <c r="W741" s="328" t="n"/>
      <c r="X741" s="152" t="n"/>
    </row>
    <row r="742" customFormat="1" s="145">
      <c r="A742" s="36">
        <f>ROW()-ROW(A$729)</f>
        <v/>
      </c>
      <c r="B742" s="25" t="inlineStr">
        <is>
          <t>熔断器</t>
        </is>
      </c>
      <c r="C742" s="25" t="inlineStr">
        <is>
          <t>UK5-HESI</t>
        </is>
      </c>
      <c r="D742" s="25" t="inlineStr">
        <is>
          <t>菲尼克斯</t>
        </is>
      </c>
      <c r="E742" s="26" t="inlineStr">
        <is>
          <t>只</t>
        </is>
      </c>
      <c r="F742" s="26" t="n">
        <v>15</v>
      </c>
      <c r="G742" s="293">
        <f>IF(AND(B742="",C742=""),"",ROUND(M742*L742*N742,2))</f>
        <v/>
      </c>
      <c r="H742" s="297">
        <f>IF(AND(B742="",C742=""),"",ROUND(F742*G742,2))</f>
        <v/>
      </c>
      <c r="I742" s="136" t="n"/>
      <c r="J742" s="329">
        <f>IF(AND(B742="",C742=""),"",ROUND(M742*N742,2))</f>
        <v/>
      </c>
      <c r="K742" s="330">
        <f>IF(AND(B742="",C742=""),"",ROUND(J742*F742,2))</f>
        <v/>
      </c>
      <c r="L742" s="126" t="n">
        <v>1</v>
      </c>
      <c r="M742" s="331" t="n">
        <v>7</v>
      </c>
      <c r="N742" s="137" t="n">
        <v>1</v>
      </c>
      <c r="O742" s="138">
        <f t="array" ref="O742">IF(AND(B742="",C742=""),"",IF(G742&gt;=20000,0.05,IF(G742&gt;=10000,0.1,IF(G742&gt;=5000,0.2,IF(G742&gt;=1000,0.3,IF(G742&gt;=0,0.4,{0}))))))</f>
        <v/>
      </c>
      <c r="P742" s="333">
        <f>IF(AND(B742="",C742=""),"",ROUND(H742*O742,2))</f>
        <v/>
      </c>
      <c r="Q742" s="334" t="inlineStr">
        <is>
          <t>元件</t>
        </is>
      </c>
      <c r="R742" s="154" t="n"/>
      <c r="S742" s="154" t="n"/>
      <c r="T742" s="154" t="inlineStr">
        <is>
          <t>0</t>
        </is>
      </c>
      <c r="U742" s="154" t="n"/>
      <c r="V742" s="335" t="n"/>
      <c r="W742" s="335" t="n"/>
      <c r="X742" s="152" t="n"/>
    </row>
    <row r="743" customFormat="1" s="145">
      <c r="A743" s="36">
        <f>ROW()-ROW(A$729)</f>
        <v/>
      </c>
      <c r="B743" s="29" t="inlineStr">
        <is>
          <t>SP元件</t>
        </is>
      </c>
      <c r="C743" s="25" t="inlineStr">
        <is>
          <t>智能网关 PAS700</t>
        </is>
      </c>
      <c r="D743" s="25" t="inlineStr">
        <is>
          <t>甲供/施耐德电气</t>
        </is>
      </c>
      <c r="E743" s="30" t="inlineStr">
        <is>
          <t>只</t>
        </is>
      </c>
      <c r="F743" s="30">
        <f>IF(AND(B743="",C743=""),"",1)</f>
        <v/>
      </c>
      <c r="G743" s="297">
        <f>IF(AND(B743="",C743=""),"",ROUND(M743*L743*N743,2))</f>
        <v/>
      </c>
      <c r="H743" s="297">
        <f>IF(AND(B743="",C743=""),"",ROUND(F743*G743,2))</f>
        <v/>
      </c>
      <c r="I743" s="135" t="n"/>
      <c r="J743" s="329">
        <f>IF(AND(B743="",C743=""),"",ROUND(M743*N743,2))</f>
        <v/>
      </c>
      <c r="K743" s="330">
        <f>IF(AND(B743="",C743=""),"",ROUND(J743*F743,2))</f>
        <v/>
      </c>
      <c r="L743" s="126" t="n">
        <v>1</v>
      </c>
      <c r="M743" s="331" t="n">
        <v>1e-07</v>
      </c>
      <c r="N743" s="128" t="n">
        <v>0</v>
      </c>
      <c r="O743" s="129">
        <f t="array" ref="O743">IF(AND(B743="",C743=""),"",IF(G743&gt;=20000,0.05,IF(G743&gt;=10000,0.1,IF(G743&gt;=5000,0.2,IF(G743&gt;=1000,0.3,IF(G743&gt;=0,0.4,{0}))))))</f>
        <v/>
      </c>
      <c r="P743" s="332">
        <f>IF(AND(B743="",C743=""),"",ROUND(H743*O743,2))</f>
        <v/>
      </c>
      <c r="Q743" s="327" t="inlineStr">
        <is>
          <t>元件</t>
        </is>
      </c>
      <c r="R743" s="150" t="n"/>
      <c r="S743" s="150" t="n"/>
      <c r="T743" s="150" t="inlineStr">
        <is>
          <t>0</t>
        </is>
      </c>
      <c r="U743" s="150" t="n"/>
      <c r="V743" s="328" t="n"/>
      <c r="W743" s="328" t="n"/>
      <c r="X743" s="152" t="n"/>
    </row>
    <row r="744" customFormat="1" s="145">
      <c r="A744" s="36">
        <f>ROW()-ROW(A$729)</f>
        <v/>
      </c>
      <c r="B744" s="25" t="inlineStr">
        <is>
          <t>水平排4000A</t>
        </is>
      </c>
      <c r="C744" s="25" t="inlineStr">
        <is>
          <t>TMY 3*(4*125*5)+2*125*5+2*50*5</t>
        </is>
      </c>
      <c r="D744" s="25" t="inlineStr">
        <is>
          <t>国产优质</t>
        </is>
      </c>
      <c r="E744" s="26" t="inlineStr">
        <is>
          <t>米</t>
        </is>
      </c>
      <c r="F744" s="30" t="n">
        <v>0.6</v>
      </c>
      <c r="G744" s="297">
        <f>IF(AND(B744="",C744=""),"",ROUND(M744*L744*N744,2))</f>
        <v/>
      </c>
      <c r="H744" s="297">
        <f>IF(AND(B744="",C744=""),"",ROUND(F744*G744,2))</f>
        <v/>
      </c>
      <c r="I744" s="135" t="n"/>
      <c r="J744" s="329">
        <f>IF(AND(B744="",C744=""),"",ROUND(M744*N744,2))</f>
        <v/>
      </c>
      <c r="K744" s="330">
        <f>IF(AND(B744="",C744=""),"",ROUND(J744*F744,2))</f>
        <v/>
      </c>
      <c r="L744" s="126" t="n">
        <v>1</v>
      </c>
      <c r="M744" s="331" t="n">
        <v>6895.130375</v>
      </c>
      <c r="N744" s="128" t="n">
        <v>1</v>
      </c>
      <c r="O744" s="129">
        <f t="array" ref="O744">IF(AND(B744="",C744=""),"",IF(G744&gt;=20000,0.05,IF(G744&gt;=10000,0.1,IF(G744&gt;=5000,0.2,IF(G744&gt;=1000,0.3,IF(G744&gt;=0,0.4,{0}))))))</f>
        <v/>
      </c>
      <c r="P744" s="332">
        <f>IF(AND(B744="",C744=""),"",ROUND(H744*O744,2))</f>
        <v/>
      </c>
      <c r="Q744" s="327" t="inlineStr">
        <is>
          <t>母排</t>
        </is>
      </c>
      <c r="R744" s="150" t="n"/>
      <c r="S744" s="150" t="n"/>
      <c r="T744" s="150" t="inlineStr">
        <is>
          <t>0</t>
        </is>
      </c>
      <c r="U744" s="150" t="n"/>
      <c r="V744" s="328" t="n"/>
      <c r="W744" s="328" t="n"/>
      <c r="X744" s="152" t="n"/>
    </row>
    <row r="745" customFormat="1" s="145">
      <c r="A745" s="36">
        <f>ROW()-ROW(A$729)</f>
        <v/>
      </c>
      <c r="B745" s="25" t="inlineStr">
        <is>
          <t>垂直排</t>
        </is>
      </c>
      <c r="C745" s="25" t="inlineStr">
        <is>
          <t>TMY 80*10</t>
        </is>
      </c>
      <c r="D745" s="25" t="inlineStr">
        <is>
          <t>国产优质</t>
        </is>
      </c>
      <c r="E745" s="26" t="inlineStr">
        <is>
          <t>米</t>
        </is>
      </c>
      <c r="F745" s="30" t="n">
        <v>5.7</v>
      </c>
      <c r="G745" s="297">
        <f>IF(AND(B745="",C745=""),"",ROUND(M745*L745*N745,2))</f>
        <v/>
      </c>
      <c r="H745" s="297">
        <f>IF(AND(B745="",C745=""),"",ROUND(F745*G745,2))</f>
        <v/>
      </c>
      <c r="I745" s="135" t="n"/>
      <c r="J745" s="329">
        <f>IF(AND(B745="",C745=""),"",ROUND(M745*N745,2))</f>
        <v/>
      </c>
      <c r="K745" s="330">
        <f>IF(AND(B745="",C745=""),"",ROUND(J745*F745,2))</f>
        <v/>
      </c>
      <c r="L745" s="126" t="n">
        <v>1</v>
      </c>
      <c r="M745" s="331" t="n">
        <v>596.3356</v>
      </c>
      <c r="N745" s="128" t="n">
        <v>1</v>
      </c>
      <c r="O745" s="129">
        <f t="array" ref="O745">IF(AND(B745="",C745=""),"",IF(G745&gt;=20000,0.05,IF(G745&gt;=10000,0.1,IF(G745&gt;=5000,0.2,IF(G745&gt;=1000,0.3,IF(G745&gt;=0,0.4,{0}))))))</f>
        <v/>
      </c>
      <c r="P745" s="332">
        <f>IF(AND(B745="",C745=""),"",ROUND(H745*O745,2))</f>
        <v/>
      </c>
      <c r="Q745" s="327" t="inlineStr">
        <is>
          <t>母排</t>
        </is>
      </c>
      <c r="R745" s="150" t="n"/>
      <c r="S745" s="150" t="n"/>
      <c r="T745" s="150" t="inlineStr">
        <is>
          <t>0</t>
        </is>
      </c>
      <c r="U745" s="150" t="n"/>
      <c r="V745" s="328" t="n"/>
      <c r="W745" s="328" t="n"/>
      <c r="X745" s="152" t="n"/>
    </row>
    <row r="746" customFormat="1" s="145">
      <c r="A746" s="36">
        <f>ROW()-ROW(A$729)</f>
        <v/>
      </c>
      <c r="B746" s="25" t="inlineStr">
        <is>
          <t>连接排</t>
        </is>
      </c>
      <c r="C746" s="25" t="inlineStr">
        <is>
          <t>TMY 50*10</t>
        </is>
      </c>
      <c r="D746" s="25" t="inlineStr">
        <is>
          <t>国产优质</t>
        </is>
      </c>
      <c r="E746" s="26" t="inlineStr">
        <is>
          <t>米</t>
        </is>
      </c>
      <c r="F746" s="30" t="n">
        <v>4</v>
      </c>
      <c r="G746" s="297">
        <f>IF(AND(B746="",C746=""),"",ROUND(M746*L746*N746,2))</f>
        <v/>
      </c>
      <c r="H746" s="297">
        <f>IF(AND(B746="",C746=""),"",ROUND(F746*G746,2))</f>
        <v/>
      </c>
      <c r="I746" s="135" t="n"/>
      <c r="J746" s="329">
        <f>IF(AND(B746="",C746=""),"",ROUND(M746*N746,2))</f>
        <v/>
      </c>
      <c r="K746" s="330">
        <f>IF(AND(B746="",C746=""),"",ROUND(J746*F746,2))</f>
        <v/>
      </c>
      <c r="L746" s="126" t="n">
        <v>1</v>
      </c>
      <c r="M746" s="331" t="n">
        <v>372.70975</v>
      </c>
      <c r="N746" s="128" t="n">
        <v>1</v>
      </c>
      <c r="O746" s="129">
        <f t="array" ref="O746">IF(AND(B746="",C746=""),"",IF(G746&gt;=20000,0.05,IF(G746&gt;=10000,0.1,IF(G746&gt;=5000,0.2,IF(G746&gt;=1000,0.3,IF(G746&gt;=0,0.4,{0}))))))</f>
        <v/>
      </c>
      <c r="P746" s="332">
        <f>IF(AND(B746="",C746=""),"",ROUND(H746*O746,2))</f>
        <v/>
      </c>
      <c r="Q746" s="327" t="inlineStr">
        <is>
          <t>母排</t>
        </is>
      </c>
      <c r="R746" s="150" t="n"/>
      <c r="S746" s="150" t="n"/>
      <c r="T746" s="150" t="inlineStr">
        <is>
          <t>0</t>
        </is>
      </c>
      <c r="U746" s="150" t="n"/>
      <c r="V746" s="328" t="n"/>
      <c r="W746" s="328" t="n"/>
      <c r="X746" s="152" t="n"/>
    </row>
    <row r="747" customFormat="1" s="145">
      <c r="A747" s="36">
        <f>ROW()-ROW(A$729)</f>
        <v/>
      </c>
      <c r="B747" s="25" t="inlineStr">
        <is>
          <t>N排</t>
        </is>
      </c>
      <c r="C747" s="25" t="inlineStr">
        <is>
          <t>TMY 40*10</t>
        </is>
      </c>
      <c r="D747" s="25" t="inlineStr">
        <is>
          <t>国产优质</t>
        </is>
      </c>
      <c r="E747" s="26" t="inlineStr">
        <is>
          <t>米</t>
        </is>
      </c>
      <c r="F747" s="30" t="n">
        <v>3</v>
      </c>
      <c r="G747" s="297">
        <f>IF(AND(B747="",C747=""),"",ROUND(M747*L747*N747,2))</f>
        <v/>
      </c>
      <c r="H747" s="297">
        <f>IF(AND(B747="",C747=""),"",ROUND(F747*G747,2))</f>
        <v/>
      </c>
      <c r="I747" s="135" t="n"/>
      <c r="J747" s="329">
        <f>IF(AND(B747="",C747=""),"",ROUND(M747*N747,2))</f>
        <v/>
      </c>
      <c r="K747" s="330">
        <f>IF(AND(B747="",C747=""),"",ROUND(J747*F747,2))</f>
        <v/>
      </c>
      <c r="L747" s="126" t="n">
        <v>1</v>
      </c>
      <c r="M747" s="331" t="n">
        <v>298.1678</v>
      </c>
      <c r="N747" s="128" t="n">
        <v>1</v>
      </c>
      <c r="O747" s="129">
        <f t="array" ref="O747">IF(AND(B747="",C747=""),"",IF(G747&gt;=20000,0.05,IF(G747&gt;=10000,0.1,IF(G747&gt;=5000,0.2,IF(G747&gt;=1000,0.3,IF(G747&gt;=0,0.4,{0}))))))</f>
        <v/>
      </c>
      <c r="P747" s="332">
        <f>IF(AND(B747="",C747=""),"",ROUND(H747*O747,2))</f>
        <v/>
      </c>
      <c r="Q747" s="327" t="inlineStr">
        <is>
          <t>母排</t>
        </is>
      </c>
      <c r="R747" s="150" t="n"/>
      <c r="S747" s="150" t="n"/>
      <c r="T747" s="150" t="inlineStr">
        <is>
          <t>0</t>
        </is>
      </c>
      <c r="U747" s="150" t="n"/>
      <c r="V747" s="328" t="n"/>
      <c r="W747" s="328" t="n"/>
      <c r="X747" s="152" t="n"/>
    </row>
    <row r="748" customFormat="1" s="145">
      <c r="A748" s="36">
        <f>ROW()-ROW(A$729)</f>
        <v/>
      </c>
      <c r="B748" s="25" t="inlineStr">
        <is>
          <t>400A连接排</t>
        </is>
      </c>
      <c r="C748" s="25" t="inlineStr">
        <is>
          <t>TMY 30*8</t>
        </is>
      </c>
      <c r="D748" s="25" t="inlineStr">
        <is>
          <t>国产优质</t>
        </is>
      </c>
      <c r="E748" s="26" t="inlineStr">
        <is>
          <t>米</t>
        </is>
      </c>
      <c r="F748" s="30">
        <f>3.2*4</f>
        <v/>
      </c>
      <c r="G748" s="297">
        <f>IF(AND(B748="",C748=""),"",ROUND(M748*L748*N748,2))</f>
        <v/>
      </c>
      <c r="H748" s="297">
        <f>IF(AND(B748="",C748=""),"",ROUND(F748*G748,2))</f>
        <v/>
      </c>
      <c r="I748" s="135" t="n"/>
      <c r="J748" s="329">
        <f>IF(AND(B748="",C748=""),"",ROUND(M748*N748,2))</f>
        <v/>
      </c>
      <c r="K748" s="330">
        <f>IF(AND(B748="",C748=""),"",ROUND(J748*F748,2))</f>
        <v/>
      </c>
      <c r="L748" s="126" t="n">
        <v>1</v>
      </c>
      <c r="M748" s="331" t="n">
        <v>178.90068</v>
      </c>
      <c r="N748" s="128" t="n">
        <v>1</v>
      </c>
      <c r="O748" s="129">
        <f t="array" ref="O748">IF(AND(B748="",C748=""),"",IF(G748&gt;=20000,0.05,IF(G748&gt;=10000,0.1,IF(G748&gt;=5000,0.2,IF(G748&gt;=1000,0.3,IF(G748&gt;=0,0.4,{0}))))))</f>
        <v/>
      </c>
      <c r="P748" s="332">
        <f>IF(AND(B748="",C748=""),"",ROUND(H748*O748,2))</f>
        <v/>
      </c>
      <c r="Q748" s="327" t="inlineStr">
        <is>
          <t>母排</t>
        </is>
      </c>
      <c r="R748" s="150" t="n"/>
      <c r="S748" s="150" t="n"/>
      <c r="T748" s="150" t="inlineStr">
        <is>
          <t>0</t>
        </is>
      </c>
      <c r="U748" s="150" t="n"/>
      <c r="V748" s="328" t="n"/>
      <c r="W748" s="328" t="n"/>
      <c r="X748" s="152" t="n"/>
    </row>
    <row r="749" customFormat="1" s="145">
      <c r="A749" s="36">
        <f>ROW()-ROW(A$729)</f>
        <v/>
      </c>
      <c r="B749" s="25" t="inlineStr">
        <is>
          <t>导线及辅料</t>
        </is>
      </c>
      <c r="C749" s="25" t="n"/>
      <c r="D749" s="25" t="inlineStr">
        <is>
          <t>国产优质</t>
        </is>
      </c>
      <c r="E749" s="26" t="inlineStr">
        <is>
          <t>套</t>
        </is>
      </c>
      <c r="F749" s="26" t="n">
        <v>1</v>
      </c>
      <c r="G749" s="293">
        <f>IF(AND(B749="",C749=""),"",ROUND(M749*L749*N749,2))</f>
        <v/>
      </c>
      <c r="H749" s="293">
        <f>IF(AND(B749="",C749=""),"",ROUND(F749*G749,2))</f>
        <v/>
      </c>
      <c r="I749" s="164" t="n"/>
      <c r="J749" s="329">
        <f>IF(AND(B749="",C749=""),"",ROUND(M749*N749,2))</f>
        <v/>
      </c>
      <c r="K749" s="330">
        <f>IF(AND(B749="",C749=""),"",ROUND(J749*F749,2))</f>
        <v/>
      </c>
      <c r="L749" s="126" t="n">
        <v>1</v>
      </c>
      <c r="M749" s="331" t="n">
        <v>897</v>
      </c>
      <c r="N749" s="137" t="n">
        <v>1</v>
      </c>
      <c r="O749" s="138">
        <f t="array" ref="O749">IF(AND(B749="",C749=""),"",IF(G749&gt;=20000,0.05,IF(G749&gt;=10000,0.1,IF(G749&gt;=5000,0.2,IF(G749&gt;=1000,0.3,IF(G749&gt;=0,0.4,{0}))))))</f>
        <v/>
      </c>
      <c r="P749" s="333">
        <f>IF(AND(B749="",C749=""),"",ROUND(H749*O749,2))</f>
        <v/>
      </c>
      <c r="Q749" s="334" t="inlineStr">
        <is>
          <t>辅料</t>
        </is>
      </c>
      <c r="R749" s="154" t="n"/>
      <c r="S749" s="154" t="n"/>
      <c r="T749" s="154" t="inlineStr">
        <is>
          <t>0</t>
        </is>
      </c>
      <c r="U749" s="154" t="n"/>
      <c r="V749" s="335" t="n"/>
      <c r="W749" s="335" t="n"/>
      <c r="X749" s="152" t="n"/>
    </row>
    <row r="750" customFormat="1" s="145">
      <c r="A750" s="36">
        <f>ROW()-ROW(A$729)</f>
        <v/>
      </c>
      <c r="B750" s="25" t="inlineStr">
        <is>
          <t>通风顶盖</t>
        </is>
      </c>
      <c r="C750" s="25" t="n"/>
      <c r="D750" s="25" t="inlineStr">
        <is>
          <t>清科</t>
        </is>
      </c>
      <c r="E750" s="30" t="inlineStr">
        <is>
          <t>台</t>
        </is>
      </c>
      <c r="F750" s="26">
        <f>IF(AND(B750="",C750=""),"",1)</f>
        <v/>
      </c>
      <c r="G750" s="293">
        <f>IF(AND(B750="",C750=""),"",ROUND(M750*L750*N750,2))</f>
        <v/>
      </c>
      <c r="H750" s="293">
        <f>IF(AND(B750="",C750=""),"",ROUND(F750*G750,2))</f>
        <v/>
      </c>
      <c r="I750" s="164" t="n"/>
      <c r="J750" s="329">
        <f>IF(AND(B750="",C750=""),"",ROUND(M750*N750,2))</f>
        <v/>
      </c>
      <c r="K750" s="330">
        <f>IF(AND(B750="",C750=""),"",ROUND(J750*F750,2))</f>
        <v/>
      </c>
      <c r="L750" s="126">
        <f>IF(AND(B750="",C750=""),"",1)</f>
        <v/>
      </c>
      <c r="M750" s="331" t="n">
        <v>138</v>
      </c>
      <c r="N750" s="137">
        <f>IF(AND(B750="",C750=""),"",1)</f>
        <v/>
      </c>
      <c r="O750" s="138">
        <f t="array" ref="O750">IF(AND(B750="",C750=""),"",IF(G750&gt;=20000,0.05,IF(G750&gt;=10000,0.1,IF(G750&gt;=5000,0.2,IF(G750&gt;=1000,0.3,IF(G750&gt;=0,0.4,{0}))))))</f>
        <v/>
      </c>
      <c r="P750" s="333">
        <f>IF(AND(B750="",C750=""),"",ROUND(H750*O750,2))</f>
        <v/>
      </c>
      <c r="Q750" s="334">
        <f>IF(AND(B750="",C750=""),"","元件")</f>
        <v/>
      </c>
      <c r="R750" s="154" t="n"/>
      <c r="S750" s="154" t="n"/>
      <c r="T750" s="154" t="n"/>
      <c r="U750" s="154" t="n"/>
      <c r="V750" s="335" t="n"/>
      <c r="W750" s="335" t="n"/>
      <c r="X750" s="152" t="n"/>
    </row>
    <row r="751" customFormat="1" s="145">
      <c r="A751" s="36">
        <f>ROW()-ROW(A$729)</f>
        <v/>
      </c>
      <c r="B751" s="29" t="inlineStr">
        <is>
          <t>Blokset柜</t>
        </is>
      </c>
      <c r="C751" s="25" t="inlineStr">
        <is>
          <t>600W*1000D*2200H</t>
        </is>
      </c>
      <c r="D751" s="25" t="inlineStr">
        <is>
          <t>清科</t>
        </is>
      </c>
      <c r="E751" s="30" t="inlineStr">
        <is>
          <t>台</t>
        </is>
      </c>
      <c r="F751" s="30" t="n">
        <v>1</v>
      </c>
      <c r="G751" s="297">
        <f>IF(AND(B751="",C751=""),"",ROUND(M751*L751*N751,2))</f>
        <v/>
      </c>
      <c r="H751" s="297">
        <f>IF(AND(B751="",C751=""),"",ROUND(F751*G751,2))</f>
        <v/>
      </c>
      <c r="I751" s="135" t="n"/>
      <c r="J751" s="329">
        <f>IF(AND(B751="",C751=""),"",ROUND(M751*N751,2))</f>
        <v/>
      </c>
      <c r="K751" s="330">
        <f>IF(AND(B751="",C751=""),"",ROUND(J751*F751,2))</f>
        <v/>
      </c>
      <c r="L751" s="126" t="n">
        <v>1</v>
      </c>
      <c r="M751" s="331" t="n">
        <v>7758</v>
      </c>
      <c r="N751" s="137" t="n">
        <v>1</v>
      </c>
      <c r="O751" s="138">
        <f t="array" ref="O751">IF(AND(B751="",C751=""),"",IF(G751&gt;=20000,0.05,IF(G751&gt;=10000,0.1,IF(G751&gt;=5000,0.2,IF(G751&gt;=1000,0.3,IF(G751&gt;=0,0.4,{0}))))))</f>
        <v/>
      </c>
      <c r="P751" s="333">
        <f>IF(AND(B751="",C751=""),"",ROUND(H751*O751,2))</f>
        <v/>
      </c>
      <c r="Q751" s="334" t="inlineStr">
        <is>
          <t>箱体</t>
        </is>
      </c>
      <c r="R751" s="154" t="n"/>
      <c r="S751" s="154" t="n"/>
      <c r="T751" s="154" t="inlineStr">
        <is>
          <t>0</t>
        </is>
      </c>
      <c r="U751" s="154" t="n"/>
      <c r="V751" s="335" t="n"/>
      <c r="W751" s="335" t="n"/>
      <c r="X751" s="152" t="n"/>
    </row>
    <row r="752" customFormat="1" s="145">
      <c r="A752" s="36">
        <f>ROW()-ROW(A$729)</f>
        <v/>
      </c>
      <c r="B752" s="29" t="n"/>
      <c r="C752" s="29" t="n"/>
      <c r="D752" s="29" t="n"/>
      <c r="E752" s="30" t="n"/>
      <c r="F752" s="30">
        <f>IF(AND(B752="",C752=""),"",1)</f>
        <v/>
      </c>
      <c r="G752" s="297">
        <f>IF(AND(B752="",C752=""),"",ROUND(M752*L752*N752,2))</f>
        <v/>
      </c>
      <c r="H752" s="293">
        <f>IF(AND(B752="",C752=""),"",ROUND(F752*G752,2))</f>
        <v/>
      </c>
      <c r="I752" s="91" t="n"/>
      <c r="J752" s="329">
        <f>IF(AND(B752="",C752=""),"",ROUND(M752*N752,2))</f>
        <v/>
      </c>
      <c r="K752" s="330">
        <f>IF(AND(B752="",C752=""),"",ROUND(J752*F752,2))</f>
        <v/>
      </c>
      <c r="L752" s="126">
        <f>IF(AND(B752="",C752=""),"",1)</f>
        <v/>
      </c>
      <c r="M752" s="331" t="n"/>
      <c r="N752" s="128">
        <f>IF(AND(B752="",C752=""),"",1)</f>
        <v/>
      </c>
      <c r="O752" s="129">
        <f t="array" ref="O752">IF(AND(B752="",C752=""),"",IF(G752&gt;=20000,0.05,IF(G752&gt;=10000,0.1,IF(G752&gt;=5000,0.2,IF(G752&gt;=1000,0.3,IF(G752&gt;=0,0.4,{0}))))))</f>
        <v/>
      </c>
      <c r="P752" s="332">
        <f>IF(AND(B752="",C752=""),"",ROUND(H752*O752,2))</f>
        <v/>
      </c>
      <c r="Q752" s="327">
        <f>IF(AND(B752="",C752=""),"","元件")</f>
        <v/>
      </c>
      <c r="R752" s="150" t="n"/>
      <c r="S752" s="150" t="n"/>
      <c r="T752" s="150" t="n"/>
      <c r="U752" s="150" t="n"/>
      <c r="V752" s="328" t="n"/>
      <c r="W752" s="328" t="n"/>
      <c r="X752" s="152" t="n"/>
    </row>
    <row r="753" customFormat="1" s="145">
      <c r="A753" s="36">
        <f>ROW()-ROW(A$729)</f>
        <v/>
      </c>
      <c r="B753" s="29" t="n"/>
      <c r="C753" s="29" t="n"/>
      <c r="D753" s="29" t="n"/>
      <c r="E753" s="30" t="n"/>
      <c r="F753" s="30">
        <f>IF(AND(B753="",C753=""),"",1)</f>
        <v/>
      </c>
      <c r="G753" s="297">
        <f>IF(AND(B753="",C753=""),"",ROUND(M753*L753*N753,2))</f>
        <v/>
      </c>
      <c r="H753" s="297">
        <f>IF(AND(B753="",C753=""),"",ROUND(F753*G753,2))</f>
        <v/>
      </c>
      <c r="I753" s="135" t="n"/>
      <c r="J753" s="329">
        <f>IF(AND(B753="",C753=""),"",ROUND(M753*N753,2))</f>
        <v/>
      </c>
      <c r="K753" s="330">
        <f>IF(AND(B753="",C753=""),"",ROUND(J753*F753,2))</f>
        <v/>
      </c>
      <c r="L753" s="126">
        <f>IF(AND(B753="",C753=""),"",1)</f>
        <v/>
      </c>
      <c r="M753" s="331" t="n"/>
      <c r="N753" s="128">
        <f>IF(AND(B753="",C753=""),"",1)</f>
        <v/>
      </c>
      <c r="O753" s="129">
        <f t="array" ref="O753">IF(AND(B753="",C753=""),"",IF(G753&gt;=20000,0.05,IF(G753&gt;=10000,0.1,IF(G753&gt;=5000,0.2,IF(G753&gt;=1000,0.3,IF(G753&gt;=0,0.4,{0}))))))</f>
        <v/>
      </c>
      <c r="P753" s="332">
        <f>IF(AND(B753="",C753=""),"",ROUND(H753*O753,2))</f>
        <v/>
      </c>
      <c r="Q753" s="327">
        <f>IF(AND(B753="",C753=""),"","元件")</f>
        <v/>
      </c>
      <c r="R753" s="150" t="n"/>
      <c r="S753" s="150" t="n"/>
      <c r="T753" s="150" t="n"/>
      <c r="U753" s="150" t="n"/>
      <c r="V753" s="328" t="n"/>
      <c r="W753" s="328" t="n"/>
      <c r="X753" s="152" t="n"/>
    </row>
    <row r="754" customFormat="1" s="145">
      <c r="A754" s="36">
        <f>ROW()-ROW(A$729)</f>
        <v/>
      </c>
      <c r="B754" s="156" t="inlineStr">
        <is>
          <t>小计</t>
        </is>
      </c>
      <c r="C754" s="157" t="n"/>
      <c r="D754" s="54" t="n"/>
      <c r="E754" s="30" t="n"/>
      <c r="F754" s="30" t="n"/>
      <c r="G754" s="297" t="n"/>
      <c r="H754" s="297">
        <f>ROUND(SUM(H729:INDEX(H:H,ROW()-1)),2)</f>
        <v/>
      </c>
      <c r="I754" s="91" t="n"/>
      <c r="J754" s="329" t="n"/>
      <c r="K754" s="330">
        <f>ROUND(SUM(K729:INDEX(K:K,ROW()-1)),2)</f>
        <v/>
      </c>
      <c r="L754" s="126" t="n"/>
      <c r="M754" s="331" t="n"/>
      <c r="N754" s="128" t="n"/>
      <c r="O754" s="129" t="n"/>
      <c r="P754" s="332" t="n"/>
      <c r="Q754" s="327" t="n"/>
      <c r="R754" s="150" t="n"/>
      <c r="S754" s="150" t="n"/>
      <c r="T754" s="150" t="n"/>
      <c r="U754" s="150" t="n"/>
      <c r="V754" s="328">
        <f t="array" ref="V754">ROUND(SUMPRODUCT(F729:INDEX(F:F,ROW()-1),V729:INDEX(V:V,ROW()-1)),2)</f>
        <v/>
      </c>
      <c r="W754" s="328">
        <f t="array" ref="W754">ROUND(SUMPRODUCT(F729:INDEX(F:F,ROW()-1),W729:INDEX(W:W,ROW()-1)),2)</f>
        <v/>
      </c>
      <c r="X754" s="152" t="n"/>
    </row>
    <row r="755" customFormat="1" s="145">
      <c r="A755" s="36">
        <f>ROW()-ROW(A$729)</f>
        <v/>
      </c>
      <c r="B755" s="156" t="inlineStr">
        <is>
          <t>成套费</t>
        </is>
      </c>
      <c r="C755" s="157" t="n"/>
      <c r="D755" s="54" t="n"/>
      <c r="E755" s="30" t="n"/>
      <c r="F755" s="30" t="n"/>
      <c r="G755" s="297" t="n"/>
      <c r="H755" s="297" t="n">
        <v>944.76</v>
      </c>
      <c r="I755" s="91" t="n"/>
      <c r="J755" s="329" t="n"/>
      <c r="K755" s="330" t="n">
        <v>944.76</v>
      </c>
      <c r="L755" s="126" t="n"/>
      <c r="M755" s="331" t="n"/>
      <c r="N755" s="128" t="n"/>
      <c r="O755" s="129" t="n"/>
      <c r="P755" s="332" t="n"/>
      <c r="Q755" s="327" t="n"/>
      <c r="R755" s="150" t="n"/>
      <c r="S755" s="150" t="n"/>
      <c r="T755" s="150" t="n"/>
      <c r="U755" s="150" t="n"/>
      <c r="V755" s="328" t="n"/>
      <c r="W755" s="328" t="n"/>
      <c r="X755" s="152" t="n"/>
    </row>
    <row r="756" customFormat="1" s="145">
      <c r="A756" s="36">
        <f>ROW()-ROW(A$729)</f>
        <v/>
      </c>
      <c r="B756" s="156" t="n"/>
      <c r="C756" s="157" t="n"/>
      <c r="D756" s="54" t="n"/>
      <c r="E756" s="30" t="n"/>
      <c r="F756" s="30" t="n"/>
      <c r="G756" s="297" t="n"/>
      <c r="H756" s="297" t="n">
        <v>17.26</v>
      </c>
      <c r="I756" s="91" t="n"/>
      <c r="J756" s="329" t="n"/>
      <c r="K756" s="330" t="n"/>
      <c r="L756" s="126" t="n"/>
      <c r="M756" s="331" t="n"/>
      <c r="N756" s="128" t="n"/>
      <c r="O756" s="129" t="n"/>
      <c r="P756" s="332" t="n"/>
      <c r="Q756" s="327" t="n"/>
      <c r="R756" s="150" t="n"/>
      <c r="S756" s="150" t="n"/>
      <c r="T756" s="150" t="n"/>
      <c r="U756" s="150" t="n"/>
      <c r="V756" s="328" t="n"/>
      <c r="W756" s="328" t="n"/>
      <c r="X756" s="152" t="n"/>
    </row>
    <row r="757" customFormat="1" s="145">
      <c r="A757" s="36">
        <f>ROW()-ROW(A$729)</f>
        <v/>
      </c>
      <c r="B757" s="54" t="inlineStr">
        <is>
          <t>单台合计</t>
        </is>
      </c>
      <c r="C757" s="157" t="n"/>
      <c r="D757" s="54" t="n"/>
      <c r="E757" s="30" t="n"/>
      <c r="F757" s="30" t="n"/>
      <c r="G757" s="297" t="n"/>
      <c r="H757" s="297">
        <f>ROUND(SUM(H754:H755),2)</f>
        <v/>
      </c>
      <c r="I757" s="165" t="n"/>
      <c r="J757" s="329" t="n"/>
      <c r="K757" s="330">
        <f>ROUND(SUM(K754:K755),2)</f>
        <v/>
      </c>
      <c r="L757" s="166" t="n"/>
      <c r="M757" s="331" t="n"/>
      <c r="N757" s="167" t="n"/>
      <c r="O757" s="168" t="n"/>
      <c r="P757" s="332" t="n"/>
      <c r="Q757" s="327" t="n"/>
      <c r="R757" s="150" t="n"/>
      <c r="S757" s="150" t="n"/>
      <c r="T757" s="150" t="n"/>
      <c r="U757" s="150" t="n"/>
      <c r="V757" s="328" t="n"/>
      <c r="W757" s="328" t="n"/>
      <c r="X757" s="152" t="n"/>
    </row>
    <row r="758" customFormat="1" s="145">
      <c r="A758" s="158" t="inlineStr">
        <is>
          <t>总计</t>
        </is>
      </c>
      <c r="B758" s="159" t="n"/>
      <c r="C758" s="160" t="n"/>
      <c r="D758" s="161" t="n"/>
      <c r="E758" s="161" t="inlineStr">
        <is>
          <t>台</t>
        </is>
      </c>
      <c r="F758" s="161" t="n">
        <v>1</v>
      </c>
      <c r="G758" s="336">
        <f>ROUND(H757,2)</f>
        <v/>
      </c>
      <c r="H758" s="336">
        <f>ROUND(F758*G758,2)</f>
        <v/>
      </c>
      <c r="I758" s="169" t="n"/>
      <c r="J758" s="337" t="n"/>
      <c r="K758" s="338">
        <f>ROUND(K757*F758,2)</f>
        <v/>
      </c>
      <c r="L758" s="172" t="n"/>
      <c r="M758" s="339" t="n"/>
      <c r="N758" s="174" t="n"/>
      <c r="O758" s="175" t="n"/>
      <c r="P758" s="340" t="n"/>
      <c r="Q758" s="327" t="n"/>
      <c r="R758" s="150" t="n"/>
      <c r="S758" s="150" t="n"/>
      <c r="T758" s="150" t="n"/>
      <c r="U758" s="150" t="n"/>
      <c r="V758" s="328" t="n"/>
      <c r="W758" s="328" t="n"/>
      <c r="X758" s="152" t="n"/>
    </row>
    <row r="759" customFormat="1" s="146">
      <c r="A759" s="3" t="n"/>
      <c r="B759" s="117" t="n"/>
      <c r="C759" s="117" t="n"/>
      <c r="D759" s="117" t="n"/>
      <c r="E759" s="146" t="n"/>
      <c r="F759" s="146" t="n"/>
      <c r="G759" s="146" t="n"/>
      <c r="H759" s="146" t="n"/>
      <c r="Q759" s="144" t="n"/>
      <c r="R759" s="144" t="n"/>
      <c r="S759" s="144" t="n"/>
      <c r="T759" s="144" t="n"/>
      <c r="U759" s="144" t="n"/>
      <c r="X759" s="117" t="n"/>
    </row>
    <row r="760" customFormat="1" s="146">
      <c r="A760" s="3" t="n"/>
      <c r="B760" s="117" t="n"/>
      <c r="C760" s="117" t="n"/>
      <c r="D760" s="117" t="n"/>
      <c r="E760" s="146" t="n"/>
      <c r="F760" s="146" t="n"/>
      <c r="G760" s="146" t="n"/>
      <c r="H760" s="146" t="n"/>
      <c r="Q760" s="144" t="n"/>
      <c r="R760" s="144" t="n"/>
      <c r="S760" s="144" t="n"/>
      <c r="T760" s="144" t="n"/>
      <c r="U760" s="144" t="n"/>
      <c r="X760" s="117" t="n"/>
    </row>
    <row r="761" customFormat="1" s="145">
      <c r="A761" s="63">
        <f>CONCATENATE("报价人：",项目信息!$B$8)</f>
        <v/>
      </c>
      <c r="B761" s="63" t="n"/>
      <c r="C761" s="146" t="n"/>
      <c r="D761" s="146" t="n"/>
      <c r="E761" s="146" t="n"/>
      <c r="F761" s="146" t="n"/>
      <c r="G761" s="146" t="n"/>
      <c r="H761" s="163">
        <f>项目信息!$B$9</f>
        <v/>
      </c>
      <c r="Q761" s="144" t="n"/>
      <c r="R761" s="144" t="n"/>
      <c r="S761" s="144" t="n"/>
      <c r="T761" s="144" t="n"/>
      <c r="U761" s="144" t="n"/>
      <c r="X761" s="148" t="n"/>
    </row>
    <row r="762" customFormat="1" s="145">
      <c r="A762" s="5">
        <f>T(项目信息!$B$22)</f>
        <v/>
      </c>
      <c r="Q762" s="144" t="n"/>
      <c r="R762" s="144" t="n"/>
      <c r="S762" s="144" t="n"/>
      <c r="T762" s="144" t="n"/>
      <c r="U762" s="144" t="n"/>
      <c r="X762" s="145" t="n"/>
    </row>
    <row r="763" customFormat="1" s="145">
      <c r="A763" s="6">
        <f>T(项目信息!$B$23)</f>
        <v/>
      </c>
      <c r="Q763" s="144" t="n"/>
      <c r="R763" s="144" t="n"/>
      <c r="S763" s="144" t="n"/>
      <c r="T763" s="144" t="n"/>
      <c r="U763" s="144" t="n"/>
      <c r="X763" s="145" t="n"/>
    </row>
    <row r="764" customFormat="1" s="145">
      <c r="A764" s="68" t="inlineStr">
        <is>
          <t>成套产品报价明细表</t>
        </is>
      </c>
      <c r="B764" s="318" t="n"/>
      <c r="C764" s="318" t="n"/>
      <c r="D764" s="318" t="n"/>
      <c r="E764" s="318" t="n"/>
      <c r="F764" s="318" t="n"/>
      <c r="G764" s="318" t="n"/>
      <c r="H764" s="318" t="n"/>
      <c r="I764" s="318" t="n"/>
      <c r="Q764" s="144" t="n"/>
      <c r="R764" s="144" t="n"/>
      <c r="S764" s="144" t="n"/>
      <c r="T764" s="144" t="n"/>
      <c r="U764" s="144" t="n"/>
      <c r="X764" s="145" t="n"/>
    </row>
    <row r="765" customFormat="1" s="146">
      <c r="A765" s="69" t="inlineStr">
        <is>
          <t>柜号:</t>
        </is>
      </c>
      <c r="B765" s="70" t="inlineStr">
        <is>
          <t>4D1</t>
        </is>
      </c>
      <c r="C765" s="71" t="inlineStr">
        <is>
          <t>型号:</t>
        </is>
      </c>
      <c r="D765" s="70" t="inlineStr">
        <is>
          <t>Blokset</t>
        </is>
      </c>
      <c r="E765" s="319" t="n"/>
      <c r="F765" s="72" t="inlineStr">
        <is>
          <t>名称:</t>
        </is>
      </c>
      <c r="G765" s="70" t="inlineStr">
        <is>
          <t>进线柜</t>
        </is>
      </c>
      <c r="H765" s="319" t="n"/>
      <c r="I765" s="320" t="n"/>
      <c r="J765" s="116" t="inlineStr">
        <is>
          <t>箱柜尺寸:</t>
        </is>
      </c>
      <c r="K765" s="117" t="inlineStr">
        <is>
          <t>700W*1000D*2200H</t>
        </is>
      </c>
      <c r="L765" s="116" t="inlineStr">
        <is>
          <t>类别:</t>
        </is>
      </c>
      <c r="M765" s="117" t="n"/>
      <c r="N765" s="321" t="n"/>
      <c r="Q765" s="144" t="n"/>
      <c r="R765" s="144" t="n"/>
      <c r="S765" s="144" t="n"/>
      <c r="T765" s="144" t="n"/>
      <c r="U765" s="144" t="n"/>
      <c r="X765" s="146" t="n"/>
    </row>
    <row r="766" ht="20.1" customFormat="1" customHeight="1" s="145">
      <c r="A766" s="13" t="inlineStr">
        <is>
          <t>序号</t>
        </is>
      </c>
      <c r="B766" s="73" t="inlineStr">
        <is>
          <t>元件名称</t>
        </is>
      </c>
      <c r="C766" s="73" t="inlineStr">
        <is>
          <t>型号规格</t>
        </is>
      </c>
      <c r="D766" s="74" t="inlineStr">
        <is>
          <t>生产厂家</t>
        </is>
      </c>
      <c r="E766" s="15" t="inlineStr">
        <is>
          <t>单位</t>
        </is>
      </c>
      <c r="F766" s="15" t="inlineStr">
        <is>
          <t>数量</t>
        </is>
      </c>
      <c r="G766" s="287" t="inlineStr">
        <is>
          <t>单   价</t>
        </is>
      </c>
      <c r="H766" s="256" t="inlineStr">
        <is>
          <t>总   价</t>
        </is>
      </c>
      <c r="I766" s="119" t="inlineStr">
        <is>
          <t>备注</t>
        </is>
      </c>
      <c r="J766" s="322" t="inlineStr">
        <is>
          <t>成本单价</t>
        </is>
      </c>
      <c r="K766" s="322" t="inlineStr">
        <is>
          <t>成本总价</t>
        </is>
      </c>
      <c r="L766" s="121" t="inlineStr">
        <is>
          <t>报出
系数</t>
        </is>
      </c>
      <c r="M766" s="322" t="inlineStr">
        <is>
          <t>表价</t>
        </is>
      </c>
      <c r="N766" s="121" t="inlineStr">
        <is>
          <t>折扣
系数</t>
        </is>
      </c>
      <c r="O766" s="122" t="inlineStr">
        <is>
          <t>取费
系数</t>
        </is>
      </c>
      <c r="P766" s="322" t="inlineStr">
        <is>
          <t>成套费</t>
        </is>
      </c>
      <c r="Q766" s="147" t="inlineStr">
        <is>
          <t>类别</t>
        </is>
      </c>
      <c r="R766" s="147" t="inlineStr">
        <is>
          <t>物料编码</t>
        </is>
      </c>
      <c r="S766" s="147" t="inlineStr">
        <is>
          <t>产地</t>
        </is>
      </c>
      <c r="T766" s="147" t="inlineStr">
        <is>
          <t>加工费</t>
        </is>
      </c>
      <c r="U766" s="147" t="inlineStr">
        <is>
          <t>订货号</t>
        </is>
      </c>
      <c r="V766" s="147" t="inlineStr">
        <is>
          <t>人工</t>
        </is>
      </c>
      <c r="W766" s="147" t="inlineStr">
        <is>
          <t>辅料</t>
        </is>
      </c>
      <c r="X766" s="148" t="n"/>
    </row>
    <row r="767" customFormat="1" s="145">
      <c r="A767" s="36">
        <f>ROW()-ROW(A$766)</f>
        <v/>
      </c>
      <c r="B767" s="25" t="inlineStr">
        <is>
          <t>双电源开关ATMT</t>
        </is>
      </c>
      <c r="C767" s="25" t="inlineStr">
        <is>
          <t>ATMT40 H1 3P MIC5.0E 带通讯</t>
        </is>
      </c>
      <c r="D767" s="29" t="inlineStr">
        <is>
          <t>甲供/施耐德万高</t>
        </is>
      </c>
      <c r="E767" s="30" t="inlineStr">
        <is>
          <t>套</t>
        </is>
      </c>
      <c r="F767" s="26" t="n">
        <v>0.33</v>
      </c>
      <c r="G767" s="297">
        <f>IF(AND(B767="",C767=""),"",ROUND(M767*L767*N767,2))</f>
        <v/>
      </c>
      <c r="H767" s="293">
        <f>IF(AND(B767="",C767=""),"",ROUND(F767*G767,2))</f>
        <v/>
      </c>
      <c r="I767" s="91" t="n"/>
      <c r="J767" s="329">
        <f>IF(AND(B767="",C767=""),"",ROUND(M767*N767,2))</f>
        <v/>
      </c>
      <c r="K767" s="330">
        <f>IF(AND(B767="",C767=""),"",ROUND(J767*F767,2))</f>
        <v/>
      </c>
      <c r="L767" s="126" t="n">
        <v>1</v>
      </c>
      <c r="M767" s="331" t="n">
        <v>1e-07</v>
      </c>
      <c r="N767" s="128" t="n">
        <v>0</v>
      </c>
      <c r="O767" s="129">
        <f t="array" ref="O767">IF(AND(B767="",C767=""),"",IF(G767&gt;=20000,0.05,IF(G767&gt;=10000,0.1,IF(G767&gt;=5000,0.2,IF(G767&gt;=1000,0.3,IF(G767&gt;=0,0.4,{0}))))))</f>
        <v/>
      </c>
      <c r="P767" s="332">
        <f>IF(AND(B767="",C767=""),"",ROUND(H767*O767,2))</f>
        <v/>
      </c>
      <c r="Q767" s="327" t="inlineStr">
        <is>
          <t>元件</t>
        </is>
      </c>
      <c r="R767" s="150" t="n"/>
      <c r="S767" s="150" t="n"/>
      <c r="T767" s="150" t="inlineStr">
        <is>
          <t>0</t>
        </is>
      </c>
      <c r="U767" s="150" t="n"/>
      <c r="V767" s="328" t="n"/>
      <c r="W767" s="328" t="n"/>
      <c r="X767" s="152" t="n"/>
    </row>
    <row r="768" customFormat="1" s="145">
      <c r="A768" s="36">
        <f>ROW()-ROW(A$766)</f>
        <v/>
      </c>
      <c r="B768" s="29" t="inlineStr">
        <is>
          <t>测量电流互感器</t>
        </is>
      </c>
      <c r="C768" s="25" t="inlineStr">
        <is>
          <t>SD-0.66-130III-V 4000/5</t>
        </is>
      </c>
      <c r="D768" s="29" t="inlineStr">
        <is>
          <t>杭州桑迪</t>
        </is>
      </c>
      <c r="E768" s="30" t="inlineStr">
        <is>
          <t>只</t>
        </is>
      </c>
      <c r="F768" s="26" t="n">
        <v>6</v>
      </c>
      <c r="G768" s="293">
        <f>IF(AND(B768="",C768=""),"",ROUND(M768*L768*N768,2))</f>
        <v/>
      </c>
      <c r="H768" s="293">
        <f>IF(AND(B768="",C768=""),"",ROUND(F768*G768,2))</f>
        <v/>
      </c>
      <c r="I768" s="91" t="n"/>
      <c r="J768" s="329">
        <f>IF(AND(B768="",C768=""),"",ROUND(M768*N768,2))</f>
        <v/>
      </c>
      <c r="K768" s="330">
        <f>IF(AND(B768="",C768=""),"",ROUND(J768*F768,2))</f>
        <v/>
      </c>
      <c r="L768" s="126" t="n">
        <v>1</v>
      </c>
      <c r="M768" s="331" t="n">
        <v>217.75</v>
      </c>
      <c r="N768" s="128" t="n">
        <v>1</v>
      </c>
      <c r="O768" s="129">
        <f t="array" ref="O768">IF(AND(B768="",C768=""),"",IF(G768&gt;=20000,0.05,IF(G768&gt;=10000,0.1,IF(G768&gt;=5000,0.2,IF(G768&gt;=1000,0.3,IF(G768&gt;=0,0.4,{0}))))))</f>
        <v/>
      </c>
      <c r="P768" s="332">
        <f>IF(AND(B768="",C768=""),"",ROUND(H768*O768,2))</f>
        <v/>
      </c>
      <c r="Q768" s="327" t="inlineStr">
        <is>
          <t>元件</t>
        </is>
      </c>
      <c r="R768" s="150" t="n"/>
      <c r="S768" s="150" t="n"/>
      <c r="T768" s="150" t="inlineStr">
        <is>
          <t>0</t>
        </is>
      </c>
      <c r="U768" s="150" t="n"/>
      <c r="V768" s="328" t="n"/>
      <c r="W768" s="328" t="n"/>
      <c r="X768" s="152" t="n"/>
    </row>
    <row r="769" customFormat="1" s="145">
      <c r="A769" s="36">
        <f>ROW()-ROW(A$766)</f>
        <v/>
      </c>
      <c r="B769" s="25" t="inlineStr">
        <is>
          <t>多功能表</t>
        </is>
      </c>
      <c r="C769" s="25" t="inlineStr">
        <is>
          <t>PM4633</t>
        </is>
      </c>
      <c r="D769" s="25" t="inlineStr">
        <is>
          <t>甲供/施耐德电气</t>
        </is>
      </c>
      <c r="E769" s="30" t="inlineStr">
        <is>
          <t>只</t>
        </is>
      </c>
      <c r="F769" s="26">
        <f>IF(AND(B769="",C769=""),"",1)</f>
        <v/>
      </c>
      <c r="G769" s="293">
        <f>IF(AND(B769="",C769=""),"",ROUND(M769*L769*N769,2))</f>
        <v/>
      </c>
      <c r="H769" s="293">
        <f>IF(AND(B769="",C769=""),"",ROUND(F769*G769,2))</f>
        <v/>
      </c>
      <c r="I769" s="91" t="n"/>
      <c r="J769" s="329">
        <f>IF(AND(B769="",C769=""),"",ROUND(M769*N769,2))</f>
        <v/>
      </c>
      <c r="K769" s="330">
        <f>IF(AND(B769="",C769=""),"",ROUND(J769*F769,2))</f>
        <v/>
      </c>
      <c r="L769" s="126" t="n">
        <v>1</v>
      </c>
      <c r="M769" s="331" t="n">
        <v>1e-07</v>
      </c>
      <c r="N769" s="128" t="n">
        <v>0</v>
      </c>
      <c r="O769" s="129">
        <f t="array" ref="O769">IF(AND(B769="",C769=""),"",IF(G769&gt;=20000,0.05,IF(G769&gt;=10000,0.1,IF(G769&gt;=5000,0.2,IF(G769&gt;=1000,0.3,IF(G769&gt;=0,0.4,{0}))))))</f>
        <v/>
      </c>
      <c r="P769" s="332">
        <f>IF(AND(B769="",C769=""),"",ROUND(H769*O769,2))</f>
        <v/>
      </c>
      <c r="Q769" s="327" t="inlineStr">
        <is>
          <t>元件</t>
        </is>
      </c>
      <c r="R769" s="150" t="n"/>
      <c r="S769" s="150" t="n"/>
      <c r="T769" s="150" t="inlineStr">
        <is>
          <t>0</t>
        </is>
      </c>
      <c r="U769" s="150" t="n"/>
      <c r="V769" s="328" t="n"/>
      <c r="W769" s="328" t="n"/>
      <c r="X769" s="152" t="n"/>
    </row>
    <row r="770" customFormat="1" s="145">
      <c r="A770" s="36">
        <f>ROW()-ROW(A$766)</f>
        <v/>
      </c>
      <c r="B770" s="29" t="inlineStr">
        <is>
          <t>SPD断路器</t>
        </is>
      </c>
      <c r="C770" s="25" t="inlineStr">
        <is>
          <t>iSCB1 25L1 4P</t>
        </is>
      </c>
      <c r="D770" s="29" t="inlineStr">
        <is>
          <t>甲供/施耐德万高</t>
        </is>
      </c>
      <c r="E770" s="30" t="inlineStr">
        <is>
          <t>只</t>
        </is>
      </c>
      <c r="F770" s="30">
        <f>IF(AND(B770="",C770=""),"",1)</f>
        <v/>
      </c>
      <c r="G770" s="297">
        <f>IF(AND(B770="",C770=""),"",ROUND(M770*L770*N770,2))</f>
        <v/>
      </c>
      <c r="H770" s="293">
        <f>IF(AND(B770="",C770=""),"",ROUND(F770*G770,2))</f>
        <v/>
      </c>
      <c r="I770" s="91" t="n"/>
      <c r="J770" s="329">
        <f>IF(AND(B770="",C770=""),"",ROUND(M770*N770,2))</f>
        <v/>
      </c>
      <c r="K770" s="330">
        <f>IF(AND(B770="",C770=""),"",ROUND(J770*F770,2))</f>
        <v/>
      </c>
      <c r="L770" s="126" t="n">
        <v>1</v>
      </c>
      <c r="M770" s="331" t="n">
        <v>1e-07</v>
      </c>
      <c r="N770" s="128" t="n">
        <v>0</v>
      </c>
      <c r="O770" s="129">
        <f t="array" ref="O770">IF(AND(B770="",C770=""),"",IF(G770&gt;=20000,0.05,IF(G770&gt;=10000,0.1,IF(G770&gt;=5000,0.2,IF(G770&gt;=1000,0.3,IF(G770&gt;=0,0.4,{0}))))))</f>
        <v/>
      </c>
      <c r="P770" s="332">
        <f>IF(AND(B770="",C770=""),"",ROUND(H770*O770,2))</f>
        <v/>
      </c>
      <c r="Q770" s="327" t="inlineStr">
        <is>
          <t>元件</t>
        </is>
      </c>
      <c r="R770" s="150" t="n"/>
      <c r="S770" s="150" t="n"/>
      <c r="T770" s="150" t="inlineStr">
        <is>
          <t>0</t>
        </is>
      </c>
      <c r="U770" s="150" t="n"/>
      <c r="V770" s="328" t="n"/>
      <c r="W770" s="328" t="n"/>
      <c r="X770" s="152" t="n"/>
    </row>
    <row r="771" customFormat="1" s="145">
      <c r="A771" s="36">
        <f>ROW()-ROW(A$766)</f>
        <v/>
      </c>
      <c r="B771" s="29" t="inlineStr">
        <is>
          <t>浪涌保护器</t>
        </is>
      </c>
      <c r="C771" s="25" t="inlineStr">
        <is>
          <t>iPRF1 12.5r 3P+N</t>
        </is>
      </c>
      <c r="D771" s="29" t="inlineStr">
        <is>
          <t>甲供/施耐德万高</t>
        </is>
      </c>
      <c r="E771" s="30" t="inlineStr">
        <is>
          <t>只</t>
        </is>
      </c>
      <c r="F771" s="30">
        <f>IF(AND(B771="",C771=""),"",1)</f>
        <v/>
      </c>
      <c r="G771" s="297">
        <f>IF(AND(B771="",C771=""),"",ROUND(M771*L771*N771,2))</f>
        <v/>
      </c>
      <c r="H771" s="293">
        <f>IF(AND(B771="",C771=""),"",ROUND(F771*G771,2))</f>
        <v/>
      </c>
      <c r="I771" s="91" t="n"/>
      <c r="J771" s="329">
        <f>IF(AND(B771="",C771=""),"",ROUND(M771*N771,2))</f>
        <v/>
      </c>
      <c r="K771" s="330">
        <f>IF(AND(B771="",C771=""),"",ROUND(J771*F771,2))</f>
        <v/>
      </c>
      <c r="L771" s="126" t="n">
        <v>1</v>
      </c>
      <c r="M771" s="331" t="n">
        <v>1e-07</v>
      </c>
      <c r="N771" s="128" t="n">
        <v>0</v>
      </c>
      <c r="O771" s="129">
        <f t="array" ref="O771">IF(AND(B771="",C771=""),"",IF(G771&gt;=20000,0.05,IF(G771&gt;=10000,0.1,IF(G771&gt;=5000,0.2,IF(G771&gt;=1000,0.3,IF(G771&gt;=0,0.4,{0}))))))</f>
        <v/>
      </c>
      <c r="P771" s="332">
        <f>IF(AND(B771="",C771=""),"",ROUND(H771*O771,2))</f>
        <v/>
      </c>
      <c r="Q771" s="327" t="inlineStr">
        <is>
          <t>元件</t>
        </is>
      </c>
      <c r="R771" s="150" t="n"/>
      <c r="S771" s="150" t="n"/>
      <c r="T771" s="150" t="inlineStr">
        <is>
          <t>0</t>
        </is>
      </c>
      <c r="U771" s="150" t="n"/>
      <c r="V771" s="328" t="n"/>
      <c r="W771" s="328" t="n"/>
      <c r="X771" s="152" t="n"/>
    </row>
    <row r="772" customFormat="1" s="145">
      <c r="A772" s="36">
        <f>ROW()-ROW(A$766)</f>
        <v/>
      </c>
      <c r="B772" s="29" t="inlineStr">
        <is>
          <t>SP元件</t>
        </is>
      </c>
      <c r="C772" s="25" t="inlineStr">
        <is>
          <t>智能网关 PAS700</t>
        </is>
      </c>
      <c r="D772" s="25" t="inlineStr">
        <is>
          <t>甲供/施耐德电气</t>
        </is>
      </c>
      <c r="E772" s="30" t="inlineStr">
        <is>
          <t>只</t>
        </is>
      </c>
      <c r="F772" s="30">
        <f>IF(AND(B772="",C772=""),"",1)</f>
        <v/>
      </c>
      <c r="G772" s="297">
        <f>IF(AND(B772="",C772=""),"",ROUND(M772*L772*N772,2))</f>
        <v/>
      </c>
      <c r="H772" s="297">
        <f>IF(AND(B772="",C772=""),"",ROUND(F772*G772,2))</f>
        <v/>
      </c>
      <c r="I772" s="135" t="n"/>
      <c r="J772" s="329">
        <f>IF(AND(B772="",C772=""),"",ROUND(M772*N772,2))</f>
        <v/>
      </c>
      <c r="K772" s="330">
        <f>IF(AND(B772="",C772=""),"",ROUND(J772*F772,2))</f>
        <v/>
      </c>
      <c r="L772" s="126" t="n">
        <v>1</v>
      </c>
      <c r="M772" s="331" t="n">
        <v>1e-07</v>
      </c>
      <c r="N772" s="128" t="n">
        <v>0</v>
      </c>
      <c r="O772" s="129">
        <f t="array" ref="O772">IF(AND(B772="",C772=""),"",IF(G772&gt;=20000,0.05,IF(G772&gt;=10000,0.1,IF(G772&gt;=5000,0.2,IF(G772&gt;=1000,0.3,IF(G772&gt;=0,0.4,{0}))))))</f>
        <v/>
      </c>
      <c r="P772" s="332">
        <f>IF(AND(B772="",C772=""),"",ROUND(H772*O772,2))</f>
        <v/>
      </c>
      <c r="Q772" s="327" t="inlineStr">
        <is>
          <t>元件</t>
        </is>
      </c>
      <c r="R772" s="150" t="n"/>
      <c r="S772" s="150" t="n"/>
      <c r="T772" s="150" t="inlineStr">
        <is>
          <t>0</t>
        </is>
      </c>
      <c r="U772" s="150" t="n"/>
      <c r="V772" s="328" t="n"/>
      <c r="W772" s="328" t="n"/>
      <c r="X772" s="152" t="n"/>
    </row>
    <row r="773" customFormat="1" s="145">
      <c r="A773" s="36">
        <f>ROW()-ROW(A$766)</f>
        <v/>
      </c>
      <c r="B773" s="29" t="inlineStr">
        <is>
          <t>指示灯</t>
        </is>
      </c>
      <c r="C773" s="29" t="inlineStr">
        <is>
          <t>XA2EVM3LC</t>
        </is>
      </c>
      <c r="D773" s="29" t="inlineStr">
        <is>
          <t>施耐德电气</t>
        </is>
      </c>
      <c r="E773" s="30" t="inlineStr">
        <is>
          <t>只</t>
        </is>
      </c>
      <c r="F773" s="30" t="n">
        <v>1</v>
      </c>
      <c r="G773" s="297">
        <f>IF(AND(B773="",C773=""),"",ROUND(M773*L773*N773,2))</f>
        <v/>
      </c>
      <c r="H773" s="297">
        <f>IF(AND(B773="",C773=""),"",ROUND(F773*G773,2))</f>
        <v/>
      </c>
      <c r="I773" s="136" t="n"/>
      <c r="J773" s="329">
        <f>IF(AND(B773="",C773=""),"",ROUND(M773*N773,2))</f>
        <v/>
      </c>
      <c r="K773" s="330">
        <f>IF(AND(B773="",C773=""),"",ROUND(J773*F773,2))</f>
        <v/>
      </c>
      <c r="L773" s="126" t="n">
        <v>1</v>
      </c>
      <c r="M773" s="331" t="n">
        <v>16.43</v>
      </c>
      <c r="N773" s="137" t="n">
        <v>0.5</v>
      </c>
      <c r="O773" s="138">
        <f t="array" ref="O773">IF(AND(B773="",C773=""),"",IF(G773&gt;=20000,0.05,IF(G773&gt;=10000,0.1,IF(G773&gt;=5000,0.2,IF(G773&gt;=1000,0.3,IF(G773&gt;=0,0.4,{0}))))))</f>
        <v/>
      </c>
      <c r="P773" s="333">
        <f>IF(AND(B773="",C773=""),"",ROUND(H773*O773,2))</f>
        <v/>
      </c>
      <c r="Q773" s="334" t="inlineStr">
        <is>
          <t>元件</t>
        </is>
      </c>
      <c r="R773" s="154" t="n"/>
      <c r="S773" s="154" t="n"/>
      <c r="T773" s="154" t="inlineStr">
        <is>
          <t>0</t>
        </is>
      </c>
      <c r="U773" s="154" t="inlineStr">
        <is>
          <t>XA2EVM3LC</t>
        </is>
      </c>
      <c r="V773" s="335" t="n"/>
      <c r="W773" s="335" t="n"/>
      <c r="X773" s="152" t="n"/>
    </row>
    <row r="774" customFormat="1" s="145">
      <c r="A774" s="36">
        <f>ROW()-ROW(A$766)</f>
        <v/>
      </c>
      <c r="B774" s="29" t="inlineStr">
        <is>
          <t>指示灯</t>
        </is>
      </c>
      <c r="C774" s="25" t="inlineStr">
        <is>
          <t>XA2EVM4LC</t>
        </is>
      </c>
      <c r="D774" s="29" t="inlineStr">
        <is>
          <t>施耐德电气</t>
        </is>
      </c>
      <c r="E774" s="30" t="inlineStr">
        <is>
          <t>只</t>
        </is>
      </c>
      <c r="F774" s="30" t="n">
        <v>1</v>
      </c>
      <c r="G774" s="297">
        <f>IF(AND(B774="",C774=""),"",ROUND(M774*L774*N774,2))</f>
        <v/>
      </c>
      <c r="H774" s="297">
        <f>IF(AND(B774="",C774=""),"",ROUND(F774*G774,2))</f>
        <v/>
      </c>
      <c r="I774" s="136" t="n"/>
      <c r="J774" s="329">
        <f>IF(AND(B774="",C774=""),"",ROUND(M774*N774,2))</f>
        <v/>
      </c>
      <c r="K774" s="330">
        <f>IF(AND(B774="",C774=""),"",ROUND(J774*F774,2))</f>
        <v/>
      </c>
      <c r="L774" s="126" t="n">
        <v>1</v>
      </c>
      <c r="M774" s="331" t="n">
        <v>16.43</v>
      </c>
      <c r="N774" s="137" t="n">
        <v>0.5</v>
      </c>
      <c r="O774" s="138">
        <f t="array" ref="O774">IF(AND(B774="",C774=""),"",IF(G774&gt;=20000,0.05,IF(G774&gt;=10000,0.1,IF(G774&gt;=5000,0.2,IF(G774&gt;=1000,0.3,IF(G774&gt;=0,0.4,{0}))))))</f>
        <v/>
      </c>
      <c r="P774" s="333">
        <f>IF(AND(B774="",C774=""),"",ROUND(H774*O774,2))</f>
        <v/>
      </c>
      <c r="Q774" s="334" t="inlineStr">
        <is>
          <t>元件</t>
        </is>
      </c>
      <c r="R774" s="154" t="n"/>
      <c r="S774" s="154" t="n"/>
      <c r="T774" s="154" t="inlineStr">
        <is>
          <t>0</t>
        </is>
      </c>
      <c r="U774" s="154" t="inlineStr">
        <is>
          <t>XA2EVM4LC</t>
        </is>
      </c>
      <c r="V774" s="335" t="n"/>
      <c r="W774" s="335" t="n"/>
      <c r="X774" s="152" t="n"/>
    </row>
    <row r="775" customFormat="1" s="145">
      <c r="A775" s="36">
        <f>ROW()-ROW(A$766)</f>
        <v/>
      </c>
      <c r="B775" s="29" t="inlineStr">
        <is>
          <t>指示灯</t>
        </is>
      </c>
      <c r="C775" s="29" t="inlineStr">
        <is>
          <t>XA2EVM5LC</t>
        </is>
      </c>
      <c r="D775" s="29" t="inlineStr">
        <is>
          <t>施耐德电气</t>
        </is>
      </c>
      <c r="E775" s="30" t="inlineStr">
        <is>
          <t>只</t>
        </is>
      </c>
      <c r="F775" s="30" t="n">
        <v>1</v>
      </c>
      <c r="G775" s="297">
        <f>IF(AND(B775="",C775=""),"",ROUND(M775*L775*N775,2))</f>
        <v/>
      </c>
      <c r="H775" s="297">
        <f>IF(AND(B775="",C775=""),"",ROUND(F775*G775,2))</f>
        <v/>
      </c>
      <c r="I775" s="136" t="n"/>
      <c r="J775" s="329">
        <f>IF(AND(B775="",C775=""),"",ROUND(M775*N775,2))</f>
        <v/>
      </c>
      <c r="K775" s="330">
        <f>IF(AND(B775="",C775=""),"",ROUND(J775*F775,2))</f>
        <v/>
      </c>
      <c r="L775" s="126" t="n">
        <v>1</v>
      </c>
      <c r="M775" s="331" t="n">
        <v>16.43</v>
      </c>
      <c r="N775" s="137" t="n">
        <v>0.5</v>
      </c>
      <c r="O775" s="138">
        <f t="array" ref="O775">IF(AND(B775="",C775=""),"",IF(G775&gt;=20000,0.05,IF(G775&gt;=10000,0.1,IF(G775&gt;=5000,0.2,IF(G775&gt;=1000,0.3,IF(G775&gt;=0,0.4,{0}))))))</f>
        <v/>
      </c>
      <c r="P775" s="333">
        <f>IF(AND(B775="",C775=""),"",ROUND(H775*O775,2))</f>
        <v/>
      </c>
      <c r="Q775" s="334" t="inlineStr">
        <is>
          <t>元件</t>
        </is>
      </c>
      <c r="R775" s="154" t="n"/>
      <c r="S775" s="154" t="n"/>
      <c r="T775" s="154" t="inlineStr">
        <is>
          <t>0</t>
        </is>
      </c>
      <c r="U775" s="154" t="inlineStr">
        <is>
          <t>XA2EVM5LC</t>
        </is>
      </c>
      <c r="V775" s="335" t="n"/>
      <c r="W775" s="335" t="n"/>
      <c r="X775" s="152" t="n"/>
    </row>
    <row r="776" customFormat="1" s="145">
      <c r="A776" s="36">
        <f>ROW()-ROW(A$766)</f>
        <v/>
      </c>
      <c r="B776" s="29" t="inlineStr">
        <is>
          <t>按钮</t>
        </is>
      </c>
      <c r="C776" s="29" t="inlineStr">
        <is>
          <t>XA2EA31</t>
        </is>
      </c>
      <c r="D776" s="29" t="inlineStr">
        <is>
          <t>施耐德电气</t>
        </is>
      </c>
      <c r="E776" s="30" t="inlineStr">
        <is>
          <t>只</t>
        </is>
      </c>
      <c r="F776" s="30" t="n">
        <v>1</v>
      </c>
      <c r="G776" s="297">
        <f>IF(AND(B776="",C776=""),"",ROUND(M776*L776*N776,2))</f>
        <v/>
      </c>
      <c r="H776" s="297">
        <f>IF(AND(B776="",C776=""),"",ROUND(F776*G776,2))</f>
        <v/>
      </c>
      <c r="I776" s="136" t="n"/>
      <c r="J776" s="329">
        <f>IF(AND(B776="",C776=""),"",ROUND(M776*N776,2))</f>
        <v/>
      </c>
      <c r="K776" s="330">
        <f>IF(AND(B776="",C776=""),"",ROUND(J776*F776,2))</f>
        <v/>
      </c>
      <c r="L776" s="126" t="n">
        <v>1</v>
      </c>
      <c r="M776" s="331" t="n">
        <v>15.55</v>
      </c>
      <c r="N776" s="137" t="n">
        <v>0.5</v>
      </c>
      <c r="O776" s="138">
        <f t="array" ref="O776">IF(AND(B776="",C776=""),"",IF(G776&gt;=20000,0.05,IF(G776&gt;=10000,0.1,IF(G776&gt;=5000,0.2,IF(G776&gt;=1000,0.3,IF(G776&gt;=0,0.4,{0}))))))</f>
        <v/>
      </c>
      <c r="P776" s="333">
        <f>IF(AND(B776="",C776=""),"",ROUND(H776*O776,2))</f>
        <v/>
      </c>
      <c r="Q776" s="334" t="inlineStr">
        <is>
          <t>元件</t>
        </is>
      </c>
      <c r="R776" s="154" t="n"/>
      <c r="S776" s="154" t="n"/>
      <c r="T776" s="154" t="inlineStr">
        <is>
          <t>0</t>
        </is>
      </c>
      <c r="U776" s="154" t="inlineStr">
        <is>
          <t>XA2EA31</t>
        </is>
      </c>
      <c r="V776" s="335" t="n"/>
      <c r="W776" s="335" t="n"/>
      <c r="X776" s="152" t="n"/>
    </row>
    <row r="777" customFormat="1" s="145">
      <c r="A777" s="36">
        <f>ROW()-ROW(A$766)</f>
        <v/>
      </c>
      <c r="B777" s="25" t="inlineStr">
        <is>
          <t>按钮</t>
        </is>
      </c>
      <c r="C777" s="25" t="inlineStr">
        <is>
          <t>XA2EA41</t>
        </is>
      </c>
      <c r="D777" s="25" t="inlineStr">
        <is>
          <t>施耐德电气</t>
        </is>
      </c>
      <c r="E777" s="26" t="inlineStr">
        <is>
          <t>只</t>
        </is>
      </c>
      <c r="F777" s="26" t="n">
        <v>1</v>
      </c>
      <c r="G777" s="293">
        <f>IF(AND(B777="",C777=""),"",ROUND(M777*L777*N777,2))</f>
        <v/>
      </c>
      <c r="H777" s="297">
        <f>IF(AND(B777="",C777=""),"",ROUND(F777*G777,2))</f>
        <v/>
      </c>
      <c r="I777" s="136" t="n"/>
      <c r="J777" s="329">
        <f>IF(AND(B777="",C777=""),"",ROUND(M777*N777,2))</f>
        <v/>
      </c>
      <c r="K777" s="330">
        <f>IF(AND(B777="",C777=""),"",ROUND(J777*F777,2))</f>
        <v/>
      </c>
      <c r="L777" s="126" t="n">
        <v>1</v>
      </c>
      <c r="M777" s="331" t="n">
        <v>15.55</v>
      </c>
      <c r="N777" s="137" t="n">
        <v>0.5</v>
      </c>
      <c r="O777" s="138">
        <f t="array" ref="O777">IF(AND(B777="",C777=""),"",IF(G777&gt;=20000,0.05,IF(G777&gt;=10000,0.1,IF(G777&gt;=5000,0.2,IF(G777&gt;=1000,0.3,IF(G777&gt;=0,0.4,{0}))))))</f>
        <v/>
      </c>
      <c r="P777" s="333">
        <f>IF(AND(B777="",C777=""),"",ROUND(H777*O777,2))</f>
        <v/>
      </c>
      <c r="Q777" s="334" t="inlineStr">
        <is>
          <t>元件</t>
        </is>
      </c>
      <c r="R777" s="154" t="n"/>
      <c r="S777" s="154" t="n"/>
      <c r="T777" s="154" t="inlineStr">
        <is>
          <t>0</t>
        </is>
      </c>
      <c r="U777" s="154" t="inlineStr">
        <is>
          <t>XA2EA41</t>
        </is>
      </c>
      <c r="V777" s="335" t="n"/>
      <c r="W777" s="335" t="n"/>
      <c r="X777" s="152" t="n"/>
    </row>
    <row r="778" customFormat="1" s="145">
      <c r="A778" s="36">
        <f>ROW()-ROW(A$766)</f>
        <v/>
      </c>
      <c r="B778" s="25" t="inlineStr">
        <is>
          <t>熔断器</t>
        </is>
      </c>
      <c r="C778" s="25" t="inlineStr">
        <is>
          <t>UK5-HESI</t>
        </is>
      </c>
      <c r="D778" s="25" t="inlineStr">
        <is>
          <t>菲尼克斯</t>
        </is>
      </c>
      <c r="E778" s="26" t="inlineStr">
        <is>
          <t>只</t>
        </is>
      </c>
      <c r="F778" s="26" t="n">
        <v>4</v>
      </c>
      <c r="G778" s="293">
        <f>IF(AND(B778="",C778=""),"",ROUND(M778*L778*N778,2))</f>
        <v/>
      </c>
      <c r="H778" s="297">
        <f>IF(AND(B778="",C778=""),"",ROUND(F778*G778,2))</f>
        <v/>
      </c>
      <c r="I778" s="136" t="n"/>
      <c r="J778" s="329">
        <f>IF(AND(B778="",C778=""),"",ROUND(M778*N778,2))</f>
        <v/>
      </c>
      <c r="K778" s="330">
        <f>IF(AND(B778="",C778=""),"",ROUND(J778*F778,2))</f>
        <v/>
      </c>
      <c r="L778" s="126" t="n">
        <v>1</v>
      </c>
      <c r="M778" s="331" t="n">
        <v>7</v>
      </c>
      <c r="N778" s="137" t="n">
        <v>1</v>
      </c>
      <c r="O778" s="138">
        <f t="array" ref="O778">IF(AND(B778="",C778=""),"",IF(G778&gt;=20000,0.05,IF(G778&gt;=10000,0.1,IF(G778&gt;=5000,0.2,IF(G778&gt;=1000,0.3,IF(G778&gt;=0,0.4,{0}))))))</f>
        <v/>
      </c>
      <c r="P778" s="333">
        <f>IF(AND(B778="",C778=""),"",ROUND(H778*O778,2))</f>
        <v/>
      </c>
      <c r="Q778" s="334" t="inlineStr">
        <is>
          <t>元件</t>
        </is>
      </c>
      <c r="R778" s="154" t="n"/>
      <c r="S778" s="154" t="n"/>
      <c r="T778" s="154" t="inlineStr">
        <is>
          <t>0</t>
        </is>
      </c>
      <c r="U778" s="154" t="n"/>
      <c r="V778" s="335" t="n"/>
      <c r="W778" s="335" t="n"/>
      <c r="X778" s="152" t="n"/>
    </row>
    <row r="779" customFormat="1" s="145">
      <c r="A779" s="36">
        <f>ROW()-ROW(A$766)</f>
        <v/>
      </c>
      <c r="B779" s="25" t="inlineStr">
        <is>
          <t>水平排4000A</t>
        </is>
      </c>
      <c r="C779" s="25" t="inlineStr">
        <is>
          <t>TMY 3*(4*125*5)+2*125*5+2*50*5</t>
        </is>
      </c>
      <c r="D779" s="25" t="inlineStr">
        <is>
          <t>国产优质</t>
        </is>
      </c>
      <c r="E779" s="26" t="inlineStr">
        <is>
          <t>米</t>
        </is>
      </c>
      <c r="F779" s="30" t="n">
        <v>0.7</v>
      </c>
      <c r="G779" s="297">
        <f>IF(AND(B779="",C779=""),"",ROUND(M779*L779*N779,2))</f>
        <v/>
      </c>
      <c r="H779" s="297">
        <f>IF(AND(B779="",C779=""),"",ROUND(F779*G779,2))</f>
        <v/>
      </c>
      <c r="I779" s="135" t="n"/>
      <c r="J779" s="329">
        <f>IF(AND(B779="",C779=""),"",ROUND(M779*N779,2))</f>
        <v/>
      </c>
      <c r="K779" s="330">
        <f>IF(AND(B779="",C779=""),"",ROUND(J779*F779,2))</f>
        <v/>
      </c>
      <c r="L779" s="126" t="n">
        <v>1</v>
      </c>
      <c r="M779" s="331" t="n">
        <v>6895.130375</v>
      </c>
      <c r="N779" s="128" t="n">
        <v>1</v>
      </c>
      <c r="O779" s="129">
        <f t="array" ref="O779">IF(AND(B779="",C779=""),"",IF(G779&gt;=20000,0.05,IF(G779&gt;=10000,0.1,IF(G779&gt;=5000,0.2,IF(G779&gt;=1000,0.3,IF(G779&gt;=0,0.4,{0}))))))</f>
        <v/>
      </c>
      <c r="P779" s="332">
        <f>IF(AND(B779="",C779=""),"",ROUND(H779*O779,2))</f>
        <v/>
      </c>
      <c r="Q779" s="327" t="inlineStr">
        <is>
          <t>母排</t>
        </is>
      </c>
      <c r="R779" s="150" t="n"/>
      <c r="S779" s="150" t="n"/>
      <c r="T779" s="150" t="inlineStr">
        <is>
          <t>0</t>
        </is>
      </c>
      <c r="U779" s="150" t="n"/>
      <c r="V779" s="328" t="n"/>
      <c r="W779" s="328" t="n"/>
      <c r="X779" s="152" t="n"/>
    </row>
    <row r="780" customFormat="1" s="145">
      <c r="A780" s="36">
        <f>ROW()-ROW(A$766)</f>
        <v/>
      </c>
      <c r="B780" s="29" t="inlineStr">
        <is>
          <t>柜内铜排</t>
        </is>
      </c>
      <c r="C780" s="29" t="inlineStr">
        <is>
          <t>TMY</t>
        </is>
      </c>
      <c r="D780" s="25" t="inlineStr">
        <is>
          <t>国产优质</t>
        </is>
      </c>
      <c r="E780" s="26" t="inlineStr">
        <is>
          <t>kg</t>
        </is>
      </c>
      <c r="F780" s="30">
        <f>196.9*1.05</f>
        <v/>
      </c>
      <c r="G780" s="297">
        <f>IF(AND(B780="",C780=""),"",ROUND(M780*L780*N780,2))</f>
        <v/>
      </c>
      <c r="H780" s="297">
        <f>IF(AND(B780="",C780=""),"",ROUND(F780*G780,2))</f>
        <v/>
      </c>
      <c r="I780" s="135" t="n"/>
      <c r="J780" s="329">
        <f>IF(AND(B780="",C780=""),"",ROUND(M780*N780,2))</f>
        <v/>
      </c>
      <c r="K780" s="330">
        <f>IF(AND(B780="",C780=""),"",ROUND(J780*F780,2))</f>
        <v/>
      </c>
      <c r="L780" s="126" t="n">
        <v>1</v>
      </c>
      <c r="M780" s="331" t="n">
        <v>83.755</v>
      </c>
      <c r="N780" s="128" t="n">
        <v>1</v>
      </c>
      <c r="O780" s="129">
        <f t="array" ref="O780">IF(AND(B780="",C780=""),"",IF(G780&gt;=20000,0.05,IF(G780&gt;=10000,0.1,IF(G780&gt;=5000,0.2,IF(G780&gt;=1000,0.3,IF(G780&gt;=0,0.4,{0}))))))</f>
        <v/>
      </c>
      <c r="P780" s="332">
        <f>IF(AND(B780="",C780=""),"",ROUND(H780*O780,2))</f>
        <v/>
      </c>
      <c r="Q780" s="327" t="inlineStr">
        <is>
          <t>母排</t>
        </is>
      </c>
      <c r="R780" s="150" t="n"/>
      <c r="S780" s="150" t="n"/>
      <c r="T780" s="150" t="inlineStr">
        <is>
          <t>0</t>
        </is>
      </c>
      <c r="U780" s="150" t="n"/>
      <c r="V780" s="328" t="n"/>
      <c r="W780" s="328" t="n"/>
      <c r="X780" s="152" t="n"/>
    </row>
    <row r="781" customFormat="1" s="145">
      <c r="A781" s="36">
        <f>ROW()-ROW(A$766)</f>
        <v/>
      </c>
      <c r="B781" s="29" t="inlineStr">
        <is>
          <t>L型端子</t>
        </is>
      </c>
      <c r="C781" s="29" t="inlineStr">
        <is>
          <t>GH100710</t>
        </is>
      </c>
      <c r="D781" s="25" t="inlineStr">
        <is>
          <t>施耐德电气</t>
        </is>
      </c>
      <c r="E781" s="26" t="inlineStr">
        <is>
          <t>个</t>
        </is>
      </c>
      <c r="F781" s="30" t="n">
        <v>3</v>
      </c>
      <c r="G781" s="297">
        <f>IF(AND(B781="",C781=""),"",ROUND(M781*L781*N781,2))</f>
        <v/>
      </c>
      <c r="H781" s="297">
        <f>IF(AND(B781="",C781=""),"",ROUND(F781*G781,2))</f>
        <v/>
      </c>
      <c r="I781" s="135" t="n"/>
      <c r="J781" s="329">
        <f>IF(AND(B781="",C781=""),"",ROUND(M781*N781,2))</f>
        <v/>
      </c>
      <c r="K781" s="330">
        <f>IF(AND(B781="",C781=""),"",ROUND(J781*F781,2))</f>
        <v/>
      </c>
      <c r="L781" s="126" t="n">
        <v>1</v>
      </c>
      <c r="M781" s="331" t="n">
        <v>441</v>
      </c>
      <c r="N781" s="128" t="n">
        <v>1</v>
      </c>
      <c r="O781" s="129">
        <f t="array" ref="O781">IF(AND(B781="",C781=""),"",IF(G781&gt;=20000,0.05,IF(G781&gt;=10000,0.1,IF(G781&gt;=5000,0.2,IF(G781&gt;=1000,0.3,IF(G781&gt;=0,0.4,{0}))))))</f>
        <v/>
      </c>
      <c r="P781" s="332">
        <f>IF(AND(B781="",C781=""),"",ROUND(H781*O781,2))</f>
        <v/>
      </c>
      <c r="Q781" s="327" t="inlineStr">
        <is>
          <t>元件</t>
        </is>
      </c>
      <c r="R781" s="150" t="n"/>
      <c r="S781" s="150" t="n"/>
      <c r="T781" s="150" t="inlineStr">
        <is>
          <t>0</t>
        </is>
      </c>
      <c r="U781" s="150" t="n"/>
      <c r="V781" s="328" t="n"/>
      <c r="W781" s="328" t="n"/>
      <c r="X781" s="152" t="n"/>
    </row>
    <row r="782" customFormat="1" s="145">
      <c r="A782" s="36">
        <f>ROW()-ROW(A$766)</f>
        <v/>
      </c>
      <c r="B782" s="25" t="inlineStr">
        <is>
          <t>导线及辅料</t>
        </is>
      </c>
      <c r="C782" s="25" t="n"/>
      <c r="D782" s="25" t="inlineStr">
        <is>
          <t>国产优质</t>
        </is>
      </c>
      <c r="E782" s="26" t="inlineStr">
        <is>
          <t>套</t>
        </is>
      </c>
      <c r="F782" s="26" t="n">
        <v>1</v>
      </c>
      <c r="G782" s="293">
        <f>IF(AND(B782="",C782=""),"",ROUND(M782*L782*N782,2))</f>
        <v/>
      </c>
      <c r="H782" s="293">
        <f>IF(AND(B782="",C782=""),"",ROUND(F782*G782,2))</f>
        <v/>
      </c>
      <c r="I782" s="164" t="n"/>
      <c r="J782" s="329">
        <f>IF(AND(B782="",C782=""),"",ROUND(M782*N782,2))</f>
        <v/>
      </c>
      <c r="K782" s="330">
        <f>IF(AND(B782="",C782=""),"",ROUND(J782*F782,2))</f>
        <v/>
      </c>
      <c r="L782" s="126" t="n">
        <v>1</v>
      </c>
      <c r="M782" s="331" t="n">
        <v>500</v>
      </c>
      <c r="N782" s="137" t="n">
        <v>1</v>
      </c>
      <c r="O782" s="138">
        <f t="array" ref="O782">IF(AND(B782="",C782=""),"",IF(G782&gt;=20000,0.05,IF(G782&gt;=10000,0.1,IF(G782&gt;=5000,0.2,IF(G782&gt;=1000,0.3,IF(G782&gt;=0,0.4,{0}))))))</f>
        <v/>
      </c>
      <c r="P782" s="333">
        <f>IF(AND(B782="",C782=""),"",ROUND(H782*O782,2))</f>
        <v/>
      </c>
      <c r="Q782" s="334" t="inlineStr">
        <is>
          <t>辅料</t>
        </is>
      </c>
      <c r="R782" s="154" t="n"/>
      <c r="S782" s="154" t="n"/>
      <c r="T782" s="154" t="inlineStr">
        <is>
          <t>0</t>
        </is>
      </c>
      <c r="U782" s="154" t="n"/>
      <c r="V782" s="335" t="n"/>
      <c r="W782" s="335" t="n"/>
      <c r="X782" s="152" t="n"/>
    </row>
    <row r="783" customFormat="1" s="145">
      <c r="A783" s="36">
        <f>ROW()-ROW(A$766)</f>
        <v/>
      </c>
      <c r="B783" s="25" t="inlineStr">
        <is>
          <t>风机</t>
        </is>
      </c>
      <c r="C783" s="25" t="n"/>
      <c r="D783" s="25" t="inlineStr">
        <is>
          <t>KAKU</t>
        </is>
      </c>
      <c r="E783" s="26" t="inlineStr">
        <is>
          <t>套</t>
        </is>
      </c>
      <c r="F783" s="26" t="n">
        <v>4</v>
      </c>
      <c r="G783" s="293">
        <f>IF(AND(B783="",C783=""),"",ROUND(M783*L783*N783,2))</f>
        <v/>
      </c>
      <c r="H783" s="293">
        <f>IF(AND(B783="",C783=""),"",ROUND(F783*G783,2))</f>
        <v/>
      </c>
      <c r="I783" s="164" t="n"/>
      <c r="J783" s="329">
        <f>IF(AND(B783="",C783=""),"",ROUND(M783*N783,2))</f>
        <v/>
      </c>
      <c r="K783" s="330">
        <f>IF(AND(B783="",C783=""),"",ROUND(J783*F783,2))</f>
        <v/>
      </c>
      <c r="L783" s="126">
        <f>IF(AND(B783="",C783=""),"",1)</f>
        <v/>
      </c>
      <c r="M783" s="331" t="n">
        <v>229</v>
      </c>
      <c r="N783" s="137">
        <f>IF(AND(B783="",C783=""),"",1)</f>
        <v/>
      </c>
      <c r="O783" s="138">
        <f t="array" ref="O783">IF(AND(B783="",C783=""),"",IF(G783&gt;=20000,0.05,IF(G783&gt;=10000,0.1,IF(G783&gt;=5000,0.2,IF(G783&gt;=1000,0.3,IF(G783&gt;=0,0.4,{0}))))))</f>
        <v/>
      </c>
      <c r="P783" s="333">
        <f>IF(AND(B783="",C783=""),"",ROUND(H783*O783,2))</f>
        <v/>
      </c>
      <c r="Q783" s="334">
        <f>IF(AND(B783="",C783=""),"","元件")</f>
        <v/>
      </c>
      <c r="R783" s="154" t="n"/>
      <c r="S783" s="154" t="n"/>
      <c r="T783" s="154" t="n"/>
      <c r="U783" s="154" t="n"/>
      <c r="V783" s="335" t="n"/>
      <c r="W783" s="335" t="n"/>
      <c r="X783" s="152" t="n"/>
    </row>
    <row r="784" customFormat="1" s="145">
      <c r="A784" s="36">
        <f>ROW()-ROW(A$766)</f>
        <v/>
      </c>
      <c r="B784" s="25" t="inlineStr">
        <is>
          <t>通风顶盖</t>
        </is>
      </c>
      <c r="C784" s="25" t="n"/>
      <c r="D784" s="25" t="inlineStr">
        <is>
          <t>清科</t>
        </is>
      </c>
      <c r="E784" s="30" t="inlineStr">
        <is>
          <t>台</t>
        </is>
      </c>
      <c r="F784" s="26">
        <f>IF(AND(B784="",C784=""),"",1)</f>
        <v/>
      </c>
      <c r="G784" s="293">
        <f>IF(AND(B784="",C784=""),"",ROUND(M784*L784*N784,2))</f>
        <v/>
      </c>
      <c r="H784" s="293">
        <f>IF(AND(B784="",C784=""),"",ROUND(F784*G784,2))</f>
        <v/>
      </c>
      <c r="I784" s="164" t="n"/>
      <c r="J784" s="329">
        <f>IF(AND(B784="",C784=""),"",ROUND(M784*N784,2))</f>
        <v/>
      </c>
      <c r="K784" s="330">
        <f>IF(AND(B784="",C784=""),"",ROUND(J784*F784,2))</f>
        <v/>
      </c>
      <c r="L784" s="126">
        <f>IF(AND(B784="",C784=""),"",1)</f>
        <v/>
      </c>
      <c r="M784" s="331" t="n">
        <v>138</v>
      </c>
      <c r="N784" s="137">
        <f>IF(AND(B784="",C784=""),"",1)</f>
        <v/>
      </c>
      <c r="O784" s="138">
        <f t="array" ref="O784">IF(AND(B784="",C784=""),"",IF(G784&gt;=20000,0.05,IF(G784&gt;=10000,0.1,IF(G784&gt;=5000,0.2,IF(G784&gt;=1000,0.3,IF(G784&gt;=0,0.4,{0}))))))</f>
        <v/>
      </c>
      <c r="P784" s="333">
        <f>IF(AND(B784="",C784=""),"",ROUND(H784*O784,2))</f>
        <v/>
      </c>
      <c r="Q784" s="334">
        <f>IF(AND(B784="",C784=""),"","元件")</f>
        <v/>
      </c>
      <c r="R784" s="154" t="n"/>
      <c r="S784" s="154" t="n"/>
      <c r="T784" s="154" t="n"/>
      <c r="U784" s="154" t="n"/>
      <c r="V784" s="335" t="n"/>
      <c r="W784" s="335" t="n"/>
      <c r="X784" s="152" t="n"/>
    </row>
    <row r="785" customFormat="1" s="145">
      <c r="A785" s="36">
        <f>ROW()-ROW(A$766)</f>
        <v/>
      </c>
      <c r="B785" s="29" t="inlineStr">
        <is>
          <t>Blokset柜</t>
        </is>
      </c>
      <c r="C785" s="25" t="inlineStr">
        <is>
          <t>700W*1000D*2200H</t>
        </is>
      </c>
      <c r="D785" s="25" t="inlineStr">
        <is>
          <t>清科</t>
        </is>
      </c>
      <c r="E785" s="30" t="inlineStr">
        <is>
          <t>台</t>
        </is>
      </c>
      <c r="F785" s="30" t="n">
        <v>1</v>
      </c>
      <c r="G785" s="297">
        <f>IF(AND(B785="",C785=""),"",ROUND(M785*L785*N785,2))</f>
        <v/>
      </c>
      <c r="H785" s="297">
        <f>IF(AND(B785="",C785=""),"",ROUND(F785*G785,2))</f>
        <v/>
      </c>
      <c r="I785" s="135" t="n"/>
      <c r="J785" s="329">
        <f>IF(AND(B785="",C785=""),"",ROUND(M785*N785,2))</f>
        <v/>
      </c>
      <c r="K785" s="330">
        <f>IF(AND(B785="",C785=""),"",ROUND(J785*F785,2))</f>
        <v/>
      </c>
      <c r="L785" s="126" t="n">
        <v>1</v>
      </c>
      <c r="M785" s="331" t="n">
        <v>4010</v>
      </c>
      <c r="N785" s="137" t="n">
        <v>1</v>
      </c>
      <c r="O785" s="138">
        <f t="array" ref="O785">IF(AND(B785="",C785=""),"",IF(G785&gt;=20000,0.05,IF(G785&gt;=10000,0.1,IF(G785&gt;=5000,0.2,IF(G785&gt;=1000,0.3,IF(G785&gt;=0,0.4,{0}))))))</f>
        <v/>
      </c>
      <c r="P785" s="333">
        <f>IF(AND(B785="",C785=""),"",ROUND(H785*O785,2))</f>
        <v/>
      </c>
      <c r="Q785" s="334" t="inlineStr">
        <is>
          <t>箱体</t>
        </is>
      </c>
      <c r="R785" s="154" t="n"/>
      <c r="S785" s="154" t="n"/>
      <c r="T785" s="154" t="inlineStr">
        <is>
          <t>0</t>
        </is>
      </c>
      <c r="U785" s="154" t="n"/>
      <c r="V785" s="335" t="n"/>
      <c r="W785" s="335" t="n"/>
      <c r="X785" s="152" t="n"/>
    </row>
    <row r="786" customFormat="1" s="145">
      <c r="A786" s="36">
        <f>ROW()-ROW(A$766)</f>
        <v/>
      </c>
      <c r="B786" s="29" t="n"/>
      <c r="C786" s="29" t="n"/>
      <c r="D786" s="29" t="n"/>
      <c r="E786" s="30" t="n"/>
      <c r="F786" s="30">
        <f>IF(AND(B786="",C786=""),"",1)</f>
        <v/>
      </c>
      <c r="G786" s="297">
        <f>IF(AND(B786="",C786=""),"",ROUND(M786*L786*N786,2))</f>
        <v/>
      </c>
      <c r="H786" s="297">
        <f>IF(AND(B786="",C786=""),"",ROUND(F786*G786,2))</f>
        <v/>
      </c>
      <c r="I786" s="135" t="n"/>
      <c r="J786" s="329">
        <f>IF(AND(B786="",C786=""),"",ROUND(M786*N786,2))</f>
        <v/>
      </c>
      <c r="K786" s="330">
        <f>IF(AND(B786="",C786=""),"",ROUND(J786*F786,2))</f>
        <v/>
      </c>
      <c r="L786" s="126">
        <f>IF(AND(B786="",C786=""),"",1)</f>
        <v/>
      </c>
      <c r="M786" s="331" t="n"/>
      <c r="N786" s="128">
        <f>IF(AND(B786="",C786=""),"",1)</f>
        <v/>
      </c>
      <c r="O786" s="129">
        <f t="array" ref="O786">IF(AND(B786="",C786=""),"",IF(G786&gt;=20000,0.05,IF(G786&gt;=10000,0.1,IF(G786&gt;=5000,0.2,IF(G786&gt;=1000,0.3,IF(G786&gt;=0,0.4,{0}))))))</f>
        <v/>
      </c>
      <c r="P786" s="332">
        <f>IF(AND(B786="",C786=""),"",ROUND(H786*O786,2))</f>
        <v/>
      </c>
      <c r="Q786" s="327">
        <f>IF(AND(B786="",C786=""),"","元件")</f>
        <v/>
      </c>
      <c r="R786" s="150" t="n"/>
      <c r="S786" s="150" t="n"/>
      <c r="T786" s="150" t="n"/>
      <c r="U786" s="150" t="n"/>
      <c r="V786" s="328" t="n"/>
      <c r="W786" s="328" t="n"/>
      <c r="X786" s="152" t="n"/>
    </row>
    <row r="787" customFormat="1" s="145">
      <c r="A787" s="36">
        <f>ROW()-ROW(A$766)</f>
        <v/>
      </c>
      <c r="B787" s="29" t="n"/>
      <c r="C787" s="29" t="n"/>
      <c r="D787" s="29" t="n"/>
      <c r="E787" s="30" t="n"/>
      <c r="F787" s="30">
        <f>IF(AND(B787="",C787=""),"",1)</f>
        <v/>
      </c>
      <c r="G787" s="297">
        <f>IF(AND(B787="",C787=""),"",ROUND(M787*L787*N787,2))</f>
        <v/>
      </c>
      <c r="H787" s="297">
        <f>IF(AND(B787="",C787=""),"",ROUND(F787*G787,2))</f>
        <v/>
      </c>
      <c r="I787" s="135" t="n"/>
      <c r="J787" s="329">
        <f>IF(AND(B787="",C787=""),"",ROUND(M787*N787,2))</f>
        <v/>
      </c>
      <c r="K787" s="330">
        <f>IF(AND(B787="",C787=""),"",ROUND(J787*F787,2))</f>
        <v/>
      </c>
      <c r="L787" s="126">
        <f>IF(AND(B787="",C787=""),"",1)</f>
        <v/>
      </c>
      <c r="M787" s="331" t="n"/>
      <c r="N787" s="128">
        <f>IF(AND(B787="",C787=""),"",1)</f>
        <v/>
      </c>
      <c r="O787" s="129">
        <f t="array" ref="O787">IF(AND(B787="",C787=""),"",IF(G787&gt;=20000,0.05,IF(G787&gt;=10000,0.1,IF(G787&gt;=5000,0.2,IF(G787&gt;=1000,0.3,IF(G787&gt;=0,0.4,{0}))))))</f>
        <v/>
      </c>
      <c r="P787" s="332">
        <f>IF(AND(B787="",C787=""),"",ROUND(H787*O787,2))</f>
        <v/>
      </c>
      <c r="Q787" s="327">
        <f>IF(AND(B787="",C787=""),"","元件")</f>
        <v/>
      </c>
      <c r="R787" s="150" t="n"/>
      <c r="S787" s="150" t="n"/>
      <c r="T787" s="150" t="n"/>
      <c r="U787" s="150" t="n"/>
      <c r="V787" s="328" t="n"/>
      <c r="W787" s="328" t="n"/>
      <c r="X787" s="152" t="n"/>
    </row>
    <row r="788" customFormat="1" s="145">
      <c r="A788" s="36">
        <f>ROW()-ROW(A$766)</f>
        <v/>
      </c>
      <c r="B788" s="156" t="inlineStr">
        <is>
          <t>小计</t>
        </is>
      </c>
      <c r="C788" s="157" t="n"/>
      <c r="D788" s="54" t="n"/>
      <c r="E788" s="30" t="n"/>
      <c r="F788" s="30" t="n"/>
      <c r="G788" s="297" t="n"/>
      <c r="H788" s="297">
        <f>ROUND(SUM(H766:INDEX(H:H,ROW()-1)),2)</f>
        <v/>
      </c>
      <c r="I788" s="91" t="n"/>
      <c r="J788" s="329" t="n"/>
      <c r="K788" s="330">
        <f>ROUND(SUM(K766:INDEX(K:K,ROW()-1)),2)</f>
        <v/>
      </c>
      <c r="L788" s="126" t="n"/>
      <c r="M788" s="331" t="n"/>
      <c r="N788" s="128" t="n"/>
      <c r="O788" s="129" t="n"/>
      <c r="P788" s="332" t="n"/>
      <c r="Q788" s="327" t="n"/>
      <c r="R788" s="150" t="n"/>
      <c r="S788" s="150" t="n"/>
      <c r="T788" s="150" t="n"/>
      <c r="U788" s="150" t="n"/>
      <c r="V788" s="328">
        <f t="array" ref="V788">ROUND(SUMPRODUCT(F766:INDEX(F:F,ROW()-1),V766:INDEX(V:V,ROW()-1)),2)</f>
        <v/>
      </c>
      <c r="W788" s="328">
        <f t="array" ref="W788">ROUND(SUMPRODUCT(F766:INDEX(F:F,ROW()-1),W766:INDEX(W:W,ROW()-1)),2)</f>
        <v/>
      </c>
      <c r="X788" s="152" t="n"/>
    </row>
    <row r="789" customFormat="1" s="145">
      <c r="A789" s="36">
        <f>ROW()-ROW(A$766)</f>
        <v/>
      </c>
      <c r="B789" s="156" t="inlineStr">
        <is>
          <t>成套费</t>
        </is>
      </c>
      <c r="C789" s="157" t="n"/>
      <c r="D789" s="54" t="n"/>
      <c r="E789" s="30" t="n"/>
      <c r="F789" s="30" t="n"/>
      <c r="G789" s="297" t="n"/>
      <c r="H789" s="297" t="n">
        <v>944.76</v>
      </c>
      <c r="I789" s="91" t="n"/>
      <c r="J789" s="329" t="n"/>
      <c r="K789" s="330" t="n">
        <v>944.76</v>
      </c>
      <c r="L789" s="126" t="n"/>
      <c r="M789" s="331" t="n"/>
      <c r="N789" s="128" t="n"/>
      <c r="O789" s="129" t="n"/>
      <c r="P789" s="332" t="n"/>
      <c r="Q789" s="327" t="n"/>
      <c r="R789" s="150" t="n"/>
      <c r="S789" s="150" t="n"/>
      <c r="T789" s="150" t="n"/>
      <c r="U789" s="150" t="n"/>
      <c r="V789" s="328" t="n"/>
      <c r="W789" s="328" t="n"/>
      <c r="X789" s="152" t="n"/>
    </row>
    <row r="790" customFormat="1" s="145">
      <c r="A790" s="36">
        <f>ROW()-ROW(A$766)</f>
        <v/>
      </c>
      <c r="B790" s="156" t="n"/>
      <c r="C790" s="157" t="n"/>
      <c r="D790" s="54" t="n"/>
      <c r="E790" s="30" t="n"/>
      <c r="F790" s="30" t="n"/>
      <c r="G790" s="297" t="n"/>
      <c r="H790" s="297" t="n">
        <v>17.26</v>
      </c>
      <c r="I790" s="91" t="n"/>
      <c r="J790" s="329" t="n"/>
      <c r="K790" s="330" t="n"/>
      <c r="L790" s="126" t="n"/>
      <c r="M790" s="331" t="n"/>
      <c r="N790" s="128" t="n"/>
      <c r="O790" s="129" t="n"/>
      <c r="P790" s="332" t="n"/>
      <c r="Q790" s="327" t="n"/>
      <c r="R790" s="150" t="n"/>
      <c r="S790" s="150" t="n"/>
      <c r="T790" s="150" t="n"/>
      <c r="U790" s="150" t="n"/>
      <c r="V790" s="328" t="n"/>
      <c r="W790" s="328" t="n"/>
      <c r="X790" s="152" t="n"/>
    </row>
    <row r="791" customFormat="1" s="145">
      <c r="A791" s="36">
        <f>ROW()-ROW(A$766)</f>
        <v/>
      </c>
      <c r="B791" s="54" t="inlineStr">
        <is>
          <t>单台合计</t>
        </is>
      </c>
      <c r="C791" s="157" t="n"/>
      <c r="D791" s="54" t="n"/>
      <c r="E791" s="30" t="n"/>
      <c r="F791" s="30" t="n"/>
      <c r="G791" s="297" t="n"/>
      <c r="H791" s="297">
        <f>ROUND(SUM(H788:H789),2)</f>
        <v/>
      </c>
      <c r="I791" s="165" t="n"/>
      <c r="J791" s="329" t="n"/>
      <c r="K791" s="330">
        <f>ROUND(SUM(K788:K789),2)</f>
        <v/>
      </c>
      <c r="L791" s="166" t="n"/>
      <c r="M791" s="331" t="n"/>
      <c r="N791" s="167" t="n"/>
      <c r="O791" s="168" t="n"/>
      <c r="P791" s="332" t="n"/>
      <c r="Q791" s="327" t="n"/>
      <c r="R791" s="150" t="n"/>
      <c r="S791" s="150" t="n"/>
      <c r="T791" s="150" t="n"/>
      <c r="U791" s="150" t="n"/>
      <c r="V791" s="328" t="n"/>
      <c r="W791" s="328" t="n"/>
      <c r="X791" s="152" t="n"/>
    </row>
    <row r="792" customFormat="1" s="145">
      <c r="A792" s="158" t="inlineStr">
        <is>
          <t>总计</t>
        </is>
      </c>
      <c r="B792" s="159" t="n"/>
      <c r="C792" s="160" t="n"/>
      <c r="D792" s="161" t="n"/>
      <c r="E792" s="161" t="inlineStr">
        <is>
          <t>台</t>
        </is>
      </c>
      <c r="F792" s="161" t="n">
        <v>1</v>
      </c>
      <c r="G792" s="336">
        <f>ROUND(H791,2)</f>
        <v/>
      </c>
      <c r="H792" s="336">
        <f>ROUND(F792*G792,2)</f>
        <v/>
      </c>
      <c r="I792" s="169" t="n"/>
      <c r="J792" s="337" t="n"/>
      <c r="K792" s="338">
        <f>ROUND(K791*F792,2)</f>
        <v/>
      </c>
      <c r="L792" s="172" t="n"/>
      <c r="M792" s="339" t="n"/>
      <c r="N792" s="174" t="n"/>
      <c r="O792" s="175" t="n"/>
      <c r="P792" s="340" t="n"/>
      <c r="Q792" s="327" t="n"/>
      <c r="R792" s="150" t="n"/>
      <c r="S792" s="150" t="n"/>
      <c r="T792" s="150" t="n"/>
      <c r="U792" s="150" t="n"/>
      <c r="V792" s="328" t="n"/>
      <c r="W792" s="328" t="n"/>
      <c r="X792" s="152" t="n"/>
    </row>
    <row r="793" customFormat="1" s="146">
      <c r="A793" s="3" t="n"/>
      <c r="B793" s="117" t="n"/>
      <c r="C793" s="117" t="n"/>
      <c r="D793" s="117" t="n"/>
      <c r="E793" s="146" t="n"/>
      <c r="F793" s="146" t="n"/>
      <c r="G793" s="146" t="n"/>
      <c r="H793" s="146" t="n"/>
      <c r="Q793" s="144" t="n"/>
      <c r="R793" s="144" t="n"/>
      <c r="S793" s="144" t="n"/>
      <c r="T793" s="144" t="n"/>
      <c r="U793" s="144" t="n"/>
      <c r="X793" s="117" t="n"/>
    </row>
    <row r="794" customFormat="1" s="146">
      <c r="A794" s="3" t="n"/>
      <c r="B794" s="117" t="n"/>
      <c r="C794" s="117" t="n"/>
      <c r="D794" s="117" t="n"/>
      <c r="E794" s="146" t="n"/>
      <c r="F794" s="146" t="n"/>
      <c r="G794" s="146" t="n"/>
      <c r="H794" s="146" t="n"/>
      <c r="Q794" s="144" t="n"/>
      <c r="R794" s="144" t="n"/>
      <c r="S794" s="144" t="n"/>
      <c r="T794" s="144" t="n"/>
      <c r="U794" s="144" t="n"/>
      <c r="X794" s="117" t="n"/>
    </row>
    <row r="795" customFormat="1" s="145">
      <c r="A795" s="63">
        <f>CONCATENATE("报价人：",项目信息!$B$8)</f>
        <v/>
      </c>
      <c r="B795" s="63" t="n"/>
      <c r="C795" s="146" t="n"/>
      <c r="D795" s="146" t="n"/>
      <c r="E795" s="146" t="n"/>
      <c r="F795" s="146" t="n"/>
      <c r="G795" s="146" t="n"/>
      <c r="H795" s="163">
        <f>项目信息!$B$9</f>
        <v/>
      </c>
      <c r="Q795" s="144" t="n"/>
      <c r="R795" s="144" t="n"/>
      <c r="S795" s="144" t="n"/>
      <c r="T795" s="144" t="n"/>
      <c r="U795" s="144" t="n"/>
      <c r="X795" s="148" t="n"/>
    </row>
    <row r="796" customFormat="1" s="145">
      <c r="A796" s="5">
        <f>T(项目信息!$B$22)</f>
        <v/>
      </c>
      <c r="Q796" s="144" t="n"/>
      <c r="R796" s="144" t="n"/>
      <c r="S796" s="144" t="n"/>
      <c r="T796" s="144" t="n"/>
      <c r="U796" s="144" t="n"/>
      <c r="X796" s="145" t="n"/>
    </row>
    <row r="797" customFormat="1" s="145">
      <c r="A797" s="6">
        <f>T(项目信息!$B$23)</f>
        <v/>
      </c>
      <c r="Q797" s="144" t="n"/>
      <c r="R797" s="144" t="n"/>
      <c r="S797" s="144" t="n"/>
      <c r="T797" s="144" t="n"/>
      <c r="U797" s="144" t="n"/>
      <c r="X797" s="145" t="n"/>
    </row>
    <row r="798" customFormat="1" s="145">
      <c r="A798" s="68" t="inlineStr">
        <is>
          <t>成套产品报价明细表</t>
        </is>
      </c>
      <c r="B798" s="318" t="n"/>
      <c r="C798" s="318" t="n"/>
      <c r="D798" s="318" t="n"/>
      <c r="E798" s="318" t="n"/>
      <c r="F798" s="318" t="n"/>
      <c r="G798" s="318" t="n"/>
      <c r="H798" s="318" t="n"/>
      <c r="I798" s="318" t="n"/>
      <c r="Q798" s="144" t="n"/>
      <c r="R798" s="144" t="n"/>
      <c r="S798" s="144" t="n"/>
      <c r="T798" s="144" t="n"/>
      <c r="U798" s="144" t="n"/>
      <c r="X798" s="145" t="n"/>
    </row>
    <row r="799" customFormat="1" s="146">
      <c r="A799" s="69" t="inlineStr">
        <is>
          <t>柜号:</t>
        </is>
      </c>
      <c r="B799" s="70" t="inlineStr">
        <is>
          <t>4D2</t>
        </is>
      </c>
      <c r="C799" s="71" t="inlineStr">
        <is>
          <t>型号:</t>
        </is>
      </c>
      <c r="D799" s="70" t="inlineStr">
        <is>
          <t>Blokset</t>
        </is>
      </c>
      <c r="E799" s="319" t="n"/>
      <c r="F799" s="72" t="inlineStr">
        <is>
          <t>名称:</t>
        </is>
      </c>
      <c r="G799" s="70" t="inlineStr">
        <is>
          <t>母联柜</t>
        </is>
      </c>
      <c r="H799" s="319" t="n"/>
      <c r="I799" s="320" t="n"/>
      <c r="J799" s="116" t="inlineStr">
        <is>
          <t>箱柜尺寸:</t>
        </is>
      </c>
      <c r="K799" s="117" t="inlineStr">
        <is>
          <t>700W*1000D*2200H</t>
        </is>
      </c>
      <c r="L799" s="116" t="inlineStr">
        <is>
          <t>类别:</t>
        </is>
      </c>
      <c r="M799" s="117" t="n"/>
      <c r="N799" s="321" t="n"/>
      <c r="Q799" s="144" t="n"/>
      <c r="R799" s="144" t="n"/>
      <c r="S799" s="144" t="n"/>
      <c r="T799" s="144" t="n"/>
      <c r="U799" s="144" t="n"/>
      <c r="X799" s="146" t="n"/>
    </row>
    <row r="800" ht="20.1" customFormat="1" customHeight="1" s="145">
      <c r="A800" s="13" t="inlineStr">
        <is>
          <t>序号</t>
        </is>
      </c>
      <c r="B800" s="73" t="inlineStr">
        <is>
          <t>元件名称</t>
        </is>
      </c>
      <c r="C800" s="73" t="inlineStr">
        <is>
          <t>型号规格</t>
        </is>
      </c>
      <c r="D800" s="74" t="inlineStr">
        <is>
          <t>生产厂家</t>
        </is>
      </c>
      <c r="E800" s="15" t="inlineStr">
        <is>
          <t>单位</t>
        </is>
      </c>
      <c r="F800" s="15" t="inlineStr">
        <is>
          <t>数量</t>
        </is>
      </c>
      <c r="G800" s="287" t="inlineStr">
        <is>
          <t>单   价</t>
        </is>
      </c>
      <c r="H800" s="256" t="inlineStr">
        <is>
          <t>总   价</t>
        </is>
      </c>
      <c r="I800" s="119" t="inlineStr">
        <is>
          <t>备注</t>
        </is>
      </c>
      <c r="J800" s="322" t="inlineStr">
        <is>
          <t>成本单价</t>
        </is>
      </c>
      <c r="K800" s="322" t="inlineStr">
        <is>
          <t>成本总价</t>
        </is>
      </c>
      <c r="L800" s="121" t="inlineStr">
        <is>
          <t>报出
系数</t>
        </is>
      </c>
      <c r="M800" s="322" t="inlineStr">
        <is>
          <t>表价</t>
        </is>
      </c>
      <c r="N800" s="121" t="inlineStr">
        <is>
          <t>折扣
系数</t>
        </is>
      </c>
      <c r="O800" s="122" t="inlineStr">
        <is>
          <t>取费
系数</t>
        </is>
      </c>
      <c r="P800" s="322" t="inlineStr">
        <is>
          <t>成套费</t>
        </is>
      </c>
      <c r="Q800" s="147" t="inlineStr">
        <is>
          <t>类别</t>
        </is>
      </c>
      <c r="R800" s="147" t="inlineStr">
        <is>
          <t>物料编码</t>
        </is>
      </c>
      <c r="S800" s="147" t="inlineStr">
        <is>
          <t>产地</t>
        </is>
      </c>
      <c r="T800" s="147" t="inlineStr">
        <is>
          <t>加工费</t>
        </is>
      </c>
      <c r="U800" s="147" t="inlineStr">
        <is>
          <t>订货号</t>
        </is>
      </c>
      <c r="V800" s="147" t="inlineStr">
        <is>
          <t>人工</t>
        </is>
      </c>
      <c r="W800" s="147" t="inlineStr">
        <is>
          <t>辅料</t>
        </is>
      </c>
      <c r="X800" s="148" t="n"/>
    </row>
    <row r="801" customFormat="1" s="145">
      <c r="A801" s="36">
        <f>ROW()-ROW(A$800)</f>
        <v/>
      </c>
      <c r="B801" s="25" t="inlineStr">
        <is>
          <t>双电源开关ATMT</t>
        </is>
      </c>
      <c r="C801" s="25" t="inlineStr">
        <is>
          <t>ATMT40 H1 3P MIC5.0E 带通讯</t>
        </is>
      </c>
      <c r="D801" s="29" t="inlineStr">
        <is>
          <t>甲供/施耐德万高</t>
        </is>
      </c>
      <c r="E801" s="30" t="inlineStr">
        <is>
          <t>套</t>
        </is>
      </c>
      <c r="F801" s="26" t="n">
        <v>0.34</v>
      </c>
      <c r="G801" s="297">
        <f>IF(AND(B801="",C801=""),"",ROUND(M801*L801*N801,2))</f>
        <v/>
      </c>
      <c r="H801" s="293">
        <f>IF(AND(B801="",C801=""),"",ROUND(F801*G801,2))</f>
        <v/>
      </c>
      <c r="I801" s="91" t="n"/>
      <c r="J801" s="329">
        <f>IF(AND(B801="",C801=""),"",ROUND(M801*N801,2))</f>
        <v/>
      </c>
      <c r="K801" s="330">
        <f>IF(AND(B801="",C801=""),"",ROUND(J801*F801,2))</f>
        <v/>
      </c>
      <c r="L801" s="126" t="n">
        <v>1</v>
      </c>
      <c r="M801" s="331" t="n">
        <v>1e-07</v>
      </c>
      <c r="N801" s="128" t="n">
        <v>0</v>
      </c>
      <c r="O801" s="129">
        <f t="array" ref="O801">IF(AND(B801="",C801=""),"",IF(G801&gt;=20000,0.05,IF(G801&gt;=10000,0.1,IF(G801&gt;=5000,0.2,IF(G801&gt;=1000,0.3,IF(G801&gt;=0,0.4,{0}))))))</f>
        <v/>
      </c>
      <c r="P801" s="332">
        <f>IF(AND(B801="",C801=""),"",ROUND(H801*O801,2))</f>
        <v/>
      </c>
      <c r="Q801" s="327" t="inlineStr">
        <is>
          <t>元件</t>
        </is>
      </c>
      <c r="R801" s="150" t="n"/>
      <c r="S801" s="150" t="n"/>
      <c r="T801" s="150" t="inlineStr">
        <is>
          <t>0</t>
        </is>
      </c>
      <c r="U801" s="150" t="n"/>
      <c r="V801" s="328" t="n"/>
      <c r="W801" s="328" t="n"/>
      <c r="X801" s="152" t="n"/>
    </row>
    <row r="802" customFormat="1" s="145">
      <c r="A802" s="36">
        <f>ROW()-ROW(A$800)</f>
        <v/>
      </c>
      <c r="B802" s="29" t="inlineStr">
        <is>
          <t>测量电流互感器</t>
        </is>
      </c>
      <c r="C802" s="25" t="inlineStr">
        <is>
          <t>SD-0.66-130III-V 4000/5</t>
        </is>
      </c>
      <c r="D802" s="29" t="inlineStr">
        <is>
          <t>杭州桑迪</t>
        </is>
      </c>
      <c r="E802" s="30" t="inlineStr">
        <is>
          <t>只</t>
        </is>
      </c>
      <c r="F802" s="26" t="n">
        <v>3</v>
      </c>
      <c r="G802" s="293">
        <f>IF(AND(B802="",C802=""),"",ROUND(M802*L802*N802,2))</f>
        <v/>
      </c>
      <c r="H802" s="293">
        <f>IF(AND(B802="",C802=""),"",ROUND(F802*G802,2))</f>
        <v/>
      </c>
      <c r="I802" s="91" t="n"/>
      <c r="J802" s="329">
        <f>IF(AND(B802="",C802=""),"",ROUND(M802*N802,2))</f>
        <v/>
      </c>
      <c r="K802" s="330">
        <f>IF(AND(B802="",C802=""),"",ROUND(J802*F802,2))</f>
        <v/>
      </c>
      <c r="L802" s="126" t="n">
        <v>1</v>
      </c>
      <c r="M802" s="331" t="n">
        <v>217.75</v>
      </c>
      <c r="N802" s="128" t="n">
        <v>1</v>
      </c>
      <c r="O802" s="129">
        <f t="array" ref="O802">IF(AND(B802="",C802=""),"",IF(G802&gt;=20000,0.05,IF(G802&gt;=10000,0.1,IF(G802&gt;=5000,0.2,IF(G802&gt;=1000,0.3,IF(G802&gt;=0,0.4,{0}))))))</f>
        <v/>
      </c>
      <c r="P802" s="332">
        <f>IF(AND(B802="",C802=""),"",ROUND(H802*O802,2))</f>
        <v/>
      </c>
      <c r="Q802" s="327" t="inlineStr">
        <is>
          <t>元件</t>
        </is>
      </c>
      <c r="R802" s="150" t="n"/>
      <c r="S802" s="150" t="n"/>
      <c r="T802" s="150" t="inlineStr">
        <is>
          <t>0</t>
        </is>
      </c>
      <c r="U802" s="150" t="n"/>
      <c r="V802" s="328" t="n"/>
      <c r="W802" s="328" t="n"/>
      <c r="X802" s="152" t="n"/>
    </row>
    <row r="803" customFormat="1" s="145">
      <c r="A803" s="36">
        <f>ROW()-ROW(A$800)</f>
        <v/>
      </c>
      <c r="B803" s="25" t="inlineStr">
        <is>
          <t>多功能表</t>
        </is>
      </c>
      <c r="C803" s="25" t="inlineStr">
        <is>
          <t>PM4633</t>
        </is>
      </c>
      <c r="D803" s="25" t="inlineStr">
        <is>
          <t>甲供/施耐德电气</t>
        </is>
      </c>
      <c r="E803" s="30" t="inlineStr">
        <is>
          <t>只</t>
        </is>
      </c>
      <c r="F803" s="26">
        <f>IF(AND(B803="",C803=""),"",1)</f>
        <v/>
      </c>
      <c r="G803" s="293">
        <f>IF(AND(B803="",C803=""),"",ROUND(M803*L803*N803,2))</f>
        <v/>
      </c>
      <c r="H803" s="293">
        <f>IF(AND(B803="",C803=""),"",ROUND(F803*G803,2))</f>
        <v/>
      </c>
      <c r="I803" s="91" t="n"/>
      <c r="J803" s="329">
        <f>IF(AND(B803="",C803=""),"",ROUND(M803*N803,2))</f>
        <v/>
      </c>
      <c r="K803" s="330">
        <f>IF(AND(B803="",C803=""),"",ROUND(J803*F803,2))</f>
        <v/>
      </c>
      <c r="L803" s="126" t="n">
        <v>1</v>
      </c>
      <c r="M803" s="331" t="n">
        <v>1e-07</v>
      </c>
      <c r="N803" s="128" t="n">
        <v>0</v>
      </c>
      <c r="O803" s="129">
        <f t="array" ref="O803">IF(AND(B803="",C803=""),"",IF(G803&gt;=20000,0.05,IF(G803&gt;=10000,0.1,IF(G803&gt;=5000,0.2,IF(G803&gt;=1000,0.3,IF(G803&gt;=0,0.4,{0}))))))</f>
        <v/>
      </c>
      <c r="P803" s="332">
        <f>IF(AND(B803="",C803=""),"",ROUND(H803*O803,2))</f>
        <v/>
      </c>
      <c r="Q803" s="327" t="inlineStr">
        <is>
          <t>元件</t>
        </is>
      </c>
      <c r="R803" s="150" t="n"/>
      <c r="S803" s="150" t="n"/>
      <c r="T803" s="150" t="inlineStr">
        <is>
          <t>0</t>
        </is>
      </c>
      <c r="U803" s="150" t="n"/>
      <c r="V803" s="328" t="n"/>
      <c r="W803" s="328" t="n"/>
      <c r="X803" s="152" t="n"/>
    </row>
    <row r="804" customFormat="1" s="145">
      <c r="A804" s="36">
        <f>ROW()-ROW(A$800)</f>
        <v/>
      </c>
      <c r="B804" s="29" t="inlineStr">
        <is>
          <t>SP元件</t>
        </is>
      </c>
      <c r="C804" s="25" t="inlineStr">
        <is>
          <t>智能网关 PAS700</t>
        </is>
      </c>
      <c r="D804" s="25" t="inlineStr">
        <is>
          <t>甲供/施耐德电气</t>
        </is>
      </c>
      <c r="E804" s="30" t="inlineStr">
        <is>
          <t>只</t>
        </is>
      </c>
      <c r="F804" s="30">
        <f>IF(AND(B804="",C804=""),"",1)</f>
        <v/>
      </c>
      <c r="G804" s="297">
        <f>IF(AND(B804="",C804=""),"",ROUND(M804*L804*N804,2))</f>
        <v/>
      </c>
      <c r="H804" s="297">
        <f>IF(AND(B804="",C804=""),"",ROUND(F804*G804,2))</f>
        <v/>
      </c>
      <c r="I804" s="135" t="n"/>
      <c r="J804" s="329">
        <f>IF(AND(B804="",C804=""),"",ROUND(M804*N804,2))</f>
        <v/>
      </c>
      <c r="K804" s="330">
        <f>IF(AND(B804="",C804=""),"",ROUND(J804*F804,2))</f>
        <v/>
      </c>
      <c r="L804" s="126" t="n">
        <v>1</v>
      </c>
      <c r="M804" s="331" t="n">
        <v>1e-07</v>
      </c>
      <c r="N804" s="128" t="n">
        <v>0</v>
      </c>
      <c r="O804" s="129">
        <f t="array" ref="O804">IF(AND(B804="",C804=""),"",IF(G804&gt;=20000,0.05,IF(G804&gt;=10000,0.1,IF(G804&gt;=5000,0.2,IF(G804&gt;=1000,0.3,IF(G804&gt;=0,0.4,{0}))))))</f>
        <v/>
      </c>
      <c r="P804" s="332">
        <f>IF(AND(B804="",C804=""),"",ROUND(H804*O804,2))</f>
        <v/>
      </c>
      <c r="Q804" s="327" t="inlineStr">
        <is>
          <t>元件</t>
        </is>
      </c>
      <c r="R804" s="150" t="n"/>
      <c r="S804" s="150" t="n"/>
      <c r="T804" s="150" t="inlineStr">
        <is>
          <t>0</t>
        </is>
      </c>
      <c r="U804" s="150" t="n"/>
      <c r="V804" s="328" t="n"/>
      <c r="W804" s="328" t="n"/>
      <c r="X804" s="152" t="n"/>
    </row>
    <row r="805" customFormat="1" s="145">
      <c r="A805" s="36">
        <f>ROW()-ROW(A$800)</f>
        <v/>
      </c>
      <c r="B805" s="29" t="inlineStr">
        <is>
          <t>指示灯</t>
        </is>
      </c>
      <c r="C805" s="29" t="inlineStr">
        <is>
          <t>XA2EVM3LC</t>
        </is>
      </c>
      <c r="D805" s="29" t="inlineStr">
        <is>
          <t>施耐德电气</t>
        </is>
      </c>
      <c r="E805" s="30" t="inlineStr">
        <is>
          <t>只</t>
        </is>
      </c>
      <c r="F805" s="30" t="n">
        <v>1</v>
      </c>
      <c r="G805" s="297">
        <f>IF(AND(B805="",C805=""),"",ROUND(M805*L805*N805,2))</f>
        <v/>
      </c>
      <c r="H805" s="297">
        <f>IF(AND(B805="",C805=""),"",ROUND(F805*G805,2))</f>
        <v/>
      </c>
      <c r="I805" s="136" t="n"/>
      <c r="J805" s="329">
        <f>IF(AND(B805="",C805=""),"",ROUND(M805*N805,2))</f>
        <v/>
      </c>
      <c r="K805" s="330">
        <f>IF(AND(B805="",C805=""),"",ROUND(J805*F805,2))</f>
        <v/>
      </c>
      <c r="L805" s="126" t="n">
        <v>1</v>
      </c>
      <c r="M805" s="331" t="n">
        <v>16.43</v>
      </c>
      <c r="N805" s="137" t="n">
        <v>0.5</v>
      </c>
      <c r="O805" s="138">
        <f t="array" ref="O805">IF(AND(B805="",C805=""),"",IF(G805&gt;=20000,0.05,IF(G805&gt;=10000,0.1,IF(G805&gt;=5000,0.2,IF(G805&gt;=1000,0.3,IF(G805&gt;=0,0.4,{0}))))))</f>
        <v/>
      </c>
      <c r="P805" s="333">
        <f>IF(AND(B805="",C805=""),"",ROUND(H805*O805,2))</f>
        <v/>
      </c>
      <c r="Q805" s="334" t="inlineStr">
        <is>
          <t>元件</t>
        </is>
      </c>
      <c r="R805" s="154" t="n"/>
      <c r="S805" s="154" t="n"/>
      <c r="T805" s="154" t="inlineStr">
        <is>
          <t>0</t>
        </is>
      </c>
      <c r="U805" s="154" t="inlineStr">
        <is>
          <t>XA2EVM3LC</t>
        </is>
      </c>
      <c r="V805" s="335" t="n"/>
      <c r="W805" s="335" t="n"/>
      <c r="X805" s="152" t="n"/>
    </row>
    <row r="806" customFormat="1" s="145">
      <c r="A806" s="36">
        <f>ROW()-ROW(A$800)</f>
        <v/>
      </c>
      <c r="B806" s="29" t="inlineStr">
        <is>
          <t>指示灯</t>
        </is>
      </c>
      <c r="C806" s="25" t="inlineStr">
        <is>
          <t>XA2EVM4LC</t>
        </is>
      </c>
      <c r="D806" s="29" t="inlineStr">
        <is>
          <t>施耐德电气</t>
        </is>
      </c>
      <c r="E806" s="30" t="inlineStr">
        <is>
          <t>只</t>
        </is>
      </c>
      <c r="F806" s="30" t="n">
        <v>1</v>
      </c>
      <c r="G806" s="297">
        <f>IF(AND(B806="",C806=""),"",ROUND(M806*L806*N806,2))</f>
        <v/>
      </c>
      <c r="H806" s="297">
        <f>IF(AND(B806="",C806=""),"",ROUND(F806*G806,2))</f>
        <v/>
      </c>
      <c r="I806" s="136" t="n"/>
      <c r="J806" s="329">
        <f>IF(AND(B806="",C806=""),"",ROUND(M806*N806,2))</f>
        <v/>
      </c>
      <c r="K806" s="330">
        <f>IF(AND(B806="",C806=""),"",ROUND(J806*F806,2))</f>
        <v/>
      </c>
      <c r="L806" s="126" t="n">
        <v>1</v>
      </c>
      <c r="M806" s="331" t="n">
        <v>16.43</v>
      </c>
      <c r="N806" s="137" t="n">
        <v>0.5</v>
      </c>
      <c r="O806" s="138">
        <f t="array" ref="O806">IF(AND(B806="",C806=""),"",IF(G806&gt;=20000,0.05,IF(G806&gt;=10000,0.1,IF(G806&gt;=5000,0.2,IF(G806&gt;=1000,0.3,IF(G806&gt;=0,0.4,{0}))))))</f>
        <v/>
      </c>
      <c r="P806" s="333">
        <f>IF(AND(B806="",C806=""),"",ROUND(H806*O806,2))</f>
        <v/>
      </c>
      <c r="Q806" s="334" t="inlineStr">
        <is>
          <t>元件</t>
        </is>
      </c>
      <c r="R806" s="154" t="n"/>
      <c r="S806" s="154" t="n"/>
      <c r="T806" s="154" t="inlineStr">
        <is>
          <t>0</t>
        </is>
      </c>
      <c r="U806" s="154" t="inlineStr">
        <is>
          <t>XA2EVM4LC</t>
        </is>
      </c>
      <c r="V806" s="335" t="n"/>
      <c r="W806" s="335" t="n"/>
      <c r="X806" s="152" t="n"/>
    </row>
    <row r="807" customFormat="1" s="145">
      <c r="A807" s="36">
        <f>ROW()-ROW(A$800)</f>
        <v/>
      </c>
      <c r="B807" s="29" t="inlineStr">
        <is>
          <t>指示灯</t>
        </is>
      </c>
      <c r="C807" s="29" t="inlineStr">
        <is>
          <t>XA2EVM5LC</t>
        </is>
      </c>
      <c r="D807" s="29" t="inlineStr">
        <is>
          <t>施耐德电气</t>
        </is>
      </c>
      <c r="E807" s="30" t="inlineStr">
        <is>
          <t>只</t>
        </is>
      </c>
      <c r="F807" s="30" t="n">
        <v>1</v>
      </c>
      <c r="G807" s="297">
        <f>IF(AND(B807="",C807=""),"",ROUND(M807*L807*N807,2))</f>
        <v/>
      </c>
      <c r="H807" s="297">
        <f>IF(AND(B807="",C807=""),"",ROUND(F807*G807,2))</f>
        <v/>
      </c>
      <c r="I807" s="136" t="n"/>
      <c r="J807" s="329">
        <f>IF(AND(B807="",C807=""),"",ROUND(M807*N807,2))</f>
        <v/>
      </c>
      <c r="K807" s="330">
        <f>IF(AND(B807="",C807=""),"",ROUND(J807*F807,2))</f>
        <v/>
      </c>
      <c r="L807" s="126" t="n">
        <v>1</v>
      </c>
      <c r="M807" s="331" t="n">
        <v>16.43</v>
      </c>
      <c r="N807" s="137" t="n">
        <v>0.5</v>
      </c>
      <c r="O807" s="138">
        <f t="array" ref="O807">IF(AND(B807="",C807=""),"",IF(G807&gt;=20000,0.05,IF(G807&gt;=10000,0.1,IF(G807&gt;=5000,0.2,IF(G807&gt;=1000,0.3,IF(G807&gt;=0,0.4,{0}))))))</f>
        <v/>
      </c>
      <c r="P807" s="333">
        <f>IF(AND(B807="",C807=""),"",ROUND(H807*O807,2))</f>
        <v/>
      </c>
      <c r="Q807" s="334" t="inlineStr">
        <is>
          <t>元件</t>
        </is>
      </c>
      <c r="R807" s="154" t="n"/>
      <c r="S807" s="154" t="n"/>
      <c r="T807" s="154" t="inlineStr">
        <is>
          <t>0</t>
        </is>
      </c>
      <c r="U807" s="154" t="inlineStr">
        <is>
          <t>XA2EVM5LC</t>
        </is>
      </c>
      <c r="V807" s="335" t="n"/>
      <c r="W807" s="335" t="n"/>
      <c r="X807" s="152" t="n"/>
    </row>
    <row r="808" customFormat="1" s="145">
      <c r="A808" s="36">
        <f>ROW()-ROW(A$800)</f>
        <v/>
      </c>
      <c r="B808" s="29" t="inlineStr">
        <is>
          <t>按钮</t>
        </is>
      </c>
      <c r="C808" s="29" t="inlineStr">
        <is>
          <t>XA2EA31</t>
        </is>
      </c>
      <c r="D808" s="29" t="inlineStr">
        <is>
          <t>施耐德电气</t>
        </is>
      </c>
      <c r="E808" s="30" t="inlineStr">
        <is>
          <t>只</t>
        </is>
      </c>
      <c r="F808" s="30" t="n">
        <v>1</v>
      </c>
      <c r="G808" s="297">
        <f>IF(AND(B808="",C808=""),"",ROUND(M808*L808*N808,2))</f>
        <v/>
      </c>
      <c r="H808" s="297">
        <f>IF(AND(B808="",C808=""),"",ROUND(F808*G808,2))</f>
        <v/>
      </c>
      <c r="I808" s="136" t="n"/>
      <c r="J808" s="329">
        <f>IF(AND(B808="",C808=""),"",ROUND(M808*N808,2))</f>
        <v/>
      </c>
      <c r="K808" s="330">
        <f>IF(AND(B808="",C808=""),"",ROUND(J808*F808,2))</f>
        <v/>
      </c>
      <c r="L808" s="126" t="n">
        <v>1</v>
      </c>
      <c r="M808" s="331" t="n">
        <v>15.55</v>
      </c>
      <c r="N808" s="137" t="n">
        <v>0.5</v>
      </c>
      <c r="O808" s="138">
        <f t="array" ref="O808">IF(AND(B808="",C808=""),"",IF(G808&gt;=20000,0.05,IF(G808&gt;=10000,0.1,IF(G808&gt;=5000,0.2,IF(G808&gt;=1000,0.3,IF(G808&gt;=0,0.4,{0}))))))</f>
        <v/>
      </c>
      <c r="P808" s="333">
        <f>IF(AND(B808="",C808=""),"",ROUND(H808*O808,2))</f>
        <v/>
      </c>
      <c r="Q808" s="334" t="inlineStr">
        <is>
          <t>元件</t>
        </is>
      </c>
      <c r="R808" s="154" t="n"/>
      <c r="S808" s="154" t="n"/>
      <c r="T808" s="154" t="inlineStr">
        <is>
          <t>0</t>
        </is>
      </c>
      <c r="U808" s="154" t="inlineStr">
        <is>
          <t>XA2EA31</t>
        </is>
      </c>
      <c r="V808" s="335" t="n"/>
      <c r="W808" s="335" t="n"/>
      <c r="X808" s="152" t="n"/>
    </row>
    <row r="809" customFormat="1" s="145">
      <c r="A809" s="36">
        <f>ROW()-ROW(A$800)</f>
        <v/>
      </c>
      <c r="B809" s="25" t="inlineStr">
        <is>
          <t>按钮</t>
        </is>
      </c>
      <c r="C809" s="25" t="inlineStr">
        <is>
          <t>XA2EA41</t>
        </is>
      </c>
      <c r="D809" s="25" t="inlineStr">
        <is>
          <t>施耐德电气</t>
        </is>
      </c>
      <c r="E809" s="26" t="inlineStr">
        <is>
          <t>只</t>
        </is>
      </c>
      <c r="F809" s="26" t="n">
        <v>1</v>
      </c>
      <c r="G809" s="293">
        <f>IF(AND(B809="",C809=""),"",ROUND(M809*L809*N809,2))</f>
        <v/>
      </c>
      <c r="H809" s="297">
        <f>IF(AND(B809="",C809=""),"",ROUND(F809*G809,2))</f>
        <v/>
      </c>
      <c r="I809" s="136" t="n"/>
      <c r="J809" s="329">
        <f>IF(AND(B809="",C809=""),"",ROUND(M809*N809,2))</f>
        <v/>
      </c>
      <c r="K809" s="330">
        <f>IF(AND(B809="",C809=""),"",ROUND(J809*F809,2))</f>
        <v/>
      </c>
      <c r="L809" s="126" t="n">
        <v>1</v>
      </c>
      <c r="M809" s="331" t="n">
        <v>15.55</v>
      </c>
      <c r="N809" s="137" t="n">
        <v>0.5</v>
      </c>
      <c r="O809" s="138">
        <f t="array" ref="O809">IF(AND(B809="",C809=""),"",IF(G809&gt;=20000,0.05,IF(G809&gt;=10000,0.1,IF(G809&gt;=5000,0.2,IF(G809&gt;=1000,0.3,IF(G809&gt;=0,0.4,{0}))))))</f>
        <v/>
      </c>
      <c r="P809" s="333">
        <f>IF(AND(B809="",C809=""),"",ROUND(H809*O809,2))</f>
        <v/>
      </c>
      <c r="Q809" s="334" t="inlineStr">
        <is>
          <t>元件</t>
        </is>
      </c>
      <c r="R809" s="154" t="n"/>
      <c r="S809" s="154" t="n"/>
      <c r="T809" s="154" t="inlineStr">
        <is>
          <t>0</t>
        </is>
      </c>
      <c r="U809" s="154" t="inlineStr">
        <is>
          <t>XA2EA41</t>
        </is>
      </c>
      <c r="V809" s="335" t="n"/>
      <c r="W809" s="335" t="n"/>
      <c r="X809" s="152" t="n"/>
    </row>
    <row r="810" customFormat="1" s="145">
      <c r="A810" s="36">
        <f>ROW()-ROW(A$800)</f>
        <v/>
      </c>
      <c r="B810" s="25" t="inlineStr">
        <is>
          <t>熔断器</t>
        </is>
      </c>
      <c r="C810" s="25" t="inlineStr">
        <is>
          <t>UK5-HESI</t>
        </is>
      </c>
      <c r="D810" s="25" t="inlineStr">
        <is>
          <t>菲尼克斯</t>
        </is>
      </c>
      <c r="E810" s="26" t="inlineStr">
        <is>
          <t>只</t>
        </is>
      </c>
      <c r="F810" s="26" t="n">
        <v>4</v>
      </c>
      <c r="G810" s="293">
        <f>IF(AND(B810="",C810=""),"",ROUND(M810*L810*N810,2))</f>
        <v/>
      </c>
      <c r="H810" s="297">
        <f>IF(AND(B810="",C810=""),"",ROUND(F810*G810,2))</f>
        <v/>
      </c>
      <c r="I810" s="136" t="n"/>
      <c r="J810" s="329">
        <f>IF(AND(B810="",C810=""),"",ROUND(M810*N810,2))</f>
        <v/>
      </c>
      <c r="K810" s="330">
        <f>IF(AND(B810="",C810=""),"",ROUND(J810*F810,2))</f>
        <v/>
      </c>
      <c r="L810" s="126" t="n">
        <v>1</v>
      </c>
      <c r="M810" s="331" t="n">
        <v>7</v>
      </c>
      <c r="N810" s="137" t="n">
        <v>1</v>
      </c>
      <c r="O810" s="138">
        <f t="array" ref="O810">IF(AND(B810="",C810=""),"",IF(G810&gt;=20000,0.05,IF(G810&gt;=10000,0.1,IF(G810&gt;=5000,0.2,IF(G810&gt;=1000,0.3,IF(G810&gt;=0,0.4,{0}))))))</f>
        <v/>
      </c>
      <c r="P810" s="333">
        <f>IF(AND(B810="",C810=""),"",ROUND(H810*O810,2))</f>
        <v/>
      </c>
      <c r="Q810" s="334" t="inlineStr">
        <is>
          <t>元件</t>
        </is>
      </c>
      <c r="R810" s="154" t="n"/>
      <c r="S810" s="154" t="n"/>
      <c r="T810" s="154" t="inlineStr">
        <is>
          <t>0</t>
        </is>
      </c>
      <c r="U810" s="154" t="n"/>
      <c r="V810" s="335" t="n"/>
      <c r="W810" s="335" t="n"/>
      <c r="X810" s="152" t="n"/>
    </row>
    <row r="811" customFormat="1" s="145">
      <c r="A811" s="36">
        <f>ROW()-ROW(A$800)</f>
        <v/>
      </c>
      <c r="B811" s="25" t="inlineStr">
        <is>
          <t>水平排4000A</t>
        </is>
      </c>
      <c r="C811" s="25" t="inlineStr">
        <is>
          <t>TMY 3*(4*125*5)+2*125*5+2*50*5</t>
        </is>
      </c>
      <c r="D811" s="25" t="inlineStr">
        <is>
          <t>国产优质</t>
        </is>
      </c>
      <c r="E811" s="26" t="inlineStr">
        <is>
          <t>米</t>
        </is>
      </c>
      <c r="F811" s="30" t="n">
        <v>0.7</v>
      </c>
      <c r="G811" s="297">
        <f>IF(AND(B811="",C811=""),"",ROUND(M811*L811*N811,2))</f>
        <v/>
      </c>
      <c r="H811" s="297">
        <f>IF(AND(B811="",C811=""),"",ROUND(F811*G811,2))</f>
        <v/>
      </c>
      <c r="I811" s="135" t="n"/>
      <c r="J811" s="329">
        <f>IF(AND(B811="",C811=""),"",ROUND(M811*N811,2))</f>
        <v/>
      </c>
      <c r="K811" s="330">
        <f>IF(AND(B811="",C811=""),"",ROUND(J811*F811,2))</f>
        <v/>
      </c>
      <c r="L811" s="126" t="n">
        <v>1</v>
      </c>
      <c r="M811" s="331" t="n">
        <v>6895.130375</v>
      </c>
      <c r="N811" s="128" t="n">
        <v>1</v>
      </c>
      <c r="O811" s="129">
        <f t="array" ref="O811">IF(AND(B811="",C811=""),"",IF(G811&gt;=20000,0.05,IF(G811&gt;=10000,0.1,IF(G811&gt;=5000,0.2,IF(G811&gt;=1000,0.3,IF(G811&gt;=0,0.4,{0}))))))</f>
        <v/>
      </c>
      <c r="P811" s="332">
        <f>IF(AND(B811="",C811=""),"",ROUND(H811*O811,2))</f>
        <v/>
      </c>
      <c r="Q811" s="327" t="inlineStr">
        <is>
          <t>母排</t>
        </is>
      </c>
      <c r="R811" s="150" t="n"/>
      <c r="S811" s="150" t="n"/>
      <c r="T811" s="150" t="inlineStr">
        <is>
          <t>0</t>
        </is>
      </c>
      <c r="U811" s="150" t="n"/>
      <c r="V811" s="328" t="n"/>
      <c r="W811" s="328" t="n"/>
      <c r="X811" s="152" t="n"/>
    </row>
    <row r="812" customFormat="1" s="145">
      <c r="A812" s="36">
        <f>ROW()-ROW(A$800)</f>
        <v/>
      </c>
      <c r="B812" s="29" t="inlineStr">
        <is>
          <t>柜内铜排</t>
        </is>
      </c>
      <c r="C812" s="29" t="inlineStr">
        <is>
          <t>TMY</t>
        </is>
      </c>
      <c r="D812" s="25" t="inlineStr">
        <is>
          <t>国产优质</t>
        </is>
      </c>
      <c r="E812" s="26" t="inlineStr">
        <is>
          <t>kg</t>
        </is>
      </c>
      <c r="F812" s="30">
        <f>196.9*1.05</f>
        <v/>
      </c>
      <c r="G812" s="297">
        <f>IF(AND(B812="",C812=""),"",ROUND(M812*L812*N812,2))</f>
        <v/>
      </c>
      <c r="H812" s="297">
        <f>IF(AND(B812="",C812=""),"",ROUND(F812*G812,2))</f>
        <v/>
      </c>
      <c r="I812" s="135" t="n"/>
      <c r="J812" s="329">
        <f>IF(AND(B812="",C812=""),"",ROUND(M812*N812,2))</f>
        <v/>
      </c>
      <c r="K812" s="330">
        <f>IF(AND(B812="",C812=""),"",ROUND(J812*F812,2))</f>
        <v/>
      </c>
      <c r="L812" s="126" t="n">
        <v>1</v>
      </c>
      <c r="M812" s="331" t="n">
        <v>83.755</v>
      </c>
      <c r="N812" s="128" t="n">
        <v>1</v>
      </c>
      <c r="O812" s="129">
        <f t="array" ref="O812">IF(AND(B812="",C812=""),"",IF(G812&gt;=20000,0.05,IF(G812&gt;=10000,0.1,IF(G812&gt;=5000,0.2,IF(G812&gt;=1000,0.3,IF(G812&gt;=0,0.4,{0}))))))</f>
        <v/>
      </c>
      <c r="P812" s="332">
        <f>IF(AND(B812="",C812=""),"",ROUND(H812*O812,2))</f>
        <v/>
      </c>
      <c r="Q812" s="327" t="inlineStr">
        <is>
          <t>母排</t>
        </is>
      </c>
      <c r="R812" s="150" t="n"/>
      <c r="S812" s="150" t="n"/>
      <c r="T812" s="150" t="inlineStr">
        <is>
          <t>0</t>
        </is>
      </c>
      <c r="U812" s="150" t="n"/>
      <c r="V812" s="328" t="n"/>
      <c r="W812" s="328" t="n"/>
      <c r="X812" s="152" t="n"/>
    </row>
    <row r="813" customFormat="1" s="145">
      <c r="A813" s="36">
        <f>ROW()-ROW(A$800)</f>
        <v/>
      </c>
      <c r="B813" s="29" t="inlineStr">
        <is>
          <t>L型端子</t>
        </is>
      </c>
      <c r="C813" s="29" t="inlineStr">
        <is>
          <t>GH100710</t>
        </is>
      </c>
      <c r="D813" s="25" t="inlineStr">
        <is>
          <t>施耐德电气</t>
        </is>
      </c>
      <c r="E813" s="26" t="inlineStr">
        <is>
          <t>个</t>
        </is>
      </c>
      <c r="F813" s="30" t="n">
        <v>3</v>
      </c>
      <c r="G813" s="297">
        <f>IF(AND(B813="",C813=""),"",ROUND(M813*L813*N813,2))</f>
        <v/>
      </c>
      <c r="H813" s="297">
        <f>IF(AND(B813="",C813=""),"",ROUND(F813*G813,2))</f>
        <v/>
      </c>
      <c r="I813" s="135" t="n"/>
      <c r="J813" s="329">
        <f>IF(AND(B813="",C813=""),"",ROUND(M813*N813,2))</f>
        <v/>
      </c>
      <c r="K813" s="330">
        <f>IF(AND(B813="",C813=""),"",ROUND(J813*F813,2))</f>
        <v/>
      </c>
      <c r="L813" s="126" t="n">
        <v>1</v>
      </c>
      <c r="M813" s="331" t="n">
        <v>441</v>
      </c>
      <c r="N813" s="128" t="n">
        <v>1</v>
      </c>
      <c r="O813" s="129">
        <f t="array" ref="O813">IF(AND(B813="",C813=""),"",IF(G813&gt;=20000,0.05,IF(G813&gt;=10000,0.1,IF(G813&gt;=5000,0.2,IF(G813&gt;=1000,0.3,IF(G813&gt;=0,0.4,{0}))))))</f>
        <v/>
      </c>
      <c r="P813" s="332">
        <f>IF(AND(B813="",C813=""),"",ROUND(H813*O813,2))</f>
        <v/>
      </c>
      <c r="Q813" s="327" t="inlineStr">
        <is>
          <t>元件</t>
        </is>
      </c>
      <c r="R813" s="150" t="n"/>
      <c r="S813" s="150" t="n"/>
      <c r="T813" s="150" t="inlineStr">
        <is>
          <t>0</t>
        </is>
      </c>
      <c r="U813" s="150" t="n"/>
      <c r="V813" s="328" t="n"/>
      <c r="W813" s="328" t="n"/>
      <c r="X813" s="152" t="n"/>
    </row>
    <row r="814" customFormat="1" s="145">
      <c r="A814" s="36">
        <f>ROW()-ROW(A$800)</f>
        <v/>
      </c>
      <c r="B814" s="25" t="inlineStr">
        <is>
          <t>导线及辅料</t>
        </is>
      </c>
      <c r="C814" s="25" t="n"/>
      <c r="D814" s="25" t="inlineStr">
        <is>
          <t>国产优质</t>
        </is>
      </c>
      <c r="E814" s="26" t="inlineStr">
        <is>
          <t>套</t>
        </is>
      </c>
      <c r="F814" s="26" t="n">
        <v>1</v>
      </c>
      <c r="G814" s="293">
        <f>IF(AND(B814="",C814=""),"",ROUND(M814*L814*N814,2))</f>
        <v/>
      </c>
      <c r="H814" s="293">
        <f>IF(AND(B814="",C814=""),"",ROUND(F814*G814,2))</f>
        <v/>
      </c>
      <c r="I814" s="164" t="n"/>
      <c r="J814" s="329">
        <f>IF(AND(B814="",C814=""),"",ROUND(M814*N814,2))</f>
        <v/>
      </c>
      <c r="K814" s="330">
        <f>IF(AND(B814="",C814=""),"",ROUND(J814*F814,2))</f>
        <v/>
      </c>
      <c r="L814" s="126" t="n">
        <v>1</v>
      </c>
      <c r="M814" s="331" t="n">
        <v>500</v>
      </c>
      <c r="N814" s="137" t="n">
        <v>1</v>
      </c>
      <c r="O814" s="138">
        <f t="array" ref="O814">IF(AND(B814="",C814=""),"",IF(G814&gt;=20000,0.05,IF(G814&gt;=10000,0.1,IF(G814&gt;=5000,0.2,IF(G814&gt;=1000,0.3,IF(G814&gt;=0,0.4,{0}))))))</f>
        <v/>
      </c>
      <c r="P814" s="333">
        <f>IF(AND(B814="",C814=""),"",ROUND(H814*O814,2))</f>
        <v/>
      </c>
      <c r="Q814" s="334" t="inlineStr">
        <is>
          <t>辅料</t>
        </is>
      </c>
      <c r="R814" s="154" t="n"/>
      <c r="S814" s="154" t="n"/>
      <c r="T814" s="154" t="inlineStr">
        <is>
          <t>0</t>
        </is>
      </c>
      <c r="U814" s="154" t="n"/>
      <c r="V814" s="335" t="n"/>
      <c r="W814" s="335" t="n"/>
      <c r="X814" s="152" t="n"/>
    </row>
    <row r="815" customFormat="1" s="145">
      <c r="A815" s="36">
        <f>ROW()-ROW(A$800)</f>
        <v/>
      </c>
      <c r="B815" s="25" t="inlineStr">
        <is>
          <t>风机</t>
        </is>
      </c>
      <c r="C815" s="25" t="n"/>
      <c r="D815" s="25" t="inlineStr">
        <is>
          <t>KAKU</t>
        </is>
      </c>
      <c r="E815" s="26" t="inlineStr">
        <is>
          <t>套</t>
        </is>
      </c>
      <c r="F815" s="26" t="n">
        <v>4</v>
      </c>
      <c r="G815" s="293">
        <f>IF(AND(B815="",C815=""),"",ROUND(M815*L815*N815,2))</f>
        <v/>
      </c>
      <c r="H815" s="293">
        <f>IF(AND(B815="",C815=""),"",ROUND(F815*G815,2))</f>
        <v/>
      </c>
      <c r="I815" s="164" t="n"/>
      <c r="J815" s="329">
        <f>IF(AND(B815="",C815=""),"",ROUND(M815*N815,2))</f>
        <v/>
      </c>
      <c r="K815" s="330">
        <f>IF(AND(B815="",C815=""),"",ROUND(J815*F815,2))</f>
        <v/>
      </c>
      <c r="L815" s="126">
        <f>IF(AND(B815="",C815=""),"",1)</f>
        <v/>
      </c>
      <c r="M815" s="331" t="n">
        <v>229</v>
      </c>
      <c r="N815" s="137">
        <f>IF(AND(B815="",C815=""),"",1)</f>
        <v/>
      </c>
      <c r="O815" s="138">
        <f t="array" ref="O815">IF(AND(B815="",C815=""),"",IF(G815&gt;=20000,0.05,IF(G815&gt;=10000,0.1,IF(G815&gt;=5000,0.2,IF(G815&gt;=1000,0.3,IF(G815&gt;=0,0.4,{0}))))))</f>
        <v/>
      </c>
      <c r="P815" s="333">
        <f>IF(AND(B815="",C815=""),"",ROUND(H815*O815,2))</f>
        <v/>
      </c>
      <c r="Q815" s="334">
        <f>IF(AND(B815="",C815=""),"","元件")</f>
        <v/>
      </c>
      <c r="R815" s="154" t="n"/>
      <c r="S815" s="154" t="n"/>
      <c r="T815" s="154" t="n"/>
      <c r="U815" s="154" t="n"/>
      <c r="V815" s="335" t="n"/>
      <c r="W815" s="335" t="n"/>
      <c r="X815" s="152" t="n"/>
    </row>
    <row r="816" customFormat="1" s="145">
      <c r="A816" s="36">
        <f>ROW()-ROW(A$800)</f>
        <v/>
      </c>
      <c r="B816" s="25" t="inlineStr">
        <is>
          <t>通风顶盖</t>
        </is>
      </c>
      <c r="C816" s="25" t="n"/>
      <c r="D816" s="25" t="inlineStr">
        <is>
          <t>清科</t>
        </is>
      </c>
      <c r="E816" s="30" t="inlineStr">
        <is>
          <t>台</t>
        </is>
      </c>
      <c r="F816" s="26">
        <f>IF(AND(B816="",C816=""),"",1)</f>
        <v/>
      </c>
      <c r="G816" s="293">
        <f>IF(AND(B816="",C816=""),"",ROUND(M816*L816*N816,2))</f>
        <v/>
      </c>
      <c r="H816" s="293">
        <f>IF(AND(B816="",C816=""),"",ROUND(F816*G816,2))</f>
        <v/>
      </c>
      <c r="I816" s="164" t="n"/>
      <c r="J816" s="329">
        <f>IF(AND(B816="",C816=""),"",ROUND(M816*N816,2))</f>
        <v/>
      </c>
      <c r="K816" s="330">
        <f>IF(AND(B816="",C816=""),"",ROUND(J816*F816,2))</f>
        <v/>
      </c>
      <c r="L816" s="126">
        <f>IF(AND(B816="",C816=""),"",1)</f>
        <v/>
      </c>
      <c r="M816" s="331" t="n">
        <v>138</v>
      </c>
      <c r="N816" s="137">
        <f>IF(AND(B816="",C816=""),"",1)</f>
        <v/>
      </c>
      <c r="O816" s="138">
        <f t="array" ref="O816">IF(AND(B816="",C816=""),"",IF(G816&gt;=20000,0.05,IF(G816&gt;=10000,0.1,IF(G816&gt;=5000,0.2,IF(G816&gt;=1000,0.3,IF(G816&gt;=0,0.4,{0}))))))</f>
        <v/>
      </c>
      <c r="P816" s="333">
        <f>IF(AND(B816="",C816=""),"",ROUND(H816*O816,2))</f>
        <v/>
      </c>
      <c r="Q816" s="334">
        <f>IF(AND(B816="",C816=""),"","元件")</f>
        <v/>
      </c>
      <c r="R816" s="154" t="n"/>
      <c r="S816" s="154" t="n"/>
      <c r="T816" s="154" t="n"/>
      <c r="U816" s="154" t="n"/>
      <c r="V816" s="335" t="n"/>
      <c r="W816" s="335" t="n"/>
      <c r="X816" s="152" t="n"/>
    </row>
    <row r="817" customFormat="1" s="145">
      <c r="A817" s="36">
        <f>ROW()-ROW(A$800)</f>
        <v/>
      </c>
      <c r="B817" s="29" t="inlineStr">
        <is>
          <t>Blokset柜</t>
        </is>
      </c>
      <c r="C817" s="25" t="inlineStr">
        <is>
          <t>700W*1000D*2200H</t>
        </is>
      </c>
      <c r="D817" s="25" t="inlineStr">
        <is>
          <t>清科</t>
        </is>
      </c>
      <c r="E817" s="30" t="inlineStr">
        <is>
          <t>台</t>
        </is>
      </c>
      <c r="F817" s="30" t="n">
        <v>1</v>
      </c>
      <c r="G817" s="297">
        <f>IF(AND(B817="",C817=""),"",ROUND(M817*L817*N817,2))</f>
        <v/>
      </c>
      <c r="H817" s="297">
        <f>IF(AND(B817="",C817=""),"",ROUND(F817*G817,2))</f>
        <v/>
      </c>
      <c r="I817" s="135" t="n"/>
      <c r="J817" s="329">
        <f>IF(AND(B817="",C817=""),"",ROUND(M817*N817,2))</f>
        <v/>
      </c>
      <c r="K817" s="330">
        <f>IF(AND(B817="",C817=""),"",ROUND(J817*F817,2))</f>
        <v/>
      </c>
      <c r="L817" s="126" t="n">
        <v>1</v>
      </c>
      <c r="M817" s="331" t="n">
        <v>4010</v>
      </c>
      <c r="N817" s="137" t="n">
        <v>1</v>
      </c>
      <c r="O817" s="138">
        <f t="array" ref="O817">IF(AND(B817="",C817=""),"",IF(G817&gt;=20000,0.05,IF(G817&gt;=10000,0.1,IF(G817&gt;=5000,0.2,IF(G817&gt;=1000,0.3,IF(G817&gt;=0,0.4,{0}))))))</f>
        <v/>
      </c>
      <c r="P817" s="333">
        <f>IF(AND(B817="",C817=""),"",ROUND(H817*O817,2))</f>
        <v/>
      </c>
      <c r="Q817" s="334" t="inlineStr">
        <is>
          <t>箱体</t>
        </is>
      </c>
      <c r="R817" s="154" t="n"/>
      <c r="S817" s="154" t="n"/>
      <c r="T817" s="154" t="inlineStr">
        <is>
          <t>0</t>
        </is>
      </c>
      <c r="U817" s="154" t="n"/>
      <c r="V817" s="335" t="n"/>
      <c r="W817" s="335" t="n"/>
      <c r="X817" s="152" t="n"/>
    </row>
    <row r="818" customFormat="1" s="145">
      <c r="A818" s="36">
        <f>ROW()-ROW(A$800)</f>
        <v/>
      </c>
      <c r="B818" s="29" t="n"/>
      <c r="C818" s="29" t="n"/>
      <c r="D818" s="29" t="n"/>
      <c r="E818" s="30" t="n"/>
      <c r="F818" s="30">
        <f>IF(AND(B818="",C818=""),"",1)</f>
        <v/>
      </c>
      <c r="G818" s="297">
        <f>IF(AND(B818="",C818=""),"",ROUND(M818*L818*N818,2))</f>
        <v/>
      </c>
      <c r="H818" s="297">
        <f>IF(AND(B818="",C818=""),"",ROUND(F818*G818,2))</f>
        <v/>
      </c>
      <c r="I818" s="135" t="n"/>
      <c r="J818" s="329">
        <f>IF(AND(B818="",C818=""),"",ROUND(M818*N818,2))</f>
        <v/>
      </c>
      <c r="K818" s="330">
        <f>IF(AND(B818="",C818=""),"",ROUND(J818*F818,2))</f>
        <v/>
      </c>
      <c r="L818" s="126">
        <f>IF(AND(B818="",C818=""),"",1)</f>
        <v/>
      </c>
      <c r="M818" s="331" t="n"/>
      <c r="N818" s="128">
        <f>IF(AND(B818="",C818=""),"",1)</f>
        <v/>
      </c>
      <c r="O818" s="129">
        <f t="array" ref="O818">IF(AND(B818="",C818=""),"",IF(G818&gt;=20000,0.05,IF(G818&gt;=10000,0.1,IF(G818&gt;=5000,0.2,IF(G818&gt;=1000,0.3,IF(G818&gt;=0,0.4,{0}))))))</f>
        <v/>
      </c>
      <c r="P818" s="332">
        <f>IF(AND(B818="",C818=""),"",ROUND(H818*O818,2))</f>
        <v/>
      </c>
      <c r="Q818" s="327">
        <f>IF(AND(B818="",C818=""),"","元件")</f>
        <v/>
      </c>
      <c r="R818" s="150" t="n"/>
      <c r="S818" s="150" t="n"/>
      <c r="T818" s="150" t="n"/>
      <c r="U818" s="150" t="n"/>
      <c r="V818" s="328" t="n"/>
      <c r="W818" s="328" t="n"/>
      <c r="X818" s="152" t="n"/>
    </row>
    <row r="819" customFormat="1" s="145">
      <c r="A819" s="36">
        <f>ROW()-ROW(A$800)</f>
        <v/>
      </c>
      <c r="B819" s="29" t="n"/>
      <c r="C819" s="29" t="n"/>
      <c r="D819" s="29" t="n"/>
      <c r="E819" s="30" t="n"/>
      <c r="F819" s="30">
        <f>IF(AND(B819="",C819=""),"",1)</f>
        <v/>
      </c>
      <c r="G819" s="297">
        <f>IF(AND(B819="",C819=""),"",ROUND(M819*L819*N819,2))</f>
        <v/>
      </c>
      <c r="H819" s="297">
        <f>IF(AND(B819="",C819=""),"",ROUND(F819*G819,2))</f>
        <v/>
      </c>
      <c r="I819" s="135" t="n"/>
      <c r="J819" s="329">
        <f>IF(AND(B819="",C819=""),"",ROUND(M819*N819,2))</f>
        <v/>
      </c>
      <c r="K819" s="330">
        <f>IF(AND(B819="",C819=""),"",ROUND(J819*F819,2))</f>
        <v/>
      </c>
      <c r="L819" s="126">
        <f>IF(AND(B819="",C819=""),"",1)</f>
        <v/>
      </c>
      <c r="M819" s="331" t="n"/>
      <c r="N819" s="128">
        <f>IF(AND(B819="",C819=""),"",1)</f>
        <v/>
      </c>
      <c r="O819" s="129">
        <f t="array" ref="O819">IF(AND(B819="",C819=""),"",IF(G819&gt;=20000,0.05,IF(G819&gt;=10000,0.1,IF(G819&gt;=5000,0.2,IF(G819&gt;=1000,0.3,IF(G819&gt;=0,0.4,{0}))))))</f>
        <v/>
      </c>
      <c r="P819" s="332">
        <f>IF(AND(B819="",C819=""),"",ROUND(H819*O819,2))</f>
        <v/>
      </c>
      <c r="Q819" s="327">
        <f>IF(AND(B819="",C819=""),"","元件")</f>
        <v/>
      </c>
      <c r="R819" s="150" t="n"/>
      <c r="S819" s="150" t="n"/>
      <c r="T819" s="150" t="n"/>
      <c r="U819" s="150" t="n"/>
      <c r="V819" s="328" t="n"/>
      <c r="W819" s="328" t="n"/>
      <c r="X819" s="152" t="n"/>
    </row>
    <row r="820" customFormat="1" s="145">
      <c r="A820" s="36">
        <f>ROW()-ROW(A$800)</f>
        <v/>
      </c>
      <c r="B820" s="156" t="inlineStr">
        <is>
          <t>小计</t>
        </is>
      </c>
      <c r="C820" s="157" t="n"/>
      <c r="D820" s="54" t="n"/>
      <c r="E820" s="30" t="n"/>
      <c r="F820" s="30" t="n"/>
      <c r="G820" s="297" t="n"/>
      <c r="H820" s="297">
        <f>ROUND(SUM(H800:INDEX(H:H,ROW()-1)),2)</f>
        <v/>
      </c>
      <c r="I820" s="91" t="n"/>
      <c r="J820" s="329" t="n"/>
      <c r="K820" s="330">
        <f>ROUND(SUM(K800:INDEX(K:K,ROW()-1)),2)</f>
        <v/>
      </c>
      <c r="L820" s="126" t="n"/>
      <c r="M820" s="331" t="n"/>
      <c r="N820" s="128" t="n"/>
      <c r="O820" s="129" t="n"/>
      <c r="P820" s="332" t="n"/>
      <c r="Q820" s="327" t="n"/>
      <c r="R820" s="150" t="n"/>
      <c r="S820" s="150" t="n"/>
      <c r="T820" s="150" t="n"/>
      <c r="U820" s="150" t="n"/>
      <c r="V820" s="328">
        <f t="array" ref="V820">ROUND(SUMPRODUCT(F800:INDEX(F:F,ROW()-1),V800:INDEX(V:V,ROW()-1)),2)</f>
        <v/>
      </c>
      <c r="W820" s="328">
        <f t="array" ref="W820">ROUND(SUMPRODUCT(F800:INDEX(F:F,ROW()-1),W800:INDEX(W:W,ROW()-1)),2)</f>
        <v/>
      </c>
      <c r="X820" s="152" t="n"/>
    </row>
    <row r="821" customFormat="1" s="145">
      <c r="A821" s="36">
        <f>ROW()-ROW(A$800)</f>
        <v/>
      </c>
      <c r="B821" s="156" t="inlineStr">
        <is>
          <t>成套费</t>
        </is>
      </c>
      <c r="C821" s="157" t="n"/>
      <c r="D821" s="54" t="n"/>
      <c r="E821" s="30" t="n"/>
      <c r="F821" s="30" t="n"/>
      <c r="G821" s="297" t="n"/>
      <c r="H821" s="297" t="n">
        <v>944.76</v>
      </c>
      <c r="I821" s="91" t="n"/>
      <c r="J821" s="329" t="n"/>
      <c r="K821" s="330" t="n">
        <v>944.76</v>
      </c>
      <c r="L821" s="126" t="n"/>
      <c r="M821" s="331" t="n"/>
      <c r="N821" s="128" t="n"/>
      <c r="O821" s="129" t="n"/>
      <c r="P821" s="332" t="n"/>
      <c r="Q821" s="327" t="n"/>
      <c r="R821" s="150" t="n"/>
      <c r="S821" s="150" t="n"/>
      <c r="T821" s="150" t="n"/>
      <c r="U821" s="150" t="n"/>
      <c r="V821" s="328" t="n"/>
      <c r="W821" s="328" t="n"/>
      <c r="X821" s="152" t="n"/>
    </row>
    <row r="822" customFormat="1" s="145">
      <c r="A822" s="36">
        <f>ROW()-ROW(A$800)</f>
        <v/>
      </c>
      <c r="B822" s="156" t="n"/>
      <c r="C822" s="157" t="n"/>
      <c r="D822" s="54" t="n"/>
      <c r="E822" s="30" t="n"/>
      <c r="F822" s="30" t="n"/>
      <c r="G822" s="297" t="n"/>
      <c r="H822" s="297" t="n">
        <v>17.26</v>
      </c>
      <c r="I822" s="91" t="n"/>
      <c r="J822" s="329" t="n"/>
      <c r="K822" s="330" t="n"/>
      <c r="L822" s="126" t="n"/>
      <c r="M822" s="331" t="n"/>
      <c r="N822" s="128" t="n"/>
      <c r="O822" s="129" t="n"/>
      <c r="P822" s="332" t="n"/>
      <c r="Q822" s="327" t="n"/>
      <c r="R822" s="150" t="n"/>
      <c r="S822" s="150" t="n"/>
      <c r="T822" s="150" t="n"/>
      <c r="U822" s="150" t="n"/>
      <c r="V822" s="328" t="n"/>
      <c r="W822" s="328" t="n"/>
      <c r="X822" s="152" t="n"/>
    </row>
    <row r="823" customFormat="1" s="145">
      <c r="A823" s="36">
        <f>ROW()-ROW(A$800)</f>
        <v/>
      </c>
      <c r="B823" s="54" t="inlineStr">
        <is>
          <t>单台合计</t>
        </is>
      </c>
      <c r="C823" s="157" t="n"/>
      <c r="D823" s="54" t="n"/>
      <c r="E823" s="30" t="n"/>
      <c r="F823" s="30" t="n"/>
      <c r="G823" s="297" t="n"/>
      <c r="H823" s="297">
        <f>ROUND(SUM(H820:H821),2)</f>
        <v/>
      </c>
      <c r="I823" s="165" t="n"/>
      <c r="J823" s="329" t="n"/>
      <c r="K823" s="330">
        <f>ROUND(SUM(K820:K821),2)</f>
        <v/>
      </c>
      <c r="L823" s="166" t="n"/>
      <c r="M823" s="331" t="n"/>
      <c r="N823" s="167" t="n"/>
      <c r="O823" s="168" t="n"/>
      <c r="P823" s="332" t="n"/>
      <c r="Q823" s="327" t="n"/>
      <c r="R823" s="150" t="n"/>
      <c r="S823" s="150" t="n"/>
      <c r="T823" s="150" t="n"/>
      <c r="U823" s="150" t="n"/>
      <c r="V823" s="328" t="n"/>
      <c r="W823" s="328" t="n"/>
      <c r="X823" s="152" t="n"/>
    </row>
    <row r="824" customFormat="1" s="145">
      <c r="A824" s="158" t="inlineStr">
        <is>
          <t>总计</t>
        </is>
      </c>
      <c r="B824" s="159" t="n"/>
      <c r="C824" s="160" t="n"/>
      <c r="D824" s="161" t="n"/>
      <c r="E824" s="161" t="inlineStr">
        <is>
          <t>台</t>
        </is>
      </c>
      <c r="F824" s="161" t="n">
        <v>1</v>
      </c>
      <c r="G824" s="336">
        <f>ROUND(H823,2)</f>
        <v/>
      </c>
      <c r="H824" s="336">
        <f>ROUND(F824*G824,2)</f>
        <v/>
      </c>
      <c r="I824" s="169" t="n"/>
      <c r="J824" s="337" t="n"/>
      <c r="K824" s="338">
        <f>ROUND(K823*F824,2)</f>
        <v/>
      </c>
      <c r="L824" s="172" t="n"/>
      <c r="M824" s="339" t="n"/>
      <c r="N824" s="174" t="n"/>
      <c r="O824" s="175" t="n"/>
      <c r="P824" s="340" t="n"/>
      <c r="Q824" s="327" t="n"/>
      <c r="R824" s="150" t="n"/>
      <c r="S824" s="150" t="n"/>
      <c r="T824" s="150" t="n"/>
      <c r="U824" s="150" t="n"/>
      <c r="V824" s="328" t="n"/>
      <c r="W824" s="328" t="n"/>
      <c r="X824" s="152" t="n"/>
    </row>
    <row r="825" customFormat="1" s="146">
      <c r="A825" s="3" t="n"/>
      <c r="B825" s="117" t="n"/>
      <c r="C825" s="117" t="n"/>
      <c r="D825" s="117" t="n"/>
      <c r="E825" s="146" t="n"/>
      <c r="F825" s="146" t="n"/>
      <c r="G825" s="146" t="n"/>
      <c r="H825" s="146" t="n"/>
      <c r="Q825" s="144" t="n"/>
      <c r="R825" s="144" t="n"/>
      <c r="S825" s="144" t="n"/>
      <c r="T825" s="144" t="n"/>
      <c r="U825" s="144" t="n"/>
      <c r="X825" s="117" t="n"/>
    </row>
    <row r="826" customFormat="1" s="146">
      <c r="A826" s="3" t="n"/>
      <c r="B826" s="117" t="n"/>
      <c r="C826" s="117" t="n"/>
      <c r="D826" s="117" t="n"/>
      <c r="E826" s="146" t="n"/>
      <c r="F826" s="146" t="n"/>
      <c r="G826" s="146" t="n"/>
      <c r="H826" s="146" t="n"/>
      <c r="Q826" s="144" t="n"/>
      <c r="R826" s="144" t="n"/>
      <c r="S826" s="144" t="n"/>
      <c r="T826" s="144" t="n"/>
      <c r="U826" s="144" t="n"/>
      <c r="X826" s="117" t="n"/>
    </row>
    <row r="827" customFormat="1" s="145">
      <c r="A827" s="63">
        <f>CONCATENATE("报价人：",项目信息!$B$8)</f>
        <v/>
      </c>
      <c r="B827" s="63" t="n"/>
      <c r="C827" s="146" t="n"/>
      <c r="D827" s="146" t="n"/>
      <c r="E827" s="146" t="n"/>
      <c r="F827" s="146" t="n"/>
      <c r="G827" s="146" t="n"/>
      <c r="H827" s="163">
        <f>项目信息!$B$9</f>
        <v/>
      </c>
      <c r="Q827" s="144" t="n"/>
      <c r="R827" s="144" t="n"/>
      <c r="S827" s="144" t="n"/>
      <c r="T827" s="144" t="n"/>
      <c r="U827" s="144" t="n"/>
      <c r="X827" s="148" t="n"/>
    </row>
    <row r="828" customFormat="1" s="145">
      <c r="A828" s="5">
        <f>T(项目信息!$B$22)</f>
        <v/>
      </c>
      <c r="Q828" s="144" t="n"/>
      <c r="R828" s="144" t="n"/>
      <c r="S828" s="144" t="n"/>
      <c r="T828" s="144" t="n"/>
      <c r="U828" s="144" t="n"/>
      <c r="X828" s="145" t="n"/>
    </row>
    <row r="829" customFormat="1" s="145">
      <c r="A829" s="6">
        <f>T(项目信息!$B$23)</f>
        <v/>
      </c>
      <c r="Q829" s="144" t="n"/>
      <c r="R829" s="144" t="n"/>
      <c r="S829" s="144" t="n"/>
      <c r="T829" s="144" t="n"/>
      <c r="U829" s="144" t="n"/>
      <c r="X829" s="145" t="n"/>
    </row>
    <row r="830" customFormat="1" s="145">
      <c r="A830" s="68" t="inlineStr">
        <is>
          <t>成套产品报价明细表</t>
        </is>
      </c>
      <c r="B830" s="318" t="n"/>
      <c r="C830" s="318" t="n"/>
      <c r="D830" s="318" t="n"/>
      <c r="E830" s="318" t="n"/>
      <c r="F830" s="318" t="n"/>
      <c r="G830" s="318" t="n"/>
      <c r="H830" s="318" t="n"/>
      <c r="I830" s="318" t="n"/>
      <c r="Q830" s="144" t="n"/>
      <c r="R830" s="144" t="n"/>
      <c r="S830" s="144" t="n"/>
      <c r="T830" s="144" t="n"/>
      <c r="U830" s="144" t="n"/>
      <c r="X830" s="145" t="n"/>
    </row>
    <row r="831" customFormat="1" s="146">
      <c r="A831" s="69" t="inlineStr">
        <is>
          <t>柜号:</t>
        </is>
      </c>
      <c r="B831" s="70" t="inlineStr">
        <is>
          <t>4D8</t>
        </is>
      </c>
      <c r="C831" s="71" t="inlineStr">
        <is>
          <t>型号:</t>
        </is>
      </c>
      <c r="D831" s="70" t="inlineStr">
        <is>
          <t>Blokset</t>
        </is>
      </c>
      <c r="E831" s="319" t="n"/>
      <c r="F831" s="72" t="inlineStr">
        <is>
          <t>名称:</t>
        </is>
      </c>
      <c r="G831" s="70" t="inlineStr">
        <is>
          <t>出线柜</t>
        </is>
      </c>
      <c r="H831" s="319" t="n"/>
      <c r="I831" s="320" t="n"/>
      <c r="J831" s="116" t="inlineStr">
        <is>
          <t>箱柜尺寸:</t>
        </is>
      </c>
      <c r="K831" s="117" t="inlineStr">
        <is>
          <t>600W*1000D*2200H</t>
        </is>
      </c>
      <c r="L831" s="116" t="inlineStr">
        <is>
          <t>类别:</t>
        </is>
      </c>
      <c r="M831" s="117" t="n"/>
      <c r="N831" s="321" t="n"/>
      <c r="Q831" s="144" t="n"/>
      <c r="R831" s="144" t="n"/>
      <c r="S831" s="144" t="n"/>
      <c r="T831" s="144" t="n"/>
      <c r="U831" s="144" t="n"/>
      <c r="X831" s="146" t="n"/>
    </row>
    <row r="832" ht="20.1" customFormat="1" customHeight="1" s="145">
      <c r="A832" s="13" t="inlineStr">
        <is>
          <t>序号</t>
        </is>
      </c>
      <c r="B832" s="73" t="inlineStr">
        <is>
          <t>元件名称</t>
        </is>
      </c>
      <c r="C832" s="73" t="inlineStr">
        <is>
          <t>型号规格</t>
        </is>
      </c>
      <c r="D832" s="74" t="inlineStr">
        <is>
          <t>生产厂家</t>
        </is>
      </c>
      <c r="E832" s="15" t="inlineStr">
        <is>
          <t>单位</t>
        </is>
      </c>
      <c r="F832" s="15" t="inlineStr">
        <is>
          <t>数量</t>
        </is>
      </c>
      <c r="G832" s="287" t="inlineStr">
        <is>
          <t>单   价</t>
        </is>
      </c>
      <c r="H832" s="256" t="inlineStr">
        <is>
          <t>总   价</t>
        </is>
      </c>
      <c r="I832" s="119" t="inlineStr">
        <is>
          <t>备注</t>
        </is>
      </c>
      <c r="J832" s="322" t="inlineStr">
        <is>
          <t>成本单价</t>
        </is>
      </c>
      <c r="K832" s="322" t="inlineStr">
        <is>
          <t>成本总价</t>
        </is>
      </c>
      <c r="L832" s="121" t="inlineStr">
        <is>
          <t>报出
系数</t>
        </is>
      </c>
      <c r="M832" s="322" t="inlineStr">
        <is>
          <t>表价</t>
        </is>
      </c>
      <c r="N832" s="121" t="inlineStr">
        <is>
          <t>折扣
系数</t>
        </is>
      </c>
      <c r="O832" s="122" t="inlineStr">
        <is>
          <t>取费
系数</t>
        </is>
      </c>
      <c r="P832" s="322" t="inlineStr">
        <is>
          <t>成套费</t>
        </is>
      </c>
      <c r="Q832" s="147" t="inlineStr">
        <is>
          <t>类别</t>
        </is>
      </c>
      <c r="R832" s="147" t="inlineStr">
        <is>
          <t>物料编码</t>
        </is>
      </c>
      <c r="S832" s="147" t="inlineStr">
        <is>
          <t>产地</t>
        </is>
      </c>
      <c r="T832" s="147" t="inlineStr">
        <is>
          <t>加工费</t>
        </is>
      </c>
      <c r="U832" s="147" t="inlineStr">
        <is>
          <t>订货号</t>
        </is>
      </c>
      <c r="V832" s="147" t="inlineStr">
        <is>
          <t>人工</t>
        </is>
      </c>
      <c r="W832" s="147" t="inlineStr">
        <is>
          <t>辅料</t>
        </is>
      </c>
      <c r="X832" s="148" t="n"/>
    </row>
    <row r="833" customFormat="1" s="145">
      <c r="A833" s="36">
        <f>ROW()-ROW(A$832)</f>
        <v/>
      </c>
      <c r="B833" s="29" t="inlineStr">
        <is>
          <t>交流塑壳断路器</t>
        </is>
      </c>
      <c r="C833" s="25" t="inlineStr">
        <is>
          <t>NSX100N TMD 100 3P3D F</t>
        </is>
      </c>
      <c r="D833" s="29" t="inlineStr">
        <is>
          <t>甲供/施耐德电气</t>
        </is>
      </c>
      <c r="E833" s="30" t="inlineStr">
        <is>
          <t>只</t>
        </is>
      </c>
      <c r="F833" s="26" t="n">
        <v>1</v>
      </c>
      <c r="G833" s="293">
        <f>IF(AND(B833="",C833=""),"",ROUND(M833*L833*N833,2))</f>
        <v/>
      </c>
      <c r="H833" s="293">
        <f>IF(AND(B833="",C833=""),"",ROUND(F833*G833,2))</f>
        <v/>
      </c>
      <c r="I833" s="91" t="n"/>
      <c r="J833" s="329">
        <f>IF(AND(B833="",C833=""),"",ROUND(M833*N833,2))</f>
        <v/>
      </c>
      <c r="K833" s="330">
        <f>IF(AND(B833="",C833=""),"",ROUND(J833*F833,2))</f>
        <v/>
      </c>
      <c r="L833" s="126" t="n">
        <v>1</v>
      </c>
      <c r="M833" s="331" t="n">
        <v>1024.28</v>
      </c>
      <c r="N833" s="128" t="n">
        <v>0</v>
      </c>
      <c r="O833" s="129">
        <f t="array" ref="O833">IF(AND(B833="",C833=""),"",IF(G833&gt;=20000,0.05,IF(G833&gt;=10000,0.1,IF(G833&gt;=5000,0.2,IF(G833&gt;=1000,0.3,IF(G833&gt;=0,0.4,{0}))))))</f>
        <v/>
      </c>
      <c r="P833" s="332">
        <f>IF(AND(B833="",C833=""),"",ROUND(H833*O833,2))</f>
        <v/>
      </c>
      <c r="Q833" s="327" t="inlineStr">
        <is>
          <t>元件</t>
        </is>
      </c>
      <c r="R833" s="150" t="n"/>
      <c r="S833" s="150" t="n"/>
      <c r="T833" s="150" t="inlineStr">
        <is>
          <t>0</t>
        </is>
      </c>
      <c r="U833" s="150" t="inlineStr">
        <is>
          <t>C10N3TM100</t>
        </is>
      </c>
      <c r="V833" s="328" t="n"/>
      <c r="W833" s="328" t="n"/>
      <c r="X833" s="152" t="inlineStr">
        <is>
          <t>NSX160N TMD 160 3P3D F</t>
        </is>
      </c>
    </row>
    <row r="834" customFormat="1" s="145">
      <c r="A834" s="36">
        <f>ROW()-ROW(A$832)</f>
        <v/>
      </c>
      <c r="B834" s="29" t="inlineStr">
        <is>
          <t>交流塑壳断路器</t>
        </is>
      </c>
      <c r="C834" s="25" t="inlineStr">
        <is>
          <t>NSX250N MA 220 3P3D F</t>
        </is>
      </c>
      <c r="D834" s="29" t="inlineStr">
        <is>
          <t>甲供/施耐德电气</t>
        </is>
      </c>
      <c r="E834" s="30" t="inlineStr">
        <is>
          <t>只</t>
        </is>
      </c>
      <c r="F834" s="26" t="n">
        <v>1</v>
      </c>
      <c r="G834" s="293">
        <f>IF(AND(B834="",C834=""),"",ROUND(M834*L834*N834,2))</f>
        <v/>
      </c>
      <c r="H834" s="293">
        <f>IF(AND(B834="",C834=""),"",ROUND(F834*G834,2))</f>
        <v/>
      </c>
      <c r="I834" s="91" t="n"/>
      <c r="J834" s="329">
        <f>IF(AND(B834="",C834=""),"",ROUND(M834*N834,2))</f>
        <v/>
      </c>
      <c r="K834" s="330">
        <f>IF(AND(B834="",C834=""),"",ROUND(J834*F834,2))</f>
        <v/>
      </c>
      <c r="L834" s="126" t="n">
        <v>1</v>
      </c>
      <c r="M834" s="331" t="n">
        <v>2020.88</v>
      </c>
      <c r="N834" s="128" t="n">
        <v>0</v>
      </c>
      <c r="O834" s="129">
        <f t="array" ref="O834">IF(AND(B834="",C834=""),"",IF(G834&gt;=20000,0.05,IF(G834&gt;=10000,0.1,IF(G834&gt;=5000,0.2,IF(G834&gt;=1000,0.3,IF(G834&gt;=0,0.4,{0}))))))</f>
        <v/>
      </c>
      <c r="P834" s="332">
        <f>IF(AND(B834="",C834=""),"",ROUND(H834*O834,2))</f>
        <v/>
      </c>
      <c r="Q834" s="327" t="inlineStr">
        <is>
          <t>元件</t>
        </is>
      </c>
      <c r="R834" s="150" t="n"/>
      <c r="S834" s="150" t="n"/>
      <c r="T834" s="150" t="inlineStr">
        <is>
          <t>0</t>
        </is>
      </c>
      <c r="U834" s="150" t="inlineStr">
        <is>
          <t>C25N3MA220</t>
        </is>
      </c>
      <c r="V834" s="328" t="n"/>
      <c r="W834" s="328" t="n"/>
      <c r="X834" s="152" t="n"/>
    </row>
    <row r="835" customFormat="1" s="145">
      <c r="A835" s="36">
        <f>ROW()-ROW(A$832)</f>
        <v/>
      </c>
      <c r="B835" s="29" t="inlineStr">
        <is>
          <t>交流塑壳断路器</t>
        </is>
      </c>
      <c r="C835" s="25" t="inlineStr">
        <is>
          <t>NSX250N TMD 250 3P3D F</t>
        </is>
      </c>
      <c r="D835" s="29" t="inlineStr">
        <is>
          <t>甲供/施耐德电气</t>
        </is>
      </c>
      <c r="E835" s="30" t="inlineStr">
        <is>
          <t>只</t>
        </is>
      </c>
      <c r="F835" s="26" t="n">
        <v>1</v>
      </c>
      <c r="G835" s="293">
        <f>IF(AND(B835="",C835=""),"",ROUND(M835*L835*N835,2))</f>
        <v/>
      </c>
      <c r="H835" s="293">
        <f>IF(AND(B835="",C835=""),"",ROUND(F835*G835,2))</f>
        <v/>
      </c>
      <c r="I835" s="91" t="n"/>
      <c r="J835" s="329">
        <f>IF(AND(B835="",C835=""),"",ROUND(M835*N835,2))</f>
        <v/>
      </c>
      <c r="K835" s="330">
        <f>IF(AND(B835="",C835=""),"",ROUND(J835*F835,2))</f>
        <v/>
      </c>
      <c r="L835" s="126" t="n">
        <v>1</v>
      </c>
      <c r="M835" s="331" t="n">
        <v>2315.28</v>
      </c>
      <c r="N835" s="128" t="n">
        <v>0</v>
      </c>
      <c r="O835" s="129">
        <f t="array" ref="O835">IF(AND(B835="",C835=""),"",IF(G835&gt;=20000,0.05,IF(G835&gt;=10000,0.1,IF(G835&gt;=5000,0.2,IF(G835&gt;=1000,0.3,IF(G835&gt;=0,0.4,{0}))))))</f>
        <v/>
      </c>
      <c r="P835" s="332">
        <f>IF(AND(B835="",C835=""),"",ROUND(H835*O835,2))</f>
        <v/>
      </c>
      <c r="Q835" s="327" t="inlineStr">
        <is>
          <t>元件</t>
        </is>
      </c>
      <c r="R835" s="150" t="n"/>
      <c r="S835" s="150" t="n"/>
      <c r="T835" s="150" t="inlineStr">
        <is>
          <t>0</t>
        </is>
      </c>
      <c r="U835" s="150" t="inlineStr">
        <is>
          <t>C25N3TM250</t>
        </is>
      </c>
      <c r="V835" s="328" t="n"/>
      <c r="W835" s="328" t="n"/>
      <c r="X835" s="152" t="n"/>
    </row>
    <row r="836" customFormat="1" s="145">
      <c r="A836" s="36">
        <f>ROW()-ROW(A$832)</f>
        <v/>
      </c>
      <c r="B836" s="29" t="inlineStr">
        <is>
          <t>交流塑壳断路器</t>
        </is>
      </c>
      <c r="C836" s="25" t="inlineStr">
        <is>
          <t>NSX400N MIC 2.3 400 3P F</t>
        </is>
      </c>
      <c r="D836" s="29" t="inlineStr">
        <is>
          <t>甲供/施耐德电气</t>
        </is>
      </c>
      <c r="E836" s="30" t="inlineStr">
        <is>
          <t>只</t>
        </is>
      </c>
      <c r="F836" s="26" t="n">
        <v>2</v>
      </c>
      <c r="G836" s="293">
        <f>IF(AND(B836="",C836=""),"",ROUND(M836*L836*N836,2))</f>
        <v/>
      </c>
      <c r="H836" s="293">
        <f>IF(AND(B836="",C836=""),"",ROUND(F836*G836,2))</f>
        <v/>
      </c>
      <c r="I836" s="91" t="n"/>
      <c r="J836" s="329">
        <f>IF(AND(B836="",C836=""),"",ROUND(M836*N836,2))</f>
        <v/>
      </c>
      <c r="K836" s="330">
        <f>IF(AND(B836="",C836=""),"",ROUND(J836*F836,2))</f>
        <v/>
      </c>
      <c r="L836" s="126" t="n">
        <v>1</v>
      </c>
      <c r="M836" s="331" t="n">
        <v>3474.03</v>
      </c>
      <c r="N836" s="128" t="n">
        <v>0</v>
      </c>
      <c r="O836" s="129">
        <f t="array" ref="O836">IF(AND(B836="",C836=""),"",IF(G836&gt;=20000,0.05,IF(G836&gt;=10000,0.1,IF(G836&gt;=5000,0.2,IF(G836&gt;=1000,0.3,IF(G836&gt;=0,0.4,{0}))))))</f>
        <v/>
      </c>
      <c r="P836" s="332">
        <f>IF(AND(B836="",C836=""),"",ROUND(H836*O836,2))</f>
        <v/>
      </c>
      <c r="Q836" s="327" t="inlineStr">
        <is>
          <t>元件</t>
        </is>
      </c>
      <c r="R836" s="150" t="n"/>
      <c r="S836" s="150" t="n"/>
      <c r="T836" s="150" t="inlineStr">
        <is>
          <t>0</t>
        </is>
      </c>
      <c r="U836" s="150" t="inlineStr">
        <is>
          <t>C40N32D400</t>
        </is>
      </c>
      <c r="V836" s="328" t="n"/>
      <c r="W836" s="328" t="n"/>
      <c r="X836" s="152" t="inlineStr">
        <is>
          <t>NSX630N TMD 630 3P3D F→NSX630N MIC 2.3 630 3P F</t>
        </is>
      </c>
    </row>
    <row r="837" customFormat="1" s="145">
      <c r="A837" s="36">
        <f>ROW()-ROW(A$832)</f>
        <v/>
      </c>
      <c r="B837" s="29" t="inlineStr">
        <is>
          <t>交流塑壳断路器</t>
        </is>
      </c>
      <c r="C837" s="25" t="inlineStr">
        <is>
          <t>NSX630N MIC 2.3 630 3P F</t>
        </is>
      </c>
      <c r="D837" s="29" t="inlineStr">
        <is>
          <t>甲供/施耐德电气</t>
        </is>
      </c>
      <c r="E837" s="30" t="inlineStr">
        <is>
          <t>只</t>
        </is>
      </c>
      <c r="F837" s="26" t="n">
        <v>1</v>
      </c>
      <c r="G837" s="293">
        <f>IF(AND(B837="",C837=""),"",ROUND(M837*L837*N837,2))</f>
        <v/>
      </c>
      <c r="H837" s="293">
        <f>IF(AND(B837="",C837=""),"",ROUND(F837*G837,2))</f>
        <v/>
      </c>
      <c r="I837" s="91" t="n"/>
      <c r="J837" s="329">
        <f>IF(AND(B837="",C837=""),"",ROUND(M837*N837,2))</f>
        <v/>
      </c>
      <c r="K837" s="330">
        <f>IF(AND(B837="",C837=""),"",ROUND(J837*F837,2))</f>
        <v/>
      </c>
      <c r="L837" s="126" t="n">
        <v>1</v>
      </c>
      <c r="M837" s="331" t="n">
        <v>5950.31</v>
      </c>
      <c r="N837" s="128" t="n">
        <v>0</v>
      </c>
      <c r="O837" s="129">
        <f t="array" ref="O837">IF(AND(B837="",C837=""),"",IF(G837&gt;=20000,0.05,IF(G837&gt;=10000,0.1,IF(G837&gt;=5000,0.2,IF(G837&gt;=1000,0.3,IF(G837&gt;=0,0.4,{0}))))))</f>
        <v/>
      </c>
      <c r="P837" s="332">
        <f>IF(AND(B837="",C837=""),"",ROUND(H837*O837,2))</f>
        <v/>
      </c>
      <c r="Q837" s="327" t="inlineStr">
        <is>
          <t>元件</t>
        </is>
      </c>
      <c r="R837" s="150" t="n"/>
      <c r="S837" s="150" t="n"/>
      <c r="T837" s="150" t="inlineStr">
        <is>
          <t>0</t>
        </is>
      </c>
      <c r="U837" s="150" t="inlineStr">
        <is>
          <t>C63N32D630</t>
        </is>
      </c>
      <c r="V837" s="328" t="n"/>
      <c r="W837" s="328" t="n"/>
      <c r="X837" s="152" t="n"/>
    </row>
    <row r="838" customFormat="1" s="145">
      <c r="A838" s="36">
        <f>ROW()-ROW(A$832)</f>
        <v/>
      </c>
      <c r="B838" s="29" t="inlineStr">
        <is>
          <t>新外观延伸旋转手柄</t>
        </is>
      </c>
      <c r="C838" s="29" t="inlineStr">
        <is>
          <t>标准延伸旋转手柄/新外观延伸旋转手柄 100/160/250A</t>
        </is>
      </c>
      <c r="D838" s="29" t="inlineStr">
        <is>
          <t>甲供/施耐德电气</t>
        </is>
      </c>
      <c r="E838" s="30" t="inlineStr">
        <is>
          <t>只</t>
        </is>
      </c>
      <c r="F838" s="30" t="n">
        <v>3</v>
      </c>
      <c r="G838" s="297">
        <f>IF(AND(B838="",C838=""),"",ROUND(M838*L838*N838,2))</f>
        <v/>
      </c>
      <c r="H838" s="293">
        <f>IF(AND(B838="",C838=""),"",ROUND(F838*G838,2))</f>
        <v/>
      </c>
      <c r="I838" s="91" t="n"/>
      <c r="J838" s="329">
        <f>IF(AND(B838="",C838=""),"",ROUND(M838*N838,2))</f>
        <v/>
      </c>
      <c r="K838" s="330">
        <f>IF(AND(B838="",C838=""),"",ROUND(J838*F838,2))</f>
        <v/>
      </c>
      <c r="L838" s="126" t="n">
        <v>1</v>
      </c>
      <c r="M838" s="331" t="n">
        <v>189.75</v>
      </c>
      <c r="N838" s="128" t="n">
        <v>0</v>
      </c>
      <c r="O838" s="129">
        <f t="array" ref="O838">IF(AND(B838="",C838=""),"",IF(G838&gt;=20000,0.05,IF(G838&gt;=10000,0.1,IF(G838&gt;=5000,0.2,IF(G838&gt;=1000,0.3,IF(G838&gt;=0,0.4,{0}))))))</f>
        <v/>
      </c>
      <c r="P838" s="332">
        <f>IF(AND(B838="",C838=""),"",ROUND(H838*O838,2))</f>
        <v/>
      </c>
      <c r="Q838" s="327" t="inlineStr">
        <is>
          <t>元件</t>
        </is>
      </c>
      <c r="R838" s="150" t="n"/>
      <c r="S838" s="150" t="n"/>
      <c r="T838" s="150" t="inlineStr">
        <is>
          <t>0</t>
        </is>
      </c>
      <c r="U838" s="150" t="inlineStr">
        <is>
          <t>LV429338T</t>
        </is>
      </c>
      <c r="V838" s="328" t="n"/>
      <c r="W838" s="328" t="n"/>
      <c r="X838" s="152" t="n"/>
    </row>
    <row r="839" customFormat="1" s="145">
      <c r="A839" s="36">
        <f>ROW()-ROW(A$832)</f>
        <v/>
      </c>
      <c r="B839" s="29" t="inlineStr">
        <is>
          <t>新外观延伸旋转手柄</t>
        </is>
      </c>
      <c r="C839" s="29" t="inlineStr">
        <is>
          <t>标准延伸旋转手柄/新外观延伸旋转手柄 400/630A</t>
        </is>
      </c>
      <c r="D839" s="29" t="inlineStr">
        <is>
          <t>甲供/施耐德电气</t>
        </is>
      </c>
      <c r="E839" s="30" t="inlineStr">
        <is>
          <t>只</t>
        </is>
      </c>
      <c r="F839" s="30" t="n">
        <v>3</v>
      </c>
      <c r="G839" s="297">
        <f>IF(AND(B839="",C839=""),"",ROUND(M839*L839*N839,2))</f>
        <v/>
      </c>
      <c r="H839" s="297">
        <f>IF(AND(B839="",C839=""),"",ROUND(F839*G839,2))</f>
        <v/>
      </c>
      <c r="I839" s="135" t="n"/>
      <c r="J839" s="329">
        <f>IF(AND(B839="",C839=""),"",ROUND(M839*N839,2))</f>
        <v/>
      </c>
      <c r="K839" s="330">
        <f>IF(AND(B839="",C839=""),"",ROUND(J839*F839,2))</f>
        <v/>
      </c>
      <c r="L839" s="126" t="n">
        <v>1</v>
      </c>
      <c r="M839" s="331" t="n">
        <v>270.62</v>
      </c>
      <c r="N839" s="128" t="n">
        <v>0</v>
      </c>
      <c r="O839" s="129">
        <f t="array" ref="O839">IF(AND(B839="",C839=""),"",IF(G839&gt;=20000,0.05,IF(G839&gt;=10000,0.1,IF(G839&gt;=5000,0.2,IF(G839&gt;=1000,0.3,IF(G839&gt;=0,0.4,{0}))))))</f>
        <v/>
      </c>
      <c r="P839" s="332">
        <f>IF(AND(B839="",C839=""),"",ROUND(H839*O839,2))</f>
        <v/>
      </c>
      <c r="Q839" s="327" t="inlineStr">
        <is>
          <t>元件</t>
        </is>
      </c>
      <c r="R839" s="150" t="n"/>
      <c r="S839" s="150" t="n"/>
      <c r="T839" s="150" t="inlineStr">
        <is>
          <t>0</t>
        </is>
      </c>
      <c r="U839" s="150" t="inlineStr">
        <is>
          <t>LV432598T</t>
        </is>
      </c>
      <c r="V839" s="328" t="n"/>
      <c r="W839" s="328" t="n"/>
      <c r="X839" s="152" t="n"/>
    </row>
    <row r="840" customFormat="1" s="145">
      <c r="A840" s="36">
        <f>ROW()-ROW(A$832)</f>
        <v/>
      </c>
      <c r="B840" s="29" t="inlineStr">
        <is>
          <t>MX分励脱扣器</t>
        </is>
      </c>
      <c r="C840" s="29" t="inlineStr">
        <is>
          <t>MX分励AC220-240V/208-277V/100-630A</t>
        </is>
      </c>
      <c r="D840" s="29" t="inlineStr">
        <is>
          <t>甲供/施耐德电气</t>
        </is>
      </c>
      <c r="E840" s="30" t="inlineStr">
        <is>
          <t>只</t>
        </is>
      </c>
      <c r="F840" s="30" t="n">
        <v>6</v>
      </c>
      <c r="G840" s="297">
        <f>IF(AND(B840="",C840=""),"",ROUND(M840*L840*N840,2))</f>
        <v/>
      </c>
      <c r="H840" s="297">
        <f>IF(AND(B840="",C840=""),"",ROUND(F840*G840,2))</f>
        <v/>
      </c>
      <c r="I840" s="135" t="n"/>
      <c r="J840" s="329">
        <f>IF(AND(B840="",C840=""),"",ROUND(M840*N840,2))</f>
        <v/>
      </c>
      <c r="K840" s="330">
        <f>IF(AND(B840="",C840=""),"",ROUND(J840*F840,2))</f>
        <v/>
      </c>
      <c r="L840" s="126" t="n">
        <v>1</v>
      </c>
      <c r="M840" s="331" t="n">
        <v>314.03</v>
      </c>
      <c r="N840" s="128" t="n">
        <v>0</v>
      </c>
      <c r="O840" s="129">
        <f t="array" ref="O840">IF(AND(B840="",C840=""),"",IF(G840&gt;=20000,0.05,IF(G840&gt;=10000,0.1,IF(G840&gt;=5000,0.2,IF(G840&gt;=1000,0.3,IF(G840&gt;=0,0.4,{0}))))))</f>
        <v/>
      </c>
      <c r="P840" s="332">
        <f>IF(AND(B840="",C840=""),"",ROUND(H840*O840,2))</f>
        <v/>
      </c>
      <c r="Q840" s="327" t="inlineStr">
        <is>
          <t>元件</t>
        </is>
      </c>
      <c r="R840" s="150" t="n"/>
      <c r="S840" s="150" t="n"/>
      <c r="T840" s="150" t="inlineStr">
        <is>
          <t>0</t>
        </is>
      </c>
      <c r="U840" s="150" t="inlineStr">
        <is>
          <t>LV429387</t>
        </is>
      </c>
      <c r="V840" s="328" t="n"/>
      <c r="W840" s="328" t="n"/>
      <c r="X840" s="152" t="n"/>
    </row>
    <row r="841" customFormat="1" s="145">
      <c r="A841" s="36">
        <f>ROW()-ROW(A$832)</f>
        <v/>
      </c>
      <c r="B841" s="29" t="inlineStr">
        <is>
          <t>辅助触点OF</t>
        </is>
      </c>
      <c r="C841" s="25" t="inlineStr">
        <is>
          <t>OF</t>
        </is>
      </c>
      <c r="D841" s="29" t="inlineStr">
        <is>
          <t>甲供/施耐德电气</t>
        </is>
      </c>
      <c r="E841" s="30" t="inlineStr">
        <is>
          <t>只</t>
        </is>
      </c>
      <c r="F841" s="30" t="n">
        <v>12</v>
      </c>
      <c r="G841" s="297">
        <f>IF(AND(B841="",C841=""),"",ROUND(M841*L841*N841,2))</f>
        <v/>
      </c>
      <c r="H841" s="297">
        <f>IF(AND(B841="",C841=""),"",ROUND(F841*G841,2))</f>
        <v/>
      </c>
      <c r="I841" s="135" t="n"/>
      <c r="J841" s="329">
        <f>IF(AND(B841="",C841=""),"",ROUND(M841*N841,2))</f>
        <v/>
      </c>
      <c r="K841" s="330">
        <f>IF(AND(B841="",C841=""),"",ROUND(J841*F841,2))</f>
        <v/>
      </c>
      <c r="L841" s="126" t="n">
        <v>1</v>
      </c>
      <c r="M841" s="331" t="n">
        <v>174.01</v>
      </c>
      <c r="N841" s="128" t="n">
        <v>0</v>
      </c>
      <c r="O841" s="129">
        <f t="array" ref="O841">IF(AND(B841="",C841=""),"",IF(G841&gt;=20000,0.05,IF(G841&gt;=10000,0.1,IF(G841&gt;=5000,0.2,IF(G841&gt;=1000,0.3,IF(G841&gt;=0,0.4,{0}))))))</f>
        <v/>
      </c>
      <c r="P841" s="332">
        <f>IF(AND(B841="",C841=""),"",ROUND(H841*O841,2))</f>
        <v/>
      </c>
      <c r="Q841" s="327" t="inlineStr">
        <is>
          <t>元件</t>
        </is>
      </c>
      <c r="R841" s="150" t="n"/>
      <c r="S841" s="150" t="n"/>
      <c r="T841" s="150" t="inlineStr">
        <is>
          <t>0</t>
        </is>
      </c>
      <c r="U841" s="150" t="inlineStr">
        <is>
          <t>29450</t>
        </is>
      </c>
      <c r="V841" s="328" t="n"/>
      <c r="W841" s="328" t="n"/>
      <c r="X841" s="152" t="n"/>
    </row>
    <row r="842" customFormat="1" s="145">
      <c r="A842" s="36">
        <f>ROW()-ROW(A$832)</f>
        <v/>
      </c>
      <c r="B842" s="29" t="inlineStr">
        <is>
          <t>热过载继电器</t>
        </is>
      </c>
      <c r="C842" s="29" t="inlineStr">
        <is>
          <t>LRD05C+LAD7B106C</t>
        </is>
      </c>
      <c r="D842" s="29" t="inlineStr">
        <is>
          <t>甲供/施耐德电气</t>
        </is>
      </c>
      <c r="E842" s="30" t="inlineStr">
        <is>
          <t>只</t>
        </is>
      </c>
      <c r="F842" s="30" t="n">
        <v>1</v>
      </c>
      <c r="G842" s="297">
        <f>IF(AND(B842="",C842=""),"",ROUND(M842*L842*N842,2))</f>
        <v/>
      </c>
      <c r="H842" s="297">
        <f>IF(AND(B842="",C842=""),"",ROUND(F842*G842,2))</f>
        <v/>
      </c>
      <c r="I842" s="135" t="n"/>
      <c r="J842" s="329">
        <f>IF(AND(B842="",C842=""),"",ROUND(M842*N842,2))</f>
        <v/>
      </c>
      <c r="K842" s="330">
        <f>IF(AND(B842="",C842=""),"",ROUND(J842*F842,2))</f>
        <v/>
      </c>
      <c r="L842" s="126" t="n">
        <v>1</v>
      </c>
      <c r="M842" s="331" t="n">
        <v>161.66</v>
      </c>
      <c r="N842" s="128" t="n">
        <v>0</v>
      </c>
      <c r="O842" s="129">
        <f t="array" ref="O842">IF(AND(B842="",C842=""),"",IF(G842&gt;=20000,0.05,IF(G842&gt;=10000,0.1,IF(G842&gt;=5000,0.2,IF(G842&gt;=1000,0.3,IF(G842&gt;=0,0.4,{0}))))))</f>
        <v/>
      </c>
      <c r="P842" s="332">
        <f>IF(AND(B842="",C842=""),"",ROUND(H842*O842,2))</f>
        <v/>
      </c>
      <c r="Q842" s="327" t="inlineStr">
        <is>
          <t>元件</t>
        </is>
      </c>
      <c r="R842" s="150" t="n"/>
      <c r="S842" s="150" t="n"/>
      <c r="T842" s="150" t="inlineStr">
        <is>
          <t>0</t>
        </is>
      </c>
      <c r="U842" s="150" t="inlineStr">
        <is>
          <t>LRD05C+LAD7B106C</t>
        </is>
      </c>
      <c r="V842" s="328" t="n"/>
      <c r="W842" s="328" t="n"/>
      <c r="X842" s="152" t="n"/>
    </row>
    <row r="843" customFormat="1" s="145">
      <c r="A843" s="36">
        <f>ROW()-ROW(A$832)</f>
        <v/>
      </c>
      <c r="B843" s="29" t="inlineStr">
        <is>
          <t>测量电流互感器</t>
        </is>
      </c>
      <c r="C843" s="29" t="inlineStr">
        <is>
          <t>SD-0.66-M8 100/5A</t>
        </is>
      </c>
      <c r="D843" s="29" t="inlineStr">
        <is>
          <t>杭州桑迪</t>
        </is>
      </c>
      <c r="E843" s="30" t="inlineStr">
        <is>
          <t>只</t>
        </is>
      </c>
      <c r="F843" s="30" t="n">
        <v>3</v>
      </c>
      <c r="G843" s="297">
        <f>IF(AND(B843="",C843=""),"",ROUND(M843*L843*N843,2))</f>
        <v/>
      </c>
      <c r="H843" s="297">
        <f>IF(AND(B843="",C843=""),"",ROUND(F843*G843,2))</f>
        <v/>
      </c>
      <c r="I843" s="135" t="n"/>
      <c r="J843" s="329">
        <f>IF(AND(B843="",C843=""),"",ROUND(M843*N843,2))</f>
        <v/>
      </c>
      <c r="K843" s="330">
        <f>IF(AND(B843="",C843=""),"",ROUND(J843*F843,2))</f>
        <v/>
      </c>
      <c r="L843" s="126" t="n">
        <v>1</v>
      </c>
      <c r="M843" s="331" t="n">
        <v>61.75</v>
      </c>
      <c r="N843" s="128" t="n">
        <v>1</v>
      </c>
      <c r="O843" s="129">
        <f t="array" ref="O843">IF(AND(B843="",C843=""),"",IF(G843&gt;=20000,0.05,IF(G843&gt;=10000,0.1,IF(G843&gt;=5000,0.2,IF(G843&gt;=1000,0.3,IF(G843&gt;=0,0.4,{0}))))))</f>
        <v/>
      </c>
      <c r="P843" s="332">
        <f>IF(AND(B843="",C843=""),"",ROUND(H843*O843,2))</f>
        <v/>
      </c>
      <c r="Q843" s="327" t="inlineStr">
        <is>
          <t>元件</t>
        </is>
      </c>
      <c r="R843" s="150" t="n"/>
      <c r="S843" s="150" t="n"/>
      <c r="T843" s="150" t="inlineStr">
        <is>
          <t>0</t>
        </is>
      </c>
      <c r="U843" s="150" t="n"/>
      <c r="V843" s="328" t="n"/>
      <c r="W843" s="328" t="n"/>
      <c r="X843" s="152" t="n"/>
    </row>
    <row r="844" customFormat="1" s="145">
      <c r="A844" s="36">
        <f>ROW()-ROW(A$832)</f>
        <v/>
      </c>
      <c r="B844" s="29" t="inlineStr">
        <is>
          <t>测量电流互感器</t>
        </is>
      </c>
      <c r="C844" s="29" t="inlineStr">
        <is>
          <t>SD-0.66-30I 250/5A</t>
        </is>
      </c>
      <c r="D844" s="29" t="inlineStr">
        <is>
          <t>杭州桑迪</t>
        </is>
      </c>
      <c r="E844" s="30" t="inlineStr">
        <is>
          <t>只</t>
        </is>
      </c>
      <c r="F844" s="30" t="n">
        <v>6</v>
      </c>
      <c r="G844" s="297">
        <f>IF(AND(B844="",C844=""),"",ROUND(M844*L844*N844,2))</f>
        <v/>
      </c>
      <c r="H844" s="297">
        <f>IF(AND(B844="",C844=""),"",ROUND(F844*G844,2))</f>
        <v/>
      </c>
      <c r="I844" s="135" t="n"/>
      <c r="J844" s="329">
        <f>IF(AND(B844="",C844=""),"",ROUND(M844*N844,2))</f>
        <v/>
      </c>
      <c r="K844" s="330">
        <f>IF(AND(B844="",C844=""),"",ROUND(J844*F844,2))</f>
        <v/>
      </c>
      <c r="L844" s="126" t="n">
        <v>1</v>
      </c>
      <c r="M844" s="331" t="n">
        <v>26.65</v>
      </c>
      <c r="N844" s="128" t="n">
        <v>1</v>
      </c>
      <c r="O844" s="129">
        <f t="array" ref="O844">IF(AND(B844="",C844=""),"",IF(G844&gt;=20000,0.05,IF(G844&gt;=10000,0.1,IF(G844&gt;=5000,0.2,IF(G844&gt;=1000,0.3,IF(G844&gt;=0,0.4,{0}))))))</f>
        <v/>
      </c>
      <c r="P844" s="332">
        <f>IF(AND(B844="",C844=""),"",ROUND(H844*O844,2))</f>
        <v/>
      </c>
      <c r="Q844" s="327" t="inlineStr">
        <is>
          <t>元件</t>
        </is>
      </c>
      <c r="R844" s="150" t="n"/>
      <c r="S844" s="150" t="n"/>
      <c r="T844" s="150" t="inlineStr">
        <is>
          <t>0</t>
        </is>
      </c>
      <c r="U844" s="150" t="n"/>
      <c r="V844" s="328" t="n"/>
      <c r="W844" s="328" t="n"/>
      <c r="X844" s="152" t="n"/>
    </row>
    <row r="845" customFormat="1" s="145">
      <c r="A845" s="36">
        <f>ROW()-ROW(A$832)</f>
        <v/>
      </c>
      <c r="B845" s="29" t="inlineStr">
        <is>
          <t>测量电流互感器</t>
        </is>
      </c>
      <c r="C845" s="29" t="inlineStr">
        <is>
          <t>SD-0.66-40II-C 400/5A</t>
        </is>
      </c>
      <c r="D845" s="29" t="inlineStr">
        <is>
          <t>杭州桑迪</t>
        </is>
      </c>
      <c r="E845" s="30" t="inlineStr">
        <is>
          <t>只</t>
        </is>
      </c>
      <c r="F845" s="30" t="n">
        <v>6</v>
      </c>
      <c r="G845" s="297">
        <f>IF(AND(B845="",C845=""),"",ROUND(M845*L845*N845,2))</f>
        <v/>
      </c>
      <c r="H845" s="297">
        <f>IF(AND(B845="",C845=""),"",ROUND(F845*G845,2))</f>
        <v/>
      </c>
      <c r="I845" s="135" t="n"/>
      <c r="J845" s="329">
        <f>IF(AND(B845="",C845=""),"",ROUND(M845*N845,2))</f>
        <v/>
      </c>
      <c r="K845" s="330">
        <f>IF(AND(B845="",C845=""),"",ROUND(J845*F845,2))</f>
        <v/>
      </c>
      <c r="L845" s="126" t="n">
        <v>1</v>
      </c>
      <c r="M845" s="331" t="n">
        <v>52</v>
      </c>
      <c r="N845" s="128" t="n">
        <v>1</v>
      </c>
      <c r="O845" s="129">
        <f t="array" ref="O845">IF(AND(B845="",C845=""),"",IF(G845&gt;=20000,0.05,IF(G845&gt;=10000,0.1,IF(G845&gt;=5000,0.2,IF(G845&gt;=1000,0.3,IF(G845&gt;=0,0.4,{0}))))))</f>
        <v/>
      </c>
      <c r="P845" s="332">
        <f>IF(AND(B845="",C845=""),"",ROUND(H845*O845,2))</f>
        <v/>
      </c>
      <c r="Q845" s="327" t="inlineStr">
        <is>
          <t>元件</t>
        </is>
      </c>
      <c r="R845" s="150" t="n"/>
      <c r="S845" s="150" t="n"/>
      <c r="T845" s="150" t="inlineStr">
        <is>
          <t>0</t>
        </is>
      </c>
      <c r="U845" s="150" t="n"/>
      <c r="V845" s="328" t="n"/>
      <c r="W845" s="328" t="n"/>
      <c r="X845" s="152" t="n"/>
    </row>
    <row r="846" customFormat="1" s="145">
      <c r="A846" s="36">
        <f>ROW()-ROW(A$832)</f>
        <v/>
      </c>
      <c r="B846" s="29" t="inlineStr">
        <is>
          <t>测量电流互感器</t>
        </is>
      </c>
      <c r="C846" s="29" t="inlineStr">
        <is>
          <t>SD-0.66-60II-C 600/5A</t>
        </is>
      </c>
      <c r="D846" s="29" t="inlineStr">
        <is>
          <t>杭州桑迪</t>
        </is>
      </c>
      <c r="E846" s="30" t="inlineStr">
        <is>
          <t>只</t>
        </is>
      </c>
      <c r="F846" s="30" t="n">
        <v>3</v>
      </c>
      <c r="G846" s="297">
        <f>IF(AND(B846="",C846=""),"",ROUND(M846*L846*N846,2))</f>
        <v/>
      </c>
      <c r="H846" s="297">
        <f>IF(AND(B846="",C846=""),"",ROUND(F846*G846,2))</f>
        <v/>
      </c>
      <c r="I846" s="135" t="n"/>
      <c r="J846" s="329">
        <f>IF(AND(B846="",C846=""),"",ROUND(M846*N846,2))</f>
        <v/>
      </c>
      <c r="K846" s="330">
        <f>IF(AND(B846="",C846=""),"",ROUND(J846*F846,2))</f>
        <v/>
      </c>
      <c r="L846" s="126" t="n">
        <v>1</v>
      </c>
      <c r="M846" s="331" t="n">
        <v>76.7</v>
      </c>
      <c r="N846" s="128" t="n">
        <v>1</v>
      </c>
      <c r="O846" s="129">
        <f t="array" ref="O846">IF(AND(B846="",C846=""),"",IF(G846&gt;=20000,0.05,IF(G846&gt;=10000,0.1,IF(G846&gt;=5000,0.2,IF(G846&gt;=1000,0.3,IF(G846&gt;=0,0.4,{0}))))))</f>
        <v/>
      </c>
      <c r="P846" s="332">
        <f>IF(AND(B846="",C846=""),"",ROUND(H846*O846,2))</f>
        <v/>
      </c>
      <c r="Q846" s="327" t="inlineStr">
        <is>
          <t>元件</t>
        </is>
      </c>
      <c r="R846" s="150" t="n"/>
      <c r="S846" s="150" t="n"/>
      <c r="T846" s="150" t="inlineStr">
        <is>
          <t>0</t>
        </is>
      </c>
      <c r="U846" s="150" t="n"/>
      <c r="V846" s="328" t="n"/>
      <c r="W846" s="328" t="n"/>
      <c r="X846" s="152" t="n"/>
    </row>
    <row r="847" customFormat="1" s="145">
      <c r="A847" s="36">
        <f>ROW()-ROW(A$832)</f>
        <v/>
      </c>
      <c r="B847" s="25" t="inlineStr">
        <is>
          <t>多功能表</t>
        </is>
      </c>
      <c r="C847" s="25" t="inlineStr">
        <is>
          <t>PM4101</t>
        </is>
      </c>
      <c r="D847" s="25" t="inlineStr">
        <is>
          <t>甲供/施耐德电气</t>
        </is>
      </c>
      <c r="E847" s="30" t="inlineStr">
        <is>
          <t>只</t>
        </is>
      </c>
      <c r="F847" s="26" t="n">
        <v>6</v>
      </c>
      <c r="G847" s="293">
        <f>IF(AND(B847="",C847=""),"",ROUND(M847*L847*N847,2))</f>
        <v/>
      </c>
      <c r="H847" s="293">
        <f>IF(AND(B847="",C847=""),"",ROUND(F847*G847,2))</f>
        <v/>
      </c>
      <c r="I847" s="91" t="n"/>
      <c r="J847" s="329">
        <f>IF(AND(B847="",C847=""),"",ROUND(M847*N847,2))</f>
        <v/>
      </c>
      <c r="K847" s="330">
        <f>IF(AND(B847="",C847=""),"",ROUND(J847*F847,2))</f>
        <v/>
      </c>
      <c r="L847" s="126" t="n">
        <v>1</v>
      </c>
      <c r="M847" s="331" t="n">
        <v>1e-07</v>
      </c>
      <c r="N847" s="128" t="n">
        <v>0</v>
      </c>
      <c r="O847" s="129">
        <f t="array" ref="O847">IF(AND(B847="",C847=""),"",IF(G847&gt;=20000,0.05,IF(G847&gt;=10000,0.1,IF(G847&gt;=5000,0.2,IF(G847&gt;=1000,0.3,IF(G847&gt;=0,0.4,{0}))))))</f>
        <v/>
      </c>
      <c r="P847" s="332">
        <f>IF(AND(B847="",C847=""),"",ROUND(H847*O847,2))</f>
        <v/>
      </c>
      <c r="Q847" s="327" t="inlineStr">
        <is>
          <t>元件</t>
        </is>
      </c>
      <c r="R847" s="150" t="n"/>
      <c r="S847" s="150" t="n"/>
      <c r="T847" s="150" t="inlineStr">
        <is>
          <t>0</t>
        </is>
      </c>
      <c r="U847" s="150" t="n"/>
      <c r="V847" s="328" t="n"/>
      <c r="W847" s="328" t="n"/>
      <c r="X847" s="152" t="n"/>
    </row>
    <row r="848" customFormat="1" s="145">
      <c r="A848" s="36">
        <f>ROW()-ROW(A$832)</f>
        <v/>
      </c>
      <c r="B848" s="29" t="inlineStr">
        <is>
          <t>指示灯</t>
        </is>
      </c>
      <c r="C848" s="29" t="inlineStr">
        <is>
          <t>XA2EVM3LC</t>
        </is>
      </c>
      <c r="D848" s="29" t="inlineStr">
        <is>
          <t>施耐德电气</t>
        </is>
      </c>
      <c r="E848" s="30" t="inlineStr">
        <is>
          <t>只</t>
        </is>
      </c>
      <c r="F848" s="30" t="n">
        <v>6</v>
      </c>
      <c r="G848" s="297">
        <f>IF(AND(B848="",C848=""),"",ROUND(M848*L848*N848,2))</f>
        <v/>
      </c>
      <c r="H848" s="297">
        <f>IF(AND(B848="",C848=""),"",ROUND(F848*G848,2))</f>
        <v/>
      </c>
      <c r="I848" s="136" t="n"/>
      <c r="J848" s="329">
        <f>IF(AND(B848="",C848=""),"",ROUND(M848*N848,2))</f>
        <v/>
      </c>
      <c r="K848" s="330">
        <f>IF(AND(B848="",C848=""),"",ROUND(J848*F848,2))</f>
        <v/>
      </c>
      <c r="L848" s="126" t="n">
        <v>1</v>
      </c>
      <c r="M848" s="331" t="n">
        <v>16.43</v>
      </c>
      <c r="N848" s="137" t="n">
        <v>0.5</v>
      </c>
      <c r="O848" s="138">
        <f t="array" ref="O848">IF(AND(B848="",C848=""),"",IF(G848&gt;=20000,0.05,IF(G848&gt;=10000,0.1,IF(G848&gt;=5000,0.2,IF(G848&gt;=1000,0.3,IF(G848&gt;=0,0.4,{0}))))))</f>
        <v/>
      </c>
      <c r="P848" s="333">
        <f>IF(AND(B848="",C848=""),"",ROUND(H848*O848,2))</f>
        <v/>
      </c>
      <c r="Q848" s="334" t="inlineStr">
        <is>
          <t>元件</t>
        </is>
      </c>
      <c r="R848" s="154" t="n"/>
      <c r="S848" s="154" t="n"/>
      <c r="T848" s="154" t="inlineStr">
        <is>
          <t>0</t>
        </is>
      </c>
      <c r="U848" s="154" t="inlineStr">
        <is>
          <t>XA2EVM3LC</t>
        </is>
      </c>
      <c r="V848" s="335" t="n"/>
      <c r="W848" s="335" t="n"/>
      <c r="X848" s="152" t="n"/>
    </row>
    <row r="849" customFormat="1" s="145">
      <c r="A849" s="36">
        <f>ROW()-ROW(A$832)</f>
        <v/>
      </c>
      <c r="B849" s="29" t="inlineStr">
        <is>
          <t>指示灯</t>
        </is>
      </c>
      <c r="C849" s="25" t="inlineStr">
        <is>
          <t>XA2EVM4LC</t>
        </is>
      </c>
      <c r="D849" s="29" t="inlineStr">
        <is>
          <t>施耐德电气</t>
        </is>
      </c>
      <c r="E849" s="30" t="inlineStr">
        <is>
          <t>只</t>
        </is>
      </c>
      <c r="F849" s="30" t="n">
        <v>6</v>
      </c>
      <c r="G849" s="297">
        <f>IF(AND(B849="",C849=""),"",ROUND(M849*L849*N849,2))</f>
        <v/>
      </c>
      <c r="H849" s="297">
        <f>IF(AND(B849="",C849=""),"",ROUND(F849*G849,2))</f>
        <v/>
      </c>
      <c r="I849" s="136" t="n"/>
      <c r="J849" s="329">
        <f>IF(AND(B849="",C849=""),"",ROUND(M849*N849,2))</f>
        <v/>
      </c>
      <c r="K849" s="330">
        <f>IF(AND(B849="",C849=""),"",ROUND(J849*F849,2))</f>
        <v/>
      </c>
      <c r="L849" s="126" t="n">
        <v>1</v>
      </c>
      <c r="M849" s="331" t="n">
        <v>16.43</v>
      </c>
      <c r="N849" s="137" t="n">
        <v>0.5</v>
      </c>
      <c r="O849" s="138">
        <f t="array" ref="O849">IF(AND(B849="",C849=""),"",IF(G849&gt;=20000,0.05,IF(G849&gt;=10000,0.1,IF(G849&gt;=5000,0.2,IF(G849&gt;=1000,0.3,IF(G849&gt;=0,0.4,{0}))))))</f>
        <v/>
      </c>
      <c r="P849" s="333">
        <f>IF(AND(B849="",C849=""),"",ROUND(H849*O849,2))</f>
        <v/>
      </c>
      <c r="Q849" s="334" t="inlineStr">
        <is>
          <t>元件</t>
        </is>
      </c>
      <c r="R849" s="154" t="n"/>
      <c r="S849" s="154" t="n"/>
      <c r="T849" s="154" t="inlineStr">
        <is>
          <t>0</t>
        </is>
      </c>
      <c r="U849" s="154" t="inlineStr">
        <is>
          <t>XA2EVM4LC</t>
        </is>
      </c>
      <c r="V849" s="335" t="n"/>
      <c r="W849" s="335" t="n"/>
      <c r="X849" s="152" t="n"/>
    </row>
    <row r="850" customFormat="1" s="145">
      <c r="A850" s="36">
        <f>ROW()-ROW(A$832)</f>
        <v/>
      </c>
      <c r="B850" s="25" t="inlineStr">
        <is>
          <t>中间继电器</t>
        </is>
      </c>
      <c r="C850" s="25" t="inlineStr">
        <is>
          <t>RXM4AB2P7+RXZE1M4C+RXZ410</t>
        </is>
      </c>
      <c r="D850" s="25" t="inlineStr">
        <is>
          <t>甲供/施耐德电气</t>
        </is>
      </c>
      <c r="E850" s="26" t="inlineStr">
        <is>
          <t>只</t>
        </is>
      </c>
      <c r="F850" s="26" t="n">
        <v>6</v>
      </c>
      <c r="G850" s="292">
        <f>IF(AND(B850="",C850=""),"",ROUND(M850*L850*N850,2))</f>
        <v/>
      </c>
      <c r="H850" s="297">
        <f>IF(AND(B850="",C850=""),"",ROUND(F850*G850,2))</f>
        <v/>
      </c>
      <c r="I850" s="135" t="n"/>
      <c r="J850" s="329">
        <f>IF(AND(B850="",C850=""),"",ROUND(M850*N850,2))</f>
        <v/>
      </c>
      <c r="K850" s="330">
        <f>IF(AND(B850="",C850=""),"",ROUND(J850*F850,2))</f>
        <v/>
      </c>
      <c r="L850" s="126" t="n">
        <v>1</v>
      </c>
      <c r="M850" s="331" t="n">
        <v>1e-07</v>
      </c>
      <c r="N850" s="128" t="n">
        <v>0</v>
      </c>
      <c r="O850" s="129">
        <f t="array" ref="O850">IF(AND(B850="",C850=""),"",IF(G850&gt;=20000,0.05,IF(G850&gt;=10000,0.1,IF(G850&gt;=5000,0.2,IF(G850&gt;=1000,0.3,IF(G850&gt;=0,0.4,{0}))))))</f>
        <v/>
      </c>
      <c r="P850" s="332">
        <f>IF(AND(B850="",C850=""),"",ROUND(H850*O850,2))</f>
        <v/>
      </c>
      <c r="Q850" s="327" t="inlineStr">
        <is>
          <t>元件</t>
        </is>
      </c>
      <c r="R850" s="150" t="n"/>
      <c r="S850" s="150" t="n"/>
      <c r="T850" s="150" t="inlineStr">
        <is>
          <t>0</t>
        </is>
      </c>
      <c r="U850" s="150" t="n"/>
      <c r="V850" s="328" t="n"/>
      <c r="W850" s="328" t="n"/>
      <c r="X850" s="152" t="n"/>
    </row>
    <row r="851" customFormat="1" s="145">
      <c r="A851" s="36">
        <f>ROW()-ROW(A$832)</f>
        <v/>
      </c>
      <c r="B851" s="29" t="inlineStr">
        <is>
          <t>熔断器</t>
        </is>
      </c>
      <c r="C851" s="29" t="inlineStr">
        <is>
          <t>UK5-HESI</t>
        </is>
      </c>
      <c r="D851" s="25" t="inlineStr">
        <is>
          <t>菲尼克斯</t>
        </is>
      </c>
      <c r="E851" s="26" t="inlineStr">
        <is>
          <t>只</t>
        </is>
      </c>
      <c r="F851" s="26" t="n">
        <v>24</v>
      </c>
      <c r="G851" s="293">
        <f>IF(AND(B851="",C851=""),"",ROUND(M851*L851*N851,2))</f>
        <v/>
      </c>
      <c r="H851" s="297">
        <f>IF(AND(B851="",C851=""),"",ROUND(F851*G851,2))</f>
        <v/>
      </c>
      <c r="I851" s="136" t="n"/>
      <c r="J851" s="329">
        <f>IF(AND(B851="",C851=""),"",ROUND(M851*N851,2))</f>
        <v/>
      </c>
      <c r="K851" s="330">
        <f>IF(AND(B851="",C851=""),"",ROUND(J851*F851,2))</f>
        <v/>
      </c>
      <c r="L851" s="126" t="n">
        <v>1</v>
      </c>
      <c r="M851" s="331" t="n">
        <v>7</v>
      </c>
      <c r="N851" s="128" t="n">
        <v>1</v>
      </c>
      <c r="O851" s="129">
        <f t="array" ref="O851">IF(AND(B851="",C851=""),"",IF(G851&gt;=20000,0.05,IF(G851&gt;=10000,0.1,IF(G851&gt;=5000,0.2,IF(G851&gt;=1000,0.3,IF(G851&gt;=0,0.4,{0}))))))</f>
        <v/>
      </c>
      <c r="P851" s="332">
        <f>IF(AND(B851="",C851=""),"",ROUND(H851*O851,2))</f>
        <v/>
      </c>
      <c r="Q851" s="327" t="inlineStr">
        <is>
          <t>元件</t>
        </is>
      </c>
      <c r="R851" s="150" t="n"/>
      <c r="S851" s="150" t="n"/>
      <c r="T851" s="150" t="inlineStr">
        <is>
          <t>0</t>
        </is>
      </c>
      <c r="U851" s="150" t="n"/>
      <c r="V851" s="328" t="n"/>
      <c r="W851" s="328" t="n"/>
      <c r="X851" s="152" t="n"/>
    </row>
    <row r="852" customFormat="1" s="145">
      <c r="A852" s="36">
        <f>ROW()-ROW(A$832)</f>
        <v/>
      </c>
      <c r="B852" s="29" t="inlineStr">
        <is>
          <t>SP元件</t>
        </is>
      </c>
      <c r="C852" s="25" t="inlineStr">
        <is>
          <t>智能网关 PAS700</t>
        </is>
      </c>
      <c r="D852" s="25" t="inlineStr">
        <is>
          <t>甲供/施耐德电气</t>
        </is>
      </c>
      <c r="E852" s="30" t="inlineStr">
        <is>
          <t>只</t>
        </is>
      </c>
      <c r="F852" s="30">
        <f>IF(AND(B852="",C852=""),"",1)</f>
        <v/>
      </c>
      <c r="G852" s="297">
        <f>IF(AND(B852="",C852=""),"",ROUND(M852*L852*N852,2))</f>
        <v/>
      </c>
      <c r="H852" s="297">
        <f>IF(AND(B852="",C852=""),"",ROUND(F852*G852,2))</f>
        <v/>
      </c>
      <c r="I852" s="135" t="n"/>
      <c r="J852" s="329">
        <f>IF(AND(B852="",C852=""),"",ROUND(M852*N852,2))</f>
        <v/>
      </c>
      <c r="K852" s="330">
        <f>IF(AND(B852="",C852=""),"",ROUND(J852*F852,2))</f>
        <v/>
      </c>
      <c r="L852" s="126" t="n">
        <v>1</v>
      </c>
      <c r="M852" s="331" t="n">
        <v>1e-07</v>
      </c>
      <c r="N852" s="128" t="n">
        <v>0</v>
      </c>
      <c r="O852" s="129">
        <f t="array" ref="O852">IF(AND(B852="",C852=""),"",IF(G852&gt;=20000,0.05,IF(G852&gt;=10000,0.1,IF(G852&gt;=5000,0.2,IF(G852&gt;=1000,0.3,IF(G852&gt;=0,0.4,{0}))))))</f>
        <v/>
      </c>
      <c r="P852" s="332">
        <f>IF(AND(B852="",C852=""),"",ROUND(H852*O852,2))</f>
        <v/>
      </c>
      <c r="Q852" s="327" t="inlineStr">
        <is>
          <t>元件</t>
        </is>
      </c>
      <c r="R852" s="150" t="n"/>
      <c r="S852" s="150" t="n"/>
      <c r="T852" s="150" t="inlineStr">
        <is>
          <t>0</t>
        </is>
      </c>
      <c r="U852" s="150" t="n"/>
      <c r="V852" s="328" t="n"/>
      <c r="W852" s="328" t="n"/>
      <c r="X852" s="152" t="n"/>
    </row>
    <row r="853" customFormat="1" s="145">
      <c r="A853" s="36">
        <f>ROW()-ROW(A$832)</f>
        <v/>
      </c>
      <c r="B853" s="25" t="inlineStr">
        <is>
          <t>水平排4000A</t>
        </is>
      </c>
      <c r="C853" s="25" t="inlineStr">
        <is>
          <t>TMY 3*(4*125*5)+2*125*5+2*50*5</t>
        </is>
      </c>
      <c r="D853" s="25" t="inlineStr">
        <is>
          <t>国产优质</t>
        </is>
      </c>
      <c r="E853" s="26" t="inlineStr">
        <is>
          <t>米</t>
        </is>
      </c>
      <c r="F853" s="30" t="n">
        <v>0.6</v>
      </c>
      <c r="G853" s="297">
        <f>IF(AND(B853="",C853=""),"",ROUND(M853*L853*N853,2))</f>
        <v/>
      </c>
      <c r="H853" s="297">
        <f>IF(AND(B853="",C853=""),"",ROUND(F853*G853,2))</f>
        <v/>
      </c>
      <c r="I853" s="135" t="n"/>
      <c r="J853" s="329">
        <f>IF(AND(B853="",C853=""),"",ROUND(M853*N853,2))</f>
        <v/>
      </c>
      <c r="K853" s="330">
        <f>IF(AND(B853="",C853=""),"",ROUND(J853*F853,2))</f>
        <v/>
      </c>
      <c r="L853" s="126" t="n">
        <v>1</v>
      </c>
      <c r="M853" s="331" t="n">
        <v>6895.130375</v>
      </c>
      <c r="N853" s="128" t="n">
        <v>1</v>
      </c>
      <c r="O853" s="129">
        <f t="array" ref="O853">IF(AND(B853="",C853=""),"",IF(G853&gt;=20000,0.05,IF(G853&gt;=10000,0.1,IF(G853&gt;=5000,0.2,IF(G853&gt;=1000,0.3,IF(G853&gt;=0,0.4,{0}))))))</f>
        <v/>
      </c>
      <c r="P853" s="332">
        <f>IF(AND(B853="",C853=""),"",ROUND(H853*O853,2))</f>
        <v/>
      </c>
      <c r="Q853" s="327" t="inlineStr">
        <is>
          <t>母排</t>
        </is>
      </c>
      <c r="R853" s="150" t="n"/>
      <c r="S853" s="150" t="n"/>
      <c r="T853" s="150" t="inlineStr">
        <is>
          <t>0</t>
        </is>
      </c>
      <c r="U853" s="150" t="n"/>
      <c r="V853" s="328" t="n"/>
      <c r="W853" s="328" t="n"/>
      <c r="X853" s="152" t="n"/>
    </row>
    <row r="854" customFormat="1" s="145">
      <c r="A854" s="36">
        <f>ROW()-ROW(A$832)</f>
        <v/>
      </c>
      <c r="B854" s="25" t="inlineStr">
        <is>
          <t>垂直排</t>
        </is>
      </c>
      <c r="C854" s="25" t="inlineStr">
        <is>
          <t>TMY 80*10</t>
        </is>
      </c>
      <c r="D854" s="25" t="inlineStr">
        <is>
          <t>国产优质</t>
        </is>
      </c>
      <c r="E854" s="26" t="inlineStr">
        <is>
          <t>米</t>
        </is>
      </c>
      <c r="F854" s="30" t="n">
        <v>5.7</v>
      </c>
      <c r="G854" s="297">
        <f>IF(AND(B854="",C854=""),"",ROUND(M854*L854*N854,2))</f>
        <v/>
      </c>
      <c r="H854" s="297">
        <f>IF(AND(B854="",C854=""),"",ROUND(F854*G854,2))</f>
        <v/>
      </c>
      <c r="I854" s="135" t="n"/>
      <c r="J854" s="329">
        <f>IF(AND(B854="",C854=""),"",ROUND(M854*N854,2))</f>
        <v/>
      </c>
      <c r="K854" s="330">
        <f>IF(AND(B854="",C854=""),"",ROUND(J854*F854,2))</f>
        <v/>
      </c>
      <c r="L854" s="126" t="n">
        <v>1</v>
      </c>
      <c r="M854" s="331" t="n">
        <v>596.3356</v>
      </c>
      <c r="N854" s="128" t="n">
        <v>1</v>
      </c>
      <c r="O854" s="129">
        <f t="array" ref="O854">IF(AND(B854="",C854=""),"",IF(G854&gt;=20000,0.05,IF(G854&gt;=10000,0.1,IF(G854&gt;=5000,0.2,IF(G854&gt;=1000,0.3,IF(G854&gt;=0,0.4,{0}))))))</f>
        <v/>
      </c>
      <c r="P854" s="332">
        <f>IF(AND(B854="",C854=""),"",ROUND(H854*O854,2))</f>
        <v/>
      </c>
      <c r="Q854" s="327" t="inlineStr">
        <is>
          <t>母排</t>
        </is>
      </c>
      <c r="R854" s="150" t="n"/>
      <c r="S854" s="150" t="n"/>
      <c r="T854" s="150" t="inlineStr">
        <is>
          <t>0</t>
        </is>
      </c>
      <c r="U854" s="150" t="n"/>
      <c r="V854" s="328" t="n"/>
      <c r="W854" s="328" t="n"/>
      <c r="X854" s="152" t="n"/>
    </row>
    <row r="855" customFormat="1" s="145">
      <c r="A855" s="36">
        <f>ROW()-ROW(A$832)</f>
        <v/>
      </c>
      <c r="B855" s="25" t="inlineStr">
        <is>
          <t>连接排</t>
        </is>
      </c>
      <c r="C855" s="25" t="inlineStr">
        <is>
          <t>TMY 50*10</t>
        </is>
      </c>
      <c r="D855" s="25" t="inlineStr">
        <is>
          <t>国产优质</t>
        </is>
      </c>
      <c r="E855" s="26" t="inlineStr">
        <is>
          <t>米</t>
        </is>
      </c>
      <c r="F855" s="30" t="n">
        <v>4</v>
      </c>
      <c r="G855" s="297">
        <f>IF(AND(B855="",C855=""),"",ROUND(M855*L855*N855,2))</f>
        <v/>
      </c>
      <c r="H855" s="297">
        <f>IF(AND(B855="",C855=""),"",ROUND(F855*G855,2))</f>
        <v/>
      </c>
      <c r="I855" s="135" t="n"/>
      <c r="J855" s="329">
        <f>IF(AND(B855="",C855=""),"",ROUND(M855*N855,2))</f>
        <v/>
      </c>
      <c r="K855" s="330">
        <f>IF(AND(B855="",C855=""),"",ROUND(J855*F855,2))</f>
        <v/>
      </c>
      <c r="L855" s="126" t="n">
        <v>1</v>
      </c>
      <c r="M855" s="331" t="n">
        <v>372.70975</v>
      </c>
      <c r="N855" s="128" t="n">
        <v>1</v>
      </c>
      <c r="O855" s="129">
        <f t="array" ref="O855">IF(AND(B855="",C855=""),"",IF(G855&gt;=20000,0.05,IF(G855&gt;=10000,0.1,IF(G855&gt;=5000,0.2,IF(G855&gt;=1000,0.3,IF(G855&gt;=0,0.4,{0}))))))</f>
        <v/>
      </c>
      <c r="P855" s="332">
        <f>IF(AND(B855="",C855=""),"",ROUND(H855*O855,2))</f>
        <v/>
      </c>
      <c r="Q855" s="327" t="inlineStr">
        <is>
          <t>母排</t>
        </is>
      </c>
      <c r="R855" s="150" t="n"/>
      <c r="S855" s="150" t="n"/>
      <c r="T855" s="150" t="inlineStr">
        <is>
          <t>0</t>
        </is>
      </c>
      <c r="U855" s="150" t="n"/>
      <c r="V855" s="328" t="n"/>
      <c r="W855" s="328" t="n"/>
      <c r="X855" s="152" t="n"/>
    </row>
    <row r="856" customFormat="1" s="145">
      <c r="A856" s="36">
        <f>ROW()-ROW(A$832)</f>
        <v/>
      </c>
      <c r="B856" s="25" t="inlineStr">
        <is>
          <t>N排</t>
        </is>
      </c>
      <c r="C856" s="25" t="inlineStr">
        <is>
          <t>TMY 40*10</t>
        </is>
      </c>
      <c r="D856" s="25" t="inlineStr">
        <is>
          <t>国产优质</t>
        </is>
      </c>
      <c r="E856" s="26" t="inlineStr">
        <is>
          <t>米</t>
        </is>
      </c>
      <c r="F856" s="30" t="n">
        <v>3</v>
      </c>
      <c r="G856" s="297">
        <f>IF(AND(B856="",C856=""),"",ROUND(M856*L856*N856,2))</f>
        <v/>
      </c>
      <c r="H856" s="297">
        <f>IF(AND(B856="",C856=""),"",ROUND(F856*G856,2))</f>
        <v/>
      </c>
      <c r="I856" s="135" t="n"/>
      <c r="J856" s="329">
        <f>IF(AND(B856="",C856=""),"",ROUND(M856*N856,2))</f>
        <v/>
      </c>
      <c r="K856" s="330">
        <f>IF(AND(B856="",C856=""),"",ROUND(J856*F856,2))</f>
        <v/>
      </c>
      <c r="L856" s="126" t="n">
        <v>1</v>
      </c>
      <c r="M856" s="331" t="n">
        <v>298.1678</v>
      </c>
      <c r="N856" s="128" t="n">
        <v>1</v>
      </c>
      <c r="O856" s="129">
        <f t="array" ref="O856">IF(AND(B856="",C856=""),"",IF(G856&gt;=20000,0.05,IF(G856&gt;=10000,0.1,IF(G856&gt;=5000,0.2,IF(G856&gt;=1000,0.3,IF(G856&gt;=0,0.4,{0}))))))</f>
        <v/>
      </c>
      <c r="P856" s="332">
        <f>IF(AND(B856="",C856=""),"",ROUND(H856*O856,2))</f>
        <v/>
      </c>
      <c r="Q856" s="327" t="inlineStr">
        <is>
          <t>母排</t>
        </is>
      </c>
      <c r="R856" s="150" t="n"/>
      <c r="S856" s="150" t="n"/>
      <c r="T856" s="150" t="inlineStr">
        <is>
          <t>0</t>
        </is>
      </c>
      <c r="U856" s="150" t="n"/>
      <c r="V856" s="328" t="n"/>
      <c r="W856" s="328" t="n"/>
      <c r="X856" s="152" t="n"/>
    </row>
    <row r="857" customFormat="1" s="145">
      <c r="A857" s="36">
        <f>ROW()-ROW(A$832)</f>
        <v/>
      </c>
      <c r="B857" s="25" t="inlineStr">
        <is>
          <t>400A连接排</t>
        </is>
      </c>
      <c r="C857" s="25" t="inlineStr">
        <is>
          <t>TMY 30*8</t>
        </is>
      </c>
      <c r="D857" s="25" t="inlineStr">
        <is>
          <t>国产优质</t>
        </is>
      </c>
      <c r="E857" s="26" t="inlineStr">
        <is>
          <t>米</t>
        </is>
      </c>
      <c r="F857" s="30">
        <f>3.2*2</f>
        <v/>
      </c>
      <c r="G857" s="297">
        <f>IF(AND(B857="",C857=""),"",ROUND(M857*L857*N857,2))</f>
        <v/>
      </c>
      <c r="H857" s="297">
        <f>IF(AND(B857="",C857=""),"",ROUND(F857*G857,2))</f>
        <v/>
      </c>
      <c r="I857" s="135" t="n"/>
      <c r="J857" s="329">
        <f>IF(AND(B857="",C857=""),"",ROUND(M857*N857,2))</f>
        <v/>
      </c>
      <c r="K857" s="330">
        <f>IF(AND(B857="",C857=""),"",ROUND(J857*F857,2))</f>
        <v/>
      </c>
      <c r="L857" s="126" t="n">
        <v>1</v>
      </c>
      <c r="M857" s="331" t="n">
        <v>178.90068</v>
      </c>
      <c r="N857" s="128" t="n">
        <v>1</v>
      </c>
      <c r="O857" s="129">
        <f t="array" ref="O857">IF(AND(B857="",C857=""),"",IF(G857&gt;=20000,0.05,IF(G857&gt;=10000,0.1,IF(G857&gt;=5000,0.2,IF(G857&gt;=1000,0.3,IF(G857&gt;=0,0.4,{0}))))))</f>
        <v/>
      </c>
      <c r="P857" s="332">
        <f>IF(AND(B857="",C857=""),"",ROUND(H857*O857,2))</f>
        <v/>
      </c>
      <c r="Q857" s="327" t="inlineStr">
        <is>
          <t>母排</t>
        </is>
      </c>
      <c r="R857" s="150" t="n"/>
      <c r="S857" s="150" t="n"/>
      <c r="T857" s="150" t="inlineStr">
        <is>
          <t>0</t>
        </is>
      </c>
      <c r="U857" s="150" t="n"/>
      <c r="V857" s="328" t="n"/>
      <c r="W857" s="328" t="n"/>
      <c r="X857" s="152" t="n"/>
    </row>
    <row r="858" customFormat="1" s="145">
      <c r="A858" s="36">
        <f>ROW()-ROW(A$832)</f>
        <v/>
      </c>
      <c r="B858" s="25" t="inlineStr">
        <is>
          <t>630A连接排</t>
        </is>
      </c>
      <c r="C858" s="25" t="inlineStr">
        <is>
          <t>TMY 30*10</t>
        </is>
      </c>
      <c r="D858" s="25" t="inlineStr">
        <is>
          <t>国产优质</t>
        </is>
      </c>
      <c r="E858" s="26" t="inlineStr">
        <is>
          <t>米</t>
        </is>
      </c>
      <c r="F858" s="30">
        <f>3.2*1</f>
        <v/>
      </c>
      <c r="G858" s="297">
        <f>IF(AND(B858="",C858=""),"",ROUND(M858*L858*N858,2))</f>
        <v/>
      </c>
      <c r="H858" s="297">
        <f>IF(AND(B858="",C858=""),"",ROUND(F858*G858,2))</f>
        <v/>
      </c>
      <c r="I858" s="135" t="n"/>
      <c r="J858" s="329">
        <f>IF(AND(B858="",C858=""),"",ROUND(M858*N858,2))</f>
        <v/>
      </c>
      <c r="K858" s="330">
        <f>IF(AND(B858="",C858=""),"",ROUND(J858*F858,2))</f>
        <v/>
      </c>
      <c r="L858" s="126" t="n">
        <v>1</v>
      </c>
      <c r="M858" s="331" t="n">
        <v>223.62585</v>
      </c>
      <c r="N858" s="128" t="n">
        <v>1</v>
      </c>
      <c r="O858" s="129">
        <f t="array" ref="O858">IF(AND(B858="",C858=""),"",IF(G858&gt;=20000,0.05,IF(G858&gt;=10000,0.1,IF(G858&gt;=5000,0.2,IF(G858&gt;=1000,0.3,IF(G858&gt;=0,0.4,{0}))))))</f>
        <v/>
      </c>
      <c r="P858" s="332">
        <f>IF(AND(B858="",C858=""),"",ROUND(H858*O858,2))</f>
        <v/>
      </c>
      <c r="Q858" s="327" t="inlineStr">
        <is>
          <t>母排</t>
        </is>
      </c>
      <c r="R858" s="150" t="n"/>
      <c r="S858" s="150" t="n"/>
      <c r="T858" s="150" t="inlineStr">
        <is>
          <t>0</t>
        </is>
      </c>
      <c r="U858" s="150" t="n"/>
      <c r="V858" s="328" t="n"/>
      <c r="W858" s="328" t="n"/>
      <c r="X858" s="152" t="n"/>
    </row>
    <row r="859" customFormat="1" s="145">
      <c r="A859" s="36">
        <f>ROW()-ROW(A$832)</f>
        <v/>
      </c>
      <c r="B859" s="25" t="inlineStr">
        <is>
          <t>导线及辅料</t>
        </is>
      </c>
      <c r="C859" s="25" t="n"/>
      <c r="D859" s="25" t="inlineStr">
        <is>
          <t>国产优质</t>
        </is>
      </c>
      <c r="E859" s="26" t="inlineStr">
        <is>
          <t>套</t>
        </is>
      </c>
      <c r="F859" s="26" t="n">
        <v>1</v>
      </c>
      <c r="G859" s="293">
        <f>IF(AND(B859="",C859=""),"",ROUND(M859*L859*N859,2))</f>
        <v/>
      </c>
      <c r="H859" s="293">
        <f>IF(AND(B859="",C859=""),"",ROUND(F859*G859,2))</f>
        <v/>
      </c>
      <c r="I859" s="164" t="n"/>
      <c r="J859" s="329">
        <f>IF(AND(B859="",C859=""),"",ROUND(M859*N859,2))</f>
        <v/>
      </c>
      <c r="K859" s="330">
        <f>IF(AND(B859="",C859=""),"",ROUND(J859*F859,2))</f>
        <v/>
      </c>
      <c r="L859" s="126" t="n">
        <v>1</v>
      </c>
      <c r="M859" s="331" t="n">
        <v>1268</v>
      </c>
      <c r="N859" s="137" t="n">
        <v>1</v>
      </c>
      <c r="O859" s="138">
        <f t="array" ref="O859">IF(AND(B859="",C859=""),"",IF(G859&gt;=20000,0.05,IF(G859&gt;=10000,0.1,IF(G859&gt;=5000,0.2,IF(G859&gt;=1000,0.3,IF(G859&gt;=0,0.4,{0}))))))</f>
        <v/>
      </c>
      <c r="P859" s="333">
        <f>IF(AND(B859="",C859=""),"",ROUND(H859*O859,2))</f>
        <v/>
      </c>
      <c r="Q859" s="334" t="inlineStr">
        <is>
          <t>辅料</t>
        </is>
      </c>
      <c r="R859" s="154" t="n"/>
      <c r="S859" s="154" t="n"/>
      <c r="T859" s="154" t="inlineStr">
        <is>
          <t>0</t>
        </is>
      </c>
      <c r="U859" s="154" t="n"/>
      <c r="V859" s="335" t="n"/>
      <c r="W859" s="335" t="n"/>
      <c r="X859" s="152" t="n"/>
    </row>
    <row r="860" customFormat="1" s="145">
      <c r="A860" s="36">
        <f>ROW()-ROW(A$832)</f>
        <v/>
      </c>
      <c r="B860" s="25" t="inlineStr">
        <is>
          <t>通风顶盖</t>
        </is>
      </c>
      <c r="C860" s="25" t="n"/>
      <c r="D860" s="25" t="inlineStr">
        <is>
          <t>清科</t>
        </is>
      </c>
      <c r="E860" s="30" t="inlineStr">
        <is>
          <t>台</t>
        </is>
      </c>
      <c r="F860" s="26">
        <f>IF(AND(B860="",C860=""),"",1)</f>
        <v/>
      </c>
      <c r="G860" s="293">
        <f>IF(AND(B860="",C860=""),"",ROUND(M860*L860*N860,2))</f>
        <v/>
      </c>
      <c r="H860" s="293">
        <f>IF(AND(B860="",C860=""),"",ROUND(F860*G860,2))</f>
        <v/>
      </c>
      <c r="I860" s="164" t="n"/>
      <c r="J860" s="329">
        <f>IF(AND(B860="",C860=""),"",ROUND(M860*N860,2))</f>
        <v/>
      </c>
      <c r="K860" s="330">
        <f>IF(AND(B860="",C860=""),"",ROUND(J860*F860,2))</f>
        <v/>
      </c>
      <c r="L860" s="126">
        <f>IF(AND(B860="",C860=""),"",1)</f>
        <v/>
      </c>
      <c r="M860" s="331" t="n">
        <v>138</v>
      </c>
      <c r="N860" s="137">
        <f>IF(AND(B860="",C860=""),"",1)</f>
        <v/>
      </c>
      <c r="O860" s="138">
        <f t="array" ref="O860">IF(AND(B860="",C860=""),"",IF(G860&gt;=20000,0.05,IF(G860&gt;=10000,0.1,IF(G860&gt;=5000,0.2,IF(G860&gt;=1000,0.3,IF(G860&gt;=0,0.4,{0}))))))</f>
        <v/>
      </c>
      <c r="P860" s="333">
        <f>IF(AND(B860="",C860=""),"",ROUND(H860*O860,2))</f>
        <v/>
      </c>
      <c r="Q860" s="334">
        <f>IF(AND(B860="",C860=""),"","元件")</f>
        <v/>
      </c>
      <c r="R860" s="154" t="n"/>
      <c r="S860" s="154" t="n"/>
      <c r="T860" s="154" t="n"/>
      <c r="U860" s="154" t="n"/>
      <c r="V860" s="335" t="n"/>
      <c r="W860" s="335" t="n"/>
      <c r="X860" s="152" t="n"/>
    </row>
    <row r="861" customFormat="1" s="145">
      <c r="A861" s="36">
        <f>ROW()-ROW(A$832)</f>
        <v/>
      </c>
      <c r="B861" s="29" t="inlineStr">
        <is>
          <t>Blokset柜</t>
        </is>
      </c>
      <c r="C861" s="25" t="inlineStr">
        <is>
          <t>600W*1000D*2200H</t>
        </is>
      </c>
      <c r="D861" s="25" t="inlineStr">
        <is>
          <t>清科</t>
        </is>
      </c>
      <c r="E861" s="30" t="inlineStr">
        <is>
          <t>台</t>
        </is>
      </c>
      <c r="F861" s="30" t="n">
        <v>1</v>
      </c>
      <c r="G861" s="297">
        <f>IF(AND(B861="",C861=""),"",ROUND(M861*L861*N861,2))</f>
        <v/>
      </c>
      <c r="H861" s="297">
        <f>IF(AND(B861="",C861=""),"",ROUND(F861*G861,2))</f>
        <v/>
      </c>
      <c r="I861" s="135" t="n"/>
      <c r="J861" s="329">
        <f>IF(AND(B861="",C861=""),"",ROUND(M861*N861,2))</f>
        <v/>
      </c>
      <c r="K861" s="330">
        <f>IF(AND(B861="",C861=""),"",ROUND(J861*F861,2))</f>
        <v/>
      </c>
      <c r="L861" s="126" t="n">
        <v>1</v>
      </c>
      <c r="M861" s="331" t="n">
        <v>7967</v>
      </c>
      <c r="N861" s="137" t="n">
        <v>1</v>
      </c>
      <c r="O861" s="138">
        <f t="array" ref="O861">IF(AND(B861="",C861=""),"",IF(G861&gt;=20000,0.05,IF(G861&gt;=10000,0.1,IF(G861&gt;=5000,0.2,IF(G861&gt;=1000,0.3,IF(G861&gt;=0,0.4,{0}))))))</f>
        <v/>
      </c>
      <c r="P861" s="333">
        <f>IF(AND(B861="",C861=""),"",ROUND(H861*O861,2))</f>
        <v/>
      </c>
      <c r="Q861" s="334" t="inlineStr">
        <is>
          <t>箱体</t>
        </is>
      </c>
      <c r="R861" s="154" t="n"/>
      <c r="S861" s="154" t="n"/>
      <c r="T861" s="154" t="inlineStr">
        <is>
          <t>0</t>
        </is>
      </c>
      <c r="U861" s="154" t="n"/>
      <c r="V861" s="335" t="n"/>
      <c r="W861" s="335" t="n"/>
      <c r="X861" s="152" t="n"/>
    </row>
    <row r="862" customFormat="1" s="145">
      <c r="A862" s="36">
        <f>ROW()-ROW(A$832)</f>
        <v/>
      </c>
      <c r="B862" s="25" t="n"/>
      <c r="C862" s="25" t="n"/>
      <c r="D862" s="25" t="n"/>
      <c r="E862" s="26" t="n"/>
      <c r="F862" s="26">
        <f>IF(AND(B862="",C862=""),"",1)</f>
        <v/>
      </c>
      <c r="G862" s="293">
        <f>IF(AND(B862="",C862=""),"",ROUND(M862*L862*N862,2))</f>
        <v/>
      </c>
      <c r="H862" s="297">
        <f>IF(AND(B862="",C862=""),"",ROUND(F862*G862,2))</f>
        <v/>
      </c>
      <c r="I862" s="135" t="n"/>
      <c r="J862" s="329">
        <f>IF(AND(B862="",C862=""),"",ROUND(M862*N862,2))</f>
        <v/>
      </c>
      <c r="K862" s="330">
        <f>IF(AND(B862="",C862=""),"",ROUND(J862*F862,2))</f>
        <v/>
      </c>
      <c r="L862" s="126">
        <f>IF(AND(B862="",C862=""),"",1)</f>
        <v/>
      </c>
      <c r="M862" s="331" t="n"/>
      <c r="N862" s="128">
        <f>IF(AND(B862="",C862=""),"",1)</f>
        <v/>
      </c>
      <c r="O862" s="129">
        <f t="array" ref="O862">IF(AND(B862="",C862=""),"",IF(G862&gt;=20000,0.05,IF(G862&gt;=10000,0.1,IF(G862&gt;=5000,0.2,IF(G862&gt;=1000,0.3,IF(G862&gt;=0,0.4,{0}))))))</f>
        <v/>
      </c>
      <c r="P862" s="332">
        <f>IF(AND(B862="",C862=""),"",ROUND(H862*O862,2))</f>
        <v/>
      </c>
      <c r="Q862" s="327">
        <f>IF(AND(B862="",C862=""),"","元件")</f>
        <v/>
      </c>
      <c r="R862" s="150" t="n"/>
      <c r="S862" s="150" t="n"/>
      <c r="T862" s="150" t="n"/>
      <c r="U862" s="150" t="n"/>
      <c r="V862" s="328" t="n"/>
      <c r="W862" s="328" t="n"/>
      <c r="X862" s="152" t="n"/>
    </row>
    <row r="863" customFormat="1" s="145">
      <c r="A863" s="36">
        <f>ROW()-ROW(A$832)</f>
        <v/>
      </c>
      <c r="B863" s="25" t="n"/>
      <c r="C863" s="25" t="n"/>
      <c r="D863" s="25" t="n"/>
      <c r="E863" s="26" t="n"/>
      <c r="F863" s="26">
        <f>IF(AND(B863="",C863=""),"",1)</f>
        <v/>
      </c>
      <c r="G863" s="293">
        <f>IF(AND(B863="",C863=""),"",ROUND(M863*L863*N863,2))</f>
        <v/>
      </c>
      <c r="H863" s="297">
        <f>IF(AND(B863="",C863=""),"",ROUND(F863*G863,2))</f>
        <v/>
      </c>
      <c r="I863" s="135" t="n"/>
      <c r="J863" s="329">
        <f>IF(AND(B863="",C863=""),"",ROUND(M863*N863,2))</f>
        <v/>
      </c>
      <c r="K863" s="330">
        <f>IF(AND(B863="",C863=""),"",ROUND(J863*F863,2))</f>
        <v/>
      </c>
      <c r="L863" s="126">
        <f>IF(AND(B863="",C863=""),"",1)</f>
        <v/>
      </c>
      <c r="M863" s="331" t="n"/>
      <c r="N863" s="128">
        <f>IF(AND(B863="",C863=""),"",1)</f>
        <v/>
      </c>
      <c r="O863" s="129">
        <f t="array" ref="O863">IF(AND(B863="",C863=""),"",IF(G863&gt;=20000,0.05,IF(G863&gt;=10000,0.1,IF(G863&gt;=5000,0.2,IF(G863&gt;=1000,0.3,IF(G863&gt;=0,0.4,{0}))))))</f>
        <v/>
      </c>
      <c r="P863" s="332">
        <f>IF(AND(B863="",C863=""),"",ROUND(H863*O863,2))</f>
        <v/>
      </c>
      <c r="Q863" s="327">
        <f>IF(AND(B863="",C863=""),"","元件")</f>
        <v/>
      </c>
      <c r="R863" s="150" t="n"/>
      <c r="S863" s="150" t="n"/>
      <c r="T863" s="150" t="n"/>
      <c r="U863" s="150" t="n"/>
      <c r="V863" s="328" t="n"/>
      <c r="W863" s="328" t="n"/>
      <c r="X863" s="152" t="n"/>
    </row>
    <row r="864" customFormat="1" s="145">
      <c r="A864" s="36">
        <f>ROW()-ROW(A$832)</f>
        <v/>
      </c>
      <c r="B864" s="156" t="inlineStr">
        <is>
          <t>小计</t>
        </is>
      </c>
      <c r="C864" s="157" t="n"/>
      <c r="D864" s="54" t="n"/>
      <c r="E864" s="30" t="n"/>
      <c r="F864" s="30" t="n"/>
      <c r="G864" s="297" t="n"/>
      <c r="H864" s="297">
        <f>ROUND(SUM(H832:INDEX(H:H,ROW()-1)),2)</f>
        <v/>
      </c>
      <c r="I864" s="91" t="n"/>
      <c r="J864" s="329" t="n"/>
      <c r="K864" s="330">
        <f>ROUND(SUM(K832:INDEX(K:K,ROW()-1)),2)</f>
        <v/>
      </c>
      <c r="L864" s="126" t="n"/>
      <c r="M864" s="331" t="n"/>
      <c r="N864" s="128" t="n"/>
      <c r="O864" s="129" t="n"/>
      <c r="P864" s="332" t="n"/>
      <c r="Q864" s="327" t="n"/>
      <c r="R864" s="150" t="n"/>
      <c r="S864" s="150" t="n"/>
      <c r="T864" s="150" t="n"/>
      <c r="U864" s="150" t="n"/>
      <c r="V864" s="328">
        <f t="array" ref="V864">ROUND(SUMPRODUCT(F832:INDEX(F:F,ROW()-1),V832:INDEX(V:V,ROW()-1)),2)</f>
        <v/>
      </c>
      <c r="W864" s="328">
        <f t="array" ref="W864">ROUND(SUMPRODUCT(F832:INDEX(F:F,ROW()-1),W832:INDEX(W:W,ROW()-1)),2)</f>
        <v/>
      </c>
      <c r="X864" s="152" t="n"/>
    </row>
    <row r="865" customFormat="1" s="145">
      <c r="A865" s="36">
        <f>ROW()-ROW(A$832)</f>
        <v/>
      </c>
      <c r="B865" s="156" t="inlineStr">
        <is>
          <t>成套费</t>
        </is>
      </c>
      <c r="C865" s="157" t="n"/>
      <c r="D865" s="54" t="n"/>
      <c r="E865" s="30" t="n"/>
      <c r="F865" s="30" t="n"/>
      <c r="G865" s="297" t="n"/>
      <c r="H865" s="297" t="n">
        <v>944.76</v>
      </c>
      <c r="I865" s="91" t="n"/>
      <c r="J865" s="329" t="n"/>
      <c r="K865" s="330" t="n">
        <v>944.76</v>
      </c>
      <c r="L865" s="126" t="n"/>
      <c r="M865" s="331" t="n"/>
      <c r="N865" s="128" t="n"/>
      <c r="O865" s="129" t="n"/>
      <c r="P865" s="332" t="n"/>
      <c r="Q865" s="327" t="n"/>
      <c r="R865" s="150" t="n"/>
      <c r="S865" s="150" t="n"/>
      <c r="T865" s="150" t="n"/>
      <c r="U865" s="150" t="n"/>
      <c r="V865" s="328" t="n"/>
      <c r="W865" s="328" t="n"/>
      <c r="X865" s="152" t="n"/>
    </row>
    <row r="866" customFormat="1" s="145">
      <c r="A866" s="36">
        <f>ROW()-ROW(A$832)</f>
        <v/>
      </c>
      <c r="B866" s="156" t="n"/>
      <c r="C866" s="157" t="n"/>
      <c r="D866" s="54" t="n"/>
      <c r="E866" s="30" t="n"/>
      <c r="F866" s="30" t="n"/>
      <c r="G866" s="297" t="n"/>
      <c r="H866" s="297" t="n">
        <v>17.26</v>
      </c>
      <c r="I866" s="91" t="n"/>
      <c r="J866" s="329" t="n"/>
      <c r="K866" s="330" t="n"/>
      <c r="L866" s="126" t="n"/>
      <c r="M866" s="331" t="n"/>
      <c r="N866" s="128" t="n"/>
      <c r="O866" s="129" t="n"/>
      <c r="P866" s="332" t="n"/>
      <c r="Q866" s="327" t="n"/>
      <c r="R866" s="150" t="n"/>
      <c r="S866" s="150" t="n"/>
      <c r="T866" s="150" t="n"/>
      <c r="U866" s="150" t="n"/>
      <c r="V866" s="328" t="n"/>
      <c r="W866" s="328" t="n"/>
      <c r="X866" s="152" t="n"/>
    </row>
    <row r="867" customFormat="1" s="145">
      <c r="A867" s="36">
        <f>ROW()-ROW(A$832)</f>
        <v/>
      </c>
      <c r="B867" s="54" t="inlineStr">
        <is>
          <t>单台合计</t>
        </is>
      </c>
      <c r="C867" s="157" t="n"/>
      <c r="D867" s="54" t="n"/>
      <c r="E867" s="30" t="n"/>
      <c r="F867" s="30" t="n"/>
      <c r="G867" s="297" t="n"/>
      <c r="H867" s="297">
        <f>ROUND(SUM(H864:H865),2)</f>
        <v/>
      </c>
      <c r="I867" s="165" t="n"/>
      <c r="J867" s="329" t="n"/>
      <c r="K867" s="330">
        <f>ROUND(SUM(K864:K865),2)</f>
        <v/>
      </c>
      <c r="L867" s="166" t="n"/>
      <c r="M867" s="331" t="n"/>
      <c r="N867" s="167" t="n"/>
      <c r="O867" s="168" t="n"/>
      <c r="P867" s="332" t="n"/>
      <c r="Q867" s="327" t="n"/>
      <c r="R867" s="150" t="n"/>
      <c r="S867" s="150" t="n"/>
      <c r="T867" s="150" t="n"/>
      <c r="U867" s="150" t="n"/>
      <c r="V867" s="328" t="n"/>
      <c r="W867" s="328" t="n"/>
      <c r="X867" s="152" t="n"/>
    </row>
    <row r="868" customFormat="1" s="145">
      <c r="A868" s="158" t="inlineStr">
        <is>
          <t>总计</t>
        </is>
      </c>
      <c r="B868" s="159" t="n"/>
      <c r="C868" s="160" t="n"/>
      <c r="D868" s="161" t="n"/>
      <c r="E868" s="161" t="inlineStr">
        <is>
          <t>台</t>
        </is>
      </c>
      <c r="F868" s="161" t="n">
        <v>1</v>
      </c>
      <c r="G868" s="336">
        <f>ROUND(H867,2)</f>
        <v/>
      </c>
      <c r="H868" s="336">
        <f>ROUND(F868*G868,2)</f>
        <v/>
      </c>
      <c r="I868" s="169" t="n"/>
      <c r="J868" s="337" t="n"/>
      <c r="K868" s="338">
        <f>ROUND(K867*F868,2)</f>
        <v/>
      </c>
      <c r="L868" s="172" t="n"/>
      <c r="M868" s="339" t="n"/>
      <c r="N868" s="174" t="n"/>
      <c r="O868" s="175" t="n"/>
      <c r="P868" s="340" t="n"/>
      <c r="Q868" s="327" t="n"/>
      <c r="R868" s="150" t="n"/>
      <c r="S868" s="150" t="n"/>
      <c r="T868" s="150" t="n"/>
      <c r="U868" s="150" t="n"/>
      <c r="V868" s="328" t="n"/>
      <c r="W868" s="328" t="n"/>
      <c r="X868" s="152" t="n"/>
    </row>
    <row r="869" customFormat="1" s="146">
      <c r="A869" s="3" t="n"/>
      <c r="B869" s="117" t="n"/>
      <c r="C869" s="117" t="n"/>
      <c r="D869" s="117" t="n"/>
      <c r="E869" s="146" t="n"/>
      <c r="F869" s="146" t="n"/>
      <c r="G869" s="146" t="n"/>
      <c r="H869" s="146" t="n"/>
      <c r="Q869" s="144" t="n"/>
      <c r="R869" s="144" t="n"/>
      <c r="S869" s="144" t="n"/>
      <c r="T869" s="144" t="n"/>
      <c r="U869" s="144" t="n"/>
      <c r="X869" s="117" t="n"/>
    </row>
    <row r="870" customFormat="1" s="146">
      <c r="A870" s="3" t="n"/>
      <c r="B870" s="117" t="n"/>
      <c r="C870" s="117" t="n"/>
      <c r="D870" s="117" t="n"/>
      <c r="E870" s="146" t="n"/>
      <c r="F870" s="146" t="n"/>
      <c r="G870" s="146" t="n"/>
      <c r="H870" s="146" t="n"/>
      <c r="Q870" s="144" t="n"/>
      <c r="R870" s="144" t="n"/>
      <c r="S870" s="144" t="n"/>
      <c r="T870" s="144" t="n"/>
      <c r="U870" s="144" t="n"/>
      <c r="X870" s="117" t="n"/>
    </row>
    <row r="871" customFormat="1" s="145">
      <c r="A871" s="63">
        <f>CONCATENATE("报价人：",项目信息!$B$8)</f>
        <v/>
      </c>
      <c r="B871" s="63" t="n"/>
      <c r="C871" s="146" t="n"/>
      <c r="D871" s="146" t="n"/>
      <c r="E871" s="146" t="n"/>
      <c r="F871" s="146" t="n"/>
      <c r="G871" s="146" t="n"/>
      <c r="H871" s="163">
        <f>项目信息!$B$9</f>
        <v/>
      </c>
      <c r="Q871" s="144" t="n"/>
      <c r="R871" s="144" t="n"/>
      <c r="S871" s="144" t="n"/>
      <c r="T871" s="144" t="n"/>
      <c r="U871" s="144" t="n"/>
      <c r="X871" s="148" t="n"/>
    </row>
    <row r="872" customFormat="1" s="145">
      <c r="A872" s="5">
        <f>T(项目信息!$B$22)</f>
        <v/>
      </c>
      <c r="Q872" s="144" t="n"/>
      <c r="R872" s="144" t="n"/>
      <c r="S872" s="144" t="n"/>
      <c r="T872" s="144" t="n"/>
      <c r="U872" s="144" t="n"/>
      <c r="X872" s="145" t="n"/>
    </row>
    <row r="873" customFormat="1" s="145">
      <c r="A873" s="6">
        <f>T(项目信息!$B$23)</f>
        <v/>
      </c>
      <c r="Q873" s="144" t="n"/>
      <c r="R873" s="144" t="n"/>
      <c r="S873" s="144" t="n"/>
      <c r="T873" s="144" t="n"/>
      <c r="U873" s="144" t="n"/>
      <c r="X873" s="145" t="n"/>
    </row>
    <row r="874" customFormat="1" s="145">
      <c r="A874" s="68" t="inlineStr">
        <is>
          <t>成套产品报价明细表</t>
        </is>
      </c>
      <c r="B874" s="318" t="n"/>
      <c r="C874" s="318" t="n"/>
      <c r="D874" s="318" t="n"/>
      <c r="E874" s="318" t="n"/>
      <c r="F874" s="318" t="n"/>
      <c r="G874" s="318" t="n"/>
      <c r="H874" s="318" t="n"/>
      <c r="I874" s="318" t="n"/>
      <c r="Q874" s="144" t="n"/>
      <c r="R874" s="144" t="n"/>
      <c r="S874" s="144" t="n"/>
      <c r="T874" s="144" t="n"/>
      <c r="U874" s="144" t="n"/>
      <c r="X874" s="145" t="n"/>
    </row>
    <row r="875" customFormat="1" s="146">
      <c r="A875" s="69" t="inlineStr">
        <is>
          <t>柜号:</t>
        </is>
      </c>
      <c r="B875" s="70" t="inlineStr">
        <is>
          <t>4D9</t>
        </is>
      </c>
      <c r="C875" s="71" t="inlineStr">
        <is>
          <t>型号:</t>
        </is>
      </c>
      <c r="D875" s="70" t="inlineStr">
        <is>
          <t>Blokset</t>
        </is>
      </c>
      <c r="E875" s="319" t="n"/>
      <c r="F875" s="72" t="inlineStr">
        <is>
          <t>名称:</t>
        </is>
      </c>
      <c r="G875" s="70" t="inlineStr">
        <is>
          <t>出线柜</t>
        </is>
      </c>
      <c r="H875" s="319" t="n"/>
      <c r="I875" s="320" t="n"/>
      <c r="J875" s="116" t="inlineStr">
        <is>
          <t>箱柜尺寸:</t>
        </is>
      </c>
      <c r="K875" s="117" t="inlineStr">
        <is>
          <t>800W*1000D*2200H</t>
        </is>
      </c>
      <c r="L875" s="116" t="inlineStr">
        <is>
          <t>类别:</t>
        </is>
      </c>
      <c r="M875" s="117" t="n"/>
      <c r="N875" s="321" t="n"/>
      <c r="Q875" s="144" t="n"/>
      <c r="R875" s="144" t="n"/>
      <c r="S875" s="144" t="n"/>
      <c r="T875" s="144" t="n"/>
      <c r="U875" s="144" t="n"/>
      <c r="X875" s="146" t="n"/>
    </row>
    <row r="876" ht="20.1" customFormat="1" customHeight="1" s="145">
      <c r="A876" s="13" t="inlineStr">
        <is>
          <t>序号</t>
        </is>
      </c>
      <c r="B876" s="73" t="inlineStr">
        <is>
          <t>元件名称</t>
        </is>
      </c>
      <c r="C876" s="73" t="inlineStr">
        <is>
          <t>型号规格</t>
        </is>
      </c>
      <c r="D876" s="74" t="inlineStr">
        <is>
          <t>生产厂家</t>
        </is>
      </c>
      <c r="E876" s="15" t="inlineStr">
        <is>
          <t>单位</t>
        </is>
      </c>
      <c r="F876" s="15" t="inlineStr">
        <is>
          <t>数量</t>
        </is>
      </c>
      <c r="G876" s="287" t="inlineStr">
        <is>
          <t>单   价</t>
        </is>
      </c>
      <c r="H876" s="256" t="inlineStr">
        <is>
          <t>总   价</t>
        </is>
      </c>
      <c r="I876" s="119" t="inlineStr">
        <is>
          <t>备注</t>
        </is>
      </c>
      <c r="J876" s="322" t="inlineStr">
        <is>
          <t>成本单价</t>
        </is>
      </c>
      <c r="K876" s="322" t="inlineStr">
        <is>
          <t>成本总价</t>
        </is>
      </c>
      <c r="L876" s="121" t="inlineStr">
        <is>
          <t>报出
系数</t>
        </is>
      </c>
      <c r="M876" s="322" t="inlineStr">
        <is>
          <t>表价</t>
        </is>
      </c>
      <c r="N876" s="121" t="inlineStr">
        <is>
          <t>折扣
系数</t>
        </is>
      </c>
      <c r="O876" s="122" t="inlineStr">
        <is>
          <t>取费
系数</t>
        </is>
      </c>
      <c r="P876" s="322" t="inlineStr">
        <is>
          <t>成套费</t>
        </is>
      </c>
      <c r="Q876" s="147" t="inlineStr">
        <is>
          <t>类别</t>
        </is>
      </c>
      <c r="R876" s="147" t="inlineStr">
        <is>
          <t>物料编码</t>
        </is>
      </c>
      <c r="S876" s="147" t="inlineStr">
        <is>
          <t>产地</t>
        </is>
      </c>
      <c r="T876" s="147" t="inlineStr">
        <is>
          <t>加工费</t>
        </is>
      </c>
      <c r="U876" s="147" t="inlineStr">
        <is>
          <t>订货号</t>
        </is>
      </c>
      <c r="V876" s="147" t="inlineStr">
        <is>
          <t>人工</t>
        </is>
      </c>
      <c r="W876" s="147" t="inlineStr">
        <is>
          <t>辅料</t>
        </is>
      </c>
      <c r="X876" s="148" t="n"/>
    </row>
    <row r="877" customFormat="1" s="145">
      <c r="A877" s="75">
        <f>ROW()-ROW(A$876)</f>
        <v/>
      </c>
      <c r="B877" s="20" t="inlineStr">
        <is>
          <t>智能框架断路器</t>
        </is>
      </c>
      <c r="C877" s="20" t="inlineStr">
        <is>
          <t>MT08 H1 3P D/O MIC 5.0E 800A+LR/标准+MCH AC200-240V+MX标准型 200-250Vac/dc+XF标准型 200-250Vac/dc+抽架+CDP+上端后水平接线+下端后水平接线</t>
        </is>
      </c>
      <c r="D877" s="25" t="inlineStr">
        <is>
          <t>甲供/施耐德电气</t>
        </is>
      </c>
      <c r="E877" s="21" t="inlineStr">
        <is>
          <t>只</t>
        </is>
      </c>
      <c r="F877" s="21" t="n">
        <v>1</v>
      </c>
      <c r="G877" s="289">
        <f>IF(AND(B877="",C877=""),"",ROUND(M877*L877*N877,2))</f>
        <v/>
      </c>
      <c r="H877" s="289">
        <f>IF(AND(B877="",C877=""),"",ROUND(F877*G877,2))</f>
        <v/>
      </c>
      <c r="I877" s="123" t="n"/>
      <c r="J877" s="323">
        <f>IF(AND(B877="",C877=""),"",ROUND(M877*N877,2))</f>
        <v/>
      </c>
      <c r="K877" s="324">
        <f>IF(AND(B877="",C877=""),"",ROUND(J877*F877,2))</f>
        <v/>
      </c>
      <c r="L877" s="126" t="n">
        <v>1</v>
      </c>
      <c r="M877" s="325" t="n">
        <v>41024.73</v>
      </c>
      <c r="N877" s="128" t="n">
        <v>0</v>
      </c>
      <c r="O877" s="129">
        <f t="array" ref="O877">IF(AND(B877="",C877=""),"",IF(G877&gt;=20000,0.05,IF(G877&gt;=10000,0.1,IF(G877&gt;=5000,0.2,IF(G877&gt;=1000,0.3,IF(G877&gt;=0,0.4,{0}))))))</f>
        <v/>
      </c>
      <c r="P877" s="326">
        <f>IF(AND(B877="",C877=""),"",ROUND(H877*O877,2))</f>
        <v/>
      </c>
      <c r="Q877" s="327" t="inlineStr">
        <is>
          <t>元件</t>
        </is>
      </c>
      <c r="R877" s="150" t="n"/>
      <c r="S877" s="150" t="n"/>
      <c r="T877" s="150" t="inlineStr">
        <is>
          <t>0</t>
        </is>
      </c>
      <c r="U877" s="150" t="inlineStr">
        <is>
          <t>48231+48499+33542+48527+48494+48484+48392+48603+48143+48148</t>
        </is>
      </c>
      <c r="V877" s="328" t="n"/>
      <c r="W877" s="328" t="n"/>
      <c r="X877" s="152" t="n"/>
    </row>
    <row r="878" customFormat="1" s="145">
      <c r="A878" s="36">
        <f>ROW()-ROW(A$876)</f>
        <v/>
      </c>
      <c r="B878" s="29" t="inlineStr">
        <is>
          <t>交流塑壳断路器</t>
        </is>
      </c>
      <c r="C878" s="25" t="inlineStr">
        <is>
          <t>NSX100N TMD 100 3P3D F</t>
        </is>
      </c>
      <c r="D878" s="25" t="inlineStr">
        <is>
          <t>甲供/施耐德电气</t>
        </is>
      </c>
      <c r="E878" s="30" t="inlineStr">
        <is>
          <t>只</t>
        </is>
      </c>
      <c r="F878" s="26" t="n">
        <v>2</v>
      </c>
      <c r="G878" s="297">
        <f>IF(AND(B878="",C878=""),"",ROUND(M878*L878*N878,2))</f>
        <v/>
      </c>
      <c r="H878" s="293">
        <f>IF(AND(B878="",C878=""),"",ROUND(F878*G878,2))</f>
        <v/>
      </c>
      <c r="I878" s="91" t="n"/>
      <c r="J878" s="329">
        <f>IF(AND(B878="",C878=""),"",ROUND(M878*N878,2))</f>
        <v/>
      </c>
      <c r="K878" s="330">
        <f>IF(AND(B878="",C878=""),"",ROUND(J878*F878,2))</f>
        <v/>
      </c>
      <c r="L878" s="126" t="n">
        <v>1</v>
      </c>
      <c r="M878" s="331" t="n">
        <v>1024.28</v>
      </c>
      <c r="N878" s="128" t="n">
        <v>0</v>
      </c>
      <c r="O878" s="129">
        <f t="array" ref="O878">IF(AND(B878="",C878=""),"",IF(G878&gt;=20000,0.05,IF(G878&gt;=10000,0.1,IF(G878&gt;=5000,0.2,IF(G878&gt;=1000,0.3,IF(G878&gt;=0,0.4,{0}))))))</f>
        <v/>
      </c>
      <c r="P878" s="332">
        <f>IF(AND(B878="",C878=""),"",ROUND(H878*O878,2))</f>
        <v/>
      </c>
      <c r="Q878" s="327" t="inlineStr">
        <is>
          <t>元件</t>
        </is>
      </c>
      <c r="R878" s="150" t="n"/>
      <c r="S878" s="150" t="n"/>
      <c r="T878" s="150" t="inlineStr">
        <is>
          <t>0</t>
        </is>
      </c>
      <c r="U878" s="150" t="inlineStr">
        <is>
          <t>C10N3TM100</t>
        </is>
      </c>
      <c r="V878" s="328" t="n"/>
      <c r="W878" s="328" t="n"/>
      <c r="X878" s="152" t="n"/>
    </row>
    <row r="879" customFormat="1" s="145">
      <c r="A879" s="36">
        <f>ROW()-ROW(A$876)</f>
        <v/>
      </c>
      <c r="B879" s="29" t="inlineStr">
        <is>
          <t>交流塑壳断路器</t>
        </is>
      </c>
      <c r="C879" s="25" t="inlineStr">
        <is>
          <t>NSX250N TMD 250 3P3D F</t>
        </is>
      </c>
      <c r="D879" s="25" t="inlineStr">
        <is>
          <t>甲供/施耐德电气</t>
        </is>
      </c>
      <c r="E879" s="30" t="inlineStr">
        <is>
          <t>只</t>
        </is>
      </c>
      <c r="F879" s="26" t="n">
        <v>1</v>
      </c>
      <c r="G879" s="297">
        <f>IF(AND(B879="",C879=""),"",ROUND(M879*L879*N879,2))</f>
        <v/>
      </c>
      <c r="H879" s="293">
        <f>IF(AND(B879="",C879=""),"",ROUND(F879*G879,2))</f>
        <v/>
      </c>
      <c r="I879" s="91" t="n"/>
      <c r="J879" s="329">
        <f>IF(AND(B879="",C879=""),"",ROUND(M879*N879,2))</f>
        <v/>
      </c>
      <c r="K879" s="330">
        <f>IF(AND(B879="",C879=""),"",ROUND(J879*F879,2))</f>
        <v/>
      </c>
      <c r="L879" s="126" t="n">
        <v>1</v>
      </c>
      <c r="M879" s="331" t="n">
        <v>2315.28</v>
      </c>
      <c r="N879" s="128" t="n">
        <v>0</v>
      </c>
      <c r="O879" s="129">
        <f t="array" ref="O879">IF(AND(B879="",C879=""),"",IF(G879&gt;=20000,0.05,IF(G879&gt;=10000,0.1,IF(G879&gt;=5000,0.2,IF(G879&gt;=1000,0.3,IF(G879&gt;=0,0.4,{0}))))))</f>
        <v/>
      </c>
      <c r="P879" s="332">
        <f>IF(AND(B879="",C879=""),"",ROUND(H879*O879,2))</f>
        <v/>
      </c>
      <c r="Q879" s="327" t="inlineStr">
        <is>
          <t>元件</t>
        </is>
      </c>
      <c r="R879" s="150" t="n"/>
      <c r="S879" s="150" t="n"/>
      <c r="T879" s="150" t="inlineStr">
        <is>
          <t>0</t>
        </is>
      </c>
      <c r="U879" s="150" t="inlineStr">
        <is>
          <t>C25N3TM250</t>
        </is>
      </c>
      <c r="V879" s="328" t="n"/>
      <c r="W879" s="328" t="n"/>
      <c r="X879" s="152" t="n"/>
    </row>
    <row r="880" customFormat="1" s="145">
      <c r="A880" s="36">
        <f>ROW()-ROW(A$876)</f>
        <v/>
      </c>
      <c r="B880" s="29" t="inlineStr">
        <is>
          <t>交流塑壳断路器</t>
        </is>
      </c>
      <c r="C880" s="25" t="inlineStr">
        <is>
          <t>NSX400N MIC 2.3 400 3P F</t>
        </is>
      </c>
      <c r="D880" s="25" t="inlineStr">
        <is>
          <t>甲供/施耐德电气</t>
        </is>
      </c>
      <c r="E880" s="30" t="inlineStr">
        <is>
          <t>只</t>
        </is>
      </c>
      <c r="F880" s="26" t="n">
        <v>1</v>
      </c>
      <c r="G880" s="293">
        <f>IF(AND(B880="",C880=""),"",ROUND(M880*L880*N880,2))</f>
        <v/>
      </c>
      <c r="H880" s="293">
        <f>IF(AND(B880="",C880=""),"",ROUND(F880*G880,2))</f>
        <v/>
      </c>
      <c r="I880" s="91" t="n"/>
      <c r="J880" s="329">
        <f>IF(AND(B880="",C880=""),"",ROUND(M880*N880,2))</f>
        <v/>
      </c>
      <c r="K880" s="330">
        <f>IF(AND(B880="",C880=""),"",ROUND(J880*F880,2))</f>
        <v/>
      </c>
      <c r="L880" s="126" t="n">
        <v>1</v>
      </c>
      <c r="M880" s="331" t="n">
        <v>3474.03</v>
      </c>
      <c r="N880" s="128" t="n">
        <v>0</v>
      </c>
      <c r="O880" s="129">
        <f t="array" ref="O880">IF(AND(B880="",C880=""),"",IF(G880&gt;=20000,0.05,IF(G880&gt;=10000,0.1,IF(G880&gt;=5000,0.2,IF(G880&gt;=1000,0.3,IF(G880&gt;=0,0.4,{0}))))))</f>
        <v/>
      </c>
      <c r="P880" s="332">
        <f>IF(AND(B880="",C880=""),"",ROUND(H880*O880,2))</f>
        <v/>
      </c>
      <c r="Q880" s="327" t="inlineStr">
        <is>
          <t>元件</t>
        </is>
      </c>
      <c r="R880" s="150" t="n"/>
      <c r="S880" s="150" t="n"/>
      <c r="T880" s="150" t="inlineStr">
        <is>
          <t>0</t>
        </is>
      </c>
      <c r="U880" s="150" t="inlineStr">
        <is>
          <t>C40N32D400</t>
        </is>
      </c>
      <c r="V880" s="328" t="n"/>
      <c r="W880" s="328" t="n"/>
      <c r="X880" s="152" t="n"/>
    </row>
    <row r="881" customFormat="1" s="145">
      <c r="A881" s="36">
        <f>ROW()-ROW(A$876)</f>
        <v/>
      </c>
      <c r="B881" s="29" t="inlineStr">
        <is>
          <t>新外观延伸旋转手柄</t>
        </is>
      </c>
      <c r="C881" s="29" t="inlineStr">
        <is>
          <t>标准延伸旋转手柄/新外观延伸旋转手柄 100/160/250A</t>
        </is>
      </c>
      <c r="D881" s="25" t="inlineStr">
        <is>
          <t>甲供/施耐德电气</t>
        </is>
      </c>
      <c r="E881" s="30" t="inlineStr">
        <is>
          <t>只</t>
        </is>
      </c>
      <c r="F881" s="30" t="n">
        <v>3</v>
      </c>
      <c r="G881" s="297">
        <f>IF(AND(B881="",C881=""),"",ROUND(M881*L881*N881,2))</f>
        <v/>
      </c>
      <c r="H881" s="293">
        <f>IF(AND(B881="",C881=""),"",ROUND(F881*G881,2))</f>
        <v/>
      </c>
      <c r="I881" s="91" t="n"/>
      <c r="J881" s="329">
        <f>IF(AND(B881="",C881=""),"",ROUND(M881*N881,2))</f>
        <v/>
      </c>
      <c r="K881" s="330">
        <f>IF(AND(B881="",C881=""),"",ROUND(J881*F881,2))</f>
        <v/>
      </c>
      <c r="L881" s="126" t="n">
        <v>1</v>
      </c>
      <c r="M881" s="331" t="n">
        <v>189.75</v>
      </c>
      <c r="N881" s="128" t="n">
        <v>0</v>
      </c>
      <c r="O881" s="129">
        <f t="array" ref="O881">IF(AND(B881="",C881=""),"",IF(G881&gt;=20000,0.05,IF(G881&gt;=10000,0.1,IF(G881&gt;=5000,0.2,IF(G881&gt;=1000,0.3,IF(G881&gt;=0,0.4,{0}))))))</f>
        <v/>
      </c>
      <c r="P881" s="332">
        <f>IF(AND(B881="",C881=""),"",ROUND(H881*O881,2))</f>
        <v/>
      </c>
      <c r="Q881" s="327" t="inlineStr">
        <is>
          <t>元件</t>
        </is>
      </c>
      <c r="R881" s="150" t="n"/>
      <c r="S881" s="150" t="n"/>
      <c r="T881" s="150" t="inlineStr">
        <is>
          <t>0</t>
        </is>
      </c>
      <c r="U881" s="150" t="inlineStr">
        <is>
          <t>LV429338T</t>
        </is>
      </c>
      <c r="V881" s="328" t="n"/>
      <c r="W881" s="328" t="n"/>
      <c r="X881" s="152" t="n"/>
    </row>
    <row r="882" customFormat="1" s="145">
      <c r="A882" s="36">
        <f>ROW()-ROW(A$876)</f>
        <v/>
      </c>
      <c r="B882" s="29" t="inlineStr">
        <is>
          <t>新外观延伸旋转手柄</t>
        </is>
      </c>
      <c r="C882" s="29" t="inlineStr">
        <is>
          <t>标准延伸旋转手柄/新外观延伸旋转手柄 400/630A</t>
        </is>
      </c>
      <c r="D882" s="25" t="inlineStr">
        <is>
          <t>甲供/施耐德电气</t>
        </is>
      </c>
      <c r="E882" s="30" t="inlineStr">
        <is>
          <t>只</t>
        </is>
      </c>
      <c r="F882" s="30" t="n">
        <v>1</v>
      </c>
      <c r="G882" s="297">
        <f>IF(AND(B882="",C882=""),"",ROUND(M882*L882*N882,2))</f>
        <v/>
      </c>
      <c r="H882" s="297">
        <f>IF(AND(B882="",C882=""),"",ROUND(F882*G882,2))</f>
        <v/>
      </c>
      <c r="I882" s="135" t="n"/>
      <c r="J882" s="329">
        <f>IF(AND(B882="",C882=""),"",ROUND(M882*N882,2))</f>
        <v/>
      </c>
      <c r="K882" s="330">
        <f>IF(AND(B882="",C882=""),"",ROUND(J882*F882,2))</f>
        <v/>
      </c>
      <c r="L882" s="126" t="n">
        <v>1</v>
      </c>
      <c r="M882" s="331" t="n">
        <v>270.62</v>
      </c>
      <c r="N882" s="128" t="n">
        <v>0</v>
      </c>
      <c r="O882" s="129">
        <f t="array" ref="O882">IF(AND(B882="",C882=""),"",IF(G882&gt;=20000,0.05,IF(G882&gt;=10000,0.1,IF(G882&gt;=5000,0.2,IF(G882&gt;=1000,0.3,IF(G882&gt;=0,0.4,{0}))))))</f>
        <v/>
      </c>
      <c r="P882" s="332">
        <f>IF(AND(B882="",C882=""),"",ROUND(H882*O882,2))</f>
        <v/>
      </c>
      <c r="Q882" s="327" t="inlineStr">
        <is>
          <t>元件</t>
        </is>
      </c>
      <c r="R882" s="150" t="n"/>
      <c r="S882" s="150" t="n"/>
      <c r="T882" s="150" t="inlineStr">
        <is>
          <t>0</t>
        </is>
      </c>
      <c r="U882" s="150" t="inlineStr">
        <is>
          <t>LV432598T</t>
        </is>
      </c>
      <c r="V882" s="328" t="n"/>
      <c r="W882" s="328" t="n"/>
      <c r="X882" s="152" t="n"/>
    </row>
    <row r="883" customFormat="1" s="145">
      <c r="A883" s="36">
        <f>ROW()-ROW(A$876)</f>
        <v/>
      </c>
      <c r="B883" s="29" t="inlineStr">
        <is>
          <t>MX分励脱扣器</t>
        </is>
      </c>
      <c r="C883" s="29" t="inlineStr">
        <is>
          <t>MX分励AC220-240V/208-277V/100-630A</t>
        </is>
      </c>
      <c r="D883" s="25" t="inlineStr">
        <is>
          <t>甲供/施耐德电气</t>
        </is>
      </c>
      <c r="E883" s="30" t="inlineStr">
        <is>
          <t>只</t>
        </is>
      </c>
      <c r="F883" s="30" t="n">
        <v>4</v>
      </c>
      <c r="G883" s="297">
        <f>IF(AND(B883="",C883=""),"",ROUND(M883*L883*N883,2))</f>
        <v/>
      </c>
      <c r="H883" s="297">
        <f>IF(AND(B883="",C883=""),"",ROUND(F883*G883,2))</f>
        <v/>
      </c>
      <c r="I883" s="135" t="n"/>
      <c r="J883" s="329">
        <f>IF(AND(B883="",C883=""),"",ROUND(M883*N883,2))</f>
        <v/>
      </c>
      <c r="K883" s="330">
        <f>IF(AND(B883="",C883=""),"",ROUND(J883*F883,2))</f>
        <v/>
      </c>
      <c r="L883" s="126" t="n">
        <v>1</v>
      </c>
      <c r="M883" s="331" t="n">
        <v>314.03</v>
      </c>
      <c r="N883" s="128" t="n">
        <v>0</v>
      </c>
      <c r="O883" s="129">
        <f t="array" ref="O883">IF(AND(B883="",C883=""),"",IF(G883&gt;=20000,0.05,IF(G883&gt;=10000,0.1,IF(G883&gt;=5000,0.2,IF(G883&gt;=1000,0.3,IF(G883&gt;=0,0.4,{0}))))))</f>
        <v/>
      </c>
      <c r="P883" s="332">
        <f>IF(AND(B883="",C883=""),"",ROUND(H883*O883,2))</f>
        <v/>
      </c>
      <c r="Q883" s="327" t="inlineStr">
        <is>
          <t>元件</t>
        </is>
      </c>
      <c r="R883" s="150" t="n"/>
      <c r="S883" s="150" t="n"/>
      <c r="T883" s="150" t="inlineStr">
        <is>
          <t>0</t>
        </is>
      </c>
      <c r="U883" s="150" t="inlineStr">
        <is>
          <t>LV429387</t>
        </is>
      </c>
      <c r="V883" s="328" t="n"/>
      <c r="W883" s="328" t="n"/>
      <c r="X883" s="152" t="n"/>
    </row>
    <row r="884" customFormat="1" s="145">
      <c r="A884" s="36">
        <f>ROW()-ROW(A$876)</f>
        <v/>
      </c>
      <c r="B884" s="29" t="inlineStr">
        <is>
          <t>辅助触点OF</t>
        </is>
      </c>
      <c r="C884" s="25" t="inlineStr">
        <is>
          <t>OF</t>
        </is>
      </c>
      <c r="D884" s="25" t="inlineStr">
        <is>
          <t>甲供/施耐德电气</t>
        </is>
      </c>
      <c r="E884" s="30" t="inlineStr">
        <is>
          <t>只</t>
        </is>
      </c>
      <c r="F884" s="30" t="n">
        <v>8</v>
      </c>
      <c r="G884" s="297">
        <f>IF(AND(B884="",C884=""),"",ROUND(M884*L884*N884,2))</f>
        <v/>
      </c>
      <c r="H884" s="297">
        <f>IF(AND(B884="",C884=""),"",ROUND(F884*G884,2))</f>
        <v/>
      </c>
      <c r="I884" s="135" t="n"/>
      <c r="J884" s="329">
        <f>IF(AND(B884="",C884=""),"",ROUND(M884*N884,2))</f>
        <v/>
      </c>
      <c r="K884" s="330">
        <f>IF(AND(B884="",C884=""),"",ROUND(J884*F884,2))</f>
        <v/>
      </c>
      <c r="L884" s="126" t="n">
        <v>1</v>
      </c>
      <c r="M884" s="331" t="n">
        <v>174.01</v>
      </c>
      <c r="N884" s="128" t="n">
        <v>0</v>
      </c>
      <c r="O884" s="129">
        <f t="array" ref="O884">IF(AND(B884="",C884=""),"",IF(G884&gt;=20000,0.05,IF(G884&gt;=10000,0.1,IF(G884&gt;=5000,0.2,IF(G884&gt;=1000,0.3,IF(G884&gt;=0,0.4,{0}))))))</f>
        <v/>
      </c>
      <c r="P884" s="332">
        <f>IF(AND(B884="",C884=""),"",ROUND(H884*O884,2))</f>
        <v/>
      </c>
      <c r="Q884" s="327" t="inlineStr">
        <is>
          <t>元件</t>
        </is>
      </c>
      <c r="R884" s="150" t="n"/>
      <c r="S884" s="150" t="n"/>
      <c r="T884" s="150" t="inlineStr">
        <is>
          <t>0</t>
        </is>
      </c>
      <c r="U884" s="150" t="inlineStr">
        <is>
          <t>29450</t>
        </is>
      </c>
      <c r="V884" s="328" t="n"/>
      <c r="W884" s="328" t="n"/>
      <c r="X884" s="152" t="n"/>
    </row>
    <row r="885" customFormat="1" s="145">
      <c r="A885" s="36">
        <f>ROW()-ROW(A$876)</f>
        <v/>
      </c>
      <c r="B885" s="29" t="inlineStr">
        <is>
          <t>测量电流互感器</t>
        </is>
      </c>
      <c r="C885" s="25" t="inlineStr">
        <is>
          <t>SD-0.66-80II-V 1000/5A</t>
        </is>
      </c>
      <c r="D885" s="29" t="inlineStr">
        <is>
          <t>杭州桑迪</t>
        </is>
      </c>
      <c r="E885" s="30" t="inlineStr">
        <is>
          <t>只</t>
        </is>
      </c>
      <c r="F885" s="30" t="n">
        <v>3</v>
      </c>
      <c r="G885" s="297">
        <f>IF(AND(B885="",C885=""),"",ROUND(M885*L885*N885,2))</f>
        <v/>
      </c>
      <c r="H885" s="297">
        <f>IF(AND(B885="",C885=""),"",ROUND(F885*G885,2))</f>
        <v/>
      </c>
      <c r="I885" s="135" t="n"/>
      <c r="J885" s="329">
        <f>IF(AND(B885="",C885=""),"",ROUND(M885*N885,2))</f>
        <v/>
      </c>
      <c r="K885" s="330">
        <f>IF(AND(B885="",C885=""),"",ROUND(J885*F885,2))</f>
        <v/>
      </c>
      <c r="L885" s="126" t="n">
        <v>1</v>
      </c>
      <c r="M885" s="331" t="n">
        <v>91.65000000000001</v>
      </c>
      <c r="N885" s="128" t="n">
        <v>1</v>
      </c>
      <c r="O885" s="129">
        <f t="array" ref="O885">IF(AND(B885="",C885=""),"",IF(G885&gt;=20000,0.05,IF(G885&gt;=10000,0.1,IF(G885&gt;=5000,0.2,IF(G885&gt;=1000,0.3,IF(G885&gt;=0,0.4,{0}))))))</f>
        <v/>
      </c>
      <c r="P885" s="332">
        <f>IF(AND(B885="",C885=""),"",ROUND(H885*O885,2))</f>
        <v/>
      </c>
      <c r="Q885" s="327" t="inlineStr">
        <is>
          <t>元件</t>
        </is>
      </c>
      <c r="R885" s="150" t="n"/>
      <c r="S885" s="150" t="n"/>
      <c r="T885" s="150" t="inlineStr">
        <is>
          <t>0</t>
        </is>
      </c>
      <c r="U885" s="150" t="n"/>
      <c r="V885" s="328" t="n"/>
      <c r="W885" s="328" t="n"/>
      <c r="X885" s="152" t="n"/>
    </row>
    <row r="886" customFormat="1" s="145">
      <c r="A886" s="36">
        <f>ROW()-ROW(A$876)</f>
        <v/>
      </c>
      <c r="B886" s="29" t="inlineStr">
        <is>
          <t>测量电流互感器</t>
        </is>
      </c>
      <c r="C886" s="29" t="inlineStr">
        <is>
          <t>SD-0.66-M8 100/5A</t>
        </is>
      </c>
      <c r="D886" s="29" t="inlineStr">
        <is>
          <t>杭州桑迪</t>
        </is>
      </c>
      <c r="E886" s="30" t="inlineStr">
        <is>
          <t>只</t>
        </is>
      </c>
      <c r="F886" s="30" t="n">
        <v>6</v>
      </c>
      <c r="G886" s="297">
        <f>IF(AND(B886="",C886=""),"",ROUND(M886*L886*N886,2))</f>
        <v/>
      </c>
      <c r="H886" s="297">
        <f>IF(AND(B886="",C886=""),"",ROUND(F886*G886,2))</f>
        <v/>
      </c>
      <c r="I886" s="135" t="n"/>
      <c r="J886" s="329">
        <f>IF(AND(B886="",C886=""),"",ROUND(M886*N886,2))</f>
        <v/>
      </c>
      <c r="K886" s="330">
        <f>IF(AND(B886="",C886=""),"",ROUND(J886*F886,2))</f>
        <v/>
      </c>
      <c r="L886" s="126" t="n">
        <v>1</v>
      </c>
      <c r="M886" s="331" t="n">
        <v>61.75</v>
      </c>
      <c r="N886" s="128" t="n">
        <v>1</v>
      </c>
      <c r="O886" s="129">
        <f t="array" ref="O886">IF(AND(B886="",C886=""),"",IF(G886&gt;=20000,0.05,IF(G886&gt;=10000,0.1,IF(G886&gt;=5000,0.2,IF(G886&gt;=1000,0.3,IF(G886&gt;=0,0.4,{0}))))))</f>
        <v/>
      </c>
      <c r="P886" s="332">
        <f>IF(AND(B886="",C886=""),"",ROUND(H886*O886,2))</f>
        <v/>
      </c>
      <c r="Q886" s="327" t="inlineStr">
        <is>
          <t>元件</t>
        </is>
      </c>
      <c r="R886" s="150" t="n"/>
      <c r="S886" s="150" t="n"/>
      <c r="T886" s="150" t="inlineStr">
        <is>
          <t>0</t>
        </is>
      </c>
      <c r="U886" s="150" t="n"/>
      <c r="V886" s="328" t="n"/>
      <c r="W886" s="328" t="n"/>
      <c r="X886" s="152" t="n"/>
    </row>
    <row r="887" customFormat="1" s="145">
      <c r="A887" s="36">
        <f>ROW()-ROW(A$876)</f>
        <v/>
      </c>
      <c r="B887" s="29" t="inlineStr">
        <is>
          <t>测量电流互感器</t>
        </is>
      </c>
      <c r="C887" s="29" t="inlineStr">
        <is>
          <t>SD-0.66-30I 250/5A</t>
        </is>
      </c>
      <c r="D887" s="29" t="inlineStr">
        <is>
          <t>杭州桑迪</t>
        </is>
      </c>
      <c r="E887" s="30" t="inlineStr">
        <is>
          <t>只</t>
        </is>
      </c>
      <c r="F887" s="30" t="n">
        <v>3</v>
      </c>
      <c r="G887" s="297">
        <f>IF(AND(B887="",C887=""),"",ROUND(M887*L887*N887,2))</f>
        <v/>
      </c>
      <c r="H887" s="297">
        <f>IF(AND(B887="",C887=""),"",ROUND(F887*G887,2))</f>
        <v/>
      </c>
      <c r="I887" s="135" t="n"/>
      <c r="J887" s="329">
        <f>IF(AND(B887="",C887=""),"",ROUND(M887*N887,2))</f>
        <v/>
      </c>
      <c r="K887" s="330">
        <f>IF(AND(B887="",C887=""),"",ROUND(J887*F887,2))</f>
        <v/>
      </c>
      <c r="L887" s="126" t="n">
        <v>1</v>
      </c>
      <c r="M887" s="331" t="n">
        <v>26.65</v>
      </c>
      <c r="N887" s="128" t="n">
        <v>1</v>
      </c>
      <c r="O887" s="129">
        <f t="array" ref="O887">IF(AND(B887="",C887=""),"",IF(G887&gt;=20000,0.05,IF(G887&gt;=10000,0.1,IF(G887&gt;=5000,0.2,IF(G887&gt;=1000,0.3,IF(G887&gt;=0,0.4,{0}))))))</f>
        <v/>
      </c>
      <c r="P887" s="332">
        <f>IF(AND(B887="",C887=""),"",ROUND(H887*O887,2))</f>
        <v/>
      </c>
      <c r="Q887" s="327" t="inlineStr">
        <is>
          <t>元件</t>
        </is>
      </c>
      <c r="R887" s="150" t="n"/>
      <c r="S887" s="150" t="n"/>
      <c r="T887" s="150" t="inlineStr">
        <is>
          <t>0</t>
        </is>
      </c>
      <c r="U887" s="150" t="n"/>
      <c r="V887" s="328" t="n"/>
      <c r="W887" s="328" t="n"/>
      <c r="X887" s="152" t="n"/>
    </row>
    <row r="888" customFormat="1" s="145">
      <c r="A888" s="36">
        <f>ROW()-ROW(A$876)</f>
        <v/>
      </c>
      <c r="B888" s="29" t="inlineStr">
        <is>
          <t>测量电流互感器</t>
        </is>
      </c>
      <c r="C888" s="29" t="inlineStr">
        <is>
          <t>SD-0.66-40II-C 400/5A</t>
        </is>
      </c>
      <c r="D888" s="29" t="inlineStr">
        <is>
          <t>杭州桑迪</t>
        </is>
      </c>
      <c r="E888" s="30" t="inlineStr">
        <is>
          <t>只</t>
        </is>
      </c>
      <c r="F888" s="30" t="n">
        <v>3</v>
      </c>
      <c r="G888" s="297">
        <f>IF(AND(B888="",C888=""),"",ROUND(M888*L888*N888,2))</f>
        <v/>
      </c>
      <c r="H888" s="297">
        <f>IF(AND(B888="",C888=""),"",ROUND(F888*G888,2))</f>
        <v/>
      </c>
      <c r="I888" s="135" t="n"/>
      <c r="J888" s="329">
        <f>IF(AND(B888="",C888=""),"",ROUND(M888*N888,2))</f>
        <v/>
      </c>
      <c r="K888" s="330">
        <f>IF(AND(B888="",C888=""),"",ROUND(J888*F888,2))</f>
        <v/>
      </c>
      <c r="L888" s="126" t="n">
        <v>1</v>
      </c>
      <c r="M888" s="331" t="n">
        <v>52</v>
      </c>
      <c r="N888" s="128" t="n">
        <v>1</v>
      </c>
      <c r="O888" s="129">
        <f t="array" ref="O888">IF(AND(B888="",C888=""),"",IF(G888&gt;=20000,0.05,IF(G888&gt;=10000,0.1,IF(G888&gt;=5000,0.2,IF(G888&gt;=1000,0.3,IF(G888&gt;=0,0.4,{0}))))))</f>
        <v/>
      </c>
      <c r="P888" s="332">
        <f>IF(AND(B888="",C888=""),"",ROUND(H888*O888,2))</f>
        <v/>
      </c>
      <c r="Q888" s="327" t="inlineStr">
        <is>
          <t>元件</t>
        </is>
      </c>
      <c r="R888" s="150" t="n"/>
      <c r="S888" s="150" t="n"/>
      <c r="T888" s="150" t="inlineStr">
        <is>
          <t>0</t>
        </is>
      </c>
      <c r="U888" s="150" t="n"/>
      <c r="V888" s="328" t="n"/>
      <c r="W888" s="328" t="n"/>
      <c r="X888" s="152" t="n"/>
    </row>
    <row r="889" customFormat="1" s="145">
      <c r="A889" s="36">
        <f>ROW()-ROW(A$876)</f>
        <v/>
      </c>
      <c r="B889" s="25" t="inlineStr">
        <is>
          <t>多功能表</t>
        </is>
      </c>
      <c r="C889" s="25" t="inlineStr">
        <is>
          <t>PM4101</t>
        </is>
      </c>
      <c r="D889" s="25" t="inlineStr">
        <is>
          <t>甲供/施耐德电气</t>
        </is>
      </c>
      <c r="E889" s="30" t="inlineStr">
        <is>
          <t>只</t>
        </is>
      </c>
      <c r="F889" s="26" t="n">
        <v>5</v>
      </c>
      <c r="G889" s="293">
        <f>IF(AND(B889="",C889=""),"",ROUND(M889*L889*N889,2))</f>
        <v/>
      </c>
      <c r="H889" s="293">
        <f>IF(AND(B889="",C889=""),"",ROUND(F889*G889,2))</f>
        <v/>
      </c>
      <c r="I889" s="91" t="n"/>
      <c r="J889" s="329">
        <f>IF(AND(B889="",C889=""),"",ROUND(M889*N889,2))</f>
        <v/>
      </c>
      <c r="K889" s="330">
        <f>IF(AND(B889="",C889=""),"",ROUND(J889*F889,2))</f>
        <v/>
      </c>
      <c r="L889" s="126" t="n">
        <v>1</v>
      </c>
      <c r="M889" s="331" t="n">
        <v>1e-07</v>
      </c>
      <c r="N889" s="128" t="n">
        <v>0</v>
      </c>
      <c r="O889" s="129">
        <f t="array" ref="O889">IF(AND(B889="",C889=""),"",IF(G889&gt;=20000,0.05,IF(G889&gt;=10000,0.1,IF(G889&gt;=5000,0.2,IF(G889&gt;=1000,0.3,IF(G889&gt;=0,0.4,{0}))))))</f>
        <v/>
      </c>
      <c r="P889" s="332">
        <f>IF(AND(B889="",C889=""),"",ROUND(H889*O889,2))</f>
        <v/>
      </c>
      <c r="Q889" s="327" t="inlineStr">
        <is>
          <t>元件</t>
        </is>
      </c>
      <c r="R889" s="150" t="n"/>
      <c r="S889" s="150" t="n"/>
      <c r="T889" s="150" t="inlineStr">
        <is>
          <t>0</t>
        </is>
      </c>
      <c r="U889" s="150" t="n"/>
      <c r="V889" s="328" t="n"/>
      <c r="W889" s="328" t="n"/>
      <c r="X889" s="152" t="n"/>
    </row>
    <row r="890" customFormat="1" s="145">
      <c r="A890" s="36">
        <f>ROW()-ROW(A$876)</f>
        <v/>
      </c>
      <c r="B890" s="29" t="inlineStr">
        <is>
          <t>指示灯</t>
        </is>
      </c>
      <c r="C890" s="29" t="inlineStr">
        <is>
          <t>XA2EVM3LC</t>
        </is>
      </c>
      <c r="D890" s="29" t="inlineStr">
        <is>
          <t>施耐德电气</t>
        </is>
      </c>
      <c r="E890" s="30" t="inlineStr">
        <is>
          <t>只</t>
        </is>
      </c>
      <c r="F890" s="30" t="n">
        <v>5</v>
      </c>
      <c r="G890" s="297">
        <f>IF(AND(B890="",C890=""),"",ROUND(M890*L890*N890,2))</f>
        <v/>
      </c>
      <c r="H890" s="297">
        <f>IF(AND(B890="",C890=""),"",ROUND(F890*G890,2))</f>
        <v/>
      </c>
      <c r="I890" s="136" t="n"/>
      <c r="J890" s="329">
        <f>IF(AND(B890="",C890=""),"",ROUND(M890*N890,2))</f>
        <v/>
      </c>
      <c r="K890" s="330">
        <f>IF(AND(B890="",C890=""),"",ROUND(J890*F890,2))</f>
        <v/>
      </c>
      <c r="L890" s="126" t="n">
        <v>1</v>
      </c>
      <c r="M890" s="331" t="n">
        <v>16.43</v>
      </c>
      <c r="N890" s="137" t="n">
        <v>0.5</v>
      </c>
      <c r="O890" s="138">
        <f t="array" ref="O890">IF(AND(B890="",C890=""),"",IF(G890&gt;=20000,0.05,IF(G890&gt;=10000,0.1,IF(G890&gt;=5000,0.2,IF(G890&gt;=1000,0.3,IF(G890&gt;=0,0.4,{0}))))))</f>
        <v/>
      </c>
      <c r="P890" s="333">
        <f>IF(AND(B890="",C890=""),"",ROUND(H890*O890,2))</f>
        <v/>
      </c>
      <c r="Q890" s="334" t="inlineStr">
        <is>
          <t>元件</t>
        </is>
      </c>
      <c r="R890" s="154" t="n"/>
      <c r="S890" s="154" t="n"/>
      <c r="T890" s="154" t="inlineStr">
        <is>
          <t>0</t>
        </is>
      </c>
      <c r="U890" s="154" t="inlineStr">
        <is>
          <t>XA2EVM3LC</t>
        </is>
      </c>
      <c r="V890" s="335" t="n"/>
      <c r="W890" s="335" t="n"/>
      <c r="X890" s="152" t="n"/>
    </row>
    <row r="891" customFormat="1" s="145">
      <c r="A891" s="36">
        <f>ROW()-ROW(A$876)</f>
        <v/>
      </c>
      <c r="B891" s="29" t="inlineStr">
        <is>
          <t>指示灯</t>
        </is>
      </c>
      <c r="C891" s="25" t="inlineStr">
        <is>
          <t>XA2EVM4LC</t>
        </is>
      </c>
      <c r="D891" s="29" t="inlineStr">
        <is>
          <t>施耐德电气</t>
        </is>
      </c>
      <c r="E891" s="30" t="inlineStr">
        <is>
          <t>只</t>
        </is>
      </c>
      <c r="F891" s="30" t="n">
        <v>5</v>
      </c>
      <c r="G891" s="297">
        <f>IF(AND(B891="",C891=""),"",ROUND(M891*L891*N891,2))</f>
        <v/>
      </c>
      <c r="H891" s="297">
        <f>IF(AND(B891="",C891=""),"",ROUND(F891*G891,2))</f>
        <v/>
      </c>
      <c r="I891" s="136" t="n"/>
      <c r="J891" s="329">
        <f>IF(AND(B891="",C891=""),"",ROUND(M891*N891,2))</f>
        <v/>
      </c>
      <c r="K891" s="330">
        <f>IF(AND(B891="",C891=""),"",ROUND(J891*F891,2))</f>
        <v/>
      </c>
      <c r="L891" s="126" t="n">
        <v>1</v>
      </c>
      <c r="M891" s="331" t="n">
        <v>16.43</v>
      </c>
      <c r="N891" s="137" t="n">
        <v>0.5</v>
      </c>
      <c r="O891" s="138">
        <f t="array" ref="O891">IF(AND(B891="",C891=""),"",IF(G891&gt;=20000,0.05,IF(G891&gt;=10000,0.1,IF(G891&gt;=5000,0.2,IF(G891&gt;=1000,0.3,IF(G891&gt;=0,0.4,{0}))))))</f>
        <v/>
      </c>
      <c r="P891" s="333">
        <f>IF(AND(B891="",C891=""),"",ROUND(H891*O891,2))</f>
        <v/>
      </c>
      <c r="Q891" s="334" t="inlineStr">
        <is>
          <t>元件</t>
        </is>
      </c>
      <c r="R891" s="154" t="n"/>
      <c r="S891" s="154" t="n"/>
      <c r="T891" s="154" t="inlineStr">
        <is>
          <t>0</t>
        </is>
      </c>
      <c r="U891" s="154" t="inlineStr">
        <is>
          <t>XA2EVM4LC</t>
        </is>
      </c>
      <c r="V891" s="335" t="n"/>
      <c r="W891" s="335" t="n"/>
      <c r="X891" s="152" t="n"/>
    </row>
    <row r="892" customFormat="1" s="145">
      <c r="A892" s="36">
        <f>ROW()-ROW(A$876)</f>
        <v/>
      </c>
      <c r="B892" s="29" t="inlineStr">
        <is>
          <t>指示灯</t>
        </is>
      </c>
      <c r="C892" s="29" t="inlineStr">
        <is>
          <t>XA2EVM5LC</t>
        </is>
      </c>
      <c r="D892" s="29" t="inlineStr">
        <is>
          <t>施耐德电气</t>
        </is>
      </c>
      <c r="E892" s="30" t="inlineStr">
        <is>
          <t>只</t>
        </is>
      </c>
      <c r="F892" s="30" t="n">
        <v>1</v>
      </c>
      <c r="G892" s="297">
        <f>IF(AND(B892="",C892=""),"",ROUND(M892*L892*N892,2))</f>
        <v/>
      </c>
      <c r="H892" s="297">
        <f>IF(AND(B892="",C892=""),"",ROUND(F892*G892,2))</f>
        <v/>
      </c>
      <c r="I892" s="136" t="n"/>
      <c r="J892" s="329">
        <f>IF(AND(B892="",C892=""),"",ROUND(M892*N892,2))</f>
        <v/>
      </c>
      <c r="K892" s="330">
        <f>IF(AND(B892="",C892=""),"",ROUND(J892*F892,2))</f>
        <v/>
      </c>
      <c r="L892" s="126" t="n">
        <v>1</v>
      </c>
      <c r="M892" s="331" t="n">
        <v>16.43</v>
      </c>
      <c r="N892" s="137" t="n">
        <v>0.5</v>
      </c>
      <c r="O892" s="138">
        <f t="array" ref="O892">IF(AND(B892="",C892=""),"",IF(G892&gt;=20000,0.05,IF(G892&gt;=10000,0.1,IF(G892&gt;=5000,0.2,IF(G892&gt;=1000,0.3,IF(G892&gt;=0,0.4,{0}))))))</f>
        <v/>
      </c>
      <c r="P892" s="333">
        <f>IF(AND(B892="",C892=""),"",ROUND(H892*O892,2))</f>
        <v/>
      </c>
      <c r="Q892" s="334" t="inlineStr">
        <is>
          <t>元件</t>
        </is>
      </c>
      <c r="R892" s="154" t="n"/>
      <c r="S892" s="154" t="n"/>
      <c r="T892" s="154" t="inlineStr">
        <is>
          <t>0</t>
        </is>
      </c>
      <c r="U892" s="154" t="inlineStr">
        <is>
          <t>XA2EVM5LC</t>
        </is>
      </c>
      <c r="V892" s="335" t="n"/>
      <c r="W892" s="335" t="n"/>
      <c r="X892" s="152" t="n"/>
    </row>
    <row r="893" customFormat="1" s="145">
      <c r="A893" s="36">
        <f>ROW()-ROW(A$876)</f>
        <v/>
      </c>
      <c r="B893" s="29" t="inlineStr">
        <is>
          <t>按钮</t>
        </is>
      </c>
      <c r="C893" s="29" t="inlineStr">
        <is>
          <t>XA2EA31</t>
        </is>
      </c>
      <c r="D893" s="29" t="inlineStr">
        <is>
          <t>施耐德电气</t>
        </is>
      </c>
      <c r="E893" s="30" t="inlineStr">
        <is>
          <t>只</t>
        </is>
      </c>
      <c r="F893" s="30" t="n">
        <v>1</v>
      </c>
      <c r="G893" s="297">
        <f>IF(AND(B893="",C893=""),"",ROUND(M893*L893*N893,2))</f>
        <v/>
      </c>
      <c r="H893" s="297">
        <f>IF(AND(B893="",C893=""),"",ROUND(F893*G893,2))</f>
        <v/>
      </c>
      <c r="I893" s="136" t="n"/>
      <c r="J893" s="329">
        <f>IF(AND(B893="",C893=""),"",ROUND(M893*N893,2))</f>
        <v/>
      </c>
      <c r="K893" s="330">
        <f>IF(AND(B893="",C893=""),"",ROUND(J893*F893,2))</f>
        <v/>
      </c>
      <c r="L893" s="126" t="n">
        <v>1</v>
      </c>
      <c r="M893" s="331" t="n">
        <v>15.55</v>
      </c>
      <c r="N893" s="137" t="n">
        <v>0.5</v>
      </c>
      <c r="O893" s="138">
        <f t="array" ref="O893">IF(AND(B893="",C893=""),"",IF(G893&gt;=20000,0.05,IF(G893&gt;=10000,0.1,IF(G893&gt;=5000,0.2,IF(G893&gt;=1000,0.3,IF(G893&gt;=0,0.4,{0}))))))</f>
        <v/>
      </c>
      <c r="P893" s="333">
        <f>IF(AND(B893="",C893=""),"",ROUND(H893*O893,2))</f>
        <v/>
      </c>
      <c r="Q893" s="334" t="inlineStr">
        <is>
          <t>元件</t>
        </is>
      </c>
      <c r="R893" s="154" t="n"/>
      <c r="S893" s="154" t="n"/>
      <c r="T893" s="154" t="inlineStr">
        <is>
          <t>0</t>
        </is>
      </c>
      <c r="U893" s="154" t="inlineStr">
        <is>
          <t>XA2EA31</t>
        </is>
      </c>
      <c r="V893" s="335" t="n"/>
      <c r="W893" s="335" t="n"/>
      <c r="X893" s="152" t="n"/>
    </row>
    <row r="894" customFormat="1" s="145">
      <c r="A894" s="36">
        <f>ROW()-ROW(A$876)</f>
        <v/>
      </c>
      <c r="B894" s="25" t="inlineStr">
        <is>
          <t>按钮</t>
        </is>
      </c>
      <c r="C894" s="25" t="inlineStr">
        <is>
          <t>XA2EA41</t>
        </is>
      </c>
      <c r="D894" s="25" t="inlineStr">
        <is>
          <t>施耐德电气</t>
        </is>
      </c>
      <c r="E894" s="26" t="inlineStr">
        <is>
          <t>只</t>
        </is>
      </c>
      <c r="F894" s="26" t="n">
        <v>1</v>
      </c>
      <c r="G894" s="293">
        <f>IF(AND(B894="",C894=""),"",ROUND(M894*L894*N894,2))</f>
        <v/>
      </c>
      <c r="H894" s="297">
        <f>IF(AND(B894="",C894=""),"",ROUND(F894*G894,2))</f>
        <v/>
      </c>
      <c r="I894" s="136" t="n"/>
      <c r="J894" s="329">
        <f>IF(AND(B894="",C894=""),"",ROUND(M894*N894,2))</f>
        <v/>
      </c>
      <c r="K894" s="330">
        <f>IF(AND(B894="",C894=""),"",ROUND(J894*F894,2))</f>
        <v/>
      </c>
      <c r="L894" s="126" t="n">
        <v>1</v>
      </c>
      <c r="M894" s="331" t="n">
        <v>15.55</v>
      </c>
      <c r="N894" s="137" t="n">
        <v>0.5</v>
      </c>
      <c r="O894" s="138">
        <f t="array" ref="O894">IF(AND(B894="",C894=""),"",IF(G894&gt;=20000,0.05,IF(G894&gt;=10000,0.1,IF(G894&gt;=5000,0.2,IF(G894&gt;=1000,0.3,IF(G894&gt;=0,0.4,{0}))))))</f>
        <v/>
      </c>
      <c r="P894" s="333">
        <f>IF(AND(B894="",C894=""),"",ROUND(H894*O894,2))</f>
        <v/>
      </c>
      <c r="Q894" s="334" t="inlineStr">
        <is>
          <t>元件</t>
        </is>
      </c>
      <c r="R894" s="154" t="n"/>
      <c r="S894" s="154" t="n"/>
      <c r="T894" s="154" t="inlineStr">
        <is>
          <t>0</t>
        </is>
      </c>
      <c r="U894" s="154" t="inlineStr">
        <is>
          <t>XA2EA41</t>
        </is>
      </c>
      <c r="V894" s="335" t="n"/>
      <c r="W894" s="335" t="n"/>
      <c r="X894" s="152" t="n"/>
    </row>
    <row r="895" customFormat="1" s="145">
      <c r="A895" s="36">
        <f>ROW()-ROW(A$876)</f>
        <v/>
      </c>
      <c r="B895" s="25" t="inlineStr">
        <is>
          <t>中间继电器</t>
        </is>
      </c>
      <c r="C895" s="25" t="inlineStr">
        <is>
          <t>RXM4AB2P7+RXZE1M4C+RXZ410</t>
        </is>
      </c>
      <c r="D895" s="25" t="inlineStr">
        <is>
          <t>甲供/施耐德电气</t>
        </is>
      </c>
      <c r="E895" s="26" t="inlineStr">
        <is>
          <t>只</t>
        </is>
      </c>
      <c r="F895" s="26" t="n">
        <v>5</v>
      </c>
      <c r="G895" s="292">
        <f>IF(AND(B895="",C895=""),"",ROUND(M895*L895*N895,2))</f>
        <v/>
      </c>
      <c r="H895" s="297">
        <f>IF(AND(B895="",C895=""),"",ROUND(F895*G895,2))</f>
        <v/>
      </c>
      <c r="I895" s="135" t="n"/>
      <c r="J895" s="329">
        <f>IF(AND(B895="",C895=""),"",ROUND(M895*N895,2))</f>
        <v/>
      </c>
      <c r="K895" s="330">
        <f>IF(AND(B895="",C895=""),"",ROUND(J895*F895,2))</f>
        <v/>
      </c>
      <c r="L895" s="126" t="n">
        <v>1</v>
      </c>
      <c r="M895" s="331" t="n">
        <v>1e-07</v>
      </c>
      <c r="N895" s="128" t="n">
        <v>0</v>
      </c>
      <c r="O895" s="129">
        <f t="array" ref="O895">IF(AND(B895="",C895=""),"",IF(G895&gt;=20000,0.05,IF(G895&gt;=10000,0.1,IF(G895&gt;=5000,0.2,IF(G895&gt;=1000,0.3,IF(G895&gt;=0,0.4,{0}))))))</f>
        <v/>
      </c>
      <c r="P895" s="332">
        <f>IF(AND(B895="",C895=""),"",ROUND(H895*O895,2))</f>
        <v/>
      </c>
      <c r="Q895" s="327" t="inlineStr">
        <is>
          <t>元件</t>
        </is>
      </c>
      <c r="R895" s="150" t="n"/>
      <c r="S895" s="150" t="n"/>
      <c r="T895" s="150" t="inlineStr">
        <is>
          <t>0</t>
        </is>
      </c>
      <c r="U895" s="150" t="n"/>
      <c r="V895" s="328" t="n"/>
      <c r="W895" s="328" t="n"/>
      <c r="X895" s="152" t="n"/>
    </row>
    <row r="896" customFormat="1" s="145">
      <c r="A896" s="36">
        <f>ROW()-ROW(A$876)</f>
        <v/>
      </c>
      <c r="B896" s="25" t="inlineStr">
        <is>
          <t>熔断器</t>
        </is>
      </c>
      <c r="C896" s="25" t="inlineStr">
        <is>
          <t>UK5-HESI</t>
        </is>
      </c>
      <c r="D896" s="25" t="inlineStr">
        <is>
          <t>菲尼克斯</t>
        </is>
      </c>
      <c r="E896" s="26" t="inlineStr">
        <is>
          <t>只</t>
        </is>
      </c>
      <c r="F896" s="26" t="n">
        <v>20</v>
      </c>
      <c r="G896" s="293">
        <f>IF(AND(B896="",C896=""),"",ROUND(M896*L896*N896,2))</f>
        <v/>
      </c>
      <c r="H896" s="297">
        <f>IF(AND(B896="",C896=""),"",ROUND(F896*G896,2))</f>
        <v/>
      </c>
      <c r="I896" s="136" t="n"/>
      <c r="J896" s="329">
        <f>IF(AND(B896="",C896=""),"",ROUND(M896*N896,2))</f>
        <v/>
      </c>
      <c r="K896" s="330">
        <f>IF(AND(B896="",C896=""),"",ROUND(J896*F896,2))</f>
        <v/>
      </c>
      <c r="L896" s="126" t="n">
        <v>1</v>
      </c>
      <c r="M896" s="331" t="n">
        <v>7</v>
      </c>
      <c r="N896" s="137" t="n">
        <v>1</v>
      </c>
      <c r="O896" s="138">
        <f t="array" ref="O896">IF(AND(B896="",C896=""),"",IF(G896&gt;=20000,0.05,IF(G896&gt;=10000,0.1,IF(G896&gt;=5000,0.2,IF(G896&gt;=1000,0.3,IF(G896&gt;=0,0.4,{0}))))))</f>
        <v/>
      </c>
      <c r="P896" s="333">
        <f>IF(AND(B896="",C896=""),"",ROUND(H896*O896,2))</f>
        <v/>
      </c>
      <c r="Q896" s="334" t="inlineStr">
        <is>
          <t>元件</t>
        </is>
      </c>
      <c r="R896" s="154" t="n"/>
      <c r="S896" s="154" t="n"/>
      <c r="T896" s="154" t="inlineStr">
        <is>
          <t>0</t>
        </is>
      </c>
      <c r="U896" s="154" t="n"/>
      <c r="V896" s="335" t="n"/>
      <c r="W896" s="335" t="n"/>
      <c r="X896" s="152" t="n"/>
    </row>
    <row r="897" customFormat="1" s="145">
      <c r="A897" s="36">
        <f>ROW()-ROW(A$876)</f>
        <v/>
      </c>
      <c r="B897" s="29" t="inlineStr">
        <is>
          <t>SP元件</t>
        </is>
      </c>
      <c r="C897" s="25" t="inlineStr">
        <is>
          <t>智能网关 PAS700</t>
        </is>
      </c>
      <c r="D897" s="25" t="inlineStr">
        <is>
          <t>甲供/施耐德电气</t>
        </is>
      </c>
      <c r="E897" s="30" t="inlineStr">
        <is>
          <t>只</t>
        </is>
      </c>
      <c r="F897" s="30">
        <f>IF(AND(B897="",C897=""),"",1)</f>
        <v/>
      </c>
      <c r="G897" s="297">
        <f>IF(AND(B897="",C897=""),"",ROUND(M897*L897*N897,2))</f>
        <v/>
      </c>
      <c r="H897" s="297">
        <f>IF(AND(B897="",C897=""),"",ROUND(F897*G897,2))</f>
        <v/>
      </c>
      <c r="I897" s="135" t="n"/>
      <c r="J897" s="329">
        <f>IF(AND(B897="",C897=""),"",ROUND(M897*N897,2))</f>
        <v/>
      </c>
      <c r="K897" s="330">
        <f>IF(AND(B897="",C897=""),"",ROUND(J897*F897,2))</f>
        <v/>
      </c>
      <c r="L897" s="126" t="n">
        <v>1</v>
      </c>
      <c r="M897" s="331" t="n">
        <v>1e-07</v>
      </c>
      <c r="N897" s="128" t="n">
        <v>0</v>
      </c>
      <c r="O897" s="129">
        <f t="array" ref="O897">IF(AND(B897="",C897=""),"",IF(G897&gt;=20000,0.05,IF(G897&gt;=10000,0.1,IF(G897&gt;=5000,0.2,IF(G897&gt;=1000,0.3,IF(G897&gt;=0,0.4,{0}))))))</f>
        <v/>
      </c>
      <c r="P897" s="332">
        <f>IF(AND(B897="",C897=""),"",ROUND(H897*O897,2))</f>
        <v/>
      </c>
      <c r="Q897" s="327" t="inlineStr">
        <is>
          <t>元件</t>
        </is>
      </c>
      <c r="R897" s="150" t="n"/>
      <c r="S897" s="150" t="n"/>
      <c r="T897" s="150" t="inlineStr">
        <is>
          <t>0</t>
        </is>
      </c>
      <c r="U897" s="150" t="n"/>
      <c r="V897" s="328" t="n"/>
      <c r="W897" s="328" t="n"/>
      <c r="X897" s="152" t="n"/>
    </row>
    <row r="898" customFormat="1" s="145">
      <c r="A898" s="36">
        <f>ROW()-ROW(A$876)</f>
        <v/>
      </c>
      <c r="B898" s="25" t="inlineStr">
        <is>
          <t>水平排4000A</t>
        </is>
      </c>
      <c r="C898" s="25" t="inlineStr">
        <is>
          <t>TMY 3*(4*125*5)+2*125*5+2*50*5</t>
        </is>
      </c>
      <c r="D898" s="25" t="inlineStr">
        <is>
          <t>国产优质</t>
        </is>
      </c>
      <c r="E898" s="26" t="inlineStr">
        <is>
          <t>米</t>
        </is>
      </c>
      <c r="F898" s="30" t="n">
        <v>0.8</v>
      </c>
      <c r="G898" s="297">
        <f>IF(AND(B898="",C898=""),"",ROUND(M898*L898*N898,2))</f>
        <v/>
      </c>
      <c r="H898" s="297">
        <f>IF(AND(B898="",C898=""),"",ROUND(F898*G898,2))</f>
        <v/>
      </c>
      <c r="I898" s="135" t="n"/>
      <c r="J898" s="329">
        <f>IF(AND(B898="",C898=""),"",ROUND(M898*N898,2))</f>
        <v/>
      </c>
      <c r="K898" s="330">
        <f>IF(AND(B898="",C898=""),"",ROUND(J898*F898,2))</f>
        <v/>
      </c>
      <c r="L898" s="126" t="n">
        <v>1</v>
      </c>
      <c r="M898" s="331" t="n">
        <v>6895.130375</v>
      </c>
      <c r="N898" s="128" t="n">
        <v>1</v>
      </c>
      <c r="O898" s="129">
        <f t="array" ref="O898">IF(AND(B898="",C898=""),"",IF(G898&gt;=20000,0.05,IF(G898&gt;=10000,0.1,IF(G898&gt;=5000,0.2,IF(G898&gt;=1000,0.3,IF(G898&gt;=0,0.4,{0}))))))</f>
        <v/>
      </c>
      <c r="P898" s="332">
        <f>IF(AND(B898="",C898=""),"",ROUND(H898*O898,2))</f>
        <v/>
      </c>
      <c r="Q898" s="327" t="inlineStr">
        <is>
          <t>母排</t>
        </is>
      </c>
      <c r="R898" s="150" t="n"/>
      <c r="S898" s="150" t="n"/>
      <c r="T898" s="150" t="inlineStr">
        <is>
          <t>0</t>
        </is>
      </c>
      <c r="U898" s="150" t="n"/>
      <c r="V898" s="328" t="n"/>
      <c r="W898" s="328" t="n"/>
      <c r="X898" s="152" t="n"/>
    </row>
    <row r="899" customFormat="1" s="145">
      <c r="A899" s="36">
        <f>ROW()-ROW(A$876)</f>
        <v/>
      </c>
      <c r="B899" s="25" t="inlineStr">
        <is>
          <t>MT08上桩头</t>
        </is>
      </c>
      <c r="C899" s="25" t="inlineStr">
        <is>
          <t>TMY 3*(2*60*5)</t>
        </is>
      </c>
      <c r="D899" s="25" t="inlineStr">
        <is>
          <t>国产优质</t>
        </is>
      </c>
      <c r="E899" s="26" t="inlineStr">
        <is>
          <t>米</t>
        </is>
      </c>
      <c r="F899" s="26" t="n">
        <v>0.8</v>
      </c>
      <c r="G899" s="293">
        <f>IF(AND(B899="",C899=""),"",ROUND(M899*L899*N899,2))</f>
        <v/>
      </c>
      <c r="H899" s="293">
        <f>IF(AND(B899="",C899=""),"",ROUND(F899*G899,2))</f>
        <v/>
      </c>
      <c r="I899" s="91" t="n"/>
      <c r="J899" s="329">
        <f>IF(AND(B899="",C899=""),"",ROUND(M899*N899,2))</f>
        <v/>
      </c>
      <c r="K899" s="330">
        <f>IF(AND(B899="",C899=""),"",ROUND(J899*F899,2))</f>
        <v/>
      </c>
      <c r="L899" s="126" t="n">
        <v>1</v>
      </c>
      <c r="M899" s="331" t="n">
        <v>1341.7551</v>
      </c>
      <c r="N899" s="128" t="n">
        <v>1</v>
      </c>
      <c r="O899" s="129">
        <f t="array" ref="O899">IF(AND(B899="",C899=""),"",IF(G899&gt;=20000,0.05,IF(G899&gt;=10000,0.1,IF(G899&gt;=5000,0.2,IF(G899&gt;=1000,0.3,IF(G899&gt;=0,0.4,{0}))))))</f>
        <v/>
      </c>
      <c r="P899" s="332">
        <f>IF(AND(B899="",C899=""),"",ROUND(H899*O899,2))</f>
        <v/>
      </c>
      <c r="Q899" s="327" t="inlineStr">
        <is>
          <t>母排</t>
        </is>
      </c>
      <c r="R899" s="150" t="n"/>
      <c r="S899" s="150" t="n"/>
      <c r="T899" s="150" t="inlineStr">
        <is>
          <t>0</t>
        </is>
      </c>
      <c r="U899" s="150" t="n"/>
      <c r="V899" s="328" t="n"/>
      <c r="W899" s="328" t="n"/>
      <c r="X899" s="152" t="n"/>
    </row>
    <row r="900" customFormat="1" s="145">
      <c r="A900" s="36">
        <f>ROW()-ROW(A$876)</f>
        <v/>
      </c>
      <c r="B900" s="25" t="inlineStr">
        <is>
          <t>MT08下桩头</t>
        </is>
      </c>
      <c r="C900" s="25" t="inlineStr">
        <is>
          <t>TMY 3*(2*60*5)</t>
        </is>
      </c>
      <c r="D900" s="25" t="inlineStr">
        <is>
          <t>国产优质</t>
        </is>
      </c>
      <c r="E900" s="26" t="inlineStr">
        <is>
          <t>米</t>
        </is>
      </c>
      <c r="F900" s="30" t="n">
        <v>0.65</v>
      </c>
      <c r="G900" s="297">
        <f>IF(AND(B900="",C900=""),"",ROUND(M900*L900*N900,2))</f>
        <v/>
      </c>
      <c r="H900" s="293">
        <f>IF(AND(B900="",C900=""),"",ROUND(F900*G900,2))</f>
        <v/>
      </c>
      <c r="I900" s="91" t="n"/>
      <c r="J900" s="329">
        <f>IF(AND(B900="",C900=""),"",ROUND(M900*N900,2))</f>
        <v/>
      </c>
      <c r="K900" s="330">
        <f>IF(AND(B900="",C900=""),"",ROUND(J900*F900,2))</f>
        <v/>
      </c>
      <c r="L900" s="126" t="n">
        <v>1</v>
      </c>
      <c r="M900" s="331" t="n">
        <v>1341.7551</v>
      </c>
      <c r="N900" s="128" t="n">
        <v>1</v>
      </c>
      <c r="O900" s="129">
        <f t="array" ref="O900">IF(AND(B900="",C900=""),"",IF(G900&gt;=20000,0.05,IF(G900&gt;=10000,0.1,IF(G900&gt;=5000,0.2,IF(G900&gt;=1000,0.3,IF(G900&gt;=0,0.4,{0}))))))</f>
        <v/>
      </c>
      <c r="P900" s="332">
        <f>IF(AND(B900="",C900=""),"",ROUND(H900*O900,2))</f>
        <v/>
      </c>
      <c r="Q900" s="327" t="inlineStr">
        <is>
          <t>母排</t>
        </is>
      </c>
      <c r="R900" s="150" t="n"/>
      <c r="S900" s="150" t="n"/>
      <c r="T900" s="150" t="inlineStr">
        <is>
          <t>0</t>
        </is>
      </c>
      <c r="U900" s="150" t="n"/>
      <c r="V900" s="328" t="n"/>
      <c r="W900" s="328" t="n"/>
      <c r="X900" s="152" t="n"/>
    </row>
    <row r="901" customFormat="1" s="145">
      <c r="A901" s="36">
        <f>ROW()-ROW(A$876)</f>
        <v/>
      </c>
      <c r="B901" s="25" t="inlineStr">
        <is>
          <t>垂直排</t>
        </is>
      </c>
      <c r="C901" s="25" t="inlineStr">
        <is>
          <t>TMY 40*10</t>
        </is>
      </c>
      <c r="D901" s="25" t="inlineStr">
        <is>
          <t>国产优质</t>
        </is>
      </c>
      <c r="E901" s="26" t="inlineStr">
        <is>
          <t>米</t>
        </is>
      </c>
      <c r="F901" s="30" t="n">
        <v>5.7</v>
      </c>
      <c r="G901" s="297">
        <f>IF(AND(B901="",C901=""),"",ROUND(M901*L901*N901,2))</f>
        <v/>
      </c>
      <c r="H901" s="297">
        <f>IF(AND(B901="",C901=""),"",ROUND(F901*G901,2))</f>
        <v/>
      </c>
      <c r="I901" s="135" t="n"/>
      <c r="J901" s="329">
        <f>IF(AND(B901="",C901=""),"",ROUND(M901*N901,2))</f>
        <v/>
      </c>
      <c r="K901" s="330">
        <f>IF(AND(B901="",C901=""),"",ROUND(J901*F901,2))</f>
        <v/>
      </c>
      <c r="L901" s="126" t="n">
        <v>1</v>
      </c>
      <c r="M901" s="331" t="n">
        <v>298.1678</v>
      </c>
      <c r="N901" s="128" t="n">
        <v>1</v>
      </c>
      <c r="O901" s="129">
        <f t="array" ref="O901">IF(AND(B901="",C901=""),"",IF(G901&gt;=20000,0.05,IF(G901&gt;=10000,0.1,IF(G901&gt;=5000,0.2,IF(G901&gt;=1000,0.3,IF(G901&gt;=0,0.4,{0}))))))</f>
        <v/>
      </c>
      <c r="P901" s="332">
        <f>IF(AND(B901="",C901=""),"",ROUND(H901*O901,2))</f>
        <v/>
      </c>
      <c r="Q901" s="327" t="inlineStr">
        <is>
          <t>母排</t>
        </is>
      </c>
      <c r="R901" s="150" t="n"/>
      <c r="S901" s="150" t="n"/>
      <c r="T901" s="150" t="inlineStr">
        <is>
          <t>0</t>
        </is>
      </c>
      <c r="U901" s="150" t="n"/>
      <c r="V901" s="328" t="n"/>
      <c r="W901" s="328" t="n"/>
      <c r="X901" s="152" t="n"/>
    </row>
    <row r="902" customFormat="1" s="145">
      <c r="A902" s="36">
        <f>ROW()-ROW(A$876)</f>
        <v/>
      </c>
      <c r="B902" s="25" t="inlineStr">
        <is>
          <t>连接排</t>
        </is>
      </c>
      <c r="C902" s="25" t="inlineStr">
        <is>
          <t>TMY 50*10</t>
        </is>
      </c>
      <c r="D902" s="25" t="inlineStr">
        <is>
          <t>国产优质</t>
        </is>
      </c>
      <c r="E902" s="26" t="inlineStr">
        <is>
          <t>米</t>
        </is>
      </c>
      <c r="F902" s="30" t="n">
        <v>1.9</v>
      </c>
      <c r="G902" s="297">
        <f>IF(AND(B902="",C902=""),"",ROUND(M902*L902*N902,2))</f>
        <v/>
      </c>
      <c r="H902" s="297">
        <f>IF(AND(B902="",C902=""),"",ROUND(F902*G902,2))</f>
        <v/>
      </c>
      <c r="I902" s="135" t="n"/>
      <c r="J902" s="329">
        <f>IF(AND(B902="",C902=""),"",ROUND(M902*N902,2))</f>
        <v/>
      </c>
      <c r="K902" s="330">
        <f>IF(AND(B902="",C902=""),"",ROUND(J902*F902,2))</f>
        <v/>
      </c>
      <c r="L902" s="126" t="n">
        <v>1</v>
      </c>
      <c r="M902" s="331" t="n">
        <v>372.70975</v>
      </c>
      <c r="N902" s="128" t="n">
        <v>1</v>
      </c>
      <c r="O902" s="129">
        <f t="array" ref="O902">IF(AND(B902="",C902=""),"",IF(G902&gt;=20000,0.05,IF(G902&gt;=10000,0.1,IF(G902&gt;=5000,0.2,IF(G902&gt;=1000,0.3,IF(G902&gt;=0,0.4,{0}))))))</f>
        <v/>
      </c>
      <c r="P902" s="332">
        <f>IF(AND(B902="",C902=""),"",ROUND(H902*O902,2))</f>
        <v/>
      </c>
      <c r="Q902" s="327" t="inlineStr">
        <is>
          <t>母排</t>
        </is>
      </c>
      <c r="R902" s="150" t="n"/>
      <c r="S902" s="150" t="n"/>
      <c r="T902" s="150" t="inlineStr">
        <is>
          <t>0</t>
        </is>
      </c>
      <c r="U902" s="150" t="n"/>
      <c r="V902" s="328" t="n"/>
      <c r="W902" s="328" t="n"/>
      <c r="X902" s="152" t="n"/>
    </row>
    <row r="903" customFormat="1" s="145">
      <c r="A903" s="36">
        <f>ROW()-ROW(A$876)</f>
        <v/>
      </c>
      <c r="B903" s="25" t="inlineStr">
        <is>
          <t>N排</t>
        </is>
      </c>
      <c r="C903" s="25" t="inlineStr">
        <is>
          <t>TMY 50*5</t>
        </is>
      </c>
      <c r="D903" s="25" t="inlineStr">
        <is>
          <t>国产优质</t>
        </is>
      </c>
      <c r="E903" s="26" t="inlineStr">
        <is>
          <t>米</t>
        </is>
      </c>
      <c r="F903" s="30" t="n">
        <v>2.8</v>
      </c>
      <c r="G903" s="297">
        <f>IF(AND(B903="",C903=""),"",ROUND(M903*L903*N903,2))</f>
        <v/>
      </c>
      <c r="H903" s="297">
        <f>IF(AND(B903="",C903=""),"",ROUND(F903*G903,2))</f>
        <v/>
      </c>
      <c r="I903" s="135" t="n"/>
      <c r="J903" s="329">
        <f>IF(AND(B903="",C903=""),"",ROUND(M903*N903,2))</f>
        <v/>
      </c>
      <c r="K903" s="330">
        <f>IF(AND(B903="",C903=""),"",ROUND(J903*F903,2))</f>
        <v/>
      </c>
      <c r="L903" s="126" t="n">
        <v>1</v>
      </c>
      <c r="M903" s="331" t="n">
        <v>186.354875</v>
      </c>
      <c r="N903" s="128" t="n">
        <v>1</v>
      </c>
      <c r="O903" s="129">
        <f t="array" ref="O903">IF(AND(B903="",C903=""),"",IF(G903&gt;=20000,0.05,IF(G903&gt;=10000,0.1,IF(G903&gt;=5000,0.2,IF(G903&gt;=1000,0.3,IF(G903&gt;=0,0.4,{0}))))))</f>
        <v/>
      </c>
      <c r="P903" s="332">
        <f>IF(AND(B903="",C903=""),"",ROUND(H903*O903,2))</f>
        <v/>
      </c>
      <c r="Q903" s="327" t="inlineStr">
        <is>
          <t>母排</t>
        </is>
      </c>
      <c r="R903" s="150" t="n"/>
      <c r="S903" s="150" t="n"/>
      <c r="T903" s="150" t="inlineStr">
        <is>
          <t>0</t>
        </is>
      </c>
      <c r="U903" s="150" t="n"/>
      <c r="V903" s="328" t="n"/>
      <c r="W903" s="328" t="n"/>
      <c r="X903" s="152" t="n"/>
    </row>
    <row r="904" customFormat="1" s="145">
      <c r="A904" s="36">
        <f>ROW()-ROW(A$876)</f>
        <v/>
      </c>
      <c r="B904" s="25" t="inlineStr">
        <is>
          <t>400A连接排</t>
        </is>
      </c>
      <c r="C904" s="25" t="inlineStr">
        <is>
          <t>TMY 30*8</t>
        </is>
      </c>
      <c r="D904" s="25" t="inlineStr">
        <is>
          <t>国产优质</t>
        </is>
      </c>
      <c r="E904" s="26" t="inlineStr">
        <is>
          <t>米</t>
        </is>
      </c>
      <c r="F904" s="30">
        <f>3.2*1</f>
        <v/>
      </c>
      <c r="G904" s="297">
        <f>IF(AND(B904="",C904=""),"",ROUND(M904*L904*N904,2))</f>
        <v/>
      </c>
      <c r="H904" s="297">
        <f>IF(AND(B904="",C904=""),"",ROUND(F904*G904,2))</f>
        <v/>
      </c>
      <c r="I904" s="135" t="n"/>
      <c r="J904" s="329">
        <f>IF(AND(B904="",C904=""),"",ROUND(M904*N904,2))</f>
        <v/>
      </c>
      <c r="K904" s="330">
        <f>IF(AND(B904="",C904=""),"",ROUND(J904*F904,2))</f>
        <v/>
      </c>
      <c r="L904" s="126" t="n">
        <v>1</v>
      </c>
      <c r="M904" s="331" t="n">
        <v>178.90068</v>
      </c>
      <c r="N904" s="128" t="n">
        <v>1</v>
      </c>
      <c r="O904" s="129">
        <f t="array" ref="O904">IF(AND(B904="",C904=""),"",IF(G904&gt;=20000,0.05,IF(G904&gt;=10000,0.1,IF(G904&gt;=5000,0.2,IF(G904&gt;=1000,0.3,IF(G904&gt;=0,0.4,{0}))))))</f>
        <v/>
      </c>
      <c r="P904" s="332">
        <f>IF(AND(B904="",C904=""),"",ROUND(H904*O904,2))</f>
        <v/>
      </c>
      <c r="Q904" s="327" t="inlineStr">
        <is>
          <t>母排</t>
        </is>
      </c>
      <c r="R904" s="150" t="n"/>
      <c r="S904" s="150" t="n"/>
      <c r="T904" s="150" t="inlineStr">
        <is>
          <t>0</t>
        </is>
      </c>
      <c r="U904" s="150" t="n"/>
      <c r="V904" s="328" t="n"/>
      <c r="W904" s="328" t="n"/>
      <c r="X904" s="152" t="n"/>
    </row>
    <row r="905" customFormat="1" s="145">
      <c r="A905" s="36">
        <f>ROW()-ROW(A$876)</f>
        <v/>
      </c>
      <c r="B905" s="25" t="inlineStr">
        <is>
          <t>导线及辅料</t>
        </is>
      </c>
      <c r="C905" s="25" t="n"/>
      <c r="D905" s="25" t="inlineStr">
        <is>
          <t>国产优质</t>
        </is>
      </c>
      <c r="E905" s="26" t="inlineStr">
        <is>
          <t>套</t>
        </is>
      </c>
      <c r="F905" s="26" t="n">
        <v>1</v>
      </c>
      <c r="G905" s="293">
        <f>IF(AND(B905="",C905=""),"",ROUND(M905*L905*N905,2))</f>
        <v/>
      </c>
      <c r="H905" s="293">
        <f>IF(AND(B905="",C905=""),"",ROUND(F905*G905,2))</f>
        <v/>
      </c>
      <c r="I905" s="164" t="n"/>
      <c r="J905" s="329">
        <f>IF(AND(B905="",C905=""),"",ROUND(M905*N905,2))</f>
        <v/>
      </c>
      <c r="K905" s="330">
        <f>IF(AND(B905="",C905=""),"",ROUND(J905*F905,2))</f>
        <v/>
      </c>
      <c r="L905" s="126" t="n">
        <v>1</v>
      </c>
      <c r="M905" s="331" t="n">
        <v>1257</v>
      </c>
      <c r="N905" s="137" t="n">
        <v>1</v>
      </c>
      <c r="O905" s="138">
        <f t="array" ref="O905">IF(AND(B905="",C905=""),"",IF(G905&gt;=20000,0.05,IF(G905&gt;=10000,0.1,IF(G905&gt;=5000,0.2,IF(G905&gt;=1000,0.3,IF(G905&gt;=0,0.4,{0}))))))</f>
        <v/>
      </c>
      <c r="P905" s="333">
        <f>IF(AND(B905="",C905=""),"",ROUND(H905*O905,2))</f>
        <v/>
      </c>
      <c r="Q905" s="334" t="inlineStr">
        <is>
          <t>辅料</t>
        </is>
      </c>
      <c r="R905" s="154" t="n"/>
      <c r="S905" s="154" t="n"/>
      <c r="T905" s="154" t="inlineStr">
        <is>
          <t>0</t>
        </is>
      </c>
      <c r="U905" s="154" t="n"/>
      <c r="V905" s="335" t="n"/>
      <c r="W905" s="335" t="n"/>
      <c r="X905" s="152" t="n"/>
    </row>
    <row r="906" customFormat="1" s="145">
      <c r="A906" s="36">
        <f>ROW()-ROW(A$876)</f>
        <v/>
      </c>
      <c r="B906" s="25" t="inlineStr">
        <is>
          <t>通风顶盖</t>
        </is>
      </c>
      <c r="C906" s="25" t="n"/>
      <c r="D906" s="25" t="inlineStr">
        <is>
          <t>清科</t>
        </is>
      </c>
      <c r="E906" s="30" t="inlineStr">
        <is>
          <t>台</t>
        </is>
      </c>
      <c r="F906" s="26">
        <f>IF(AND(B906="",C906=""),"",1)</f>
        <v/>
      </c>
      <c r="G906" s="293">
        <f>IF(AND(B906="",C906=""),"",ROUND(M906*L906*N906,2))</f>
        <v/>
      </c>
      <c r="H906" s="293">
        <f>IF(AND(B906="",C906=""),"",ROUND(F906*G906,2))</f>
        <v/>
      </c>
      <c r="I906" s="164" t="n"/>
      <c r="J906" s="329">
        <f>IF(AND(B906="",C906=""),"",ROUND(M906*N906,2))</f>
        <v/>
      </c>
      <c r="K906" s="330">
        <f>IF(AND(B906="",C906=""),"",ROUND(J906*F906,2))</f>
        <v/>
      </c>
      <c r="L906" s="126">
        <f>IF(AND(B906="",C906=""),"",1)</f>
        <v/>
      </c>
      <c r="M906" s="331" t="n">
        <v>138</v>
      </c>
      <c r="N906" s="137">
        <f>IF(AND(B906="",C906=""),"",1)</f>
        <v/>
      </c>
      <c r="O906" s="138">
        <f t="array" ref="O906">IF(AND(B906="",C906=""),"",IF(G906&gt;=20000,0.05,IF(G906&gt;=10000,0.1,IF(G906&gt;=5000,0.2,IF(G906&gt;=1000,0.3,IF(G906&gt;=0,0.4,{0}))))))</f>
        <v/>
      </c>
      <c r="P906" s="333">
        <f>IF(AND(B906="",C906=""),"",ROUND(H906*O906,2))</f>
        <v/>
      </c>
      <c r="Q906" s="334">
        <f>IF(AND(B906="",C906=""),"","元件")</f>
        <v/>
      </c>
      <c r="R906" s="154" t="n"/>
      <c r="S906" s="154" t="n"/>
      <c r="T906" s="154" t="n"/>
      <c r="U906" s="154" t="n"/>
      <c r="V906" s="335" t="n"/>
      <c r="W906" s="335" t="n"/>
      <c r="X906" s="152" t="n"/>
    </row>
    <row r="907" customFormat="1" s="145">
      <c r="A907" s="36">
        <f>ROW()-ROW(A$876)</f>
        <v/>
      </c>
      <c r="B907" s="29" t="inlineStr">
        <is>
          <t>Blokset柜</t>
        </is>
      </c>
      <c r="C907" s="25" t="inlineStr">
        <is>
          <t>800W*1000D*2200H</t>
        </is>
      </c>
      <c r="D907" s="25" t="inlineStr">
        <is>
          <t>清科</t>
        </is>
      </c>
      <c r="E907" s="30" t="inlineStr">
        <is>
          <t>台</t>
        </is>
      </c>
      <c r="F907" s="30" t="n">
        <v>1</v>
      </c>
      <c r="G907" s="297">
        <f>IF(AND(B907="",C907=""),"",ROUND(M907*L907*N907,2))</f>
        <v/>
      </c>
      <c r="H907" s="297">
        <f>IF(AND(B907="",C907=""),"",ROUND(F907*G907,2))</f>
        <v/>
      </c>
      <c r="I907" s="135" t="n"/>
      <c r="J907" s="329">
        <f>IF(AND(B907="",C907=""),"",ROUND(M907*N907,2))</f>
        <v/>
      </c>
      <c r="K907" s="330">
        <f>IF(AND(B907="",C907=""),"",ROUND(J907*F907,2))</f>
        <v/>
      </c>
      <c r="L907" s="126" t="n">
        <v>1</v>
      </c>
      <c r="M907" s="331" t="n">
        <v>7090</v>
      </c>
      <c r="N907" s="137" t="n">
        <v>1</v>
      </c>
      <c r="O907" s="138">
        <f t="array" ref="O907">IF(AND(B907="",C907=""),"",IF(G907&gt;=20000,0.05,IF(G907&gt;=10000,0.1,IF(G907&gt;=5000,0.2,IF(G907&gt;=1000,0.3,IF(G907&gt;=0,0.4,{0}))))))</f>
        <v/>
      </c>
      <c r="P907" s="333">
        <f>IF(AND(B907="",C907=""),"",ROUND(H907*O907,2))</f>
        <v/>
      </c>
      <c r="Q907" s="334" t="inlineStr">
        <is>
          <t>箱体</t>
        </is>
      </c>
      <c r="R907" s="154" t="n"/>
      <c r="S907" s="154" t="n"/>
      <c r="T907" s="154" t="inlineStr">
        <is>
          <t>0</t>
        </is>
      </c>
      <c r="U907" s="154" t="n"/>
      <c r="V907" s="335" t="n"/>
      <c r="W907" s="335" t="n"/>
      <c r="X907" s="152" t="n"/>
    </row>
    <row r="908" customFormat="1" s="145">
      <c r="A908" s="36">
        <f>ROW()-ROW(A$876)</f>
        <v/>
      </c>
      <c r="B908" s="29" t="n"/>
      <c r="C908" s="29" t="n"/>
      <c r="D908" s="29" t="n"/>
      <c r="E908" s="30" t="n"/>
      <c r="F908" s="30">
        <f>IF(AND(B908="",C908=""),"",1)</f>
        <v/>
      </c>
      <c r="G908" s="297">
        <f>IF(AND(B908="",C908=""),"",ROUND(M908*L908*N908,2))</f>
        <v/>
      </c>
      <c r="H908" s="293">
        <f>IF(AND(B908="",C908=""),"",ROUND(F908*G908,2))</f>
        <v/>
      </c>
      <c r="I908" s="91" t="n"/>
      <c r="J908" s="329">
        <f>IF(AND(B908="",C908=""),"",ROUND(M908*N908,2))</f>
        <v/>
      </c>
      <c r="K908" s="330">
        <f>IF(AND(B908="",C908=""),"",ROUND(J908*F908,2))</f>
        <v/>
      </c>
      <c r="L908" s="126">
        <f>IF(AND(B908="",C908=""),"",1)</f>
        <v/>
      </c>
      <c r="M908" s="331" t="n"/>
      <c r="N908" s="128">
        <f>IF(AND(B908="",C908=""),"",1)</f>
        <v/>
      </c>
      <c r="O908" s="129">
        <f t="array" ref="O908">IF(AND(B908="",C908=""),"",IF(G908&gt;=20000,0.05,IF(G908&gt;=10000,0.1,IF(G908&gt;=5000,0.2,IF(G908&gt;=1000,0.3,IF(G908&gt;=0,0.4,{0}))))))</f>
        <v/>
      </c>
      <c r="P908" s="332">
        <f>IF(AND(B908="",C908=""),"",ROUND(H908*O908,2))</f>
        <v/>
      </c>
      <c r="Q908" s="327">
        <f>IF(AND(B908="",C908=""),"","元件")</f>
        <v/>
      </c>
      <c r="R908" s="150" t="n"/>
      <c r="S908" s="150" t="n"/>
      <c r="T908" s="150" t="n"/>
      <c r="U908" s="150" t="n"/>
      <c r="V908" s="328" t="n"/>
      <c r="W908" s="328" t="n"/>
      <c r="X908" s="152" t="n"/>
    </row>
    <row r="909" customFormat="1" s="145">
      <c r="A909" s="36">
        <f>ROW()-ROW(A$876)</f>
        <v/>
      </c>
      <c r="B909" s="29" t="n"/>
      <c r="C909" s="29" t="n"/>
      <c r="D909" s="29" t="n"/>
      <c r="E909" s="30" t="n"/>
      <c r="F909" s="30">
        <f>IF(AND(B909="",C909=""),"",1)</f>
        <v/>
      </c>
      <c r="G909" s="297">
        <f>IF(AND(B909="",C909=""),"",ROUND(M909*L909*N909,2))</f>
        <v/>
      </c>
      <c r="H909" s="297">
        <f>IF(AND(B909="",C909=""),"",ROUND(F909*G909,2))</f>
        <v/>
      </c>
      <c r="I909" s="135" t="n"/>
      <c r="J909" s="329">
        <f>IF(AND(B909="",C909=""),"",ROUND(M909*N909,2))</f>
        <v/>
      </c>
      <c r="K909" s="330">
        <f>IF(AND(B909="",C909=""),"",ROUND(J909*F909,2))</f>
        <v/>
      </c>
      <c r="L909" s="126">
        <f>IF(AND(B909="",C909=""),"",1)</f>
        <v/>
      </c>
      <c r="M909" s="331" t="n"/>
      <c r="N909" s="128">
        <f>IF(AND(B909="",C909=""),"",1)</f>
        <v/>
      </c>
      <c r="O909" s="129">
        <f t="array" ref="O909">IF(AND(B909="",C909=""),"",IF(G909&gt;=20000,0.05,IF(G909&gt;=10000,0.1,IF(G909&gt;=5000,0.2,IF(G909&gt;=1000,0.3,IF(G909&gt;=0,0.4,{0}))))))</f>
        <v/>
      </c>
      <c r="P909" s="332">
        <f>IF(AND(B909="",C909=""),"",ROUND(H909*O909,2))</f>
        <v/>
      </c>
      <c r="Q909" s="327">
        <f>IF(AND(B909="",C909=""),"","元件")</f>
        <v/>
      </c>
      <c r="R909" s="150" t="n"/>
      <c r="S909" s="150" t="n"/>
      <c r="T909" s="150" t="n"/>
      <c r="U909" s="150" t="n"/>
      <c r="V909" s="328" t="n"/>
      <c r="W909" s="328" t="n"/>
      <c r="X909" s="152" t="n"/>
    </row>
    <row r="910" customFormat="1" s="145">
      <c r="A910" s="36">
        <f>ROW()-ROW(A$876)</f>
        <v/>
      </c>
      <c r="B910" s="156" t="inlineStr">
        <is>
          <t>小计</t>
        </is>
      </c>
      <c r="C910" s="157" t="n"/>
      <c r="D910" s="54" t="n"/>
      <c r="E910" s="30" t="n"/>
      <c r="F910" s="30" t="n"/>
      <c r="G910" s="297" t="n"/>
      <c r="H910" s="297">
        <f>ROUND(SUM(H876:INDEX(H:H,ROW()-1)),2)</f>
        <v/>
      </c>
      <c r="I910" s="91" t="n"/>
      <c r="J910" s="329" t="n"/>
      <c r="K910" s="330">
        <f>ROUND(SUM(K876:INDEX(K:K,ROW()-1)),2)</f>
        <v/>
      </c>
      <c r="L910" s="126" t="n"/>
      <c r="M910" s="331" t="n"/>
      <c r="N910" s="128" t="n"/>
      <c r="O910" s="129" t="n"/>
      <c r="P910" s="332" t="n"/>
      <c r="Q910" s="327" t="n"/>
      <c r="R910" s="150" t="n"/>
      <c r="S910" s="150" t="n"/>
      <c r="T910" s="150" t="n"/>
      <c r="U910" s="150" t="n"/>
      <c r="V910" s="328">
        <f t="array" ref="V910">ROUND(SUMPRODUCT(F876:INDEX(F:F,ROW()-1),V876:INDEX(V:V,ROW()-1)),2)</f>
        <v/>
      </c>
      <c r="W910" s="328">
        <f t="array" ref="W910">ROUND(SUMPRODUCT(F876:INDEX(F:F,ROW()-1),W876:INDEX(W:W,ROW()-1)),2)</f>
        <v/>
      </c>
      <c r="X910" s="152" t="n"/>
    </row>
    <row r="911" customFormat="1" s="145">
      <c r="A911" s="36">
        <f>ROW()-ROW(A$876)</f>
        <v/>
      </c>
      <c r="B911" s="156" t="inlineStr">
        <is>
          <t>成套费</t>
        </is>
      </c>
      <c r="C911" s="157" t="n"/>
      <c r="D911" s="54" t="n"/>
      <c r="E911" s="30" t="n"/>
      <c r="F911" s="30" t="n"/>
      <c r="G911" s="297" t="n"/>
      <c r="H911" s="297" t="n">
        <v>944.76</v>
      </c>
      <c r="I911" s="91" t="n"/>
      <c r="J911" s="329" t="n"/>
      <c r="K911" s="330" t="n">
        <v>944.76</v>
      </c>
      <c r="L911" s="126" t="n"/>
      <c r="M911" s="331" t="n"/>
      <c r="N911" s="128" t="n"/>
      <c r="O911" s="129" t="n"/>
      <c r="P911" s="332" t="n"/>
      <c r="Q911" s="327" t="n"/>
      <c r="R911" s="150" t="n"/>
      <c r="S911" s="150" t="n"/>
      <c r="T911" s="150" t="n"/>
      <c r="U911" s="150" t="n"/>
      <c r="V911" s="328" t="n"/>
      <c r="W911" s="328" t="n"/>
      <c r="X911" s="152" t="n"/>
    </row>
    <row r="912" customFormat="1" s="145">
      <c r="A912" s="36">
        <f>ROW()-ROW(A$876)</f>
        <v/>
      </c>
      <c r="B912" s="156" t="n"/>
      <c r="C912" s="157" t="n"/>
      <c r="D912" s="54" t="n"/>
      <c r="E912" s="30" t="n"/>
      <c r="F912" s="30" t="n"/>
      <c r="G912" s="297" t="n"/>
      <c r="H912" s="297" t="n">
        <v>17.26</v>
      </c>
      <c r="I912" s="91" t="n"/>
      <c r="J912" s="329" t="n"/>
      <c r="K912" s="330" t="n"/>
      <c r="L912" s="126" t="n"/>
      <c r="M912" s="331" t="n"/>
      <c r="N912" s="128" t="n"/>
      <c r="O912" s="129" t="n"/>
      <c r="P912" s="332" t="n"/>
      <c r="Q912" s="327" t="n"/>
      <c r="R912" s="150" t="n"/>
      <c r="S912" s="150" t="n"/>
      <c r="T912" s="150" t="n"/>
      <c r="U912" s="150" t="n"/>
      <c r="V912" s="328" t="n"/>
      <c r="W912" s="328" t="n"/>
      <c r="X912" s="152" t="n"/>
    </row>
    <row r="913" customFormat="1" s="145">
      <c r="A913" s="36">
        <f>ROW()-ROW(A$876)</f>
        <v/>
      </c>
      <c r="B913" s="54" t="inlineStr">
        <is>
          <t>单台合计</t>
        </is>
      </c>
      <c r="C913" s="157" t="n"/>
      <c r="D913" s="54" t="n"/>
      <c r="E913" s="30" t="n"/>
      <c r="F913" s="30" t="n"/>
      <c r="G913" s="297" t="n"/>
      <c r="H913" s="297">
        <f>ROUND(SUM(H910:H911),2)</f>
        <v/>
      </c>
      <c r="I913" s="165" t="n"/>
      <c r="J913" s="329" t="n"/>
      <c r="K913" s="330">
        <f>ROUND(SUM(K910:K911),2)</f>
        <v/>
      </c>
      <c r="L913" s="166" t="n"/>
      <c r="M913" s="331" t="n"/>
      <c r="N913" s="167" t="n"/>
      <c r="O913" s="168" t="n"/>
      <c r="P913" s="332" t="n"/>
      <c r="Q913" s="327" t="n"/>
      <c r="R913" s="150" t="n"/>
      <c r="S913" s="150" t="n"/>
      <c r="T913" s="150" t="n"/>
      <c r="U913" s="150" t="n"/>
      <c r="V913" s="328" t="n"/>
      <c r="W913" s="328" t="n"/>
      <c r="X913" s="152" t="n"/>
    </row>
    <row r="914" customFormat="1" s="145">
      <c r="A914" s="158" t="inlineStr">
        <is>
          <t>总计</t>
        </is>
      </c>
      <c r="B914" s="159" t="n"/>
      <c r="C914" s="160" t="n"/>
      <c r="D914" s="161" t="n"/>
      <c r="E914" s="161" t="inlineStr">
        <is>
          <t>台</t>
        </is>
      </c>
      <c r="F914" s="161" t="n">
        <v>1</v>
      </c>
      <c r="G914" s="336">
        <f>ROUND(H913,2)</f>
        <v/>
      </c>
      <c r="H914" s="336">
        <f>ROUND(F914*G914,2)</f>
        <v/>
      </c>
      <c r="I914" s="169" t="n"/>
      <c r="J914" s="337" t="n"/>
      <c r="K914" s="338">
        <f>ROUND(K913*F914,2)</f>
        <v/>
      </c>
      <c r="L914" s="172" t="n"/>
      <c r="M914" s="339" t="n"/>
      <c r="N914" s="174" t="n"/>
      <c r="O914" s="175" t="n"/>
      <c r="P914" s="340" t="n"/>
      <c r="Q914" s="327" t="n"/>
      <c r="R914" s="150" t="n"/>
      <c r="S914" s="150" t="n"/>
      <c r="T914" s="150" t="n"/>
      <c r="U914" s="150" t="n"/>
      <c r="V914" s="328" t="n"/>
      <c r="W914" s="328" t="n"/>
      <c r="X914" s="152" t="n"/>
    </row>
    <row r="915" customFormat="1" s="146">
      <c r="A915" s="3" t="n"/>
      <c r="B915" s="117" t="n"/>
      <c r="C915" s="117" t="n"/>
      <c r="D915" s="117" t="n"/>
      <c r="E915" s="146" t="n"/>
      <c r="F915" s="146" t="n"/>
      <c r="G915" s="146" t="n"/>
      <c r="H915" s="146" t="n"/>
      <c r="Q915" s="144" t="n"/>
      <c r="R915" s="144" t="n"/>
      <c r="S915" s="144" t="n"/>
      <c r="T915" s="144" t="n"/>
      <c r="U915" s="144" t="n"/>
      <c r="X915" s="117" t="n"/>
    </row>
    <row r="916" customFormat="1" s="146">
      <c r="A916" s="3" t="n"/>
      <c r="B916" s="117" t="n"/>
      <c r="C916" s="117" t="n"/>
      <c r="D916" s="117" t="n"/>
      <c r="E916" s="146" t="n"/>
      <c r="F916" s="146" t="n"/>
      <c r="G916" s="146" t="n"/>
      <c r="H916" s="146" t="n"/>
      <c r="Q916" s="144" t="n"/>
      <c r="R916" s="144" t="n"/>
      <c r="S916" s="144" t="n"/>
      <c r="T916" s="144" t="n"/>
      <c r="U916" s="144" t="n"/>
      <c r="X916" s="117" t="n"/>
    </row>
    <row r="917" customFormat="1" s="145">
      <c r="A917" s="63">
        <f>CONCATENATE("报价人：",项目信息!$B$8)</f>
        <v/>
      </c>
      <c r="B917" s="63" t="n"/>
      <c r="C917" s="146" t="n"/>
      <c r="D917" s="146" t="n"/>
      <c r="E917" s="146" t="n"/>
      <c r="F917" s="146" t="n"/>
      <c r="G917" s="146" t="n"/>
      <c r="H917" s="163">
        <f>项目信息!$B$9</f>
        <v/>
      </c>
      <c r="Q917" s="144" t="n"/>
      <c r="R917" s="144" t="n"/>
      <c r="S917" s="144" t="n"/>
      <c r="T917" s="144" t="n"/>
      <c r="U917" s="144" t="n"/>
      <c r="X917" s="148" t="n"/>
    </row>
    <row r="918" customFormat="1" s="145">
      <c r="A918" s="5">
        <f>T(项目信息!$B$22)</f>
        <v/>
      </c>
      <c r="Q918" s="144" t="n"/>
      <c r="R918" s="144" t="n"/>
      <c r="S918" s="144" t="n"/>
      <c r="T918" s="144" t="n"/>
      <c r="U918" s="144" t="n"/>
      <c r="X918" s="145" t="n"/>
    </row>
    <row r="919" customFormat="1" s="145">
      <c r="A919" s="6">
        <f>T(项目信息!$B$23)</f>
        <v/>
      </c>
      <c r="Q919" s="144" t="n"/>
      <c r="R919" s="144" t="n"/>
      <c r="S919" s="144" t="n"/>
      <c r="T919" s="144" t="n"/>
      <c r="U919" s="144" t="n"/>
      <c r="X919" s="145" t="n"/>
    </row>
    <row r="920" customFormat="1" s="145">
      <c r="A920" s="68" t="inlineStr">
        <is>
          <t>成套产品报价明细表</t>
        </is>
      </c>
      <c r="B920" s="318" t="n"/>
      <c r="C920" s="318" t="n"/>
      <c r="D920" s="318" t="n"/>
      <c r="E920" s="318" t="n"/>
      <c r="F920" s="318" t="n"/>
      <c r="G920" s="318" t="n"/>
      <c r="H920" s="318" t="n"/>
      <c r="I920" s="318" t="n"/>
      <c r="Q920" s="144" t="n"/>
      <c r="R920" s="144" t="n"/>
      <c r="S920" s="144" t="n"/>
      <c r="T920" s="144" t="n"/>
      <c r="U920" s="144" t="n"/>
      <c r="X920" s="145" t="n"/>
    </row>
    <row r="921" customFormat="1" s="146">
      <c r="A921" s="69" t="inlineStr">
        <is>
          <t>柜号:</t>
        </is>
      </c>
      <c r="B921" s="70" t="inlineStr">
        <is>
          <t>4D11</t>
        </is>
      </c>
      <c r="C921" s="71" t="inlineStr">
        <is>
          <t>型号:</t>
        </is>
      </c>
      <c r="D921" s="70" t="inlineStr">
        <is>
          <t>Blokset</t>
        </is>
      </c>
      <c r="E921" s="319" t="n"/>
      <c r="F921" s="72" t="inlineStr">
        <is>
          <t>名称:</t>
        </is>
      </c>
      <c r="G921" s="70" t="inlineStr">
        <is>
          <t>出线柜</t>
        </is>
      </c>
      <c r="H921" s="319" t="n"/>
      <c r="I921" s="320" t="n"/>
      <c r="J921" s="116" t="inlineStr">
        <is>
          <t>箱柜尺寸:</t>
        </is>
      </c>
      <c r="K921" s="117" t="inlineStr">
        <is>
          <t>600W*1000D*2200H</t>
        </is>
      </c>
      <c r="L921" s="116" t="inlineStr">
        <is>
          <t>类别:</t>
        </is>
      </c>
      <c r="M921" s="117" t="n"/>
      <c r="N921" s="321" t="n"/>
      <c r="Q921" s="144" t="n"/>
      <c r="R921" s="144" t="n"/>
      <c r="S921" s="144" t="n"/>
      <c r="T921" s="144" t="n"/>
      <c r="U921" s="144" t="n"/>
      <c r="X921" s="146" t="n"/>
    </row>
    <row r="922" ht="20.1" customFormat="1" customHeight="1" s="145">
      <c r="A922" s="13" t="inlineStr">
        <is>
          <t>序号</t>
        </is>
      </c>
      <c r="B922" s="73" t="inlineStr">
        <is>
          <t>元件名称</t>
        </is>
      </c>
      <c r="C922" s="73" t="inlineStr">
        <is>
          <t>型号规格</t>
        </is>
      </c>
      <c r="D922" s="74" t="inlineStr">
        <is>
          <t>生产厂家</t>
        </is>
      </c>
      <c r="E922" s="15" t="inlineStr">
        <is>
          <t>单位</t>
        </is>
      </c>
      <c r="F922" s="15" t="inlineStr">
        <is>
          <t>数量</t>
        </is>
      </c>
      <c r="G922" s="287" t="inlineStr">
        <is>
          <t>单   价</t>
        </is>
      </c>
      <c r="H922" s="256" t="inlineStr">
        <is>
          <t>总   价</t>
        </is>
      </c>
      <c r="I922" s="119" t="inlineStr">
        <is>
          <t>备注</t>
        </is>
      </c>
      <c r="J922" s="322" t="inlineStr">
        <is>
          <t>成本单价</t>
        </is>
      </c>
      <c r="K922" s="322" t="inlineStr">
        <is>
          <t>成本总价</t>
        </is>
      </c>
      <c r="L922" s="121" t="inlineStr">
        <is>
          <t>报出
系数</t>
        </is>
      </c>
      <c r="M922" s="322" t="inlineStr">
        <is>
          <t>表价</t>
        </is>
      </c>
      <c r="N922" s="121" t="inlineStr">
        <is>
          <t>折扣
系数</t>
        </is>
      </c>
      <c r="O922" s="122" t="inlineStr">
        <is>
          <t>取费
系数</t>
        </is>
      </c>
      <c r="P922" s="322" t="inlineStr">
        <is>
          <t>成套费</t>
        </is>
      </c>
      <c r="Q922" s="147" t="inlineStr">
        <is>
          <t>类别</t>
        </is>
      </c>
      <c r="R922" s="147" t="inlineStr">
        <is>
          <t>物料编码</t>
        </is>
      </c>
      <c r="S922" s="147" t="inlineStr">
        <is>
          <t>产地</t>
        </is>
      </c>
      <c r="T922" s="147" t="inlineStr">
        <is>
          <t>加工费</t>
        </is>
      </c>
      <c r="U922" s="147" t="inlineStr">
        <is>
          <t>订货号</t>
        </is>
      </c>
      <c r="V922" s="147" t="inlineStr">
        <is>
          <t>人工</t>
        </is>
      </c>
      <c r="W922" s="147" t="inlineStr">
        <is>
          <t>辅料</t>
        </is>
      </c>
      <c r="X922" s="148" t="n"/>
    </row>
    <row r="923" customFormat="1" s="145">
      <c r="A923" s="75">
        <f>ROW()-ROW(A$922)</f>
        <v/>
      </c>
      <c r="B923" s="20" t="inlineStr">
        <is>
          <t>交流塑壳断路器</t>
        </is>
      </c>
      <c r="C923" s="20" t="inlineStr">
        <is>
          <t>NSX250N TMD 250 3P3D F</t>
        </is>
      </c>
      <c r="D923" s="25" t="inlineStr">
        <is>
          <t>甲供/施耐德电气</t>
        </is>
      </c>
      <c r="E923" s="21" t="inlineStr">
        <is>
          <t>只</t>
        </is>
      </c>
      <c r="F923" s="21" t="n">
        <v>1</v>
      </c>
      <c r="G923" s="289">
        <f>IF(AND(B923="",C923=""),"",ROUND(M923*L923*N923,2))</f>
        <v/>
      </c>
      <c r="H923" s="289">
        <f>IF(AND(B923="",C923=""),"",ROUND(F923*G923,2))</f>
        <v/>
      </c>
      <c r="I923" s="123" t="n"/>
      <c r="J923" s="323">
        <f>IF(AND(B923="",C923=""),"",ROUND(M923*N923,2))</f>
        <v/>
      </c>
      <c r="K923" s="324">
        <f>IF(AND(B923="",C923=""),"",ROUND(J923*F923,2))</f>
        <v/>
      </c>
      <c r="L923" s="126" t="n">
        <v>1</v>
      </c>
      <c r="M923" s="325" t="n">
        <v>2315.28</v>
      </c>
      <c r="N923" s="128" t="n">
        <v>0</v>
      </c>
      <c r="O923" s="129">
        <f t="array" ref="O923">IF(AND(B923="",C923=""),"",IF(G923&gt;=20000,0.05,IF(G923&gt;=10000,0.1,IF(G923&gt;=5000,0.2,IF(G923&gt;=1000,0.3,IF(G923&gt;=0,0.4,{0}))))))</f>
        <v/>
      </c>
      <c r="P923" s="326">
        <f>IF(AND(B923="",C923=""),"",ROUND(H923*O923,2))</f>
        <v/>
      </c>
      <c r="Q923" s="327" t="inlineStr">
        <is>
          <t>元件</t>
        </is>
      </c>
      <c r="R923" s="150" t="n"/>
      <c r="S923" s="150" t="n"/>
      <c r="T923" s="150" t="inlineStr">
        <is>
          <t>0</t>
        </is>
      </c>
      <c r="U923" s="150" t="inlineStr">
        <is>
          <t>C25N3TM250</t>
        </is>
      </c>
      <c r="V923" s="328" t="n"/>
      <c r="W923" s="328" t="n"/>
      <c r="X923" s="152" t="n"/>
    </row>
    <row r="924" customFormat="1" s="145">
      <c r="A924" s="36">
        <f>ROW()-ROW(A$922)</f>
        <v/>
      </c>
      <c r="B924" s="29" t="inlineStr">
        <is>
          <t>交流塑壳断路器</t>
        </is>
      </c>
      <c r="C924" s="25" t="inlineStr">
        <is>
          <t>NSX400N MIC 2.3 400 3P F</t>
        </is>
      </c>
      <c r="D924" s="25" t="inlineStr">
        <is>
          <t>甲供/施耐德电气</t>
        </is>
      </c>
      <c r="E924" s="30" t="inlineStr">
        <is>
          <t>只</t>
        </is>
      </c>
      <c r="F924" s="26" t="n">
        <v>3</v>
      </c>
      <c r="G924" s="293">
        <f>IF(AND(B924="",C924=""),"",ROUND(M924*L924*N924,2))</f>
        <v/>
      </c>
      <c r="H924" s="293">
        <f>IF(AND(B924="",C924=""),"",ROUND(F924*G924,2))</f>
        <v/>
      </c>
      <c r="I924" s="91" t="n"/>
      <c r="J924" s="329">
        <f>IF(AND(B924="",C924=""),"",ROUND(M924*N924,2))</f>
        <v/>
      </c>
      <c r="K924" s="330">
        <f>IF(AND(B924="",C924=""),"",ROUND(J924*F924,2))</f>
        <v/>
      </c>
      <c r="L924" s="126" t="n">
        <v>1</v>
      </c>
      <c r="M924" s="331" t="n">
        <v>3474.03</v>
      </c>
      <c r="N924" s="128" t="n">
        <v>0</v>
      </c>
      <c r="O924" s="129">
        <f t="array" ref="O924">IF(AND(B924="",C924=""),"",IF(G924&gt;=20000,0.05,IF(G924&gt;=10000,0.1,IF(G924&gt;=5000,0.2,IF(G924&gt;=1000,0.3,IF(G924&gt;=0,0.4,{0}))))))</f>
        <v/>
      </c>
      <c r="P924" s="332">
        <f>IF(AND(B924="",C924=""),"",ROUND(H924*O924,2))</f>
        <v/>
      </c>
      <c r="Q924" s="327" t="inlineStr">
        <is>
          <t>元件</t>
        </is>
      </c>
      <c r="R924" s="150" t="n"/>
      <c r="S924" s="150" t="n"/>
      <c r="T924" s="150" t="inlineStr">
        <is>
          <t>0</t>
        </is>
      </c>
      <c r="U924" s="150" t="inlineStr">
        <is>
          <t>C40N32D400</t>
        </is>
      </c>
      <c r="V924" s="328" t="n"/>
      <c r="W924" s="328" t="n"/>
      <c r="X924" s="152" t="n"/>
    </row>
    <row r="925" customFormat="1" s="145">
      <c r="A925" s="36">
        <f>ROW()-ROW(A$922)</f>
        <v/>
      </c>
      <c r="B925" s="29" t="inlineStr">
        <is>
          <t>交流塑壳断路器</t>
        </is>
      </c>
      <c r="C925" s="25" t="inlineStr">
        <is>
          <t>NSX630N MIC 2.3 630 3P F</t>
        </is>
      </c>
      <c r="D925" s="25" t="inlineStr">
        <is>
          <t>甲供/施耐德电气</t>
        </is>
      </c>
      <c r="E925" s="30" t="inlineStr">
        <is>
          <t>只</t>
        </is>
      </c>
      <c r="F925" s="26" t="n">
        <v>1</v>
      </c>
      <c r="G925" s="293">
        <f>IF(AND(B925="",C925=""),"",ROUND(M925*L925*N925,2))</f>
        <v/>
      </c>
      <c r="H925" s="293">
        <f>IF(AND(B925="",C925=""),"",ROUND(F925*G925,2))</f>
        <v/>
      </c>
      <c r="I925" s="91" t="n"/>
      <c r="J925" s="329">
        <f>IF(AND(B925="",C925=""),"",ROUND(M925*N925,2))</f>
        <v/>
      </c>
      <c r="K925" s="330">
        <f>IF(AND(B925="",C925=""),"",ROUND(J925*F925,2))</f>
        <v/>
      </c>
      <c r="L925" s="126" t="n">
        <v>1</v>
      </c>
      <c r="M925" s="331" t="n">
        <v>5950.31</v>
      </c>
      <c r="N925" s="128" t="n">
        <v>0</v>
      </c>
      <c r="O925" s="129">
        <f t="array" ref="O925">IF(AND(B925="",C925=""),"",IF(G925&gt;=20000,0.05,IF(G925&gt;=10000,0.1,IF(G925&gt;=5000,0.2,IF(G925&gt;=1000,0.3,IF(G925&gt;=0,0.4,{0}))))))</f>
        <v/>
      </c>
      <c r="P925" s="332">
        <f>IF(AND(B925="",C925=""),"",ROUND(H925*O925,2))</f>
        <v/>
      </c>
      <c r="Q925" s="327" t="inlineStr">
        <is>
          <t>元件</t>
        </is>
      </c>
      <c r="R925" s="150" t="n"/>
      <c r="S925" s="150" t="n"/>
      <c r="T925" s="150" t="inlineStr">
        <is>
          <t>0</t>
        </is>
      </c>
      <c r="U925" s="150" t="inlineStr">
        <is>
          <t>C63N32D630</t>
        </is>
      </c>
      <c r="V925" s="328" t="n"/>
      <c r="W925" s="328" t="n"/>
      <c r="X925" s="152" t="n"/>
    </row>
    <row r="926" customFormat="1" s="145">
      <c r="A926" s="36">
        <f>ROW()-ROW(A$922)</f>
        <v/>
      </c>
      <c r="B926" s="29" t="inlineStr">
        <is>
          <t>新外观延伸旋转手柄</t>
        </is>
      </c>
      <c r="C926" s="29" t="inlineStr">
        <is>
          <t>标准延伸旋转手柄/新外观延伸旋转手柄 100/160/250A</t>
        </is>
      </c>
      <c r="D926" s="25" t="inlineStr">
        <is>
          <t>甲供/施耐德电气</t>
        </is>
      </c>
      <c r="E926" s="30" t="inlineStr">
        <is>
          <t>只</t>
        </is>
      </c>
      <c r="F926" s="30" t="n">
        <v>1</v>
      </c>
      <c r="G926" s="297">
        <f>IF(AND(B926="",C926=""),"",ROUND(M926*L926*N926,2))</f>
        <v/>
      </c>
      <c r="H926" s="293">
        <f>IF(AND(B926="",C926=""),"",ROUND(F926*G926,2))</f>
        <v/>
      </c>
      <c r="I926" s="91" t="n"/>
      <c r="J926" s="329">
        <f>IF(AND(B926="",C926=""),"",ROUND(M926*N926,2))</f>
        <v/>
      </c>
      <c r="K926" s="330">
        <f>IF(AND(B926="",C926=""),"",ROUND(J926*F926,2))</f>
        <v/>
      </c>
      <c r="L926" s="126" t="n">
        <v>1</v>
      </c>
      <c r="M926" s="331" t="n">
        <v>189.75</v>
      </c>
      <c r="N926" s="128" t="n">
        <v>0</v>
      </c>
      <c r="O926" s="129">
        <f t="array" ref="O926">IF(AND(B926="",C926=""),"",IF(G926&gt;=20000,0.05,IF(G926&gt;=10000,0.1,IF(G926&gt;=5000,0.2,IF(G926&gt;=1000,0.3,IF(G926&gt;=0,0.4,{0}))))))</f>
        <v/>
      </c>
      <c r="P926" s="332">
        <f>IF(AND(B926="",C926=""),"",ROUND(H926*O926,2))</f>
        <v/>
      </c>
      <c r="Q926" s="327" t="inlineStr">
        <is>
          <t>元件</t>
        </is>
      </c>
      <c r="R926" s="150" t="n"/>
      <c r="S926" s="150" t="n"/>
      <c r="T926" s="150" t="inlineStr">
        <is>
          <t>0</t>
        </is>
      </c>
      <c r="U926" s="150" t="inlineStr">
        <is>
          <t>LV429338T</t>
        </is>
      </c>
      <c r="V926" s="328" t="n"/>
      <c r="W926" s="328" t="n"/>
      <c r="X926" s="152" t="n"/>
    </row>
    <row r="927" customFormat="1" s="145">
      <c r="A927" s="36">
        <f>ROW()-ROW(A$922)</f>
        <v/>
      </c>
      <c r="B927" s="29" t="inlineStr">
        <is>
          <t>新外观延伸旋转手柄</t>
        </is>
      </c>
      <c r="C927" s="29" t="inlineStr">
        <is>
          <t>标准延伸旋转手柄/新外观延伸旋转手柄 400/630A</t>
        </is>
      </c>
      <c r="D927" s="25" t="inlineStr">
        <is>
          <t>甲供/施耐德电气</t>
        </is>
      </c>
      <c r="E927" s="30" t="inlineStr">
        <is>
          <t>只</t>
        </is>
      </c>
      <c r="F927" s="30" t="n">
        <v>4</v>
      </c>
      <c r="G927" s="297">
        <f>IF(AND(B927="",C927=""),"",ROUND(M927*L927*N927,2))</f>
        <v/>
      </c>
      <c r="H927" s="297">
        <f>IF(AND(B927="",C927=""),"",ROUND(F927*G927,2))</f>
        <v/>
      </c>
      <c r="I927" s="135" t="n"/>
      <c r="J927" s="329">
        <f>IF(AND(B927="",C927=""),"",ROUND(M927*N927,2))</f>
        <v/>
      </c>
      <c r="K927" s="330">
        <f>IF(AND(B927="",C927=""),"",ROUND(J927*F927,2))</f>
        <v/>
      </c>
      <c r="L927" s="126" t="n">
        <v>1</v>
      </c>
      <c r="M927" s="331" t="n">
        <v>270.62</v>
      </c>
      <c r="N927" s="128" t="n">
        <v>0</v>
      </c>
      <c r="O927" s="129">
        <f t="array" ref="O927">IF(AND(B927="",C927=""),"",IF(G927&gt;=20000,0.05,IF(G927&gt;=10000,0.1,IF(G927&gt;=5000,0.2,IF(G927&gt;=1000,0.3,IF(G927&gt;=0,0.4,{0}))))))</f>
        <v/>
      </c>
      <c r="P927" s="332">
        <f>IF(AND(B927="",C927=""),"",ROUND(H927*O927,2))</f>
        <v/>
      </c>
      <c r="Q927" s="327" t="inlineStr">
        <is>
          <t>元件</t>
        </is>
      </c>
      <c r="R927" s="150" t="n"/>
      <c r="S927" s="150" t="n"/>
      <c r="T927" s="150" t="inlineStr">
        <is>
          <t>0</t>
        </is>
      </c>
      <c r="U927" s="150" t="inlineStr">
        <is>
          <t>LV432598T</t>
        </is>
      </c>
      <c r="V927" s="328" t="n"/>
      <c r="W927" s="328" t="n"/>
      <c r="X927" s="152" t="n"/>
    </row>
    <row r="928" customFormat="1" s="145">
      <c r="A928" s="36">
        <f>ROW()-ROW(A$922)</f>
        <v/>
      </c>
      <c r="B928" s="29" t="inlineStr">
        <is>
          <t>MX分励脱扣器</t>
        </is>
      </c>
      <c r="C928" s="29" t="inlineStr">
        <is>
          <t>MX分励AC220-240V/208-277V/100-630A</t>
        </is>
      </c>
      <c r="D928" s="25" t="inlineStr">
        <is>
          <t>甲供/施耐德电气</t>
        </is>
      </c>
      <c r="E928" s="30" t="inlineStr">
        <is>
          <t>只</t>
        </is>
      </c>
      <c r="F928" s="30" t="n">
        <v>5</v>
      </c>
      <c r="G928" s="297">
        <f>IF(AND(B928="",C928=""),"",ROUND(M928*L928*N928,2))</f>
        <v/>
      </c>
      <c r="H928" s="297">
        <f>IF(AND(B928="",C928=""),"",ROUND(F928*G928,2))</f>
        <v/>
      </c>
      <c r="I928" s="135" t="n"/>
      <c r="J928" s="329">
        <f>IF(AND(B928="",C928=""),"",ROUND(M928*N928,2))</f>
        <v/>
      </c>
      <c r="K928" s="330">
        <f>IF(AND(B928="",C928=""),"",ROUND(J928*F928,2))</f>
        <v/>
      </c>
      <c r="L928" s="126" t="n">
        <v>1</v>
      </c>
      <c r="M928" s="331" t="n">
        <v>314.03</v>
      </c>
      <c r="N928" s="128" t="n">
        <v>0</v>
      </c>
      <c r="O928" s="129">
        <f t="array" ref="O928">IF(AND(B928="",C928=""),"",IF(G928&gt;=20000,0.05,IF(G928&gt;=10000,0.1,IF(G928&gt;=5000,0.2,IF(G928&gt;=1000,0.3,IF(G928&gt;=0,0.4,{0}))))))</f>
        <v/>
      </c>
      <c r="P928" s="332">
        <f>IF(AND(B928="",C928=""),"",ROUND(H928*O928,2))</f>
        <v/>
      </c>
      <c r="Q928" s="327" t="inlineStr">
        <is>
          <t>元件</t>
        </is>
      </c>
      <c r="R928" s="150" t="n"/>
      <c r="S928" s="150" t="n"/>
      <c r="T928" s="150" t="inlineStr">
        <is>
          <t>0</t>
        </is>
      </c>
      <c r="U928" s="150" t="inlineStr">
        <is>
          <t>LV429387</t>
        </is>
      </c>
      <c r="V928" s="328" t="n"/>
      <c r="W928" s="328" t="n"/>
      <c r="X928" s="152" t="n"/>
    </row>
    <row r="929" customFormat="1" s="145">
      <c r="A929" s="36">
        <f>ROW()-ROW(A$922)</f>
        <v/>
      </c>
      <c r="B929" s="29" t="inlineStr">
        <is>
          <t>辅助触点OF</t>
        </is>
      </c>
      <c r="C929" s="25" t="inlineStr">
        <is>
          <t>OF</t>
        </is>
      </c>
      <c r="D929" s="25" t="inlineStr">
        <is>
          <t>甲供/施耐德电气</t>
        </is>
      </c>
      <c r="E929" s="30" t="inlineStr">
        <is>
          <t>只</t>
        </is>
      </c>
      <c r="F929" s="30" t="n">
        <v>10</v>
      </c>
      <c r="G929" s="297">
        <f>IF(AND(B929="",C929=""),"",ROUND(M929*L929*N929,2))</f>
        <v/>
      </c>
      <c r="H929" s="297">
        <f>IF(AND(B929="",C929=""),"",ROUND(F929*G929,2))</f>
        <v/>
      </c>
      <c r="I929" s="135" t="n"/>
      <c r="J929" s="329">
        <f>IF(AND(B929="",C929=""),"",ROUND(M929*N929,2))</f>
        <v/>
      </c>
      <c r="K929" s="330">
        <f>IF(AND(B929="",C929=""),"",ROUND(J929*F929,2))</f>
        <v/>
      </c>
      <c r="L929" s="126" t="n">
        <v>1</v>
      </c>
      <c r="M929" s="331" t="n">
        <v>174.01</v>
      </c>
      <c r="N929" s="128" t="n">
        <v>0</v>
      </c>
      <c r="O929" s="129">
        <f t="array" ref="O929">IF(AND(B929="",C929=""),"",IF(G929&gt;=20000,0.05,IF(G929&gt;=10000,0.1,IF(G929&gt;=5000,0.2,IF(G929&gt;=1000,0.3,IF(G929&gt;=0,0.4,{0}))))))</f>
        <v/>
      </c>
      <c r="P929" s="332">
        <f>IF(AND(B929="",C929=""),"",ROUND(H929*O929,2))</f>
        <v/>
      </c>
      <c r="Q929" s="327" t="inlineStr">
        <is>
          <t>元件</t>
        </is>
      </c>
      <c r="R929" s="150" t="n"/>
      <c r="S929" s="150" t="n"/>
      <c r="T929" s="150" t="inlineStr">
        <is>
          <t>0</t>
        </is>
      </c>
      <c r="U929" s="150" t="inlineStr">
        <is>
          <t>29450</t>
        </is>
      </c>
      <c r="V929" s="328" t="n"/>
      <c r="W929" s="328" t="n"/>
      <c r="X929" s="152" t="n"/>
    </row>
    <row r="930" customFormat="1" s="145">
      <c r="A930" s="36">
        <f>ROW()-ROW(A$922)</f>
        <v/>
      </c>
      <c r="B930" s="29" t="inlineStr">
        <is>
          <t>测量电流互感器</t>
        </is>
      </c>
      <c r="C930" s="25" t="inlineStr">
        <is>
          <t>SD-0.66-30I 250/5A</t>
        </is>
      </c>
      <c r="D930" s="29" t="inlineStr">
        <is>
          <t>杭州桑迪</t>
        </is>
      </c>
      <c r="E930" s="30" t="inlineStr">
        <is>
          <t>只</t>
        </is>
      </c>
      <c r="F930" s="30" t="n">
        <v>3</v>
      </c>
      <c r="G930" s="297">
        <f>IF(AND(B930="",C930=""),"",ROUND(M930*L930*N930,2))</f>
        <v/>
      </c>
      <c r="H930" s="297">
        <f>IF(AND(B930="",C930=""),"",ROUND(F930*G930,2))</f>
        <v/>
      </c>
      <c r="I930" s="135" t="n"/>
      <c r="J930" s="329">
        <f>IF(AND(B930="",C930=""),"",ROUND(M930*N930,2))</f>
        <v/>
      </c>
      <c r="K930" s="330">
        <f>IF(AND(B930="",C930=""),"",ROUND(J930*F930,2))</f>
        <v/>
      </c>
      <c r="L930" s="126" t="n">
        <v>1</v>
      </c>
      <c r="M930" s="331" t="n">
        <v>26.65</v>
      </c>
      <c r="N930" s="128" t="n">
        <v>1</v>
      </c>
      <c r="O930" s="129">
        <f t="array" ref="O930">IF(AND(B930="",C930=""),"",IF(G930&gt;=20000,0.05,IF(G930&gt;=10000,0.1,IF(G930&gt;=5000,0.2,IF(G930&gt;=1000,0.3,IF(G930&gt;=0,0.4,{0}))))))</f>
        <v/>
      </c>
      <c r="P930" s="332">
        <f>IF(AND(B930="",C930=""),"",ROUND(H930*O930,2))</f>
        <v/>
      </c>
      <c r="Q930" s="327" t="inlineStr">
        <is>
          <t>元件</t>
        </is>
      </c>
      <c r="R930" s="150" t="n"/>
      <c r="S930" s="150" t="n"/>
      <c r="T930" s="150" t="inlineStr">
        <is>
          <t>0</t>
        </is>
      </c>
      <c r="U930" s="150" t="n"/>
      <c r="V930" s="328" t="n"/>
      <c r="W930" s="328" t="n"/>
      <c r="X930" s="152" t="n"/>
    </row>
    <row r="931" customFormat="1" s="145">
      <c r="A931" s="36">
        <f>ROW()-ROW(A$922)</f>
        <v/>
      </c>
      <c r="B931" s="29" t="inlineStr">
        <is>
          <t>测量电流互感器</t>
        </is>
      </c>
      <c r="C931" s="29" t="inlineStr">
        <is>
          <t>SD-0.66-40II-C 400/5A</t>
        </is>
      </c>
      <c r="D931" s="29" t="inlineStr">
        <is>
          <t>杭州桑迪</t>
        </is>
      </c>
      <c r="E931" s="30" t="inlineStr">
        <is>
          <t>只</t>
        </is>
      </c>
      <c r="F931" s="30" t="n">
        <v>9</v>
      </c>
      <c r="G931" s="297">
        <f>IF(AND(B931="",C931=""),"",ROUND(M931*L931*N931,2))</f>
        <v/>
      </c>
      <c r="H931" s="297">
        <f>IF(AND(B931="",C931=""),"",ROUND(F931*G931,2))</f>
        <v/>
      </c>
      <c r="I931" s="135" t="n"/>
      <c r="J931" s="329">
        <f>IF(AND(B931="",C931=""),"",ROUND(M931*N931,2))</f>
        <v/>
      </c>
      <c r="K931" s="330">
        <f>IF(AND(B931="",C931=""),"",ROUND(J931*F931,2))</f>
        <v/>
      </c>
      <c r="L931" s="126" t="n">
        <v>1</v>
      </c>
      <c r="M931" s="331" t="n">
        <v>52</v>
      </c>
      <c r="N931" s="128" t="n">
        <v>1</v>
      </c>
      <c r="O931" s="129">
        <f t="array" ref="O931">IF(AND(B931="",C931=""),"",IF(G931&gt;=20000,0.05,IF(G931&gt;=10000,0.1,IF(G931&gt;=5000,0.2,IF(G931&gt;=1000,0.3,IF(G931&gt;=0,0.4,{0}))))))</f>
        <v/>
      </c>
      <c r="P931" s="332">
        <f>IF(AND(B931="",C931=""),"",ROUND(H931*O931,2))</f>
        <v/>
      </c>
      <c r="Q931" s="327" t="inlineStr">
        <is>
          <t>元件</t>
        </is>
      </c>
      <c r="R931" s="150" t="n"/>
      <c r="S931" s="150" t="n"/>
      <c r="T931" s="150" t="inlineStr">
        <is>
          <t>0</t>
        </is>
      </c>
      <c r="U931" s="150" t="n"/>
      <c r="V931" s="328" t="n"/>
      <c r="W931" s="328" t="n"/>
      <c r="X931" s="152" t="n"/>
    </row>
    <row r="932" customFormat="1" s="145">
      <c r="A932" s="36">
        <f>ROW()-ROW(A$922)</f>
        <v/>
      </c>
      <c r="B932" s="29" t="inlineStr">
        <is>
          <t>测量电流互感器</t>
        </is>
      </c>
      <c r="C932" s="29" t="inlineStr">
        <is>
          <t>SD-0.66-60II-C 600/5A</t>
        </is>
      </c>
      <c r="D932" s="29" t="inlineStr">
        <is>
          <t>杭州桑迪</t>
        </is>
      </c>
      <c r="E932" s="30" t="inlineStr">
        <is>
          <t>只</t>
        </is>
      </c>
      <c r="F932" s="30" t="n">
        <v>3</v>
      </c>
      <c r="G932" s="297">
        <f>IF(AND(B932="",C932=""),"",ROUND(M932*L932*N932,2))</f>
        <v/>
      </c>
      <c r="H932" s="297">
        <f>IF(AND(B932="",C932=""),"",ROUND(F932*G932,2))</f>
        <v/>
      </c>
      <c r="I932" s="135" t="n"/>
      <c r="J932" s="329">
        <f>IF(AND(B932="",C932=""),"",ROUND(M932*N932,2))</f>
        <v/>
      </c>
      <c r="K932" s="330">
        <f>IF(AND(B932="",C932=""),"",ROUND(J932*F932,2))</f>
        <v/>
      </c>
      <c r="L932" s="126" t="n">
        <v>1</v>
      </c>
      <c r="M932" s="331" t="n">
        <v>76.7</v>
      </c>
      <c r="N932" s="128" t="n">
        <v>1</v>
      </c>
      <c r="O932" s="129">
        <f t="array" ref="O932">IF(AND(B932="",C932=""),"",IF(G932&gt;=20000,0.05,IF(G932&gt;=10000,0.1,IF(G932&gt;=5000,0.2,IF(G932&gt;=1000,0.3,IF(G932&gt;=0,0.4,{0}))))))</f>
        <v/>
      </c>
      <c r="P932" s="332">
        <f>IF(AND(B932="",C932=""),"",ROUND(H932*O932,2))</f>
        <v/>
      </c>
      <c r="Q932" s="327" t="inlineStr">
        <is>
          <t>元件</t>
        </is>
      </c>
      <c r="R932" s="150" t="n"/>
      <c r="S932" s="150" t="n"/>
      <c r="T932" s="150" t="inlineStr">
        <is>
          <t>0</t>
        </is>
      </c>
      <c r="U932" s="150" t="n"/>
      <c r="V932" s="328" t="n"/>
      <c r="W932" s="328" t="n"/>
      <c r="X932" s="152" t="n"/>
    </row>
    <row r="933" customFormat="1" s="145">
      <c r="A933" s="36">
        <f>ROW()-ROW(A$922)</f>
        <v/>
      </c>
      <c r="B933" s="25" t="inlineStr">
        <is>
          <t>多功能表</t>
        </is>
      </c>
      <c r="C933" s="25" t="inlineStr">
        <is>
          <t>PM4101</t>
        </is>
      </c>
      <c r="D933" s="25" t="inlineStr">
        <is>
          <t>甲供/施耐德电气</t>
        </is>
      </c>
      <c r="E933" s="30" t="inlineStr">
        <is>
          <t>只</t>
        </is>
      </c>
      <c r="F933" s="26" t="n">
        <v>5</v>
      </c>
      <c r="G933" s="293">
        <f>IF(AND(B933="",C933=""),"",ROUND(M933*L933*N933,2))</f>
        <v/>
      </c>
      <c r="H933" s="293">
        <f>IF(AND(B933="",C933=""),"",ROUND(F933*G933,2))</f>
        <v/>
      </c>
      <c r="I933" s="91" t="n"/>
      <c r="J933" s="329">
        <f>IF(AND(B933="",C933=""),"",ROUND(M933*N933,2))</f>
        <v/>
      </c>
      <c r="K933" s="330">
        <f>IF(AND(B933="",C933=""),"",ROUND(J933*F933,2))</f>
        <v/>
      </c>
      <c r="L933" s="126" t="n">
        <v>1</v>
      </c>
      <c r="M933" s="331" t="n">
        <v>1e-07</v>
      </c>
      <c r="N933" s="128" t="n">
        <v>0</v>
      </c>
      <c r="O933" s="129">
        <f t="array" ref="O933">IF(AND(B933="",C933=""),"",IF(G933&gt;=20000,0.05,IF(G933&gt;=10000,0.1,IF(G933&gt;=5000,0.2,IF(G933&gt;=1000,0.3,IF(G933&gt;=0,0.4,{0}))))))</f>
        <v/>
      </c>
      <c r="P933" s="332">
        <f>IF(AND(B933="",C933=""),"",ROUND(H933*O933,2))</f>
        <v/>
      </c>
      <c r="Q933" s="327" t="inlineStr">
        <is>
          <t>元件</t>
        </is>
      </c>
      <c r="R933" s="150" t="n"/>
      <c r="S933" s="150" t="n"/>
      <c r="T933" s="150" t="inlineStr">
        <is>
          <t>0</t>
        </is>
      </c>
      <c r="U933" s="150" t="n"/>
      <c r="V933" s="328" t="n"/>
      <c r="W933" s="328" t="n"/>
      <c r="X933" s="152" t="n"/>
    </row>
    <row r="934" customFormat="1" s="145">
      <c r="A934" s="36">
        <f>ROW()-ROW(A$922)</f>
        <v/>
      </c>
      <c r="B934" s="29" t="inlineStr">
        <is>
          <t>指示灯</t>
        </is>
      </c>
      <c r="C934" s="29" t="inlineStr">
        <is>
          <t>XA2EVM3LC</t>
        </is>
      </c>
      <c r="D934" s="29" t="inlineStr">
        <is>
          <t>施耐德电气</t>
        </is>
      </c>
      <c r="E934" s="30" t="inlineStr">
        <is>
          <t>只</t>
        </is>
      </c>
      <c r="F934" s="30" t="n">
        <v>5</v>
      </c>
      <c r="G934" s="297">
        <f>IF(AND(B934="",C934=""),"",ROUND(M934*L934*N934,2))</f>
        <v/>
      </c>
      <c r="H934" s="297">
        <f>IF(AND(B934="",C934=""),"",ROUND(F934*G934,2))</f>
        <v/>
      </c>
      <c r="I934" s="136" t="n"/>
      <c r="J934" s="329">
        <f>IF(AND(B934="",C934=""),"",ROUND(M934*N934,2))</f>
        <v/>
      </c>
      <c r="K934" s="330">
        <f>IF(AND(B934="",C934=""),"",ROUND(J934*F934,2))</f>
        <v/>
      </c>
      <c r="L934" s="126" t="n">
        <v>1</v>
      </c>
      <c r="M934" s="331" t="n">
        <v>16.43</v>
      </c>
      <c r="N934" s="137" t="n">
        <v>0.5</v>
      </c>
      <c r="O934" s="138">
        <f t="array" ref="O934">IF(AND(B934="",C934=""),"",IF(G934&gt;=20000,0.05,IF(G934&gt;=10000,0.1,IF(G934&gt;=5000,0.2,IF(G934&gt;=1000,0.3,IF(G934&gt;=0,0.4,{0}))))))</f>
        <v/>
      </c>
      <c r="P934" s="333">
        <f>IF(AND(B934="",C934=""),"",ROUND(H934*O934,2))</f>
        <v/>
      </c>
      <c r="Q934" s="334" t="inlineStr">
        <is>
          <t>元件</t>
        </is>
      </c>
      <c r="R934" s="154" t="n"/>
      <c r="S934" s="154" t="n"/>
      <c r="T934" s="154" t="inlineStr">
        <is>
          <t>0</t>
        </is>
      </c>
      <c r="U934" s="154" t="inlineStr">
        <is>
          <t>XA2EVM3LC</t>
        </is>
      </c>
      <c r="V934" s="335" t="n"/>
      <c r="W934" s="335" t="n"/>
      <c r="X934" s="152" t="n"/>
    </row>
    <row r="935" customFormat="1" s="145">
      <c r="A935" s="36">
        <f>ROW()-ROW(A$922)</f>
        <v/>
      </c>
      <c r="B935" s="29" t="inlineStr">
        <is>
          <t>指示灯</t>
        </is>
      </c>
      <c r="C935" s="25" t="inlineStr">
        <is>
          <t>XA2EVM4LC</t>
        </is>
      </c>
      <c r="D935" s="29" t="inlineStr">
        <is>
          <t>施耐德电气</t>
        </is>
      </c>
      <c r="E935" s="30" t="inlineStr">
        <is>
          <t>只</t>
        </is>
      </c>
      <c r="F935" s="30" t="n">
        <v>5</v>
      </c>
      <c r="G935" s="297">
        <f>IF(AND(B935="",C935=""),"",ROUND(M935*L935*N935,2))</f>
        <v/>
      </c>
      <c r="H935" s="297">
        <f>IF(AND(B935="",C935=""),"",ROUND(F935*G935,2))</f>
        <v/>
      </c>
      <c r="I935" s="136" t="n"/>
      <c r="J935" s="329">
        <f>IF(AND(B935="",C935=""),"",ROUND(M935*N935,2))</f>
        <v/>
      </c>
      <c r="K935" s="330">
        <f>IF(AND(B935="",C935=""),"",ROUND(J935*F935,2))</f>
        <v/>
      </c>
      <c r="L935" s="126" t="n">
        <v>1</v>
      </c>
      <c r="M935" s="331" t="n">
        <v>16.43</v>
      </c>
      <c r="N935" s="137" t="n">
        <v>0.5</v>
      </c>
      <c r="O935" s="138">
        <f t="array" ref="O935">IF(AND(B935="",C935=""),"",IF(G935&gt;=20000,0.05,IF(G935&gt;=10000,0.1,IF(G935&gt;=5000,0.2,IF(G935&gt;=1000,0.3,IF(G935&gt;=0,0.4,{0}))))))</f>
        <v/>
      </c>
      <c r="P935" s="333">
        <f>IF(AND(B935="",C935=""),"",ROUND(H935*O935,2))</f>
        <v/>
      </c>
      <c r="Q935" s="334" t="inlineStr">
        <is>
          <t>元件</t>
        </is>
      </c>
      <c r="R935" s="154" t="n"/>
      <c r="S935" s="154" t="n"/>
      <c r="T935" s="154" t="inlineStr">
        <is>
          <t>0</t>
        </is>
      </c>
      <c r="U935" s="154" t="inlineStr">
        <is>
          <t>XA2EVM4LC</t>
        </is>
      </c>
      <c r="V935" s="335" t="n"/>
      <c r="W935" s="335" t="n"/>
      <c r="X935" s="152" t="n"/>
    </row>
    <row r="936" customFormat="1" s="145">
      <c r="A936" s="36">
        <f>ROW()-ROW(A$922)</f>
        <v/>
      </c>
      <c r="B936" s="25" t="inlineStr">
        <is>
          <t>中间继电器</t>
        </is>
      </c>
      <c r="C936" s="25" t="inlineStr">
        <is>
          <t>RXM4AB2P7+RXZE1M4C+RXZ410</t>
        </is>
      </c>
      <c r="D936" s="25" t="inlineStr">
        <is>
          <t>甲供/施耐德电气</t>
        </is>
      </c>
      <c r="E936" s="26" t="inlineStr">
        <is>
          <t>只</t>
        </is>
      </c>
      <c r="F936" s="26" t="n">
        <v>5</v>
      </c>
      <c r="G936" s="292">
        <f>IF(AND(B936="",C936=""),"",ROUND(M936*L936*N936,2))</f>
        <v/>
      </c>
      <c r="H936" s="297">
        <f>IF(AND(B936="",C936=""),"",ROUND(F936*G936,2))</f>
        <v/>
      </c>
      <c r="I936" s="135" t="n"/>
      <c r="J936" s="329">
        <f>IF(AND(B936="",C936=""),"",ROUND(M936*N936,2))</f>
        <v/>
      </c>
      <c r="K936" s="330">
        <f>IF(AND(B936="",C936=""),"",ROUND(J936*F936,2))</f>
        <v/>
      </c>
      <c r="L936" s="126" t="n">
        <v>1</v>
      </c>
      <c r="M936" s="331" t="n">
        <v>1e-07</v>
      </c>
      <c r="N936" s="128" t="n">
        <v>0</v>
      </c>
      <c r="O936" s="129">
        <f t="array" ref="O936">IF(AND(B936="",C936=""),"",IF(G936&gt;=20000,0.05,IF(G936&gt;=10000,0.1,IF(G936&gt;=5000,0.2,IF(G936&gt;=1000,0.3,IF(G936&gt;=0,0.4,{0}))))))</f>
        <v/>
      </c>
      <c r="P936" s="332">
        <f>IF(AND(B936="",C936=""),"",ROUND(H936*O936,2))</f>
        <v/>
      </c>
      <c r="Q936" s="327" t="inlineStr">
        <is>
          <t>元件</t>
        </is>
      </c>
      <c r="R936" s="150" t="n"/>
      <c r="S936" s="150" t="n"/>
      <c r="T936" s="150" t="inlineStr">
        <is>
          <t>0</t>
        </is>
      </c>
      <c r="U936" s="150" t="n"/>
      <c r="V936" s="328" t="n"/>
      <c r="W936" s="328" t="n"/>
      <c r="X936" s="152" t="n"/>
    </row>
    <row r="937" customFormat="1" s="145">
      <c r="A937" s="36">
        <f>ROW()-ROW(A$922)</f>
        <v/>
      </c>
      <c r="B937" s="25" t="inlineStr">
        <is>
          <t>熔断器</t>
        </is>
      </c>
      <c r="C937" s="25" t="inlineStr">
        <is>
          <t>UK5-HESI</t>
        </is>
      </c>
      <c r="D937" s="25" t="inlineStr">
        <is>
          <t>菲尼克斯</t>
        </is>
      </c>
      <c r="E937" s="26" t="inlineStr">
        <is>
          <t>只</t>
        </is>
      </c>
      <c r="F937" s="26" t="n">
        <v>15</v>
      </c>
      <c r="G937" s="293">
        <f>IF(AND(B937="",C937=""),"",ROUND(M937*L937*N937,2))</f>
        <v/>
      </c>
      <c r="H937" s="297">
        <f>IF(AND(B937="",C937=""),"",ROUND(F937*G937,2))</f>
        <v/>
      </c>
      <c r="I937" s="136" t="n"/>
      <c r="J937" s="329">
        <f>IF(AND(B937="",C937=""),"",ROUND(M937*N937,2))</f>
        <v/>
      </c>
      <c r="K937" s="330">
        <f>IF(AND(B937="",C937=""),"",ROUND(J937*F937,2))</f>
        <v/>
      </c>
      <c r="L937" s="126" t="n">
        <v>1</v>
      </c>
      <c r="M937" s="331" t="n">
        <v>7</v>
      </c>
      <c r="N937" s="137" t="n">
        <v>1</v>
      </c>
      <c r="O937" s="138">
        <f t="array" ref="O937">IF(AND(B937="",C937=""),"",IF(G937&gt;=20000,0.05,IF(G937&gt;=10000,0.1,IF(G937&gt;=5000,0.2,IF(G937&gt;=1000,0.3,IF(G937&gt;=0,0.4,{0}))))))</f>
        <v/>
      </c>
      <c r="P937" s="333">
        <f>IF(AND(B937="",C937=""),"",ROUND(H937*O937,2))</f>
        <v/>
      </c>
      <c r="Q937" s="334" t="inlineStr">
        <is>
          <t>元件</t>
        </is>
      </c>
      <c r="R937" s="154" t="n"/>
      <c r="S937" s="154" t="n"/>
      <c r="T937" s="154" t="inlineStr">
        <is>
          <t>0</t>
        </is>
      </c>
      <c r="U937" s="154" t="n"/>
      <c r="V937" s="335" t="n"/>
      <c r="W937" s="335" t="n"/>
      <c r="X937" s="152" t="n"/>
    </row>
    <row r="938" customFormat="1" s="145">
      <c r="A938" s="36">
        <f>ROW()-ROW(A$922)</f>
        <v/>
      </c>
      <c r="B938" s="29" t="inlineStr">
        <is>
          <t>SP元件</t>
        </is>
      </c>
      <c r="C938" s="25" t="inlineStr">
        <is>
          <t>智能网关 PAS700</t>
        </is>
      </c>
      <c r="D938" s="25" t="inlineStr">
        <is>
          <t>甲供/施耐德电气</t>
        </is>
      </c>
      <c r="E938" s="30" t="inlineStr">
        <is>
          <t>只</t>
        </is>
      </c>
      <c r="F938" s="30">
        <f>IF(AND(B938="",C938=""),"",1)</f>
        <v/>
      </c>
      <c r="G938" s="297">
        <f>IF(AND(B938="",C938=""),"",ROUND(M938*L938*N938,2))</f>
        <v/>
      </c>
      <c r="H938" s="297">
        <f>IF(AND(B938="",C938=""),"",ROUND(F938*G938,2))</f>
        <v/>
      </c>
      <c r="I938" s="135" t="n"/>
      <c r="J938" s="329">
        <f>IF(AND(B938="",C938=""),"",ROUND(M938*N938,2))</f>
        <v/>
      </c>
      <c r="K938" s="330">
        <f>IF(AND(B938="",C938=""),"",ROUND(J938*F938,2))</f>
        <v/>
      </c>
      <c r="L938" s="126" t="n">
        <v>1</v>
      </c>
      <c r="M938" s="331" t="n">
        <v>1e-07</v>
      </c>
      <c r="N938" s="128" t="n">
        <v>0</v>
      </c>
      <c r="O938" s="129">
        <f t="array" ref="O938">IF(AND(B938="",C938=""),"",IF(G938&gt;=20000,0.05,IF(G938&gt;=10000,0.1,IF(G938&gt;=5000,0.2,IF(G938&gt;=1000,0.3,IF(G938&gt;=0,0.4,{0}))))))</f>
        <v/>
      </c>
      <c r="P938" s="332">
        <f>IF(AND(B938="",C938=""),"",ROUND(H938*O938,2))</f>
        <v/>
      </c>
      <c r="Q938" s="327" t="inlineStr">
        <is>
          <t>元件</t>
        </is>
      </c>
      <c r="R938" s="150" t="n"/>
      <c r="S938" s="150" t="n"/>
      <c r="T938" s="150" t="inlineStr">
        <is>
          <t>0</t>
        </is>
      </c>
      <c r="U938" s="150" t="n"/>
      <c r="V938" s="328" t="n"/>
      <c r="W938" s="328" t="n"/>
      <c r="X938" s="152" t="n"/>
    </row>
    <row r="939" customFormat="1" s="145">
      <c r="A939" s="36">
        <f>ROW()-ROW(A$922)</f>
        <v/>
      </c>
      <c r="B939" s="25" t="inlineStr">
        <is>
          <t>水平排4000A</t>
        </is>
      </c>
      <c r="C939" s="25" t="inlineStr">
        <is>
          <t>TMY 3*(4*125*5)+2*125*5+2*50*5</t>
        </is>
      </c>
      <c r="D939" s="25" t="inlineStr">
        <is>
          <t>国产优质</t>
        </is>
      </c>
      <c r="E939" s="26" t="inlineStr">
        <is>
          <t>米</t>
        </is>
      </c>
      <c r="F939" s="30" t="n">
        <v>0.6</v>
      </c>
      <c r="G939" s="297">
        <f>IF(AND(B939="",C939=""),"",ROUND(M939*L939*N939,2))</f>
        <v/>
      </c>
      <c r="H939" s="297">
        <f>IF(AND(B939="",C939=""),"",ROUND(F939*G939,2))</f>
        <v/>
      </c>
      <c r="I939" s="135" t="n"/>
      <c r="J939" s="329">
        <f>IF(AND(B939="",C939=""),"",ROUND(M939*N939,2))</f>
        <v/>
      </c>
      <c r="K939" s="330">
        <f>IF(AND(B939="",C939=""),"",ROUND(J939*F939,2))</f>
        <v/>
      </c>
      <c r="L939" s="126" t="n">
        <v>1</v>
      </c>
      <c r="M939" s="331" t="n">
        <v>6895.130375</v>
      </c>
      <c r="N939" s="128" t="n">
        <v>1</v>
      </c>
      <c r="O939" s="129">
        <f t="array" ref="O939">IF(AND(B939="",C939=""),"",IF(G939&gt;=20000,0.05,IF(G939&gt;=10000,0.1,IF(G939&gt;=5000,0.2,IF(G939&gt;=1000,0.3,IF(G939&gt;=0,0.4,{0}))))))</f>
        <v/>
      </c>
      <c r="P939" s="332">
        <f>IF(AND(B939="",C939=""),"",ROUND(H939*O939,2))</f>
        <v/>
      </c>
      <c r="Q939" s="327" t="inlineStr">
        <is>
          <t>母排</t>
        </is>
      </c>
      <c r="R939" s="150" t="n"/>
      <c r="S939" s="150" t="n"/>
      <c r="T939" s="150" t="inlineStr">
        <is>
          <t>0</t>
        </is>
      </c>
      <c r="U939" s="150" t="n"/>
      <c r="V939" s="328" t="n"/>
      <c r="W939" s="328" t="n"/>
      <c r="X939" s="152" t="n"/>
    </row>
    <row r="940" customFormat="1" s="145">
      <c r="A940" s="36">
        <f>ROW()-ROW(A$922)</f>
        <v/>
      </c>
      <c r="B940" s="25" t="inlineStr">
        <is>
          <t>垂直排</t>
        </is>
      </c>
      <c r="C940" s="25" t="inlineStr">
        <is>
          <t>TMY 100*10</t>
        </is>
      </c>
      <c r="D940" s="25" t="inlineStr">
        <is>
          <t>国产优质</t>
        </is>
      </c>
      <c r="E940" s="26" t="inlineStr">
        <is>
          <t>米</t>
        </is>
      </c>
      <c r="F940" s="30" t="n">
        <v>5.7</v>
      </c>
      <c r="G940" s="297">
        <f>IF(AND(B940="",C940=""),"",ROUND(M940*L940*N940,2))</f>
        <v/>
      </c>
      <c r="H940" s="297">
        <f>IF(AND(B940="",C940=""),"",ROUND(F940*G940,2))</f>
        <v/>
      </c>
      <c r="I940" s="135" t="n"/>
      <c r="J940" s="329">
        <f>IF(AND(B940="",C940=""),"",ROUND(M940*N940,2))</f>
        <v/>
      </c>
      <c r="K940" s="330">
        <f>IF(AND(B940="",C940=""),"",ROUND(J940*F940,2))</f>
        <v/>
      </c>
      <c r="L940" s="126" t="n">
        <v>1</v>
      </c>
      <c r="M940" s="331" t="n">
        <v>745.4195</v>
      </c>
      <c r="N940" s="128" t="n">
        <v>1</v>
      </c>
      <c r="O940" s="129">
        <f t="array" ref="O940">IF(AND(B940="",C940=""),"",IF(G940&gt;=20000,0.05,IF(G940&gt;=10000,0.1,IF(G940&gt;=5000,0.2,IF(G940&gt;=1000,0.3,IF(G940&gt;=0,0.4,{0}))))))</f>
        <v/>
      </c>
      <c r="P940" s="332">
        <f>IF(AND(B940="",C940=""),"",ROUND(H940*O940,2))</f>
        <v/>
      </c>
      <c r="Q940" s="327" t="inlineStr">
        <is>
          <t>母排</t>
        </is>
      </c>
      <c r="R940" s="150" t="n"/>
      <c r="S940" s="150" t="n"/>
      <c r="T940" s="150" t="inlineStr">
        <is>
          <t>0</t>
        </is>
      </c>
      <c r="U940" s="150" t="n"/>
      <c r="V940" s="328" t="n"/>
      <c r="W940" s="328" t="n"/>
      <c r="X940" s="152" t="n"/>
    </row>
    <row r="941" customFormat="1" s="145">
      <c r="A941" s="36">
        <f>ROW()-ROW(A$922)</f>
        <v/>
      </c>
      <c r="B941" s="25" t="inlineStr">
        <is>
          <t>连接排</t>
        </is>
      </c>
      <c r="C941" s="25" t="inlineStr">
        <is>
          <t>TMY 50*10</t>
        </is>
      </c>
      <c r="D941" s="25" t="inlineStr">
        <is>
          <t>国产优质</t>
        </is>
      </c>
      <c r="E941" s="26" t="inlineStr">
        <is>
          <t>米</t>
        </is>
      </c>
      <c r="F941" s="30" t="n">
        <v>4.9</v>
      </c>
      <c r="G941" s="297">
        <f>IF(AND(B941="",C941=""),"",ROUND(M941*L941*N941,2))</f>
        <v/>
      </c>
      <c r="H941" s="297">
        <f>IF(AND(B941="",C941=""),"",ROUND(F941*G941,2))</f>
        <v/>
      </c>
      <c r="I941" s="135" t="n"/>
      <c r="J941" s="329">
        <f>IF(AND(B941="",C941=""),"",ROUND(M941*N941,2))</f>
        <v/>
      </c>
      <c r="K941" s="330">
        <f>IF(AND(B941="",C941=""),"",ROUND(J941*F941,2))</f>
        <v/>
      </c>
      <c r="L941" s="126" t="n">
        <v>1</v>
      </c>
      <c r="M941" s="331" t="n">
        <v>372.70975</v>
      </c>
      <c r="N941" s="128" t="n">
        <v>1</v>
      </c>
      <c r="O941" s="129">
        <f t="array" ref="O941">IF(AND(B941="",C941=""),"",IF(G941&gt;=20000,0.05,IF(G941&gt;=10000,0.1,IF(G941&gt;=5000,0.2,IF(G941&gt;=1000,0.3,IF(G941&gt;=0,0.4,{0}))))))</f>
        <v/>
      </c>
      <c r="P941" s="332">
        <f>IF(AND(B941="",C941=""),"",ROUND(H941*O941,2))</f>
        <v/>
      </c>
      <c r="Q941" s="327" t="inlineStr">
        <is>
          <t>母排</t>
        </is>
      </c>
      <c r="R941" s="150" t="n"/>
      <c r="S941" s="150" t="n"/>
      <c r="T941" s="150" t="inlineStr">
        <is>
          <t>0</t>
        </is>
      </c>
      <c r="U941" s="150" t="n"/>
      <c r="V941" s="328" t="n"/>
      <c r="W941" s="328" t="n"/>
      <c r="X941" s="152" t="n"/>
    </row>
    <row r="942" customFormat="1" s="145">
      <c r="A942" s="36">
        <f>ROW()-ROW(A$922)</f>
        <v/>
      </c>
      <c r="B942" s="25" t="inlineStr">
        <is>
          <t>N排</t>
        </is>
      </c>
      <c r="C942" s="25" t="inlineStr">
        <is>
          <t>TMY 50*10</t>
        </is>
      </c>
      <c r="D942" s="25" t="inlineStr">
        <is>
          <t>国产优质</t>
        </is>
      </c>
      <c r="E942" s="26" t="inlineStr">
        <is>
          <t>米</t>
        </is>
      </c>
      <c r="F942" s="30" t="n">
        <v>3.3</v>
      </c>
      <c r="G942" s="297">
        <f>IF(AND(B942="",C942=""),"",ROUND(M942*L942*N942,2))</f>
        <v/>
      </c>
      <c r="H942" s="297">
        <f>IF(AND(B942="",C942=""),"",ROUND(F942*G942,2))</f>
        <v/>
      </c>
      <c r="I942" s="135" t="n"/>
      <c r="J942" s="329">
        <f>IF(AND(B942="",C942=""),"",ROUND(M942*N942,2))</f>
        <v/>
      </c>
      <c r="K942" s="330">
        <f>IF(AND(B942="",C942=""),"",ROUND(J942*F942,2))</f>
        <v/>
      </c>
      <c r="L942" s="126" t="n">
        <v>1</v>
      </c>
      <c r="M942" s="331" t="n">
        <v>372.70975</v>
      </c>
      <c r="N942" s="128" t="n">
        <v>1</v>
      </c>
      <c r="O942" s="129">
        <f t="array" ref="O942">IF(AND(B942="",C942=""),"",IF(G942&gt;=20000,0.05,IF(G942&gt;=10000,0.1,IF(G942&gt;=5000,0.2,IF(G942&gt;=1000,0.3,IF(G942&gt;=0,0.4,{0}))))))</f>
        <v/>
      </c>
      <c r="P942" s="332">
        <f>IF(AND(B942="",C942=""),"",ROUND(H942*O942,2))</f>
        <v/>
      </c>
      <c r="Q942" s="327" t="inlineStr">
        <is>
          <t>母排</t>
        </is>
      </c>
      <c r="R942" s="150" t="n"/>
      <c r="S942" s="150" t="n"/>
      <c r="T942" s="150" t="inlineStr">
        <is>
          <t>0</t>
        </is>
      </c>
      <c r="U942" s="150" t="n"/>
      <c r="V942" s="328" t="n"/>
      <c r="W942" s="328" t="n"/>
      <c r="X942" s="152" t="n"/>
    </row>
    <row r="943" customFormat="1" s="145">
      <c r="A943" s="36">
        <f>ROW()-ROW(A$922)</f>
        <v/>
      </c>
      <c r="B943" s="25" t="inlineStr">
        <is>
          <t>400A连接排</t>
        </is>
      </c>
      <c r="C943" s="25" t="inlineStr">
        <is>
          <t>TMY 30*8</t>
        </is>
      </c>
      <c r="D943" s="25" t="inlineStr">
        <is>
          <t>国产优质</t>
        </is>
      </c>
      <c r="E943" s="26" t="inlineStr">
        <is>
          <t>米</t>
        </is>
      </c>
      <c r="F943" s="30">
        <f>3.2*3</f>
        <v/>
      </c>
      <c r="G943" s="297">
        <f>IF(AND(B943="",C943=""),"",ROUND(M943*L943*N943,2))</f>
        <v/>
      </c>
      <c r="H943" s="297">
        <f>IF(AND(B943="",C943=""),"",ROUND(F943*G943,2))</f>
        <v/>
      </c>
      <c r="I943" s="135" t="n"/>
      <c r="J943" s="329">
        <f>IF(AND(B943="",C943=""),"",ROUND(M943*N943,2))</f>
        <v/>
      </c>
      <c r="K943" s="330">
        <f>IF(AND(B943="",C943=""),"",ROUND(J943*F943,2))</f>
        <v/>
      </c>
      <c r="L943" s="126" t="n">
        <v>1</v>
      </c>
      <c r="M943" s="331" t="n">
        <v>178.90068</v>
      </c>
      <c r="N943" s="128" t="n">
        <v>1</v>
      </c>
      <c r="O943" s="129">
        <f t="array" ref="O943">IF(AND(B943="",C943=""),"",IF(G943&gt;=20000,0.05,IF(G943&gt;=10000,0.1,IF(G943&gt;=5000,0.2,IF(G943&gt;=1000,0.3,IF(G943&gt;=0,0.4,{0}))))))</f>
        <v/>
      </c>
      <c r="P943" s="332">
        <f>IF(AND(B943="",C943=""),"",ROUND(H943*O943,2))</f>
        <v/>
      </c>
      <c r="Q943" s="327" t="inlineStr">
        <is>
          <t>母排</t>
        </is>
      </c>
      <c r="R943" s="150" t="n"/>
      <c r="S943" s="150" t="n"/>
      <c r="T943" s="150" t="inlineStr">
        <is>
          <t>0</t>
        </is>
      </c>
      <c r="U943" s="150" t="n"/>
      <c r="V943" s="328" t="n"/>
      <c r="W943" s="328" t="n"/>
      <c r="X943" s="152" t="n"/>
    </row>
    <row r="944" customFormat="1" s="145">
      <c r="A944" s="36">
        <f>ROW()-ROW(A$922)</f>
        <v/>
      </c>
      <c r="B944" s="25" t="inlineStr">
        <is>
          <t>630A连接排</t>
        </is>
      </c>
      <c r="C944" s="25" t="inlineStr">
        <is>
          <t>TMY 30*10</t>
        </is>
      </c>
      <c r="D944" s="25" t="inlineStr">
        <is>
          <t>国产优质</t>
        </is>
      </c>
      <c r="E944" s="26" t="inlineStr">
        <is>
          <t>米</t>
        </is>
      </c>
      <c r="F944" s="30">
        <f>3.2*1</f>
        <v/>
      </c>
      <c r="G944" s="297">
        <f>IF(AND(B944="",C944=""),"",ROUND(M944*L944*N944,2))</f>
        <v/>
      </c>
      <c r="H944" s="297">
        <f>IF(AND(B944="",C944=""),"",ROUND(F944*G944,2))</f>
        <v/>
      </c>
      <c r="I944" s="135" t="n"/>
      <c r="J944" s="329">
        <f>IF(AND(B944="",C944=""),"",ROUND(M944*N944,2))</f>
        <v/>
      </c>
      <c r="K944" s="330">
        <f>IF(AND(B944="",C944=""),"",ROUND(J944*F944,2))</f>
        <v/>
      </c>
      <c r="L944" s="126" t="n">
        <v>1</v>
      </c>
      <c r="M944" s="331" t="n">
        <v>223.62585</v>
      </c>
      <c r="N944" s="128" t="n">
        <v>1</v>
      </c>
      <c r="O944" s="129">
        <f t="array" ref="O944">IF(AND(B944="",C944=""),"",IF(G944&gt;=20000,0.05,IF(G944&gt;=10000,0.1,IF(G944&gt;=5000,0.2,IF(G944&gt;=1000,0.3,IF(G944&gt;=0,0.4,{0}))))))</f>
        <v/>
      </c>
      <c r="P944" s="332">
        <f>IF(AND(B944="",C944=""),"",ROUND(H944*O944,2))</f>
        <v/>
      </c>
      <c r="Q944" s="327" t="inlineStr">
        <is>
          <t>母排</t>
        </is>
      </c>
      <c r="R944" s="150" t="n"/>
      <c r="S944" s="150" t="n"/>
      <c r="T944" s="150" t="inlineStr">
        <is>
          <t>0</t>
        </is>
      </c>
      <c r="U944" s="150" t="n"/>
      <c r="V944" s="328" t="n"/>
      <c r="W944" s="328" t="n"/>
      <c r="X944" s="152" t="n"/>
    </row>
    <row r="945" customFormat="1" s="145">
      <c r="A945" s="36">
        <f>ROW()-ROW(A$922)</f>
        <v/>
      </c>
      <c r="B945" s="25" t="inlineStr">
        <is>
          <t>导线及辅料</t>
        </is>
      </c>
      <c r="C945" s="25" t="n"/>
      <c r="D945" s="25" t="inlineStr">
        <is>
          <t>国产优质</t>
        </is>
      </c>
      <c r="E945" s="26" t="inlineStr">
        <is>
          <t>套</t>
        </is>
      </c>
      <c r="F945" s="26" t="n">
        <v>1</v>
      </c>
      <c r="G945" s="293">
        <f>IF(AND(B945="",C945=""),"",ROUND(M945*L945*N945,2))</f>
        <v/>
      </c>
      <c r="H945" s="293">
        <f>IF(AND(B945="",C945=""),"",ROUND(F945*G945,2))</f>
        <v/>
      </c>
      <c r="I945" s="164" t="n"/>
      <c r="J945" s="329">
        <f>IF(AND(B945="",C945=""),"",ROUND(M945*N945,2))</f>
        <v/>
      </c>
      <c r="K945" s="330">
        <f>IF(AND(B945="",C945=""),"",ROUND(J945*F945,2))</f>
        <v/>
      </c>
      <c r="L945" s="126" t="n">
        <v>1</v>
      </c>
      <c r="M945" s="331" t="n">
        <v>897</v>
      </c>
      <c r="N945" s="137" t="n">
        <v>1</v>
      </c>
      <c r="O945" s="138">
        <f t="array" ref="O945">IF(AND(B945="",C945=""),"",IF(G945&gt;=20000,0.05,IF(G945&gt;=10000,0.1,IF(G945&gt;=5000,0.2,IF(G945&gt;=1000,0.3,IF(G945&gt;=0,0.4,{0}))))))</f>
        <v/>
      </c>
      <c r="P945" s="333">
        <f>IF(AND(B945="",C945=""),"",ROUND(H945*O945,2))</f>
        <v/>
      </c>
      <c r="Q945" s="334" t="inlineStr">
        <is>
          <t>辅料</t>
        </is>
      </c>
      <c r="R945" s="154" t="n"/>
      <c r="S945" s="154" t="n"/>
      <c r="T945" s="154" t="inlineStr">
        <is>
          <t>0</t>
        </is>
      </c>
      <c r="U945" s="154" t="n"/>
      <c r="V945" s="335" t="n"/>
      <c r="W945" s="335" t="n"/>
      <c r="X945" s="152" t="n"/>
    </row>
    <row r="946" customFormat="1" s="145">
      <c r="A946" s="36">
        <f>ROW()-ROW(A$922)</f>
        <v/>
      </c>
      <c r="B946" s="25" t="inlineStr">
        <is>
          <t>通风顶盖</t>
        </is>
      </c>
      <c r="C946" s="25" t="n"/>
      <c r="D946" s="25" t="inlineStr">
        <is>
          <t>清科</t>
        </is>
      </c>
      <c r="E946" s="30" t="inlineStr">
        <is>
          <t>台</t>
        </is>
      </c>
      <c r="F946" s="26">
        <f>IF(AND(B946="",C946=""),"",1)</f>
        <v/>
      </c>
      <c r="G946" s="293">
        <f>IF(AND(B946="",C946=""),"",ROUND(M946*L946*N946,2))</f>
        <v/>
      </c>
      <c r="H946" s="293">
        <f>IF(AND(B946="",C946=""),"",ROUND(F946*G946,2))</f>
        <v/>
      </c>
      <c r="I946" s="164" t="n"/>
      <c r="J946" s="329">
        <f>IF(AND(B946="",C946=""),"",ROUND(M946*N946,2))</f>
        <v/>
      </c>
      <c r="K946" s="330">
        <f>IF(AND(B946="",C946=""),"",ROUND(J946*F946,2))</f>
        <v/>
      </c>
      <c r="L946" s="126">
        <f>IF(AND(B946="",C946=""),"",1)</f>
        <v/>
      </c>
      <c r="M946" s="331" t="n">
        <v>138</v>
      </c>
      <c r="N946" s="137">
        <f>IF(AND(B946="",C946=""),"",1)</f>
        <v/>
      </c>
      <c r="O946" s="138">
        <f t="array" ref="O946">IF(AND(B946="",C946=""),"",IF(G946&gt;=20000,0.05,IF(G946&gt;=10000,0.1,IF(G946&gt;=5000,0.2,IF(G946&gt;=1000,0.3,IF(G946&gt;=0,0.4,{0}))))))</f>
        <v/>
      </c>
      <c r="P946" s="333">
        <f>IF(AND(B946="",C946=""),"",ROUND(H946*O946,2))</f>
        <v/>
      </c>
      <c r="Q946" s="334">
        <f>IF(AND(B946="",C946=""),"","元件")</f>
        <v/>
      </c>
      <c r="R946" s="154" t="n"/>
      <c r="S946" s="154" t="n"/>
      <c r="T946" s="154" t="n"/>
      <c r="U946" s="154" t="n"/>
      <c r="V946" s="335" t="n"/>
      <c r="W946" s="335" t="n"/>
      <c r="X946" s="152" t="n"/>
    </row>
    <row r="947" customFormat="1" s="145">
      <c r="A947" s="36">
        <f>ROW()-ROW(A$922)</f>
        <v/>
      </c>
      <c r="B947" s="29" t="inlineStr">
        <is>
          <t>Blokset柜</t>
        </is>
      </c>
      <c r="C947" s="25" t="inlineStr">
        <is>
          <t>600W*1000D*2200H</t>
        </is>
      </c>
      <c r="D947" s="25" t="inlineStr">
        <is>
          <t>清科</t>
        </is>
      </c>
      <c r="E947" s="30" t="inlineStr">
        <is>
          <t>台</t>
        </is>
      </c>
      <c r="F947" s="30" t="n">
        <v>1</v>
      </c>
      <c r="G947" s="297">
        <f>IF(AND(B947="",C947=""),"",ROUND(M947*L947*N947,2))</f>
        <v/>
      </c>
      <c r="H947" s="297">
        <f>IF(AND(B947="",C947=""),"",ROUND(F947*G947,2))</f>
        <v/>
      </c>
      <c r="I947" s="135" t="n"/>
      <c r="J947" s="329">
        <f>IF(AND(B947="",C947=""),"",ROUND(M947*N947,2))</f>
        <v/>
      </c>
      <c r="K947" s="330">
        <f>IF(AND(B947="",C947=""),"",ROUND(J947*F947,2))</f>
        <v/>
      </c>
      <c r="L947" s="126" t="n">
        <v>1</v>
      </c>
      <c r="M947" s="331" t="n">
        <v>7660</v>
      </c>
      <c r="N947" s="137" t="n">
        <v>1</v>
      </c>
      <c r="O947" s="138">
        <f t="array" ref="O947">IF(AND(B947="",C947=""),"",IF(G947&gt;=20000,0.05,IF(G947&gt;=10000,0.1,IF(G947&gt;=5000,0.2,IF(G947&gt;=1000,0.3,IF(G947&gt;=0,0.4,{0}))))))</f>
        <v/>
      </c>
      <c r="P947" s="333">
        <f>IF(AND(B947="",C947=""),"",ROUND(H947*O947,2))</f>
        <v/>
      </c>
      <c r="Q947" s="334" t="inlineStr">
        <is>
          <t>箱体</t>
        </is>
      </c>
      <c r="R947" s="154" t="n"/>
      <c r="S947" s="154" t="n"/>
      <c r="T947" s="154" t="inlineStr">
        <is>
          <t>0</t>
        </is>
      </c>
      <c r="U947" s="154" t="n"/>
      <c r="V947" s="335" t="n"/>
      <c r="W947" s="335" t="n"/>
      <c r="X947" s="152" t="n"/>
    </row>
    <row r="948" customFormat="1" s="145">
      <c r="A948" s="36">
        <f>ROW()-ROW(A$922)</f>
        <v/>
      </c>
      <c r="B948" s="29" t="n"/>
      <c r="C948" s="29" t="n"/>
      <c r="D948" s="29" t="n"/>
      <c r="E948" s="30" t="n"/>
      <c r="F948" s="30">
        <f>IF(AND(B948="",C948=""),"",1)</f>
        <v/>
      </c>
      <c r="G948" s="297">
        <f>IF(AND(B948="",C948=""),"",ROUND(M948*L948*N948,2))</f>
        <v/>
      </c>
      <c r="H948" s="293">
        <f>IF(AND(B948="",C948=""),"",ROUND(F948*G948,2))</f>
        <v/>
      </c>
      <c r="I948" s="91" t="n"/>
      <c r="J948" s="329">
        <f>IF(AND(B948="",C948=""),"",ROUND(M948*N948,2))</f>
        <v/>
      </c>
      <c r="K948" s="330">
        <f>IF(AND(B948="",C948=""),"",ROUND(J948*F948,2))</f>
        <v/>
      </c>
      <c r="L948" s="126">
        <f>IF(AND(B948="",C948=""),"",1)</f>
        <v/>
      </c>
      <c r="M948" s="331" t="n"/>
      <c r="N948" s="128">
        <f>IF(AND(B948="",C948=""),"",1)</f>
        <v/>
      </c>
      <c r="O948" s="129">
        <f t="array" ref="O948">IF(AND(B948="",C948=""),"",IF(G948&gt;=20000,0.05,IF(G948&gt;=10000,0.1,IF(G948&gt;=5000,0.2,IF(G948&gt;=1000,0.3,IF(G948&gt;=0,0.4,{0}))))))</f>
        <v/>
      </c>
      <c r="P948" s="332">
        <f>IF(AND(B948="",C948=""),"",ROUND(H948*O948,2))</f>
        <v/>
      </c>
      <c r="Q948" s="327">
        <f>IF(AND(B948="",C948=""),"","元件")</f>
        <v/>
      </c>
      <c r="R948" s="150" t="n"/>
      <c r="S948" s="150" t="n"/>
      <c r="T948" s="150" t="n"/>
      <c r="U948" s="150" t="n"/>
      <c r="V948" s="328" t="n"/>
      <c r="W948" s="328" t="n"/>
      <c r="X948" s="152" t="n"/>
    </row>
    <row r="949" customFormat="1" s="145">
      <c r="A949" s="36">
        <f>ROW()-ROW(A$922)</f>
        <v/>
      </c>
      <c r="B949" s="29" t="n"/>
      <c r="C949" s="29" t="n"/>
      <c r="D949" s="29" t="n"/>
      <c r="E949" s="30" t="n"/>
      <c r="F949" s="30">
        <f>IF(AND(B949="",C949=""),"",1)</f>
        <v/>
      </c>
      <c r="G949" s="297">
        <f>IF(AND(B949="",C949=""),"",ROUND(M949*L949*N949,2))</f>
        <v/>
      </c>
      <c r="H949" s="297">
        <f>IF(AND(B949="",C949=""),"",ROUND(F949*G949,2))</f>
        <v/>
      </c>
      <c r="I949" s="135" t="n"/>
      <c r="J949" s="329">
        <f>IF(AND(B949="",C949=""),"",ROUND(M949*N949,2))</f>
        <v/>
      </c>
      <c r="K949" s="330">
        <f>IF(AND(B949="",C949=""),"",ROUND(J949*F949,2))</f>
        <v/>
      </c>
      <c r="L949" s="126">
        <f>IF(AND(B949="",C949=""),"",1)</f>
        <v/>
      </c>
      <c r="M949" s="331" t="n"/>
      <c r="N949" s="128">
        <f>IF(AND(B949="",C949=""),"",1)</f>
        <v/>
      </c>
      <c r="O949" s="129">
        <f t="array" ref="O949">IF(AND(B949="",C949=""),"",IF(G949&gt;=20000,0.05,IF(G949&gt;=10000,0.1,IF(G949&gt;=5000,0.2,IF(G949&gt;=1000,0.3,IF(G949&gt;=0,0.4,{0}))))))</f>
        <v/>
      </c>
      <c r="P949" s="332">
        <f>IF(AND(B949="",C949=""),"",ROUND(H949*O949,2))</f>
        <v/>
      </c>
      <c r="Q949" s="327">
        <f>IF(AND(B949="",C949=""),"","元件")</f>
        <v/>
      </c>
      <c r="R949" s="150" t="n"/>
      <c r="S949" s="150" t="n"/>
      <c r="T949" s="150" t="n"/>
      <c r="U949" s="150" t="n"/>
      <c r="V949" s="328" t="n"/>
      <c r="W949" s="328" t="n"/>
      <c r="X949" s="152" t="n"/>
    </row>
    <row r="950" customFormat="1" s="145">
      <c r="A950" s="36">
        <f>ROW()-ROW(A$922)</f>
        <v/>
      </c>
      <c r="B950" s="156" t="inlineStr">
        <is>
          <t>小计</t>
        </is>
      </c>
      <c r="C950" s="157" t="n"/>
      <c r="D950" s="54" t="n"/>
      <c r="E950" s="30" t="n"/>
      <c r="F950" s="30" t="n"/>
      <c r="G950" s="297" t="n"/>
      <c r="H950" s="297">
        <f>ROUND(SUM(H922:INDEX(H:H,ROW()-1)),2)</f>
        <v/>
      </c>
      <c r="I950" s="91" t="n"/>
      <c r="J950" s="329" t="n"/>
      <c r="K950" s="330">
        <f>ROUND(SUM(K922:INDEX(K:K,ROW()-1)),2)</f>
        <v/>
      </c>
      <c r="L950" s="126" t="n"/>
      <c r="M950" s="331" t="n"/>
      <c r="N950" s="128" t="n"/>
      <c r="O950" s="129" t="n"/>
      <c r="P950" s="332" t="n"/>
      <c r="Q950" s="327" t="n"/>
      <c r="R950" s="150" t="n"/>
      <c r="S950" s="150" t="n"/>
      <c r="T950" s="150" t="n"/>
      <c r="U950" s="150" t="n"/>
      <c r="V950" s="328">
        <f t="array" ref="V950">ROUND(SUMPRODUCT(F922:INDEX(F:F,ROW()-1),V922:INDEX(V:V,ROW()-1)),2)</f>
        <v/>
      </c>
      <c r="W950" s="328">
        <f t="array" ref="W950">ROUND(SUMPRODUCT(F922:INDEX(F:F,ROW()-1),W922:INDEX(W:W,ROW()-1)),2)</f>
        <v/>
      </c>
      <c r="X950" s="152" t="n"/>
    </row>
    <row r="951" customFormat="1" s="145">
      <c r="A951" s="36">
        <f>ROW()-ROW(A$922)</f>
        <v/>
      </c>
      <c r="B951" s="156" t="inlineStr">
        <is>
          <t>成套费</t>
        </is>
      </c>
      <c r="C951" s="157" t="n"/>
      <c r="D951" s="54" t="n"/>
      <c r="E951" s="30" t="n"/>
      <c r="F951" s="30" t="n"/>
      <c r="G951" s="297" t="n"/>
      <c r="H951" s="297" t="n">
        <v>944.76</v>
      </c>
      <c r="I951" s="91" t="n"/>
      <c r="J951" s="329" t="n"/>
      <c r="K951" s="330" t="n">
        <v>944.76</v>
      </c>
      <c r="L951" s="126" t="n"/>
      <c r="M951" s="331" t="n"/>
      <c r="N951" s="128" t="n"/>
      <c r="O951" s="129" t="n"/>
      <c r="P951" s="332" t="n"/>
      <c r="Q951" s="327" t="n"/>
      <c r="R951" s="150" t="n"/>
      <c r="S951" s="150" t="n"/>
      <c r="T951" s="150" t="n"/>
      <c r="U951" s="150" t="n"/>
      <c r="V951" s="328" t="n"/>
      <c r="W951" s="328" t="n"/>
      <c r="X951" s="152" t="n"/>
    </row>
    <row r="952" customFormat="1" s="145">
      <c r="A952" s="36">
        <f>ROW()-ROW(A$922)</f>
        <v/>
      </c>
      <c r="B952" s="156" t="n"/>
      <c r="C952" s="157" t="n"/>
      <c r="D952" s="54" t="n"/>
      <c r="E952" s="30" t="n"/>
      <c r="F952" s="30" t="n"/>
      <c r="G952" s="297" t="n"/>
      <c r="H952" s="297" t="n">
        <v>17.26</v>
      </c>
      <c r="I952" s="91" t="n"/>
      <c r="J952" s="329" t="n"/>
      <c r="K952" s="330" t="n"/>
      <c r="L952" s="126" t="n"/>
      <c r="M952" s="331" t="n"/>
      <c r="N952" s="128" t="n"/>
      <c r="O952" s="129" t="n"/>
      <c r="P952" s="332" t="n"/>
      <c r="Q952" s="327" t="n"/>
      <c r="R952" s="150" t="n"/>
      <c r="S952" s="150" t="n"/>
      <c r="T952" s="150" t="n"/>
      <c r="U952" s="150" t="n"/>
      <c r="V952" s="328" t="n"/>
      <c r="W952" s="328" t="n"/>
      <c r="X952" s="152" t="n"/>
    </row>
    <row r="953" customFormat="1" s="145">
      <c r="A953" s="36">
        <f>ROW()-ROW(A$922)</f>
        <v/>
      </c>
      <c r="B953" s="54" t="inlineStr">
        <is>
          <t>单台合计</t>
        </is>
      </c>
      <c r="C953" s="157" t="n"/>
      <c r="D953" s="54" t="n"/>
      <c r="E953" s="30" t="n"/>
      <c r="F953" s="30" t="n"/>
      <c r="G953" s="297" t="n"/>
      <c r="H953" s="297">
        <f>ROUND(SUM(H950:H951),2)</f>
        <v/>
      </c>
      <c r="I953" s="165" t="n"/>
      <c r="J953" s="329" t="n"/>
      <c r="K953" s="330">
        <f>ROUND(SUM(K950:K951),2)</f>
        <v/>
      </c>
      <c r="L953" s="166" t="n"/>
      <c r="M953" s="331" t="n"/>
      <c r="N953" s="167" t="n"/>
      <c r="O953" s="168" t="n"/>
      <c r="P953" s="332" t="n"/>
      <c r="Q953" s="327" t="n"/>
      <c r="R953" s="150" t="n"/>
      <c r="S953" s="150" t="n"/>
      <c r="T953" s="150" t="n"/>
      <c r="U953" s="150" t="n"/>
      <c r="V953" s="328" t="n"/>
      <c r="W953" s="328" t="n"/>
      <c r="X953" s="152" t="n"/>
    </row>
    <row r="954" customFormat="1" s="145">
      <c r="A954" s="158" t="inlineStr">
        <is>
          <t>总计</t>
        </is>
      </c>
      <c r="B954" s="159" t="n"/>
      <c r="C954" s="160" t="n"/>
      <c r="D954" s="161" t="n"/>
      <c r="E954" s="161" t="inlineStr">
        <is>
          <t>台</t>
        </is>
      </c>
      <c r="F954" s="161" t="n">
        <v>1</v>
      </c>
      <c r="G954" s="336">
        <f>ROUND(H953,2)</f>
        <v/>
      </c>
      <c r="H954" s="336">
        <f>ROUND(F954*G954,2)</f>
        <v/>
      </c>
      <c r="I954" s="169" t="n"/>
      <c r="J954" s="337" t="n"/>
      <c r="K954" s="338">
        <f>ROUND(K953*F954,2)</f>
        <v/>
      </c>
      <c r="L954" s="172" t="n"/>
      <c r="M954" s="339" t="n"/>
      <c r="N954" s="174" t="n"/>
      <c r="O954" s="175" t="n"/>
      <c r="P954" s="340" t="n"/>
      <c r="Q954" s="327" t="n"/>
      <c r="R954" s="150" t="n"/>
      <c r="S954" s="150" t="n"/>
      <c r="T954" s="150" t="n"/>
      <c r="U954" s="150" t="n"/>
      <c r="V954" s="328" t="n"/>
      <c r="W954" s="328" t="n"/>
      <c r="X954" s="152" t="n"/>
    </row>
    <row r="955" customFormat="1" s="146">
      <c r="A955" s="3" t="n"/>
      <c r="B955" s="117" t="n"/>
      <c r="C955" s="117" t="n"/>
      <c r="D955" s="117" t="n"/>
      <c r="E955" s="146" t="n"/>
      <c r="F955" s="146" t="n"/>
      <c r="G955" s="146" t="n"/>
      <c r="H955" s="146" t="n"/>
      <c r="Q955" s="144" t="n"/>
      <c r="R955" s="144" t="n"/>
      <c r="S955" s="144" t="n"/>
      <c r="T955" s="144" t="n"/>
      <c r="U955" s="144" t="n"/>
      <c r="X955" s="117" t="n"/>
    </row>
    <row r="956" customFormat="1" s="146">
      <c r="A956" s="3" t="n"/>
      <c r="B956" s="117" t="n"/>
      <c r="C956" s="117" t="n"/>
      <c r="D956" s="117" t="n"/>
      <c r="E956" s="146" t="n"/>
      <c r="F956" s="146" t="n"/>
      <c r="G956" s="146" t="n"/>
      <c r="H956" s="146" t="n"/>
      <c r="Q956" s="144" t="n"/>
      <c r="R956" s="144" t="n"/>
      <c r="S956" s="144" t="n"/>
      <c r="T956" s="144" t="n"/>
      <c r="U956" s="144" t="n"/>
      <c r="X956" s="117" t="n"/>
    </row>
    <row r="957" customFormat="1" s="145">
      <c r="A957" s="63">
        <f>CONCATENATE("报价人：",项目信息!$B$8)</f>
        <v/>
      </c>
      <c r="B957" s="63" t="n"/>
      <c r="C957" s="146" t="n"/>
      <c r="D957" s="146" t="n"/>
      <c r="E957" s="146" t="n"/>
      <c r="F957" s="146" t="n"/>
      <c r="G957" s="146" t="n"/>
      <c r="H957" s="163">
        <f>项目信息!$B$9</f>
        <v/>
      </c>
      <c r="Q957" s="144" t="n"/>
      <c r="R957" s="144" t="n"/>
      <c r="S957" s="144" t="n"/>
      <c r="T957" s="144" t="n"/>
      <c r="U957" s="144" t="n"/>
      <c r="X957" s="148" t="n"/>
    </row>
  </sheetData>
  <mergeCells count="128">
    <mergeCell ref="A762:I762"/>
    <mergeCell ref="B37:I38"/>
    <mergeCell ref="A683:I683"/>
    <mergeCell ref="A512:I512"/>
    <mergeCell ref="A341:I341"/>
    <mergeCell ref="D45:E45"/>
    <mergeCell ref="D158:E158"/>
    <mergeCell ref="G921:H921"/>
    <mergeCell ref="A195:I195"/>
    <mergeCell ref="A2:I2"/>
    <mergeCell ref="D375:E375"/>
    <mergeCell ref="A828:I828"/>
    <mergeCell ref="A42:I42"/>
    <mergeCell ref="A440:I440"/>
    <mergeCell ref="D921:E921"/>
    <mergeCell ref="A725:I725"/>
    <mergeCell ref="A262:I262"/>
    <mergeCell ref="D684:E684"/>
    <mergeCell ref="G344:H344"/>
    <mergeCell ref="A637:I637"/>
    <mergeCell ref="G875:H875"/>
    <mergeCell ref="D235:E235"/>
    <mergeCell ref="C36:D36"/>
    <mergeCell ref="A764:I764"/>
    <mergeCell ref="A830:I830"/>
    <mergeCell ref="D599:E599"/>
    <mergeCell ref="A232:I232"/>
    <mergeCell ref="A79:I79"/>
    <mergeCell ref="D831:E831"/>
    <mergeCell ref="A442:I442"/>
    <mergeCell ref="G158:H158"/>
    <mergeCell ref="A727:I727"/>
    <mergeCell ref="G375:H375"/>
    <mergeCell ref="A557:I557"/>
    <mergeCell ref="D305:E305"/>
    <mergeCell ref="G831:H831"/>
    <mergeCell ref="A556:I556"/>
    <mergeCell ref="A302:I302"/>
    <mergeCell ref="A194:I194"/>
    <mergeCell ref="A234:I234"/>
    <mergeCell ref="A374:I374"/>
    <mergeCell ref="D558:E558"/>
    <mergeCell ref="A37:A38"/>
    <mergeCell ref="A681:I681"/>
    <mergeCell ref="D474:E474"/>
    <mergeCell ref="G599:H599"/>
    <mergeCell ref="A342:I342"/>
    <mergeCell ref="D411:E411"/>
    <mergeCell ref="D765:E765"/>
    <mergeCell ref="A115:I115"/>
    <mergeCell ref="A155:I155"/>
    <mergeCell ref="G558:H558"/>
    <mergeCell ref="A873:I873"/>
    <mergeCell ref="A471:I471"/>
    <mergeCell ref="A261:I261"/>
    <mergeCell ref="A829:I829"/>
    <mergeCell ref="G443:H443"/>
    <mergeCell ref="A157:I157"/>
    <mergeCell ref="A441:I441"/>
    <mergeCell ref="A639:I639"/>
    <mergeCell ref="A797:I797"/>
    <mergeCell ref="H5:I5"/>
    <mergeCell ref="A343:I343"/>
    <mergeCell ref="D728:E728"/>
    <mergeCell ref="A5:G5"/>
    <mergeCell ref="A796:I796"/>
    <mergeCell ref="G474:H474"/>
    <mergeCell ref="A193:I193"/>
    <mergeCell ref="A80:I80"/>
    <mergeCell ref="A233:I233"/>
    <mergeCell ref="A409:I409"/>
    <mergeCell ref="A3:I3"/>
    <mergeCell ref="D640:E640"/>
    <mergeCell ref="A596:I596"/>
    <mergeCell ref="G799:H799"/>
    <mergeCell ref="A113:I113"/>
    <mergeCell ref="D875:E875"/>
    <mergeCell ref="G116:H116"/>
    <mergeCell ref="A303:I303"/>
    <mergeCell ref="A514:I514"/>
    <mergeCell ref="A872:I872"/>
    <mergeCell ref="D116:E116"/>
    <mergeCell ref="A597:I597"/>
    <mergeCell ref="A4:I4"/>
    <mergeCell ref="D799:E799"/>
    <mergeCell ref="A43:I43"/>
    <mergeCell ref="A156:I156"/>
    <mergeCell ref="A372:I372"/>
    <mergeCell ref="A874:I874"/>
    <mergeCell ref="D264:E264"/>
    <mergeCell ref="A798:I798"/>
    <mergeCell ref="G305:H305"/>
    <mergeCell ref="D196:E196"/>
    <mergeCell ref="A682:I682"/>
    <mergeCell ref="A408:I408"/>
    <mergeCell ref="G640:H640"/>
    <mergeCell ref="A473:I473"/>
    <mergeCell ref="A920:I920"/>
    <mergeCell ref="A472:I472"/>
    <mergeCell ref="A410:I410"/>
    <mergeCell ref="A763:I763"/>
    <mergeCell ref="G82:H82"/>
    <mergeCell ref="A598:I598"/>
    <mergeCell ref="G765:H765"/>
    <mergeCell ref="A263:I263"/>
    <mergeCell ref="G264:H264"/>
    <mergeCell ref="D443:E443"/>
    <mergeCell ref="A513:I513"/>
    <mergeCell ref="A373:I373"/>
    <mergeCell ref="G196:H196"/>
    <mergeCell ref="A81:I81"/>
    <mergeCell ref="G515:H515"/>
    <mergeCell ref="G235:H235"/>
    <mergeCell ref="A726:I726"/>
    <mergeCell ref="A44:I44"/>
    <mergeCell ref="A919:I919"/>
    <mergeCell ref="G45:H45"/>
    <mergeCell ref="A114:I114"/>
    <mergeCell ref="G728:H728"/>
    <mergeCell ref="A304:I304"/>
    <mergeCell ref="A555:I555"/>
    <mergeCell ref="A638:I638"/>
    <mergeCell ref="D82:E82"/>
    <mergeCell ref="G411:H411"/>
    <mergeCell ref="D344:E344"/>
    <mergeCell ref="D515:E515"/>
    <mergeCell ref="A918:I918"/>
    <mergeCell ref="G684:H684"/>
  </mergeCells>
  <dataValidations count="4">
    <dataValidation sqref="F36" showDropDown="0" showInputMessage="1" showErrorMessage="1" allowBlank="1" prompt="表示有几个这样的分类/段，默认为1。箱变（或多个相同分类/段需翻倍）报价时，请在此处填写箱变台数或倍数。非以上情况，此处勿动。" errorStyle="information"/>
    <dataValidation sqref="M45 M82 M116 M158 M196 M235 M264 M305 M344 M375 M411 M443 M474 M515 M558 M599 M640 M684 M728 M765 M799 M831 M875 M921 N7:N40" showDropDown="0" showInputMessage="1" showErrorMessage="1" allowBlank="1" type="list">
      <formula1>"高压柜,低压固定柜,低压抽屉柜,动力柜,动力配电箱,控制配电箱,照明配电箱,电表箱,其它箱"</formula1>
    </dataValidation>
    <dataValidation sqref="B47 B84:B86 B118 B160 B413:B414 B445:B446 B476 B517 B642 B686:B687 B730 B877 B923 D86:E86 D118:E118 D160:E160 D476:E476 D517:E517 E47 E84:E85 E413:E414 E445:E446 E642 E686:E687 E730 E877 E923" showDropDown="0" showInputMessage="1" showErrorMessage="1" allowBlank="1"/>
    <dataValidation sqref="Q47:Q75 Q84:Q109 Q118:Q151 Q160:Q189 Q198:Q228 Q237:Q257 Q266:Q298 Q307:Q337 Q346:Q368 Q377:Q404 Q413:Q436 Q445:Q467 Q476:Q508 Q517:Q551 Q560:Q592 Q601:Q633 Q642:Q677 Q686:Q721 Q730:Q758 Q767:Q792 Q801:Q824 Q833:Q868 Q877:Q914 Q923:Q954" showDropDown="0" showInputMessage="1" showErrorMessage="1" allowBlank="1" type="list">
      <formula1>"元件,母排,辅料,箱体,费用"</formula1>
    </dataValidation>
  </dataValidations>
  <hyperlinks>
    <hyperlink ref="A7" location="cabinetTable095186ec2df3431e9b2d91d2702253ab" tooltip="点击进入本箱柜明细表" display="=ROW()-ROW(A$6)"/>
    <hyperlink ref="A8" location="cabinetTable20320a4796e34c0787f5c0c8528d1051" tooltip="点击进入本箱柜明细表" display="=ROW()-ROW(A$6)"/>
    <hyperlink ref="A9" location="cabinetTable897696f6023141de8a820d673387cbb5" tooltip="点击进入本箱柜明细表" display="=ROW()-ROW(A$6)"/>
    <hyperlink ref="A10" location="cabinetTable3299bbfc05a14151a3232281e52ef53f" tooltip="点击进入本箱柜明细表" display="=ROW()-ROW(A$6)"/>
    <hyperlink ref="A11" location="cabinetTable7d725a961bbc470ab34b864ecd23e1bf" tooltip="点击进入本箱柜明细表" display="=ROW()-ROW(A$6)"/>
    <hyperlink ref="A12" location="cabinetTable281330eca41645d78f9aa7a65786ce26" tooltip="点击进入本箱柜明细表" display="=ROW()-ROW(A$6)"/>
    <hyperlink ref="A13" location="cabinetTable7ddf563392ca463182f479b2e4ab620f" tooltip="点击进入本箱柜明细表" display="=ROW()-ROW(A$6)"/>
    <hyperlink ref="A14" location="cabinetTable3d0d718838bd474fbe6d30a15a44cbb1" tooltip="点击进入本箱柜明细表" display="=ROW()-ROW(A$6)"/>
    <hyperlink ref="A15" location="cabinetTable031414d8330e4c2c9505f6d6f14929df" tooltip="点击进入本箱柜明细表" display="=ROW()-ROW(A$6)"/>
    <hyperlink ref="A16" location="cabinetTable710202f8cfe649b387a143c4204b41e3" tooltip="点击进入本箱柜明细表" display="=ROW()-ROW(A$6)"/>
    <hyperlink ref="A17" location="cabinetTable88c251c4394343a2a6d19060bb596baf" tooltip="点击进入本箱柜明细表" display="=ROW()-ROW(A$6)"/>
    <hyperlink ref="A18" location="cabinetTableadecf89a8782471f9c4b27648384d65e" tooltip="点击进入本箱柜明细表" display="=ROW()-ROW(A$6)"/>
    <hyperlink ref="A19" location="cabinetTabled3b04be429424c3498d071c7fded8e1f" tooltip="点击进入本箱柜明细表" display="=ROW()-ROW(A$6)"/>
    <hyperlink ref="A20" location="cabinetTable5b3f1d464dd84309be2a0dede773bcf3" tooltip="点击进入本箱柜明细表" display="=ROW()-ROW(A$6)"/>
    <hyperlink ref="A21" location="cabinetTable28a5f7fec4b74bd99996ca16016bae80" tooltip="点击进入本箱柜明细表" display="=ROW()-ROW(A$6)"/>
    <hyperlink ref="A22" location="cabinetTable8a9be74a02f64c32aeb2e53960c988eb" tooltip="点击进入本箱柜明细表" display="=ROW()-ROW(A$6)"/>
    <hyperlink ref="A23" location="cabinetTable063ff5bf95a5412ba2c565028842ea01" tooltip="点击进入本箱柜明细表" display="=ROW()-ROW(A$6)"/>
    <hyperlink ref="A24" location="cabinetTable4c01859442e240c4bf5b3685709c1504" tooltip="点击进入本箱柜明细表" display="=ROW()-ROW(A$6)"/>
    <hyperlink ref="A25" location="cabinetTablec366a6674c8b4dd992e3a943d873b36f" tooltip="点击进入本箱柜明细表" display="=ROW()-ROW(A$6)"/>
    <hyperlink ref="A26" location="cabinetTablec6e66f7839fa4590bfc7541cf990e073" tooltip="点击进入本箱柜明细表" display="=ROW()-ROW(A$6)"/>
    <hyperlink ref="A27" location="cabinetTable9d42f766f1114377a7f3b06c4f5b51da" tooltip="点击进入本箱柜明细表" display="=ROW()-ROW(A$6)"/>
    <hyperlink ref="A28" location="cabinetTablec284c852ebd14700a779ae23d65662f1" tooltip="点击进入本箱柜明细表" display="=ROW()-ROW(A$6)"/>
    <hyperlink ref="A29" location="cabinetTable2912d598199a4bc58e94c820c44bd6e8" tooltip="点击进入本箱柜明细表" display="=ROW()-ROW(A$6)"/>
    <hyperlink ref="A30" location="cabinetTable843c1f8a38f6479d8115acb558503436" tooltip="点击进入本箱柜明细表" display="=ROW()-ROW(A$6)"/>
  </hyperlink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anonymized</dc:creator>
  <dcterms:created xmlns:dcterms="http://purl.org/dc/terms/" xmlns:xsi="http://www.w3.org/2001/XMLSchema-instance" xsi:type="dcterms:W3CDTF">2016-07-08T03:08:00Z</dcterms:created>
  <dcterms:modified xmlns:dcterms="http://purl.org/dc/terms/" xmlns:xsi="http://www.w3.org/2001/XMLSchema-instance" xsi:type="dcterms:W3CDTF">2026-05-05T00:32:17Z</dcterms:modified>
  <cp:lastModifiedBy>anonymized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E8F14E8518294B15833054DA46970505_12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